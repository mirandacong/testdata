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openxmlformats-officedocument.spreadsheetml.volatileDependencies+xml" PartName="/xl/volatileDependenci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110" windowHeight="11655" tabRatio="895" firstSheet="1" activeTab="1"/>
  </bookViews>
  <sheets>
    <sheet name="__FDSCACHE__" sheetId="7" state="veryHidden" r:id="rId1"/>
    <sheet name="ImportantDisclosures" sheetId="110" r:id="rId2"/>
    <sheet name="IS" sheetId="1" r:id="rId3"/>
    <sheet name="BS" sheetId="2" r:id="rId4"/>
    <sheet name="MW-Cache" sheetId="9" state="veryHidden" r:id="rId5"/>
    <sheet name="CFS" sheetId="61" r:id="rId6"/>
    <sheet name="Segment Results" sheetId="63" r:id="rId7"/>
    <sheet name="IndexInformation" sheetId="111" r:id="rId8"/>
    <sheet name="ModPubIndex" sheetId="112" r:id="rId9"/>
  </sheets>
  <externalReferences>
    <externalReference r:id="rId10"/>
    <externalReference r:id="rId11"/>
  </externalReferences>
  <definedNames>
    <definedName name="__FDS_HYPERLINK_TOGGLE_STATE__" hidden="1">"ON"</definedName>
    <definedName name="__FDS_UNIQUE_RANGE_ID_GENERATOR_COUNTER" hidden="1">18</definedName>
    <definedName name="_1__FDSAUDITLINK__" hidden="1">{"fdsup://Directions/FactSet Auditing Viewer?action=AUDIT_VALUE&amp;DB=129&amp;ID1=03265410&amp;VALUEID=02001&amp;SDATE=201103&amp;PERIODTYPE=QTR_STD&amp;SCFT=3&amp;window=popup_no_bar&amp;width=385&amp;height=120&amp;START_MAXIMIZED=FALSE&amp;creator=factset&amp;display_string=Audit"}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Viewer?action=AUDIT_VALUE&amp;DB=129&amp;ID1=74752510&amp;VALUEID=05194&amp;SDATE=201103&amp;PERIODTYPE=QTR_STD&amp;SCFT=3&amp;window=popup_no_bar&amp;width=385&amp;height=120&amp;START_MAXIMIZED=FALSE&amp;creator=factset&amp;display_string=Audit"}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Viewer?action=AUDIT_VALUE&amp;DB=129&amp;ID1=89674K10&amp;VALUEID=02001&amp;SDATE=201101&amp;PERIODTYPE=QTR_STD&amp;SCFT=3&amp;window=popup_no_bar&amp;width=385&amp;height=120&amp;START_MAXIMIZED=FALSE&amp;creator=factset&amp;display_string=Audit"}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Viewer?action=AUDIT_VALUE&amp;DB=129&amp;ID1=03265410&amp;VALUEID=05194&amp;SDATE=201103&amp;PERIODTYPE=QTR_STD&amp;SCFT=3&amp;window=popup_no_bar&amp;width=385&amp;height=120&amp;START_MAXIMIZED=FALSE&amp;creator=factset&amp;display_string=Audit"}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Viewer?action=AUDIT_VALUE&amp;DB=129&amp;ID1=67066G10&amp;VALUEID=02001&amp;SDATE=201102&amp;PERIODTYPE=QTR_STD&amp;SCFT=3&amp;window=popup_no_bar&amp;width=385&amp;height=120&amp;START_MAXIMIZED=FALSE&amp;creator=factset&amp;display_string=Audit"}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Viewer?action=AUDIT_VALUE&amp;DB=129&amp;ID1=67066G10&amp;VALUEID=05194&amp;SDATE=201102&amp;PERIODTYPE=QTR_STD&amp;SCFT=3&amp;window=popup_no_bar&amp;width=385&amp;height=120&amp;START_MAXIMIZED=FALSE&amp;creator=factset&amp;display_string=Audit"}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Viewer?action=AUDIT_VALUE&amp;DB=129&amp;ID1=637248&amp;VALUEID=02001&amp;SDATE=201102&amp;PERIODTYPE=QTR_STD&amp;SCFT=3&amp;window=popup_no_bar&amp;width=385&amp;height=120&amp;START_MAXIMIZED=FALSE&amp;creator=factset&amp;display_string=Audit"}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Viewer?action=AUDIT_VALUE&amp;DB=129&amp;ID1=637248&amp;VALUEID=05194&amp;SDATE=201102&amp;PERIODTYPE=QTR_STD&amp;SCFT=3&amp;window=popup_no_bar&amp;width=385&amp;height=120&amp;START_MAXIMIZED=FALSE&amp;creator=factset&amp;display_string=Audit"}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Viewer?action=AUDIT_VALUE&amp;DB=129&amp;ID1=74752510&amp;VALUEID=02001&amp;SDATE=201103&amp;PERIODTYPE=QTR_STD&amp;SCFT=3&amp;window=popup_no_bar&amp;width=385&amp;height=120&amp;START_MAXIMIZED=FALSE&amp;creator=factset&amp;display_string=Audit"}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286F36F53C7C409EA9772B14169B7864.edm" hidden="1">IS!$1:$1048576</definedName>
    <definedName name="_bdm.72992B73BB9C496690C7A8995EECEAEA.edm" localSheetId="2" hidden="1">IS!$B$5:$CO$119</definedName>
    <definedName name="_bdm.8949CA62BFE94AD2B1AF20C73D2FB203.edm" localSheetId="2" hidden="1">IS!$A$5:$CO$119</definedName>
    <definedName name="_bdm.A0A92BDCCA17485D9FFD842F6AD6598F.edm" hidden="1">BS!$1:$1048576</definedName>
    <definedName name="_bdm.AC7CCE2D50AD4CCCA71D1A3BAF07D94D.edm" localSheetId="3" hidden="1">BS!$B$5:$CO$46</definedName>
    <definedName name="_bdm.B6C14E1DF2B6432EB01E007A19C4AE5B.edm" localSheetId="5" hidden="1">CFS!$1:$1048576</definedName>
    <definedName name="_bdm.C2DEECB236ED4B70BE058ED50C8D1C30.edm" localSheetId="5" hidden="1">CFS!$B$5:$CO$70</definedName>
    <definedName name="_bdm.E1FA59610312481F98399947F0B24C64.edm" localSheetId="2" hidden="1">IS!$B$5:$AQ$119</definedName>
    <definedName name="_Order1" hidden="1">255</definedName>
    <definedName name="_Order2" hidden="1">255</definedName>
    <definedName name="_Regression_Int" hidden="1">1</definedName>
    <definedName name="AccessDatabase" hidden="1">"G:\Frank Lee\TFT-LCD\TFT report_OCT02\TFT_report_data.mdb"</definedName>
    <definedName name="AdditionalInstructions">IndexInformation!$B$42</definedName>
    <definedName name="Address" localSheetId="1">ImportantDisclosures!$A$2:$A$2</definedName>
    <definedName name="ANA" localSheetId="8">ModPubIndex!$A$7</definedName>
    <definedName name="anscount" hidden="1">1</definedName>
    <definedName name="AS2DocOpenMode" hidden="1">"AS2DocumentEdit"</definedName>
    <definedName name="AS2SyncStepLS" hidden="1">0</definedName>
    <definedName name="AS2VersionLS" hidden="1">300</definedName>
    <definedName name="Authors" localSheetId="1">ImportantDisclosures!$A$7</definedName>
    <definedName name="Authors" localSheetId="7">IndexInformation!$B$18</definedName>
    <definedName name="BG_Ins" hidden="1">4</definedName>
    <definedName name="BRO" localSheetId="8">ModPubIndex!$A$1</definedName>
    <definedName name="BS">BS!$B$48:$CO$48</definedName>
    <definedName name="BSMethod">2</definedName>
    <definedName name="Button_1">"TFT_report_data_share_prices_List"</definedName>
    <definedName name="cc_ReportCurrency">"NTD"</definedName>
    <definedName name="cc_ReportCurrencyUnit">"NT$"</definedName>
    <definedName name="cc_ReportCurrencyUnitFactor">1</definedName>
    <definedName name="Conv_mark">0</definedName>
    <definedName name="converting">{"Client Name or Project Name"}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taseries4">OFFSET([2]c1!$G$12,0,0,COUNTA([2]c1!$G$12:$G$31),1)</definedName>
    <definedName name="Date" localSheetId="1">ImportantDisclosures!$A$8</definedName>
    <definedName name="DB">"WIREHKPROD"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1">ImportantDisclosures!#REF!</definedName>
    <definedName name="DistTablePreamble" localSheetId="1">ImportantDisclosures!#REF!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DummyEstYears">3</definedName>
    <definedName name="EMAIL_ALERT" localSheetId="8">ModPubIndex!$A$10</definedName>
    <definedName name="EmailAlert" localSheetId="7">IndexInformation!$B$28</definedName>
    <definedName name="escape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esnrc128c1_values" hidden="1">{"TW","COMPANIES",TRUE}</definedName>
    <definedName name="EurosFRF">1</definedName>
    <definedName name="EurosITL">1</definedName>
    <definedName name="FINCriteriaType">1</definedName>
    <definedName name="FineUS">{"Client Name or Project Name"}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forest">{"Client Name or Project Name"}</definedName>
    <definedName name="forest2">{"Client Name or Project Name"}</definedName>
    <definedName name="FR_COM_ABBR">"1122.HK"</definedName>
    <definedName name="FR_COU_ABBR">"chn"</definedName>
    <definedName name="FR_END_DATE">"'31 Dec 2001"</definedName>
    <definedName name="FR_START_DATE">"'1 Jan 2001"</definedName>
    <definedName name="FR_SYBASE_SERVER">"PTKFBVDF01"</definedName>
    <definedName name="FR_TEMPLATE_KEY">"110952|1"</definedName>
    <definedName name="g">{"Client Name or Project Name"}</definedName>
    <definedName name="gg">{"Client Name or Project Name"}</definedName>
    <definedName name="ggg">{"Client Name or Project Name"}</definedName>
    <definedName name="gggg">{"Client Name or Project Name"}</definedName>
    <definedName name="ggggg">{"Client Name or Project Name"}</definedName>
    <definedName name="ggggggg">{"Client Name or Project Name"}</definedName>
    <definedName name="HL" localSheetId="8">ModPubIndex!$A$8</definedName>
    <definedName name="HTML_CodePage" hidden="1">1252</definedName>
    <definedName name="HTML_Description" hidden="1">""</definedName>
    <definedName name="HTML_Email" hidden="1">""</definedName>
    <definedName name="HTML_Header" hidden="1">"Income-Adj"</definedName>
    <definedName name="HTML_LastUpdate" hidden="1">"9/1/99"</definedName>
    <definedName name="HTML_LineAfter" hidden="1">FALSE</definedName>
    <definedName name="HTML_LineBefore" hidden="1">FALSE</definedName>
    <definedName name="HTML_Name" hidden="1">"Neo"</definedName>
    <definedName name="HTML_OBDlg2" hidden="1">TRUE</definedName>
    <definedName name="HTML_OBDlg4" hidden="1">TRUE</definedName>
    <definedName name="HTML_OS" hidden="1">0</definedName>
    <definedName name="HTML_PathFile" hidden="1">"E:\statements-2.0\from_excel.htm"</definedName>
    <definedName name="HTML_Title" hidden="1">"Histo_Statements"</definedName>
    <definedName name="hygiene">{"Client Name or Project Name"}</definedName>
    <definedName name="ICP">0</definedName>
    <definedName name="ictsymbol">"NT$"</definedName>
    <definedName name="icusymbol">"NT$"</definedName>
    <definedName name="IND" localSheetId="8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SMethod">1</definedName>
    <definedName name="iue">1</definedName>
    <definedName name="iuesymbol">"NT$"</definedName>
    <definedName name="iun">1000000</definedName>
    <definedName name="iunsymbol">"NT$m"</definedName>
    <definedName name="ius">1000000</definedName>
    <definedName name="KeepVersions" localSheetId="7">IndexInformation!$B$8</definedName>
    <definedName name="LabelList">OFFSET(LabelData,1,0,ROWS(LabelData)-1,1)</definedName>
    <definedName name="LanguageCode">IndexInformation!$B$38</definedName>
    <definedName name="LastCell" localSheetId="1">ImportantDisclosures!$A$22</definedName>
    <definedName name="Linking_17">IS!$B$5:$CN$119</definedName>
    <definedName name="Linking_18">CFS!$B$5:$CN$70</definedName>
    <definedName name="Linking_20">BS!$B$5:$CN$46</definedName>
    <definedName name="Linking_22">BS!$B$5:$BO$46</definedName>
    <definedName name="Linking_23">CFS!$B$5:$CN$85</definedName>
    <definedName name="Linking_24">BS!$B$4:$BO$46</definedName>
    <definedName name="Linking_26">BS!$B$5:$BS$46</definedName>
    <definedName name="Linking_6">BS!$B$5:$CM$46</definedName>
    <definedName name="Linking_7">CFS!$B$5:$CM$70</definedName>
    <definedName name="Linking_Range_1">IS!$B$5:$AU$119</definedName>
    <definedName name="Linking_Range_13" localSheetId="5">CFS!$B$5:$CI$70</definedName>
    <definedName name="Linking_Range_14">IS!$B$5:$CJ$132</definedName>
    <definedName name="Linking_Range_15">IS!$B$5:$CJ$126</definedName>
    <definedName name="Linking_Range_17" localSheetId="5">CFS!$B$5:$CJ$70</definedName>
    <definedName name="Linking_Range_18" localSheetId="5">CFS!$B$5:$CK$70</definedName>
    <definedName name="Linking_Range_19">BS!$B$5:$CK$46</definedName>
    <definedName name="Linking_Range_2">IS!$B$5:$CJ$119</definedName>
    <definedName name="Linking_Range_3">IS!$B$5:$CJ$126</definedName>
    <definedName name="Linking_Range_4">BS!$B$5:$AU$46</definedName>
    <definedName name="Linking_Range_40">IS!$B$5:$CK$119</definedName>
    <definedName name="Linking_Range_41">CFS!$B$5:$CK$70</definedName>
    <definedName name="Linking_Range_46">BS!$B$4:$AU$46</definedName>
    <definedName name="Linking_Range_47">BS!$B$5:$AY$46</definedName>
    <definedName name="Linking_Range_48">CFS!$B$5:$AY$70</definedName>
    <definedName name="Linking_Range_53">BS!$B$5:$BC$46</definedName>
    <definedName name="Linking_Range_55">IS!$B$5:$CL$119</definedName>
    <definedName name="Linking_Range_56">CFS!$B$5:$BC$70</definedName>
    <definedName name="Linking_Range_57">CFS!$B$5:$CL$70</definedName>
    <definedName name="Linking_Range_62">BS!$B$5:$BG$46</definedName>
    <definedName name="Linking_Range_63">CFS!$B$5:$BG$70</definedName>
    <definedName name="Linking_Range_71">IS!$B$7:$CL$119</definedName>
    <definedName name="Linking_Range_74">IS!$B$5:$CM$119</definedName>
    <definedName name="Linking_Range_75">BS!$B$5:$BK$46</definedName>
    <definedName name="Linking_Text_1">-0.0499060346627689</definedName>
    <definedName name="MacroVersion" localSheetId="7">IndexInformation!$B$1</definedName>
    <definedName name="ModelPrice" localSheetId="1">ImportantDisclosures!$A$14</definedName>
    <definedName name="Multiplier" localSheetId="7">IndexInformation!$B$35</definedName>
    <definedName name="name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ObjectType">IndexInformation!$B$37</definedName>
    <definedName name="PANA" localSheetId="8">ModPubIndex!$A$11</definedName>
    <definedName name="PathName" localSheetId="7">IndexInformation!$B$25</definedName>
    <definedName name="_xlnm.Print_Area">"Formula removed, name can be deleted."</definedName>
    <definedName name="_xlnm.Print_Titles">"Formula removed, name can be deleted."</definedName>
    <definedName name="PRODUCT" localSheetId="8">ModPubIndex!$A$6</definedName>
    <definedName name="ProjectName">{"Client Name or Project Name"}</definedName>
    <definedName name="PSYM" localSheetId="8">ModPubIndex!$A$4</definedName>
    <definedName name="PublishDate" localSheetId="7">IndexInformation!$B$2</definedName>
    <definedName name="Rangename">"Summary DCF"</definedName>
    <definedName name="Rating" localSheetId="7">IndexInformation!$B$9</definedName>
    <definedName name="RatingsDefined" localSheetId="1">ImportantDisclosures!$A$21</definedName>
    <definedName name="RatingsDefs" localSheetId="1">ImportantDisclosures!#REF!</definedName>
    <definedName name="Rec.Asset_Debt">0</definedName>
    <definedName name="RegACDisclosure" localSheetId="1">ImportantDisclosures!#REF!</definedName>
    <definedName name="REP_CHT_DivisionalBreakdown">"Chart 416"</definedName>
    <definedName name="REP_CHT_GeographicalBreakdown">"Chart 417"</definedName>
    <definedName name="REP_CHT_Spare1">"Chart 422"</definedName>
    <definedName name="REP_CHT_Spare2">"Chart 423"</definedName>
    <definedName name="ResearchTopic" localSheetId="7">IndexInformation!$B$4</definedName>
    <definedName name="RIC" localSheetId="7">IndexInformation!$B$21</definedName>
    <definedName name="SavedThisSession">FALSE</definedName>
    <definedName name="SECSettlement" localSheetId="1">ImportantDisclosures!#REF!</definedName>
    <definedName name="SEDOL" localSheetId="7">IndexInformation!$B$22</definedName>
    <definedName name="sencount" hidden="1">1</definedName>
    <definedName name="SourceDefined" localSheetId="1">ImportantDisclosures!$A$19</definedName>
    <definedName name="Stock_dividend">0</definedName>
    <definedName name="StockRating" localSheetId="1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1">ImportantDisclosures!$A$15</definedName>
    <definedName name="TaxTV">10%</definedName>
    <definedName name="TaxXL">5%</definedName>
    <definedName name="Template.WIRE">"DBACCESS"</definedName>
    <definedName name="TemplateRegion">IndexInformation!$B$36</definedName>
    <definedName name="TestAdd">"Test RefersTo1"</definedName>
    <definedName name="TextRefCopyRangeCount" hidden="1">2</definedName>
    <definedName name="Ticker" localSheetId="1">ImportantDisclosures!$A$10</definedName>
    <definedName name="TickerRegion">IndexInformation!$B$41</definedName>
    <definedName name="Tickers" localSheetId="7">IndexInformation!$B$19</definedName>
    <definedName name="Trace">FALSE</definedName>
    <definedName name="UnitStringsList">OFFSET(UnitStrings,0,0,ROWS(UnitStrings),1)</definedName>
    <definedName name="UpdateReason" localSheetId="7">IndexInformation!$B$17</definedName>
    <definedName name="UpgradeVersion">"v2.35"</definedName>
    <definedName name="USRegDisclosures" localSheetId="1">ImportantDisclosures!#REF!</definedName>
    <definedName name="Version">0</definedName>
    <definedName name="Version.WIRE">1</definedName>
    <definedName name="XRefCopyRangeCount" hidden="1">1</definedName>
    <definedName name="Years">"A1:v1"</definedName>
  </definedNames>
  <calcPr calcId="145621"/>
</workbook>
</file>

<file path=xl/calcChain.xml><?xml version="1.0" encoding="utf-8"?>
<calcChain xmlns="http://schemas.openxmlformats.org/spreadsheetml/2006/main">
  <c r="BK50" i="2" l="1"/>
  <c r="BK25" i="63" l="1"/>
  <c r="BK16" i="2" l="1"/>
  <c r="BK35" i="61" l="1"/>
  <c r="BK34" i="61"/>
  <c r="BK33" i="61"/>
  <c r="BK32" i="61"/>
  <c r="BK31" i="61"/>
  <c r="BK30" i="61"/>
  <c r="BK29" i="61"/>
  <c r="BK28" i="61"/>
  <c r="BN132" i="1" l="1"/>
  <c r="BO132" i="1" s="1"/>
  <c r="BP132" i="1" s="1"/>
  <c r="BQ132" i="1" s="1"/>
  <c r="BR132" i="1" s="1"/>
  <c r="BS132" i="1" s="1"/>
  <c r="BT132" i="1" s="1"/>
  <c r="BU132" i="1" s="1"/>
  <c r="BV132" i="1" s="1"/>
  <c r="BW132" i="1" s="1"/>
  <c r="BM132" i="1"/>
  <c r="BL84" i="1"/>
  <c r="BL78" i="1"/>
  <c r="BL58" i="1"/>
  <c r="BK149" i="1" l="1"/>
  <c r="BK99" i="63"/>
  <c r="BK98" i="63"/>
  <c r="BK92" i="63"/>
  <c r="BK86" i="63"/>
  <c r="BK81" i="63"/>
  <c r="BK126" i="63" s="1"/>
  <c r="BK65" i="63"/>
  <c r="BK54" i="63"/>
  <c r="BK43" i="63"/>
  <c r="BK32" i="63"/>
  <c r="BK21" i="63"/>
  <c r="BK10" i="63"/>
  <c r="BK157" i="63"/>
  <c r="BK128" i="63"/>
  <c r="BK124" i="63"/>
  <c r="BK109" i="63"/>
  <c r="BK142" i="63" s="1"/>
  <c r="BK97" i="61"/>
  <c r="BK96" i="61"/>
  <c r="BK93" i="61"/>
  <c r="BK72" i="61"/>
  <c r="BK68" i="61"/>
  <c r="BK67" i="61"/>
  <c r="BK65" i="61"/>
  <c r="BK62" i="61"/>
  <c r="BK61" i="61"/>
  <c r="BK60" i="61"/>
  <c r="BK59" i="61"/>
  <c r="BK58" i="61"/>
  <c r="BK57" i="61"/>
  <c r="BK56" i="61"/>
  <c r="BK55" i="61"/>
  <c r="BK54" i="61"/>
  <c r="BK53" i="61"/>
  <c r="BK52" i="61"/>
  <c r="BK63" i="61" s="1"/>
  <c r="BK48" i="61"/>
  <c r="BK47" i="61"/>
  <c r="BK46" i="61"/>
  <c r="BK45" i="61"/>
  <c r="BK44" i="61"/>
  <c r="BK43" i="61"/>
  <c r="BK42" i="61"/>
  <c r="BK41" i="61"/>
  <c r="BK40" i="61"/>
  <c r="BK49" i="61" s="1"/>
  <c r="BK27" i="61"/>
  <c r="BK26" i="61"/>
  <c r="BK25" i="61"/>
  <c r="BK24" i="61"/>
  <c r="BK23" i="61"/>
  <c r="BK22" i="61"/>
  <c r="BK21" i="61"/>
  <c r="BK20" i="61"/>
  <c r="BK19" i="61"/>
  <c r="BK18" i="61"/>
  <c r="BK17" i="61"/>
  <c r="BK16" i="61"/>
  <c r="BK15" i="61"/>
  <c r="BK14" i="61"/>
  <c r="BK13" i="61"/>
  <c r="BK12" i="61"/>
  <c r="BK11" i="61"/>
  <c r="BK9" i="61"/>
  <c r="BK136" i="61"/>
  <c r="BK172" i="61"/>
  <c r="BK158" i="61"/>
  <c r="BK182" i="61"/>
  <c r="BK173" i="61"/>
  <c r="BK159" i="61"/>
  <c r="BK73" i="2"/>
  <c r="BK66" i="2"/>
  <c r="BK71" i="2" s="1"/>
  <c r="BK74" i="2" s="1"/>
  <c r="BK59" i="2"/>
  <c r="BK54" i="2" s="1"/>
  <c r="BK53" i="2" s="1"/>
  <c r="BK58" i="2"/>
  <c r="BK56" i="2" s="1"/>
  <c r="BK22" i="2"/>
  <c r="BK33" i="2"/>
  <c r="BK38" i="2" s="1"/>
  <c r="BK46" i="2" s="1"/>
  <c r="BK15" i="2"/>
  <c r="BK84" i="1"/>
  <c r="BK100" i="1"/>
  <c r="BK63" i="1"/>
  <c r="BK132" i="1"/>
  <c r="BK127" i="1"/>
  <c r="BK79" i="1"/>
  <c r="BK22" i="1"/>
  <c r="BK94" i="1"/>
  <c r="BK85" i="1"/>
  <c r="BK75" i="1"/>
  <c r="BK58" i="1"/>
  <c r="BK65" i="1" s="1"/>
  <c r="BK68" i="1" s="1"/>
  <c r="BK55" i="1"/>
  <c r="BK56" i="1" s="1"/>
  <c r="BK49" i="1"/>
  <c r="BK45" i="1"/>
  <c r="BK46" i="1" s="1"/>
  <c r="BK39" i="1"/>
  <c r="BK35" i="1"/>
  <c r="BK29" i="1"/>
  <c r="BK23" i="1"/>
  <c r="BK20" i="1"/>
  <c r="BK25" i="1" s="1"/>
  <c r="BK11" i="1"/>
  <c r="BK10" i="1"/>
  <c r="BK50" i="1" s="1"/>
  <c r="BK128" i="1"/>
  <c r="BK55" i="2" l="1"/>
  <c r="BK127" i="63"/>
  <c r="BK125" i="63"/>
  <c r="BK130" i="63" s="1"/>
  <c r="BK66" i="1"/>
  <c r="BK72" i="1" s="1"/>
  <c r="BK76" i="63"/>
  <c r="BK14" i="63" s="1"/>
  <c r="BK16" i="63" s="1"/>
  <c r="BK58" i="63"/>
  <c r="BK60" i="63" s="1"/>
  <c r="BK69" i="63"/>
  <c r="BK71" i="63" s="1"/>
  <c r="BK47" i="63"/>
  <c r="BK49" i="63" s="1"/>
  <c r="BK135" i="63"/>
  <c r="BK137" i="63"/>
  <c r="BK139" i="63"/>
  <c r="BK141" i="63"/>
  <c r="BK136" i="63"/>
  <c r="BK138" i="63"/>
  <c r="BK140" i="63"/>
  <c r="BK52" i="2"/>
  <c r="BK23" i="2"/>
  <c r="BK48" i="2" s="1"/>
  <c r="BK26" i="1"/>
  <c r="BK87" i="1"/>
  <c r="BK69" i="1"/>
  <c r="BK30" i="1"/>
  <c r="BK36" i="1"/>
  <c r="BK40" i="1"/>
  <c r="BK101" i="1"/>
  <c r="BK102" i="1" s="1"/>
  <c r="CP92" i="63"/>
  <c r="CP173" i="63"/>
  <c r="CP148" i="63"/>
  <c r="CP134" i="63"/>
  <c r="CP123" i="63"/>
  <c r="CP102" i="63"/>
  <c r="CP79" i="61"/>
  <c r="CP68" i="61"/>
  <c r="CP65" i="61"/>
  <c r="CP62" i="61"/>
  <c r="CP61" i="61"/>
  <c r="CP60" i="61"/>
  <c r="CP59" i="61"/>
  <c r="CP58" i="61"/>
  <c r="CP57" i="61"/>
  <c r="CP56" i="61"/>
  <c r="CP55" i="61"/>
  <c r="CP54" i="61"/>
  <c r="CP53" i="61"/>
  <c r="CP63" i="61" s="1"/>
  <c r="CP52" i="61"/>
  <c r="CP48" i="61"/>
  <c r="CP47" i="61"/>
  <c r="CP46" i="61"/>
  <c r="CP45" i="61"/>
  <c r="CP44" i="61"/>
  <c r="CP43" i="61"/>
  <c r="CP42" i="61"/>
  <c r="CP41" i="61"/>
  <c r="CP26" i="61"/>
  <c r="CP24" i="61"/>
  <c r="CP23" i="61"/>
  <c r="CP22" i="61"/>
  <c r="CP21" i="61"/>
  <c r="CP20" i="61"/>
  <c r="CP19" i="61"/>
  <c r="CP18" i="61"/>
  <c r="CP17" i="61"/>
  <c r="CP16" i="61"/>
  <c r="CP15" i="61"/>
  <c r="CP14" i="61"/>
  <c r="CP13" i="61"/>
  <c r="CP190" i="61"/>
  <c r="CP117" i="61"/>
  <c r="CP77" i="61"/>
  <c r="CP92" i="61" s="1"/>
  <c r="CP100" i="61" s="1"/>
  <c r="BW190" i="61"/>
  <c r="BV190" i="61"/>
  <c r="BU190" i="61"/>
  <c r="BT190" i="61"/>
  <c r="BT178" i="61"/>
  <c r="BU178" i="61" s="1"/>
  <c r="BV178" i="61" s="1"/>
  <c r="BW178" i="61" s="1"/>
  <c r="BT175" i="61"/>
  <c r="BU175" i="61" s="1"/>
  <c r="BV175" i="61" s="1"/>
  <c r="BW175" i="61" s="1"/>
  <c r="BT172" i="61"/>
  <c r="BU172" i="61" s="1"/>
  <c r="BV172" i="61" s="1"/>
  <c r="BW172" i="61" s="1"/>
  <c r="BT171" i="61"/>
  <c r="BU171" i="61" s="1"/>
  <c r="BV171" i="61" s="1"/>
  <c r="BW171" i="61" s="1"/>
  <c r="BT170" i="61"/>
  <c r="BU170" i="61" s="1"/>
  <c r="BV170" i="61" s="1"/>
  <c r="BW170" i="61" s="1"/>
  <c r="BT169" i="61"/>
  <c r="BU169" i="61" s="1"/>
  <c r="BV169" i="61" s="1"/>
  <c r="BW169" i="61" s="1"/>
  <c r="BT168" i="61"/>
  <c r="BU168" i="61" s="1"/>
  <c r="BV168" i="61" s="1"/>
  <c r="BW168" i="61" s="1"/>
  <c r="BT167" i="61"/>
  <c r="BU167" i="61" s="1"/>
  <c r="BV167" i="61" s="1"/>
  <c r="BW167" i="61" s="1"/>
  <c r="BT166" i="61"/>
  <c r="BU166" i="61" s="1"/>
  <c r="BT165" i="61"/>
  <c r="BU165" i="61" s="1"/>
  <c r="BV165" i="61" s="1"/>
  <c r="BW165" i="61" s="1"/>
  <c r="BT164" i="61"/>
  <c r="BU164" i="61" s="1"/>
  <c r="BV164" i="61" s="1"/>
  <c r="BW164" i="61" s="1"/>
  <c r="BT163" i="61"/>
  <c r="BU163" i="61" s="1"/>
  <c r="BV163" i="61" s="1"/>
  <c r="BW163" i="61" s="1"/>
  <c r="BT162" i="61"/>
  <c r="BU162" i="61" s="1"/>
  <c r="BU173" i="61" s="1"/>
  <c r="BT158" i="61"/>
  <c r="BU158" i="61" s="1"/>
  <c r="BV158" i="61" s="1"/>
  <c r="BW158" i="61" s="1"/>
  <c r="BT157" i="61"/>
  <c r="BU157" i="61" s="1"/>
  <c r="BV157" i="61" s="1"/>
  <c r="BW157" i="61" s="1"/>
  <c r="BT156" i="61"/>
  <c r="BU156" i="61" s="1"/>
  <c r="BV156" i="61" s="1"/>
  <c r="BW156" i="61" s="1"/>
  <c r="BT155" i="61"/>
  <c r="BU155" i="61" s="1"/>
  <c r="BV155" i="61" s="1"/>
  <c r="BW155" i="61" s="1"/>
  <c r="BT154" i="61"/>
  <c r="BU154" i="61" s="1"/>
  <c r="BV154" i="61" s="1"/>
  <c r="BW154" i="61" s="1"/>
  <c r="BT153" i="61"/>
  <c r="BU153" i="61" s="1"/>
  <c r="BV153" i="61" s="1"/>
  <c r="BW153" i="61" s="1"/>
  <c r="BT152" i="61"/>
  <c r="BU152" i="61" s="1"/>
  <c r="BV152" i="61" s="1"/>
  <c r="BW152" i="61" s="1"/>
  <c r="BT151" i="61"/>
  <c r="BU151" i="61" s="1"/>
  <c r="BV151" i="61" s="1"/>
  <c r="BW151" i="61" s="1"/>
  <c r="BT136" i="61"/>
  <c r="BU136" i="61" s="1"/>
  <c r="BV136" i="61" s="1"/>
  <c r="BW136" i="61" s="1"/>
  <c r="BT134" i="61"/>
  <c r="BU134" i="61" s="1"/>
  <c r="BV134" i="61" s="1"/>
  <c r="BW134" i="61" s="1"/>
  <c r="BT133" i="61"/>
  <c r="BU133" i="61" s="1"/>
  <c r="BV133" i="61" s="1"/>
  <c r="BW133" i="61" s="1"/>
  <c r="BT132" i="61"/>
  <c r="BU132" i="61" s="1"/>
  <c r="BV132" i="61" s="1"/>
  <c r="BW132" i="61" s="1"/>
  <c r="BT131" i="61"/>
  <c r="BU131" i="61" s="1"/>
  <c r="BV131" i="61" s="1"/>
  <c r="BW131" i="61" s="1"/>
  <c r="BT130" i="61"/>
  <c r="BU130" i="61" s="1"/>
  <c r="BV130" i="61" s="1"/>
  <c r="BW130" i="61" s="1"/>
  <c r="BT129" i="61"/>
  <c r="BU129" i="61" s="1"/>
  <c r="BV129" i="61" s="1"/>
  <c r="BW129" i="61" s="1"/>
  <c r="BU128" i="61"/>
  <c r="BV128" i="61" s="1"/>
  <c r="BW128" i="61" s="1"/>
  <c r="BT128" i="61"/>
  <c r="BU127" i="61"/>
  <c r="BV127" i="61" s="1"/>
  <c r="BW127" i="61" s="1"/>
  <c r="BT127" i="61"/>
  <c r="BU126" i="61"/>
  <c r="BV126" i="61" s="1"/>
  <c r="BW126" i="61" s="1"/>
  <c r="BT126" i="61"/>
  <c r="BU125" i="61"/>
  <c r="BV125" i="61" s="1"/>
  <c r="BW125" i="61" s="1"/>
  <c r="BT125" i="61"/>
  <c r="BU124" i="61"/>
  <c r="BV124" i="61" s="1"/>
  <c r="BW124" i="61" s="1"/>
  <c r="BT124" i="61"/>
  <c r="BU123" i="61"/>
  <c r="BV123" i="61" s="1"/>
  <c r="BW123" i="61" s="1"/>
  <c r="BT123" i="61"/>
  <c r="BW81" i="61"/>
  <c r="BV81" i="61"/>
  <c r="BU81" i="61"/>
  <c r="BT81" i="61"/>
  <c r="BU80" i="61"/>
  <c r="BV80" i="61" s="1"/>
  <c r="BT80" i="61"/>
  <c r="BU63" i="61"/>
  <c r="BT63" i="61"/>
  <c r="BW56" i="61"/>
  <c r="BW169" i="2" s="1"/>
  <c r="BV56" i="61"/>
  <c r="BV63" i="61" s="1"/>
  <c r="BW12" i="61"/>
  <c r="BV12" i="61"/>
  <c r="BU12" i="61"/>
  <c r="BT12" i="61"/>
  <c r="BT122" i="61" s="1"/>
  <c r="BW7" i="61"/>
  <c r="BW77" i="61" s="1"/>
  <c r="BW92" i="61" s="1"/>
  <c r="BW100" i="61" s="1"/>
  <c r="BV7" i="61"/>
  <c r="BV117" i="61" s="1"/>
  <c r="BU7" i="61"/>
  <c r="BU117" i="61" s="1"/>
  <c r="BT7" i="61"/>
  <c r="BT117" i="61" s="1"/>
  <c r="BW6" i="61"/>
  <c r="BV6" i="61"/>
  <c r="BU6" i="61"/>
  <c r="BT6" i="61"/>
  <c r="BW5" i="61"/>
  <c r="BV5" i="61"/>
  <c r="BU5" i="61"/>
  <c r="BT5" i="61"/>
  <c r="CP40" i="2"/>
  <c r="CP169" i="2"/>
  <c r="CP166" i="2"/>
  <c r="CP51" i="2"/>
  <c r="CP62" i="2" s="1"/>
  <c r="BV169" i="2"/>
  <c r="BU169" i="2"/>
  <c r="BT169" i="2"/>
  <c r="BW166" i="2"/>
  <c r="BV166" i="2"/>
  <c r="BU166" i="2"/>
  <c r="BT166" i="2"/>
  <c r="BW68" i="2"/>
  <c r="CP68" i="2" s="1"/>
  <c r="BV68" i="2"/>
  <c r="BU68" i="2"/>
  <c r="BT68" i="2"/>
  <c r="BW7" i="2"/>
  <c r="BW51" i="2" s="1"/>
  <c r="BW62" i="2" s="1"/>
  <c r="BV7" i="2"/>
  <c r="BV51" i="2" s="1"/>
  <c r="BV62" i="2" s="1"/>
  <c r="BU7" i="2"/>
  <c r="BU51" i="2" s="1"/>
  <c r="BU62" i="2" s="1"/>
  <c r="BT7" i="2"/>
  <c r="BT51" i="2" s="1"/>
  <c r="BT62" i="2" s="1"/>
  <c r="BW6" i="2"/>
  <c r="BV6" i="2"/>
  <c r="BU6" i="2"/>
  <c r="BT6" i="2"/>
  <c r="BW5" i="2"/>
  <c r="BV5" i="2"/>
  <c r="BU5" i="2"/>
  <c r="BT5" i="2"/>
  <c r="CP171" i="1"/>
  <c r="CP170" i="1"/>
  <c r="CP176" i="1"/>
  <c r="CP177" i="1" s="1"/>
  <c r="CP175" i="1"/>
  <c r="CO176" i="1"/>
  <c r="CO175" i="1"/>
  <c r="CO171" i="1"/>
  <c r="CO170" i="1"/>
  <c r="CP150" i="1"/>
  <c r="CP148" i="1"/>
  <c r="CP147" i="1"/>
  <c r="CP146" i="1"/>
  <c r="CP145" i="1"/>
  <c r="CP144" i="1"/>
  <c r="CP130" i="1"/>
  <c r="CP112" i="1"/>
  <c r="CP108" i="1"/>
  <c r="CP84" i="1"/>
  <c r="CP80" i="1"/>
  <c r="CP79" i="1"/>
  <c r="CP63" i="1"/>
  <c r="CP61" i="1"/>
  <c r="CP60" i="1"/>
  <c r="CP59" i="1"/>
  <c r="CP54" i="1"/>
  <c r="CP52" i="1"/>
  <c r="CP44" i="1"/>
  <c r="CP42" i="1"/>
  <c r="CP34" i="1"/>
  <c r="CO34" i="1"/>
  <c r="CP32" i="1"/>
  <c r="CO19" i="1"/>
  <c r="CP19" i="1"/>
  <c r="CP18" i="1"/>
  <c r="CP16" i="1"/>
  <c r="CP143" i="1"/>
  <c r="CP135" i="1"/>
  <c r="CP122" i="1"/>
  <c r="CP81" i="1"/>
  <c r="BW177" i="1"/>
  <c r="BW179" i="1" s="1"/>
  <c r="BV177" i="1"/>
  <c r="BV179" i="1" s="1"/>
  <c r="BU177" i="1"/>
  <c r="BU179" i="1" s="1"/>
  <c r="BT177" i="1"/>
  <c r="BT179" i="1" s="1"/>
  <c r="BW169" i="1"/>
  <c r="BW173" i="1" s="1"/>
  <c r="BV169" i="1"/>
  <c r="BV173" i="1" s="1"/>
  <c r="CP173" i="1" s="1"/>
  <c r="BU169" i="1"/>
  <c r="BU173" i="1" s="1"/>
  <c r="BT169" i="1"/>
  <c r="BT173" i="1" s="1"/>
  <c r="BW143" i="1"/>
  <c r="BV143" i="1"/>
  <c r="BU143" i="1"/>
  <c r="BT143" i="1"/>
  <c r="BW142" i="1"/>
  <c r="BV142" i="1"/>
  <c r="BU142" i="1"/>
  <c r="BT142" i="1"/>
  <c r="BW135" i="1"/>
  <c r="BV135" i="1"/>
  <c r="BU135" i="1"/>
  <c r="BT135" i="1"/>
  <c r="BW122" i="1"/>
  <c r="BV122" i="1"/>
  <c r="BU122" i="1"/>
  <c r="BT122" i="1"/>
  <c r="BU91" i="1"/>
  <c r="BV91" i="1" s="1"/>
  <c r="BW91" i="1" s="1"/>
  <c r="BW58" i="1"/>
  <c r="BV58" i="1"/>
  <c r="BU58" i="1"/>
  <c r="BT58" i="1"/>
  <c r="BW168" i="63"/>
  <c r="BV168" i="63"/>
  <c r="BU168" i="63"/>
  <c r="BT168" i="63"/>
  <c r="BU52" i="63"/>
  <c r="BV52" i="63" s="1"/>
  <c r="BU19" i="63"/>
  <c r="BV19" i="63" s="1"/>
  <c r="BW19" i="63" s="1"/>
  <c r="BW7" i="63"/>
  <c r="BV7" i="63"/>
  <c r="BV148" i="63" s="1"/>
  <c r="BU7" i="63"/>
  <c r="BT7" i="63"/>
  <c r="BT148" i="63" s="1"/>
  <c r="BW6" i="63"/>
  <c r="BV6" i="63"/>
  <c r="BU6" i="63"/>
  <c r="BT6" i="63"/>
  <c r="BW5" i="63"/>
  <c r="BV5" i="63"/>
  <c r="BU5" i="63"/>
  <c r="BT5" i="63"/>
  <c r="CP12" i="61" l="1"/>
  <c r="CP58" i="1"/>
  <c r="CP169" i="1"/>
  <c r="BK19" i="63"/>
  <c r="BK27" i="63"/>
  <c r="BK36" i="63"/>
  <c r="BK38" i="63" s="1"/>
  <c r="BK95" i="63" s="1"/>
  <c r="BK96" i="63" s="1"/>
  <c r="BK52" i="63"/>
  <c r="BK63" i="63"/>
  <c r="BK143" i="63"/>
  <c r="BK97" i="1"/>
  <c r="BK91" i="1"/>
  <c r="BK88" i="1"/>
  <c r="BK73" i="1"/>
  <c r="CP81" i="61"/>
  <c r="BU77" i="61"/>
  <c r="BU92" i="61" s="1"/>
  <c r="BU100" i="61" s="1"/>
  <c r="BW117" i="61"/>
  <c r="BV166" i="61"/>
  <c r="BW166" i="61" s="1"/>
  <c r="BW63" i="61"/>
  <c r="BU122" i="61"/>
  <c r="BV122" i="61" s="1"/>
  <c r="BW122" i="61" s="1"/>
  <c r="BW80" i="61"/>
  <c r="BT173" i="61"/>
  <c r="BT77" i="61"/>
  <c r="BT92" i="61" s="1"/>
  <c r="BT100" i="61" s="1"/>
  <c r="BV77" i="61"/>
  <c r="BV92" i="61" s="1"/>
  <c r="BV100" i="61" s="1"/>
  <c r="BV162" i="61"/>
  <c r="CP98" i="2"/>
  <c r="CP77" i="2"/>
  <c r="BT98" i="2"/>
  <c r="BT77" i="2"/>
  <c r="BU98" i="2"/>
  <c r="BU77" i="2"/>
  <c r="BW98" i="2"/>
  <c r="BW77" i="2"/>
  <c r="BV98" i="2"/>
  <c r="BV77" i="2"/>
  <c r="BW148" i="63"/>
  <c r="BW134" i="63"/>
  <c r="BW123" i="63"/>
  <c r="BW102" i="63"/>
  <c r="BT102" i="63"/>
  <c r="BT123" i="63"/>
  <c r="BT134" i="63"/>
  <c r="BU148" i="63"/>
  <c r="BU134" i="63"/>
  <c r="BU123" i="63"/>
  <c r="BU102" i="63"/>
  <c r="BW52" i="63"/>
  <c r="BV102" i="63"/>
  <c r="BV123" i="63"/>
  <c r="BV134" i="63"/>
  <c r="BK30" i="63" l="1"/>
  <c r="BK41" i="63"/>
  <c r="BK106" i="1"/>
  <c r="BK95" i="1"/>
  <c r="BK110" i="1"/>
  <c r="BK113" i="1"/>
  <c r="BK116" i="1" s="1"/>
  <c r="BK98" i="1"/>
  <c r="BW162" i="61"/>
  <c r="BW173" i="61" s="1"/>
  <c r="BV173" i="61"/>
  <c r="BK119" i="1" l="1"/>
  <c r="BK117" i="1"/>
  <c r="BJ72" i="61" l="1"/>
  <c r="BJ68" i="61"/>
  <c r="BJ65" i="61"/>
  <c r="BJ62" i="61"/>
  <c r="BJ61" i="61"/>
  <c r="BJ60" i="61"/>
  <c r="BJ59" i="61"/>
  <c r="BJ58" i="61"/>
  <c r="BJ57" i="61"/>
  <c r="BJ56" i="61"/>
  <c r="BJ55" i="61"/>
  <c r="BJ54" i="61"/>
  <c r="BJ53" i="61"/>
  <c r="BJ52" i="61"/>
  <c r="BJ63" i="61" s="1"/>
  <c r="BJ48" i="61"/>
  <c r="BJ47" i="61"/>
  <c r="BJ46" i="61"/>
  <c r="BJ45" i="61"/>
  <c r="BJ44" i="61"/>
  <c r="BJ43" i="61"/>
  <c r="BJ42" i="61"/>
  <c r="BJ41" i="61"/>
  <c r="BJ40" i="61"/>
  <c r="BJ49" i="61" s="1"/>
  <c r="BJ36" i="61"/>
  <c r="BJ35" i="61"/>
  <c r="BJ34" i="61"/>
  <c r="BJ33" i="61"/>
  <c r="BJ32" i="61"/>
  <c r="BJ31" i="61"/>
  <c r="BJ30" i="61"/>
  <c r="BJ29" i="61"/>
  <c r="BJ28" i="61"/>
  <c r="BJ26" i="61"/>
  <c r="BJ25" i="61"/>
  <c r="BJ24" i="61"/>
  <c r="BJ23" i="61"/>
  <c r="BJ22" i="61"/>
  <c r="BJ21" i="61"/>
  <c r="BJ20" i="61"/>
  <c r="BJ19" i="61"/>
  <c r="BJ18" i="61"/>
  <c r="BJ17" i="61"/>
  <c r="BJ16" i="61"/>
  <c r="BJ15" i="61"/>
  <c r="BJ14" i="61"/>
  <c r="BJ13" i="61"/>
  <c r="BJ81" i="61"/>
  <c r="BJ78" i="61"/>
  <c r="BJ80" i="61" s="1"/>
  <c r="BQ19" i="63" l="1"/>
  <c r="BJ149" i="1" l="1"/>
  <c r="BJ54" i="63" l="1"/>
  <c r="BK55" i="63" s="1"/>
  <c r="BJ43" i="63"/>
  <c r="BK44" i="63" s="1"/>
  <c r="BJ32" i="63"/>
  <c r="BK33" i="63" s="1"/>
  <c r="BJ21" i="63"/>
  <c r="BK22" i="63" s="1"/>
  <c r="BJ10" i="63"/>
  <c r="BK11" i="63" s="1"/>
  <c r="BI21" i="63"/>
  <c r="BI43" i="63"/>
  <c r="BI54" i="63"/>
  <c r="BI10" i="63"/>
  <c r="BJ71" i="63"/>
  <c r="BI71" i="63"/>
  <c r="BI32" i="63"/>
  <c r="BJ94" i="1"/>
  <c r="BJ11" i="63" l="1"/>
  <c r="BI76" i="63"/>
  <c r="BJ33" i="63"/>
  <c r="BJ55" i="63"/>
  <c r="BJ76" i="63"/>
  <c r="BK77" i="63" s="1"/>
  <c r="BJ22" i="63"/>
  <c r="BJ44" i="63"/>
  <c r="BJ136" i="61"/>
  <c r="BJ86" i="63"/>
  <c r="BJ81" i="63"/>
  <c r="BJ128" i="63" s="1"/>
  <c r="BJ157" i="63"/>
  <c r="BJ109" i="63"/>
  <c r="BJ140" i="63" s="1"/>
  <c r="BJ105" i="61"/>
  <c r="BJ104" i="61"/>
  <c r="BJ103" i="61"/>
  <c r="BJ172" i="61"/>
  <c r="BJ158" i="61"/>
  <c r="BJ182" i="61"/>
  <c r="BJ173" i="61"/>
  <c r="BJ159" i="61"/>
  <c r="BJ73" i="2"/>
  <c r="BJ66" i="2"/>
  <c r="BJ71" i="2" s="1"/>
  <c r="BJ59" i="2"/>
  <c r="BJ54" i="2" s="1"/>
  <c r="BJ53" i="2" s="1"/>
  <c r="BJ58" i="2"/>
  <c r="BJ56" i="2" s="1"/>
  <c r="BJ22" i="2"/>
  <c r="BJ33" i="2"/>
  <c r="BJ38" i="2" s="1"/>
  <c r="BJ46" i="2" s="1"/>
  <c r="BJ15" i="2"/>
  <c r="BS142" i="1"/>
  <c r="BR142" i="1"/>
  <c r="BQ142" i="1"/>
  <c r="BP142" i="1"/>
  <c r="BO142" i="1"/>
  <c r="BN142" i="1"/>
  <c r="BM142" i="1"/>
  <c r="BL142" i="1"/>
  <c r="BK142" i="1"/>
  <c r="BJ142" i="1"/>
  <c r="BI142" i="1"/>
  <c r="BH142" i="1"/>
  <c r="BJ125" i="1"/>
  <c r="BJ125" i="63" l="1"/>
  <c r="BJ55" i="2"/>
  <c r="BJ127" i="63"/>
  <c r="BI47" i="63"/>
  <c r="BI36" i="63"/>
  <c r="BJ141" i="63"/>
  <c r="BJ135" i="63"/>
  <c r="BJ142" i="63"/>
  <c r="BJ137" i="63"/>
  <c r="BJ138" i="63"/>
  <c r="BJ139" i="63"/>
  <c r="BJ136" i="63"/>
  <c r="BI58" i="63"/>
  <c r="BI14" i="63"/>
  <c r="BI25" i="63"/>
  <c r="BI69" i="63"/>
  <c r="BJ77" i="63"/>
  <c r="BJ69" i="63"/>
  <c r="BJ58" i="63"/>
  <c r="BJ25" i="63"/>
  <c r="BJ36" i="63"/>
  <c r="BJ47" i="63"/>
  <c r="BJ14" i="63"/>
  <c r="BJ124" i="63"/>
  <c r="BJ126" i="63"/>
  <c r="BJ74" i="2"/>
  <c r="BJ147" i="61"/>
  <c r="BJ52" i="2"/>
  <c r="BJ23" i="2"/>
  <c r="BJ48" i="2" s="1"/>
  <c r="BJ100" i="1"/>
  <c r="BJ101" i="1"/>
  <c r="BJ79" i="1"/>
  <c r="BJ63" i="1"/>
  <c r="BJ49" i="1"/>
  <c r="BI49" i="1"/>
  <c r="BJ35" i="1"/>
  <c r="BI22" i="1"/>
  <c r="BJ22" i="1"/>
  <c r="BJ98" i="63" s="1"/>
  <c r="BJ27" i="63" l="1"/>
  <c r="BK28" i="63" s="1"/>
  <c r="BJ16" i="63"/>
  <c r="BJ49" i="63"/>
  <c r="BJ60" i="63"/>
  <c r="BK61" i="63" s="1"/>
  <c r="BJ38" i="63"/>
  <c r="BJ130" i="63"/>
  <c r="BJ143" i="63"/>
  <c r="BJ63" i="63"/>
  <c r="BJ30" i="63"/>
  <c r="BJ179" i="61"/>
  <c r="BJ41" i="63" l="1"/>
  <c r="BK39" i="63"/>
  <c r="BJ19" i="63"/>
  <c r="BK17" i="63"/>
  <c r="BJ52" i="63"/>
  <c r="BK50" i="63"/>
  <c r="BI136" i="61" l="1"/>
  <c r="BI81" i="61"/>
  <c r="BI78" i="61"/>
  <c r="BI80" i="61" s="1"/>
  <c r="BI98" i="63" l="1"/>
  <c r="BI86" i="63"/>
  <c r="BI81" i="63"/>
  <c r="BI127" i="63" s="1"/>
  <c r="BI157" i="63"/>
  <c r="BI124" i="63"/>
  <c r="BI109" i="63"/>
  <c r="BI142" i="63" s="1"/>
  <c r="BI149" i="1"/>
  <c r="BI126" i="63" l="1"/>
  <c r="BI128" i="63"/>
  <c r="BI60" i="63"/>
  <c r="BI16" i="63"/>
  <c r="BI38" i="63"/>
  <c r="BI27" i="63"/>
  <c r="BI49" i="63"/>
  <c r="BI125" i="63"/>
  <c r="BI135" i="63"/>
  <c r="BI137" i="63"/>
  <c r="BI139" i="63"/>
  <c r="BI141" i="63"/>
  <c r="BI136" i="63"/>
  <c r="BI138" i="63"/>
  <c r="BI140" i="63"/>
  <c r="BI72" i="61"/>
  <c r="BI68" i="61"/>
  <c r="BI65" i="61"/>
  <c r="BI62" i="61"/>
  <c r="BI61" i="61"/>
  <c r="BI60" i="61"/>
  <c r="BI59" i="61"/>
  <c r="BI58" i="61"/>
  <c r="BI57" i="61"/>
  <c r="BI56" i="61"/>
  <c r="BI55" i="61"/>
  <c r="BI54" i="61"/>
  <c r="BI53" i="61"/>
  <c r="BI52" i="61"/>
  <c r="BI63" i="61" s="1"/>
  <c r="BI48" i="61"/>
  <c r="BI47" i="61"/>
  <c r="BI46" i="61"/>
  <c r="BI45" i="61"/>
  <c r="BI44" i="61"/>
  <c r="BI43" i="61"/>
  <c r="BI42" i="61"/>
  <c r="BI41" i="61"/>
  <c r="BI40" i="61"/>
  <c r="BI49" i="61" s="1"/>
  <c r="BI35" i="61"/>
  <c r="BI34" i="61"/>
  <c r="BI33" i="61"/>
  <c r="BI32" i="61"/>
  <c r="BI31" i="61"/>
  <c r="BI30" i="61"/>
  <c r="BI29" i="61"/>
  <c r="BI28" i="61"/>
  <c r="BI27" i="61"/>
  <c r="BI26" i="61"/>
  <c r="BI25" i="61"/>
  <c r="BI24" i="61"/>
  <c r="BI23" i="61"/>
  <c r="BI22" i="61"/>
  <c r="BI21" i="61"/>
  <c r="BI20" i="61"/>
  <c r="BI19" i="61"/>
  <c r="BI18" i="61"/>
  <c r="BI17" i="61"/>
  <c r="BI16" i="61"/>
  <c r="BI15" i="61"/>
  <c r="BI14" i="61"/>
  <c r="BI13" i="61"/>
  <c r="BI172" i="61"/>
  <c r="BI173" i="61"/>
  <c r="BI36" i="61"/>
  <c r="BI182" i="61"/>
  <c r="BI159" i="61"/>
  <c r="BI59" i="2"/>
  <c r="BI55" i="2" s="1"/>
  <c r="BI58" i="2"/>
  <c r="BI56" i="2" s="1"/>
  <c r="BI22" i="2"/>
  <c r="BI33" i="2"/>
  <c r="BI38" i="2" s="1"/>
  <c r="BI46" i="2" s="1"/>
  <c r="BI18" i="2"/>
  <c r="BI15" i="2"/>
  <c r="BI23" i="2" s="1"/>
  <c r="BI63" i="1"/>
  <c r="BI130" i="63" l="1"/>
  <c r="BI19" i="63"/>
  <c r="BJ17" i="63"/>
  <c r="BI52" i="63"/>
  <c r="BJ50" i="63"/>
  <c r="BI63" i="63"/>
  <c r="BJ61" i="63"/>
  <c r="BI54" i="2"/>
  <c r="BI53" i="2" s="1"/>
  <c r="BI30" i="63"/>
  <c r="BJ28" i="63"/>
  <c r="BI41" i="63"/>
  <c r="BJ39" i="63"/>
  <c r="BI52" i="2"/>
  <c r="BI143" i="63"/>
  <c r="BI147" i="61"/>
  <c r="BI48" i="2"/>
  <c r="BI127" i="1"/>
  <c r="BH127" i="1"/>
  <c r="BI125" i="1"/>
  <c r="BI101" i="1"/>
  <c r="BI100" i="1"/>
  <c r="BI94" i="1"/>
  <c r="BI85" i="1"/>
  <c r="BI75" i="1"/>
  <c r="BI58" i="1"/>
  <c r="BI65" i="1" s="1"/>
  <c r="BI55" i="1"/>
  <c r="BI56" i="1" s="1"/>
  <c r="BI45" i="1"/>
  <c r="BI46" i="1" s="1"/>
  <c r="BI39" i="1"/>
  <c r="BI35" i="1"/>
  <c r="BI36" i="1" s="1"/>
  <c r="BI29" i="1"/>
  <c r="BI23" i="1"/>
  <c r="BI20" i="1"/>
  <c r="BI25" i="1" s="1"/>
  <c r="BI11" i="1"/>
  <c r="BI10" i="1"/>
  <c r="BI50" i="1" s="1"/>
  <c r="BI102" i="1" l="1"/>
  <c r="BI66" i="1"/>
  <c r="BI67" i="1" s="1"/>
  <c r="BI95" i="63"/>
  <c r="BI96" i="63" s="1"/>
  <c r="BI179" i="61"/>
  <c r="BI30" i="1"/>
  <c r="BI40" i="1"/>
  <c r="BI68" i="1"/>
  <c r="BI26" i="1"/>
  <c r="BI69" i="1" l="1"/>
  <c r="BI99" i="63"/>
  <c r="BI72" i="1"/>
  <c r="BI88" i="1" s="1"/>
  <c r="BI87" i="1"/>
  <c r="BI97" i="1" s="1"/>
  <c r="BI73" i="1" l="1"/>
  <c r="BI91" i="1"/>
  <c r="BI106" i="1"/>
  <c r="BI95" i="1"/>
  <c r="BI110" i="1"/>
  <c r="BI113" i="1"/>
  <c r="BI116" i="1" s="1"/>
  <c r="BI98" i="1"/>
  <c r="BI119" i="1" l="1"/>
  <c r="BI117" i="1"/>
  <c r="BS177" i="1" l="1"/>
  <c r="BS179" i="1" s="1"/>
  <c r="BR177" i="1"/>
  <c r="BR179" i="1" s="1"/>
  <c r="BQ177" i="1"/>
  <c r="BQ179" i="1" s="1"/>
  <c r="BP177" i="1"/>
  <c r="BP179" i="1" s="1"/>
  <c r="BO177" i="1"/>
  <c r="BO179" i="1" s="1"/>
  <c r="BN177" i="1"/>
  <c r="BN179" i="1" s="1"/>
  <c r="BM177" i="1"/>
  <c r="BM179" i="1" s="1"/>
  <c r="BL177" i="1"/>
  <c r="BL179" i="1" s="1"/>
  <c r="BK177" i="1"/>
  <c r="BK179" i="1" s="1"/>
  <c r="BJ177" i="1"/>
  <c r="BJ179" i="1" s="1"/>
  <c r="BI177" i="1"/>
  <c r="BI179" i="1" s="1"/>
  <c r="BH177" i="1"/>
  <c r="BH179" i="1" s="1"/>
  <c r="BG177" i="1"/>
  <c r="BG179" i="1" s="1"/>
  <c r="BF177" i="1"/>
  <c r="BF179" i="1" s="1"/>
  <c r="BE177" i="1"/>
  <c r="CN176" i="1"/>
  <c r="CM176" i="1"/>
  <c r="CL176" i="1"/>
  <c r="CO177" i="1"/>
  <c r="CN175" i="1"/>
  <c r="CN177" i="1" s="1"/>
  <c r="CM175" i="1"/>
  <c r="CM177" i="1" s="1"/>
  <c r="CL175" i="1"/>
  <c r="CL177" i="1" s="1"/>
  <c r="CN171" i="1"/>
  <c r="CM171" i="1"/>
  <c r="CL171" i="1"/>
  <c r="CN170" i="1"/>
  <c r="CM170" i="1"/>
  <c r="CL170" i="1"/>
  <c r="BS169" i="1"/>
  <c r="BS173" i="1" s="1"/>
  <c r="BR169" i="1"/>
  <c r="BR173" i="1" s="1"/>
  <c r="BQ169" i="1"/>
  <c r="BQ173" i="1" s="1"/>
  <c r="BP169" i="1"/>
  <c r="BO169" i="1"/>
  <c r="BO173" i="1" s="1"/>
  <c r="BN169" i="1"/>
  <c r="BN173" i="1" s="1"/>
  <c r="BM169" i="1"/>
  <c r="BL169" i="1"/>
  <c r="BL173" i="1" s="1"/>
  <c r="BK169" i="1"/>
  <c r="BK173" i="1" s="1"/>
  <c r="BJ169" i="1"/>
  <c r="BJ173" i="1" s="1"/>
  <c r="BI169" i="1"/>
  <c r="BH169" i="1"/>
  <c r="BH173" i="1" s="1"/>
  <c r="BG169" i="1"/>
  <c r="BG173" i="1" s="1"/>
  <c r="BF169" i="1"/>
  <c r="BF173" i="1" s="1"/>
  <c r="BX166" i="1"/>
  <c r="CH149" i="1"/>
  <c r="CG149" i="1"/>
  <c r="CF149" i="1"/>
  <c r="CE149" i="1"/>
  <c r="CD149" i="1"/>
  <c r="CC149" i="1"/>
  <c r="CB149" i="1"/>
  <c r="BH149" i="1"/>
  <c r="BG149" i="1"/>
  <c r="BF149" i="1"/>
  <c r="BE149" i="1"/>
  <c r="BD149" i="1"/>
  <c r="BC149" i="1"/>
  <c r="BB149" i="1"/>
  <c r="BA149" i="1"/>
  <c r="AZ149" i="1"/>
  <c r="AY149" i="1"/>
  <c r="AX149" i="1"/>
  <c r="AW149" i="1"/>
  <c r="AV149" i="1"/>
  <c r="AU149" i="1"/>
  <c r="AT149" i="1"/>
  <c r="AS149" i="1"/>
  <c r="AR149" i="1"/>
  <c r="AP149" i="1"/>
  <c r="AO149" i="1"/>
  <c r="AN149" i="1"/>
  <c r="AL149" i="1"/>
  <c r="AK149" i="1"/>
  <c r="AJ149" i="1"/>
  <c r="AH149" i="1"/>
  <c r="AG149" i="1"/>
  <c r="AF149" i="1"/>
  <c r="AD149" i="1"/>
  <c r="AC149" i="1"/>
  <c r="AB149" i="1"/>
  <c r="Z149" i="1"/>
  <c r="Y149" i="1"/>
  <c r="X149" i="1"/>
  <c r="V149" i="1"/>
  <c r="U149" i="1"/>
  <c r="T149" i="1"/>
  <c r="R149" i="1"/>
  <c r="Q149" i="1"/>
  <c r="P149" i="1"/>
  <c r="AQ148" i="1"/>
  <c r="AQ147" i="1"/>
  <c r="AQ146" i="1"/>
  <c r="AQ145" i="1"/>
  <c r="AQ144" i="1"/>
  <c r="AQ143" i="1"/>
  <c r="AM148" i="1"/>
  <c r="AM147" i="1"/>
  <c r="AM146" i="1"/>
  <c r="AM145" i="1"/>
  <c r="AM144" i="1"/>
  <c r="AM143" i="1"/>
  <c r="AI148" i="1"/>
  <c r="AI147" i="1"/>
  <c r="AI146" i="1"/>
  <c r="AI145" i="1"/>
  <c r="AI144" i="1"/>
  <c r="AI143" i="1"/>
  <c r="AE148" i="1"/>
  <c r="AE147" i="1"/>
  <c r="AE146" i="1"/>
  <c r="AE145" i="1"/>
  <c r="AE144" i="1"/>
  <c r="AE143" i="1"/>
  <c r="AA148" i="1"/>
  <c r="AA147" i="1"/>
  <c r="AA146" i="1"/>
  <c r="AA145" i="1"/>
  <c r="AA144" i="1"/>
  <c r="AA143" i="1"/>
  <c r="W148" i="1"/>
  <c r="W147" i="1"/>
  <c r="W146" i="1"/>
  <c r="W145" i="1"/>
  <c r="W144" i="1"/>
  <c r="W143" i="1"/>
  <c r="S148" i="1"/>
  <c r="S147" i="1"/>
  <c r="S146" i="1"/>
  <c r="S145" i="1"/>
  <c r="S144" i="1"/>
  <c r="S143" i="1"/>
  <c r="CO150" i="1"/>
  <c r="CN150" i="1"/>
  <c r="CM150" i="1"/>
  <c r="CL150" i="1"/>
  <c r="CK150" i="1"/>
  <c r="CJ150" i="1"/>
  <c r="CI150" i="1"/>
  <c r="CO148" i="1"/>
  <c r="CN148" i="1"/>
  <c r="CM148" i="1"/>
  <c r="CL148" i="1"/>
  <c r="CK148" i="1"/>
  <c r="CJ148" i="1"/>
  <c r="CI148" i="1"/>
  <c r="CO147" i="1"/>
  <c r="CN147" i="1"/>
  <c r="CM147" i="1"/>
  <c r="CL147" i="1"/>
  <c r="CK147" i="1"/>
  <c r="CJ147" i="1"/>
  <c r="CI147" i="1"/>
  <c r="CO146" i="1"/>
  <c r="CN146" i="1"/>
  <c r="CM146" i="1"/>
  <c r="CL146" i="1"/>
  <c r="CK146" i="1"/>
  <c r="CJ146" i="1"/>
  <c r="CI146" i="1"/>
  <c r="CO145" i="1"/>
  <c r="CN145" i="1"/>
  <c r="CM145" i="1"/>
  <c r="CL145" i="1"/>
  <c r="CK145" i="1"/>
  <c r="CJ145" i="1"/>
  <c r="CI145" i="1"/>
  <c r="CO144" i="1"/>
  <c r="CN144" i="1"/>
  <c r="CM144" i="1"/>
  <c r="CL144" i="1"/>
  <c r="CK144" i="1"/>
  <c r="CJ144" i="1"/>
  <c r="CI144" i="1"/>
  <c r="CO143" i="1"/>
  <c r="CN143" i="1"/>
  <c r="CM143" i="1"/>
  <c r="CL143" i="1"/>
  <c r="CK143" i="1"/>
  <c r="CJ143" i="1"/>
  <c r="CI143" i="1"/>
  <c r="CH143" i="1"/>
  <c r="CG143" i="1"/>
  <c r="CF143" i="1"/>
  <c r="CE143" i="1"/>
  <c r="CD143" i="1"/>
  <c r="CC143" i="1"/>
  <c r="CB143" i="1"/>
  <c r="CA143" i="1"/>
  <c r="BZ143" i="1"/>
  <c r="BY143" i="1"/>
  <c r="BS143" i="1"/>
  <c r="BR143" i="1"/>
  <c r="BQ143" i="1"/>
  <c r="BP143" i="1"/>
  <c r="BO143" i="1"/>
  <c r="BN143" i="1"/>
  <c r="BM143" i="1"/>
  <c r="BL143" i="1"/>
  <c r="BK143" i="1"/>
  <c r="BJ143" i="1"/>
  <c r="BI143" i="1"/>
  <c r="BH143" i="1"/>
  <c r="BG143" i="1"/>
  <c r="BF143" i="1"/>
  <c r="BE143" i="1"/>
  <c r="BD143" i="1"/>
  <c r="BC143" i="1"/>
  <c r="BB143" i="1"/>
  <c r="BA143" i="1"/>
  <c r="AZ143" i="1"/>
  <c r="AY143" i="1"/>
  <c r="AX143" i="1"/>
  <c r="AW143" i="1"/>
  <c r="AV143" i="1"/>
  <c r="AU143" i="1"/>
  <c r="AT143" i="1"/>
  <c r="AS143" i="1"/>
  <c r="AR143" i="1"/>
  <c r="AP143" i="1"/>
  <c r="AO143" i="1"/>
  <c r="AN143" i="1"/>
  <c r="AL143" i="1"/>
  <c r="AK143" i="1"/>
  <c r="AJ143" i="1"/>
  <c r="AH143" i="1"/>
  <c r="AG143" i="1"/>
  <c r="AF143" i="1"/>
  <c r="AD143" i="1"/>
  <c r="AC143" i="1"/>
  <c r="AB143" i="1"/>
  <c r="Z143" i="1"/>
  <c r="Y143" i="1"/>
  <c r="X143" i="1"/>
  <c r="V143" i="1"/>
  <c r="U143" i="1"/>
  <c r="T143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BP138" i="1"/>
  <c r="CO135" i="1"/>
  <c r="CN135" i="1"/>
  <c r="CM135" i="1"/>
  <c r="CL135" i="1"/>
  <c r="CK135" i="1"/>
  <c r="CJ135" i="1"/>
  <c r="CI135" i="1"/>
  <c r="CH135" i="1"/>
  <c r="CG135" i="1"/>
  <c r="CF135" i="1"/>
  <c r="CE135" i="1"/>
  <c r="CD135" i="1"/>
  <c r="CC135" i="1"/>
  <c r="CB135" i="1"/>
  <c r="CA135" i="1"/>
  <c r="BZ135" i="1"/>
  <c r="BY135" i="1"/>
  <c r="BS135" i="1"/>
  <c r="BR135" i="1"/>
  <c r="BQ135" i="1"/>
  <c r="BP135" i="1"/>
  <c r="BO135" i="1"/>
  <c r="BN135" i="1"/>
  <c r="BM135" i="1"/>
  <c r="BL135" i="1"/>
  <c r="BK135" i="1"/>
  <c r="BJ135" i="1"/>
  <c r="BI135" i="1"/>
  <c r="BH135" i="1"/>
  <c r="BG135" i="1"/>
  <c r="BF135" i="1"/>
  <c r="BE135" i="1"/>
  <c r="BD135" i="1"/>
  <c r="BC135" i="1"/>
  <c r="BB135" i="1"/>
  <c r="BA135" i="1"/>
  <c r="AZ135" i="1"/>
  <c r="AY135" i="1"/>
  <c r="AX135" i="1"/>
  <c r="AW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H132" i="1"/>
  <c r="AS132" i="1" s="1"/>
  <c r="CG132" i="1"/>
  <c r="CF132" i="1"/>
  <c r="CE132" i="1"/>
  <c r="CD132" i="1"/>
  <c r="Y132" i="1" s="1"/>
  <c r="CA132" i="1"/>
  <c r="BZ132" i="1"/>
  <c r="BY132" i="1"/>
  <c r="E132" i="1" s="1"/>
  <c r="BG132" i="1"/>
  <c r="BF132" i="1"/>
  <c r="BE132" i="1"/>
  <c r="BD132" i="1"/>
  <c r="BC132" i="1"/>
  <c r="BB132" i="1"/>
  <c r="BA132" i="1"/>
  <c r="AZ132" i="1"/>
  <c r="AY132" i="1"/>
  <c r="AX132" i="1"/>
  <c r="AW132" i="1"/>
  <c r="AV132" i="1"/>
  <c r="AU132" i="1"/>
  <c r="AT132" i="1"/>
  <c r="AR132" i="1"/>
  <c r="AQ132" i="1"/>
  <c r="AP132" i="1"/>
  <c r="AN132" i="1"/>
  <c r="AM132" i="1"/>
  <c r="AL132" i="1"/>
  <c r="AK132" i="1"/>
  <c r="AJ132" i="1"/>
  <c r="AI132" i="1"/>
  <c r="AH132" i="1"/>
  <c r="AG132" i="1"/>
  <c r="AF132" i="1"/>
  <c r="AE132" i="1"/>
  <c r="AB132" i="1"/>
  <c r="AA132" i="1"/>
  <c r="Z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CO130" i="1"/>
  <c r="CN130" i="1"/>
  <c r="CM130" i="1"/>
  <c r="CL130" i="1"/>
  <c r="CK130" i="1"/>
  <c r="CJ130" i="1"/>
  <c r="CI130" i="1"/>
  <c r="CH130" i="1"/>
  <c r="CG130" i="1"/>
  <c r="CF130" i="1"/>
  <c r="CE130" i="1"/>
  <c r="CD130" i="1"/>
  <c r="CC130" i="1"/>
  <c r="CB130" i="1"/>
  <c r="CA130" i="1"/>
  <c r="BZ130" i="1"/>
  <c r="BY130" i="1"/>
  <c r="AV128" i="1"/>
  <c r="AY128" i="1"/>
  <c r="AW128" i="1"/>
  <c r="AU128" i="1"/>
  <c r="AX128" i="1"/>
  <c r="BP173" i="1" l="1"/>
  <c r="CO173" i="1" s="1"/>
  <c r="CO169" i="1"/>
  <c r="CK149" i="1"/>
  <c r="CL149" i="1"/>
  <c r="BL149" i="1"/>
  <c r="BM149" i="1" s="1"/>
  <c r="BN149" i="1" s="1"/>
  <c r="BO149" i="1" s="1"/>
  <c r="BP149" i="1" s="1"/>
  <c r="BQ149" i="1" s="1"/>
  <c r="BR149" i="1" s="1"/>
  <c r="BS149" i="1" s="1"/>
  <c r="BT149" i="1" s="1"/>
  <c r="CM149" i="1"/>
  <c r="CI149" i="1"/>
  <c r="CJ149" i="1"/>
  <c r="S149" i="1"/>
  <c r="W149" i="1"/>
  <c r="AA149" i="1"/>
  <c r="AE149" i="1"/>
  <c r="AI149" i="1"/>
  <c r="AM149" i="1"/>
  <c r="AQ149" i="1"/>
  <c r="CM169" i="1"/>
  <c r="CN169" i="1"/>
  <c r="CL173" i="1"/>
  <c r="AC132" i="1"/>
  <c r="AD132" i="1"/>
  <c r="D132" i="1"/>
  <c r="BI173" i="1"/>
  <c r="CM173" i="1" s="1"/>
  <c r="BM173" i="1"/>
  <c r="CL169" i="1"/>
  <c r="AO132" i="1"/>
  <c r="CK128" i="1"/>
  <c r="CJ128" i="1"/>
  <c r="CI128" i="1"/>
  <c r="CH128" i="1"/>
  <c r="CH127" i="1"/>
  <c r="CG127" i="1"/>
  <c r="CF127" i="1"/>
  <c r="CE127" i="1"/>
  <c r="CD127" i="1"/>
  <c r="CC127" i="1"/>
  <c r="CB127" i="1"/>
  <c r="CA127" i="1"/>
  <c r="BZ127" i="1"/>
  <c r="BY127" i="1"/>
  <c r="BG128" i="1"/>
  <c r="BD128" i="1"/>
  <c r="BF128" i="1"/>
  <c r="BE128" i="1"/>
  <c r="BU149" i="1" l="1"/>
  <c r="BV149" i="1" s="1"/>
  <c r="BW149" i="1" s="1"/>
  <c r="CN149" i="1"/>
  <c r="CO149" i="1"/>
  <c r="BH128" i="1"/>
  <c r="BI128" i="1" s="1"/>
  <c r="BJ128" i="1" s="1"/>
  <c r="CL128" i="1"/>
  <c r="CN173" i="1"/>
  <c r="BG127" i="1"/>
  <c r="CL127" i="1" s="1"/>
  <c r="BF127" i="1"/>
  <c r="BE127" i="1"/>
  <c r="BD127" i="1"/>
  <c r="BC127" i="1"/>
  <c r="CK127" i="1" s="1"/>
  <c r="BB127" i="1"/>
  <c r="BA127" i="1"/>
  <c r="AZ127" i="1"/>
  <c r="AY127" i="1"/>
  <c r="CJ127" i="1" s="1"/>
  <c r="AX127" i="1"/>
  <c r="AW127" i="1"/>
  <c r="AV127" i="1"/>
  <c r="AU127" i="1"/>
  <c r="CI127" i="1" s="1"/>
  <c r="AT127" i="1"/>
  <c r="AS127" i="1"/>
  <c r="AR127" i="1"/>
  <c r="CG125" i="1"/>
  <c r="CF125" i="1"/>
  <c r="CE125" i="1"/>
  <c r="CC125" i="1"/>
  <c r="CB125" i="1"/>
  <c r="CA125" i="1"/>
  <c r="BZ125" i="1"/>
  <c r="BY125" i="1"/>
  <c r="BH125" i="1"/>
  <c r="BG125" i="1"/>
  <c r="BF125" i="1"/>
  <c r="BE125" i="1"/>
  <c r="BD125" i="1"/>
  <c r="BC125" i="1"/>
  <c r="BB125" i="1"/>
  <c r="AZ125" i="1"/>
  <c r="AY125" i="1"/>
  <c r="AX125" i="1"/>
  <c r="AW125" i="1"/>
  <c r="AV125" i="1"/>
  <c r="AU125" i="1"/>
  <c r="AT125" i="1"/>
  <c r="AS125" i="1"/>
  <c r="AR125" i="1"/>
  <c r="AP125" i="1"/>
  <c r="AO125" i="1"/>
  <c r="AN125" i="1"/>
  <c r="AK125" i="1"/>
  <c r="AJ125" i="1"/>
  <c r="AI125" i="1"/>
  <c r="AH125" i="1"/>
  <c r="AG125" i="1"/>
  <c r="AF125" i="1"/>
  <c r="AE125" i="1"/>
  <c r="AD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L124" i="1"/>
  <c r="CK124" i="1"/>
  <c r="CJ124" i="1"/>
  <c r="CI124" i="1"/>
  <c r="CL123" i="1"/>
  <c r="CK123" i="1"/>
  <c r="CJ123" i="1"/>
  <c r="CI123" i="1"/>
  <c r="CO122" i="1"/>
  <c r="CN122" i="1"/>
  <c r="CM122" i="1"/>
  <c r="CL122" i="1"/>
  <c r="CK122" i="1"/>
  <c r="CJ122" i="1"/>
  <c r="CI122" i="1"/>
  <c r="CH122" i="1"/>
  <c r="CG122" i="1"/>
  <c r="CF122" i="1"/>
  <c r="CE122" i="1"/>
  <c r="CD122" i="1"/>
  <c r="CC122" i="1"/>
  <c r="CB122" i="1"/>
  <c r="CA122" i="1"/>
  <c r="BZ122" i="1"/>
  <c r="BY122" i="1"/>
  <c r="BS122" i="1"/>
  <c r="BR122" i="1"/>
  <c r="BQ122" i="1"/>
  <c r="BP122" i="1"/>
  <c r="BO122" i="1"/>
  <c r="BN122" i="1"/>
  <c r="BM122" i="1"/>
  <c r="BL122" i="1"/>
  <c r="BK122" i="1"/>
  <c r="BJ122" i="1"/>
  <c r="BI122" i="1"/>
  <c r="BH122" i="1"/>
  <c r="BG122" i="1"/>
  <c r="BF122" i="1"/>
  <c r="BE122" i="1"/>
  <c r="BD122" i="1"/>
  <c r="BC122" i="1"/>
  <c r="BB122" i="1"/>
  <c r="BA122" i="1"/>
  <c r="AZ122" i="1"/>
  <c r="AY122" i="1"/>
  <c r="AX122" i="1"/>
  <c r="AW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O112" i="1"/>
  <c r="CN112" i="1"/>
  <c r="CM112" i="1"/>
  <c r="CL112" i="1"/>
  <c r="CK112" i="1"/>
  <c r="CJ112" i="1"/>
  <c r="CI112" i="1"/>
  <c r="CH112" i="1"/>
  <c r="CG112" i="1"/>
  <c r="CF112" i="1"/>
  <c r="CE112" i="1"/>
  <c r="CD112" i="1"/>
  <c r="CC112" i="1"/>
  <c r="BY112" i="1"/>
  <c r="S112" i="1"/>
  <c r="CB112" i="1" s="1"/>
  <c r="O112" i="1"/>
  <c r="N112" i="1"/>
  <c r="M112" i="1"/>
  <c r="L112" i="1"/>
  <c r="CA112" i="1" s="1"/>
  <c r="K112" i="1"/>
  <c r="J112" i="1"/>
  <c r="I112" i="1"/>
  <c r="H112" i="1"/>
  <c r="BZ112" i="1" s="1"/>
  <c r="G112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B108" i="1"/>
  <c r="CA108" i="1"/>
  <c r="BZ108" i="1"/>
  <c r="BY108" i="1"/>
  <c r="CL104" i="1"/>
  <c r="CK104" i="1"/>
  <c r="CJ104" i="1"/>
  <c r="CI104" i="1"/>
  <c r="CH104" i="1"/>
  <c r="CG104" i="1"/>
  <c r="CF104" i="1"/>
  <c r="CE104" i="1"/>
  <c r="CD104" i="1"/>
  <c r="CC104" i="1"/>
  <c r="CB104" i="1"/>
  <c r="CA104" i="1"/>
  <c r="BZ104" i="1"/>
  <c r="BY104" i="1"/>
  <c r="BH101" i="1"/>
  <c r="BE101" i="1"/>
  <c r="BD101" i="1"/>
  <c r="BC101" i="1"/>
  <c r="BB101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U101" i="1"/>
  <c r="S101" i="1"/>
  <c r="R101" i="1"/>
  <c r="Q101" i="1"/>
  <c r="P101" i="1"/>
  <c r="BE100" i="1"/>
  <c r="BD100" i="1"/>
  <c r="BB100" i="1"/>
  <c r="BA100" i="1"/>
  <c r="AX100" i="1"/>
  <c r="AX102" i="1" s="1"/>
  <c r="AW100" i="1"/>
  <c r="AV100" i="1"/>
  <c r="AU100" i="1"/>
  <c r="AT100" i="1"/>
  <c r="AT102" i="1" s="1"/>
  <c r="AS100" i="1"/>
  <c r="AR100" i="1"/>
  <c r="AQ100" i="1"/>
  <c r="AP100" i="1"/>
  <c r="AN100" i="1"/>
  <c r="AK100" i="1"/>
  <c r="AI100" i="1"/>
  <c r="AH100" i="1"/>
  <c r="AH102" i="1" s="1"/>
  <c r="AG100" i="1"/>
  <c r="AF100" i="1"/>
  <c r="AE100" i="1"/>
  <c r="AD100" i="1"/>
  <c r="AD102" i="1" s="1"/>
  <c r="AC100" i="1"/>
  <c r="AB100" i="1"/>
  <c r="V100" i="1"/>
  <c r="U100" i="1"/>
  <c r="T100" i="1"/>
  <c r="R100" i="1"/>
  <c r="Q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BH94" i="1"/>
  <c r="BE94" i="1"/>
  <c r="BD94" i="1"/>
  <c r="BC94" i="1"/>
  <c r="BB94" i="1"/>
  <c r="BA94" i="1"/>
  <c r="AZ94" i="1"/>
  <c r="AY94" i="1"/>
  <c r="AX94" i="1"/>
  <c r="AW94" i="1"/>
  <c r="AV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U94" i="1"/>
  <c r="S94" i="1"/>
  <c r="R94" i="1"/>
  <c r="Q94" i="1"/>
  <c r="P94" i="1"/>
  <c r="CK93" i="1"/>
  <c r="CK101" i="1" s="1"/>
  <c r="CJ93" i="1"/>
  <c r="CJ101" i="1" s="1"/>
  <c r="CI93" i="1"/>
  <c r="CI101" i="1" s="1"/>
  <c r="CH93" i="1"/>
  <c r="CH101" i="1" s="1"/>
  <c r="CG93" i="1"/>
  <c r="CG101" i="1" s="1"/>
  <c r="CF93" i="1"/>
  <c r="CF101" i="1" s="1"/>
  <c r="CE93" i="1"/>
  <c r="CE101" i="1" s="1"/>
  <c r="CD93" i="1"/>
  <c r="CD101" i="1" s="1"/>
  <c r="CB93" i="1"/>
  <c r="CB101" i="1" s="1"/>
  <c r="BG93" i="1"/>
  <c r="BG101" i="1" s="1"/>
  <c r="BF93" i="1"/>
  <c r="V93" i="1"/>
  <c r="V101" i="1" s="1"/>
  <c r="T93" i="1"/>
  <c r="T101" i="1" s="1"/>
  <c r="O93" i="1"/>
  <c r="N93" i="1"/>
  <c r="N101" i="1" s="1"/>
  <c r="M93" i="1"/>
  <c r="L93" i="1"/>
  <c r="L101" i="1" s="1"/>
  <c r="K93" i="1"/>
  <c r="J93" i="1"/>
  <c r="J101" i="1" s="1"/>
  <c r="I93" i="1"/>
  <c r="H93" i="1"/>
  <c r="H101" i="1" s="1"/>
  <c r="G93" i="1"/>
  <c r="F93" i="1"/>
  <c r="F101" i="1" s="1"/>
  <c r="E93" i="1"/>
  <c r="D93" i="1"/>
  <c r="D101" i="1" s="1"/>
  <c r="BM91" i="1"/>
  <c r="BN91" i="1" s="1"/>
  <c r="BO91" i="1" s="1"/>
  <c r="CL90" i="1"/>
  <c r="CK90" i="1"/>
  <c r="CJ90" i="1"/>
  <c r="CH90" i="1"/>
  <c r="CG90" i="1"/>
  <c r="CF90" i="1"/>
  <c r="CE90" i="1"/>
  <c r="CD90" i="1"/>
  <c r="CC90" i="1"/>
  <c r="CB90" i="1"/>
  <c r="CA90" i="1"/>
  <c r="BZ90" i="1"/>
  <c r="BY90" i="1"/>
  <c r="BQ91" i="1"/>
  <c r="BR91" i="1" s="1"/>
  <c r="BS91" i="1" s="1"/>
  <c r="AU90" i="1"/>
  <c r="AU94" i="1" s="1"/>
  <c r="BH85" i="1"/>
  <c r="BG85" i="1"/>
  <c r="BE85" i="1"/>
  <c r="BD85" i="1"/>
  <c r="BC85" i="1"/>
  <c r="BB85" i="1"/>
  <c r="BA85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O85" i="1"/>
  <c r="N85" i="1"/>
  <c r="M85" i="1"/>
  <c r="L85" i="1"/>
  <c r="K85" i="1"/>
  <c r="J85" i="1"/>
  <c r="I85" i="1"/>
  <c r="H85" i="1"/>
  <c r="G85" i="1"/>
  <c r="F85" i="1"/>
  <c r="E85" i="1"/>
  <c r="D85" i="1"/>
  <c r="CO84" i="1"/>
  <c r="CN84" i="1"/>
  <c r="CM84" i="1"/>
  <c r="CL84" i="1"/>
  <c r="CJ84" i="1"/>
  <c r="CI84" i="1"/>
  <c r="CH84" i="1"/>
  <c r="CG84" i="1"/>
  <c r="CF84" i="1"/>
  <c r="CE84" i="1"/>
  <c r="CD84" i="1"/>
  <c r="CC84" i="1"/>
  <c r="CA84" i="1"/>
  <c r="BZ84" i="1"/>
  <c r="BY84" i="1"/>
  <c r="BF84" i="1"/>
  <c r="BF100" i="1" s="1"/>
  <c r="AZ84" i="1"/>
  <c r="AZ100" i="1" s="1"/>
  <c r="AZ102" i="1" s="1"/>
  <c r="P84" i="1"/>
  <c r="CL82" i="1"/>
  <c r="CK82" i="1"/>
  <c r="CJ82" i="1"/>
  <c r="CI82" i="1"/>
  <c r="CH82" i="1"/>
  <c r="CG82" i="1"/>
  <c r="CF82" i="1"/>
  <c r="CE82" i="1"/>
  <c r="CD82" i="1"/>
  <c r="CC82" i="1"/>
  <c r="CB82" i="1"/>
  <c r="CA82" i="1"/>
  <c r="BZ82" i="1"/>
  <c r="BY82" i="1"/>
  <c r="S78" i="1"/>
  <c r="CB78" i="1" s="1"/>
  <c r="CO81" i="1"/>
  <c r="CN81" i="1"/>
  <c r="CM81" i="1"/>
  <c r="CL81" i="1"/>
  <c r="CK81" i="1"/>
  <c r="CJ81" i="1"/>
  <c r="CO80" i="1"/>
  <c r="CN80" i="1"/>
  <c r="CM80" i="1"/>
  <c r="CL80" i="1"/>
  <c r="CK80" i="1"/>
  <c r="CJ80" i="1"/>
  <c r="CO79" i="1"/>
  <c r="CN79" i="1"/>
  <c r="CM79" i="1"/>
  <c r="CL79" i="1"/>
  <c r="CK79" i="1"/>
  <c r="CJ79" i="1"/>
  <c r="CL78" i="1"/>
  <c r="CK78" i="1"/>
  <c r="CJ78" i="1"/>
  <c r="CL77" i="1"/>
  <c r="CK77" i="1"/>
  <c r="CJ77" i="1"/>
  <c r="CL76" i="1"/>
  <c r="CK76" i="1"/>
  <c r="CJ76" i="1"/>
  <c r="CI80" i="1"/>
  <c r="CH80" i="1"/>
  <c r="CG80" i="1"/>
  <c r="CF80" i="1"/>
  <c r="CE80" i="1"/>
  <c r="CD80" i="1"/>
  <c r="CC80" i="1"/>
  <c r="CB80" i="1"/>
  <c r="CA80" i="1"/>
  <c r="BZ80" i="1"/>
  <c r="BY80" i="1"/>
  <c r="CI79" i="1"/>
  <c r="CH79" i="1"/>
  <c r="CG79" i="1"/>
  <c r="CF79" i="1"/>
  <c r="CE79" i="1"/>
  <c r="CD79" i="1"/>
  <c r="CC79" i="1"/>
  <c r="CB79" i="1"/>
  <c r="CA79" i="1"/>
  <c r="BZ79" i="1"/>
  <c r="BY79" i="1"/>
  <c r="CI78" i="1"/>
  <c r="CH78" i="1"/>
  <c r="CG78" i="1"/>
  <c r="CF78" i="1"/>
  <c r="CE78" i="1"/>
  <c r="CD78" i="1"/>
  <c r="CC78" i="1"/>
  <c r="CA78" i="1"/>
  <c r="BZ78" i="1"/>
  <c r="BY78" i="1"/>
  <c r="CI77" i="1"/>
  <c r="CH77" i="1"/>
  <c r="CG77" i="1"/>
  <c r="CF77" i="1"/>
  <c r="CE77" i="1"/>
  <c r="CD77" i="1"/>
  <c r="CC77" i="1"/>
  <c r="CB77" i="1"/>
  <c r="CA77" i="1"/>
  <c r="BZ77" i="1"/>
  <c r="BY77" i="1"/>
  <c r="CI76" i="1"/>
  <c r="CH76" i="1"/>
  <c r="CG76" i="1"/>
  <c r="CG74" i="1" s="1"/>
  <c r="CF76" i="1"/>
  <c r="CF74" i="1" s="1"/>
  <c r="CE76" i="1"/>
  <c r="CD76" i="1"/>
  <c r="CC76" i="1"/>
  <c r="CC74" i="1" s="1"/>
  <c r="CB76" i="1"/>
  <c r="CA76" i="1"/>
  <c r="BZ76" i="1"/>
  <c r="BY76" i="1"/>
  <c r="BH75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O63" i="1"/>
  <c r="CN63" i="1"/>
  <c r="CM63" i="1"/>
  <c r="CL63" i="1"/>
  <c r="CI63" i="1"/>
  <c r="CH63" i="1"/>
  <c r="CG63" i="1"/>
  <c r="CF63" i="1"/>
  <c r="CE63" i="1"/>
  <c r="CD63" i="1"/>
  <c r="CC63" i="1"/>
  <c r="CB63" i="1"/>
  <c r="CA63" i="1"/>
  <c r="BZ63" i="1"/>
  <c r="BY63" i="1"/>
  <c r="BG63" i="1"/>
  <c r="BC63" i="1"/>
  <c r="AY63" i="1"/>
  <c r="CJ63" i="1" s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S58" i="1"/>
  <c r="BR58" i="1"/>
  <c r="BQ58" i="1"/>
  <c r="BP58" i="1"/>
  <c r="BO58" i="1"/>
  <c r="BN58" i="1"/>
  <c r="BM58" i="1"/>
  <c r="BJ58" i="1"/>
  <c r="BH58" i="1"/>
  <c r="BH65" i="1" s="1"/>
  <c r="BG58" i="1"/>
  <c r="BG65" i="1" s="1"/>
  <c r="BF58" i="1"/>
  <c r="BF65" i="1" s="1"/>
  <c r="BE58" i="1"/>
  <c r="BE65" i="1" s="1"/>
  <c r="BD58" i="1"/>
  <c r="BD65" i="1" s="1"/>
  <c r="BC58" i="1"/>
  <c r="BC65" i="1" s="1"/>
  <c r="BB58" i="1"/>
  <c r="BB65" i="1" s="1"/>
  <c r="BA58" i="1"/>
  <c r="BA65" i="1" s="1"/>
  <c r="AZ58" i="1"/>
  <c r="AZ65" i="1" s="1"/>
  <c r="AY58" i="1"/>
  <c r="AY65" i="1" s="1"/>
  <c r="AX58" i="1"/>
  <c r="AX65" i="1" s="1"/>
  <c r="AW58" i="1"/>
  <c r="AW65" i="1" s="1"/>
  <c r="AV58" i="1"/>
  <c r="AV65" i="1" s="1"/>
  <c r="AU58" i="1"/>
  <c r="AU65" i="1" s="1"/>
  <c r="AT58" i="1"/>
  <c r="AT65" i="1" s="1"/>
  <c r="AS58" i="1"/>
  <c r="AS65" i="1" s="1"/>
  <c r="AR58" i="1"/>
  <c r="AR65" i="1" s="1"/>
  <c r="AQ58" i="1"/>
  <c r="AQ65" i="1" s="1"/>
  <c r="AP58" i="1"/>
  <c r="AP65" i="1" s="1"/>
  <c r="AO58" i="1"/>
  <c r="AO65" i="1" s="1"/>
  <c r="AN58" i="1"/>
  <c r="AN65" i="1" s="1"/>
  <c r="AM58" i="1"/>
  <c r="AM65" i="1" s="1"/>
  <c r="AL58" i="1"/>
  <c r="AL65" i="1" s="1"/>
  <c r="AK58" i="1"/>
  <c r="AK65" i="1" s="1"/>
  <c r="AJ58" i="1"/>
  <c r="AJ65" i="1" s="1"/>
  <c r="AI58" i="1"/>
  <c r="AI65" i="1" s="1"/>
  <c r="AH58" i="1"/>
  <c r="AH65" i="1" s="1"/>
  <c r="AG58" i="1"/>
  <c r="AG65" i="1" s="1"/>
  <c r="AF58" i="1"/>
  <c r="AF65" i="1" s="1"/>
  <c r="AE58" i="1"/>
  <c r="AE65" i="1" s="1"/>
  <c r="AD58" i="1"/>
  <c r="AD65" i="1" s="1"/>
  <c r="AC58" i="1"/>
  <c r="AC65" i="1" s="1"/>
  <c r="AB58" i="1"/>
  <c r="AB65" i="1" s="1"/>
  <c r="AA58" i="1"/>
  <c r="Z58" i="1"/>
  <c r="Z65" i="1" s="1"/>
  <c r="Y58" i="1"/>
  <c r="Y65" i="1" s="1"/>
  <c r="X58" i="1"/>
  <c r="W58" i="1"/>
  <c r="W65" i="1" s="1"/>
  <c r="V58" i="1"/>
  <c r="V65" i="1" s="1"/>
  <c r="U58" i="1"/>
  <c r="U65" i="1" s="1"/>
  <c r="T58" i="1"/>
  <c r="T65" i="1" s="1"/>
  <c r="S58" i="1"/>
  <c r="S65" i="1" s="1"/>
  <c r="R58" i="1"/>
  <c r="R65" i="1" s="1"/>
  <c r="Q58" i="1"/>
  <c r="Q65" i="1" s="1"/>
  <c r="P58" i="1"/>
  <c r="P65" i="1" s="1"/>
  <c r="O58" i="1"/>
  <c r="O65" i="1" s="1"/>
  <c r="N58" i="1"/>
  <c r="N65" i="1" s="1"/>
  <c r="M58" i="1"/>
  <c r="M65" i="1" s="1"/>
  <c r="L58" i="1"/>
  <c r="L65" i="1" s="1"/>
  <c r="K58" i="1"/>
  <c r="K65" i="1" s="1"/>
  <c r="J58" i="1"/>
  <c r="J65" i="1" s="1"/>
  <c r="I58" i="1"/>
  <c r="I65" i="1" s="1"/>
  <c r="H58" i="1"/>
  <c r="H65" i="1" s="1"/>
  <c r="G58" i="1"/>
  <c r="G65" i="1" s="1"/>
  <c r="F58" i="1"/>
  <c r="F65" i="1" s="1"/>
  <c r="E58" i="1"/>
  <c r="E65" i="1" s="1"/>
  <c r="D58" i="1"/>
  <c r="D65" i="1" s="1"/>
  <c r="BH55" i="1"/>
  <c r="BH56" i="1" s="1"/>
  <c r="BG55" i="1"/>
  <c r="BG56" i="1" s="1"/>
  <c r="BF55" i="1"/>
  <c r="BF56" i="1" s="1"/>
  <c r="BE55" i="1"/>
  <c r="BE56" i="1" s="1"/>
  <c r="BD55" i="1"/>
  <c r="BD56" i="1" s="1"/>
  <c r="BC55" i="1"/>
  <c r="BC56" i="1" s="1"/>
  <c r="BB55" i="1"/>
  <c r="BB56" i="1" s="1"/>
  <c r="BA55" i="1"/>
  <c r="BA56" i="1" s="1"/>
  <c r="AZ55" i="1"/>
  <c r="AZ56" i="1" s="1"/>
  <c r="AY55" i="1"/>
  <c r="AY56" i="1" s="1"/>
  <c r="AX55" i="1"/>
  <c r="AX56" i="1" s="1"/>
  <c r="AW55" i="1"/>
  <c r="AW56" i="1" s="1"/>
  <c r="AV55" i="1"/>
  <c r="AV56" i="1" s="1"/>
  <c r="AU55" i="1"/>
  <c r="AU56" i="1" s="1"/>
  <c r="AT55" i="1"/>
  <c r="AT56" i="1" s="1"/>
  <c r="AS55" i="1"/>
  <c r="AS56" i="1" s="1"/>
  <c r="AR55" i="1"/>
  <c r="AR56" i="1" s="1"/>
  <c r="AQ55" i="1"/>
  <c r="AQ56" i="1" s="1"/>
  <c r="AP55" i="1"/>
  <c r="AP56" i="1" s="1"/>
  <c r="AO55" i="1"/>
  <c r="AO56" i="1" s="1"/>
  <c r="AN55" i="1"/>
  <c r="AN56" i="1" s="1"/>
  <c r="AM55" i="1"/>
  <c r="AM56" i="1" s="1"/>
  <c r="AL55" i="1"/>
  <c r="AL56" i="1" s="1"/>
  <c r="AK55" i="1"/>
  <c r="AK56" i="1" s="1"/>
  <c r="AJ55" i="1"/>
  <c r="AJ56" i="1" s="1"/>
  <c r="AI55" i="1"/>
  <c r="AI56" i="1" s="1"/>
  <c r="AH55" i="1"/>
  <c r="AH56" i="1" s="1"/>
  <c r="AG55" i="1"/>
  <c r="AG56" i="1" s="1"/>
  <c r="AF55" i="1"/>
  <c r="AF56" i="1" s="1"/>
  <c r="AE55" i="1"/>
  <c r="AE56" i="1" s="1"/>
  <c r="AD55" i="1"/>
  <c r="AD56" i="1" s="1"/>
  <c r="AC55" i="1"/>
  <c r="AC56" i="1" s="1"/>
  <c r="AB55" i="1"/>
  <c r="AB56" i="1" s="1"/>
  <c r="AA55" i="1"/>
  <c r="AA56" i="1" s="1"/>
  <c r="Z55" i="1"/>
  <c r="Z56" i="1" s="1"/>
  <c r="Y55" i="1"/>
  <c r="Y56" i="1" s="1"/>
  <c r="X55" i="1"/>
  <c r="X56" i="1" s="1"/>
  <c r="V55" i="1"/>
  <c r="V56" i="1" s="1"/>
  <c r="U55" i="1"/>
  <c r="U56" i="1" s="1"/>
  <c r="T55" i="1"/>
  <c r="T56" i="1" s="1"/>
  <c r="R55" i="1"/>
  <c r="R56" i="1" s="1"/>
  <c r="Q55" i="1"/>
  <c r="Q56" i="1" s="1"/>
  <c r="P55" i="1"/>
  <c r="P56" i="1" s="1"/>
  <c r="O55" i="1"/>
  <c r="O56" i="1" s="1"/>
  <c r="N55" i="1"/>
  <c r="N56" i="1" s="1"/>
  <c r="M55" i="1"/>
  <c r="M56" i="1" s="1"/>
  <c r="L55" i="1"/>
  <c r="L56" i="1" s="1"/>
  <c r="K55" i="1"/>
  <c r="K56" i="1" s="1"/>
  <c r="J55" i="1"/>
  <c r="J56" i="1" s="1"/>
  <c r="I55" i="1"/>
  <c r="I56" i="1" s="1"/>
  <c r="H55" i="1"/>
  <c r="H56" i="1" s="1"/>
  <c r="G55" i="1"/>
  <c r="G56" i="1" s="1"/>
  <c r="F55" i="1"/>
  <c r="F56" i="1" s="1"/>
  <c r="E55" i="1"/>
  <c r="E56" i="1" s="1"/>
  <c r="D55" i="1"/>
  <c r="D56" i="1" s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A54" i="1"/>
  <c r="BZ54" i="1"/>
  <c r="BY54" i="1"/>
  <c r="W54" i="1"/>
  <c r="W55" i="1" s="1"/>
  <c r="W56" i="1" s="1"/>
  <c r="S54" i="1"/>
  <c r="CO52" i="1"/>
  <c r="CN52" i="1"/>
  <c r="CM52" i="1"/>
  <c r="CL52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BZ48" i="1"/>
  <c r="BY48" i="1"/>
  <c r="BH45" i="1"/>
  <c r="BH46" i="1" s="1"/>
  <c r="BG45" i="1"/>
  <c r="BG46" i="1" s="1"/>
  <c r="BF45" i="1"/>
  <c r="BF46" i="1" s="1"/>
  <c r="BE45" i="1"/>
  <c r="BE46" i="1" s="1"/>
  <c r="BD45" i="1"/>
  <c r="BD46" i="1" s="1"/>
  <c r="BC45" i="1"/>
  <c r="BC46" i="1" s="1"/>
  <c r="BB45" i="1"/>
  <c r="BB46" i="1" s="1"/>
  <c r="BA45" i="1"/>
  <c r="BA46" i="1" s="1"/>
  <c r="AZ45" i="1"/>
  <c r="AZ46" i="1" s="1"/>
  <c r="AY45" i="1"/>
  <c r="AY46" i="1" s="1"/>
  <c r="AX45" i="1"/>
  <c r="AX46" i="1" s="1"/>
  <c r="AW45" i="1"/>
  <c r="AW46" i="1" s="1"/>
  <c r="AV45" i="1"/>
  <c r="AV46" i="1" s="1"/>
  <c r="AU45" i="1"/>
  <c r="AU46" i="1" s="1"/>
  <c r="AT45" i="1"/>
  <c r="AT46" i="1" s="1"/>
  <c r="AS45" i="1"/>
  <c r="AR45" i="1"/>
  <c r="AR46" i="1" s="1"/>
  <c r="AQ45" i="1"/>
  <c r="AQ46" i="1" s="1"/>
  <c r="AP45" i="1"/>
  <c r="AP46" i="1" s="1"/>
  <c r="AO45" i="1"/>
  <c r="AO46" i="1" s="1"/>
  <c r="AN45" i="1"/>
  <c r="AN46" i="1" s="1"/>
  <c r="AM45" i="1"/>
  <c r="AM46" i="1" s="1"/>
  <c r="AL45" i="1"/>
  <c r="AL46" i="1" s="1"/>
  <c r="AK45" i="1"/>
  <c r="AK46" i="1" s="1"/>
  <c r="AJ45" i="1"/>
  <c r="AJ46" i="1" s="1"/>
  <c r="AI45" i="1"/>
  <c r="AI46" i="1" s="1"/>
  <c r="AH45" i="1"/>
  <c r="AH46" i="1" s="1"/>
  <c r="AG45" i="1"/>
  <c r="AG46" i="1" s="1"/>
  <c r="AF45" i="1"/>
  <c r="AF46" i="1" s="1"/>
  <c r="AE45" i="1"/>
  <c r="AE46" i="1" s="1"/>
  <c r="AD45" i="1"/>
  <c r="AD46" i="1" s="1"/>
  <c r="AC45" i="1"/>
  <c r="AC46" i="1" s="1"/>
  <c r="AB45" i="1"/>
  <c r="AB46" i="1" s="1"/>
  <c r="AA45" i="1"/>
  <c r="AA46" i="1" s="1"/>
  <c r="Z45" i="1"/>
  <c r="Z46" i="1" s="1"/>
  <c r="Y45" i="1"/>
  <c r="Y46" i="1" s="1"/>
  <c r="X45" i="1"/>
  <c r="X46" i="1" s="1"/>
  <c r="V45" i="1"/>
  <c r="V46" i="1" s="1"/>
  <c r="U45" i="1"/>
  <c r="U46" i="1" s="1"/>
  <c r="T45" i="1"/>
  <c r="T46" i="1" s="1"/>
  <c r="R45" i="1"/>
  <c r="R46" i="1" s="1"/>
  <c r="Q45" i="1"/>
  <c r="Q46" i="1" s="1"/>
  <c r="P45" i="1"/>
  <c r="P46" i="1" s="1"/>
  <c r="O45" i="1"/>
  <c r="O46" i="1" s="1"/>
  <c r="N45" i="1"/>
  <c r="N46" i="1" s="1"/>
  <c r="M45" i="1"/>
  <c r="L45" i="1"/>
  <c r="L46" i="1" s="1"/>
  <c r="K45" i="1"/>
  <c r="K46" i="1" s="1"/>
  <c r="J45" i="1"/>
  <c r="J46" i="1" s="1"/>
  <c r="I45" i="1"/>
  <c r="I46" i="1" s="1"/>
  <c r="H45" i="1"/>
  <c r="H46" i="1" s="1"/>
  <c r="G45" i="1"/>
  <c r="G46" i="1" s="1"/>
  <c r="F45" i="1"/>
  <c r="F46" i="1" s="1"/>
  <c r="E45" i="1"/>
  <c r="E46" i="1" s="1"/>
  <c r="D45" i="1"/>
  <c r="D46" i="1" s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A44" i="1"/>
  <c r="BZ44" i="1"/>
  <c r="BY44" i="1"/>
  <c r="W44" i="1"/>
  <c r="W45" i="1" s="1"/>
  <c r="W46" i="1" s="1"/>
  <c r="S44" i="1"/>
  <c r="S45" i="1" s="1"/>
  <c r="S46" i="1" s="1"/>
  <c r="CO42" i="1"/>
  <c r="CN42" i="1"/>
  <c r="CM42" i="1"/>
  <c r="CL42" i="1"/>
  <c r="BY38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L38" i="1"/>
  <c r="CK38" i="1"/>
  <c r="CK45" i="1" s="1"/>
  <c r="CJ38" i="1"/>
  <c r="CI38" i="1"/>
  <c r="CI45" i="1" s="1"/>
  <c r="CH38" i="1"/>
  <c r="CG38" i="1"/>
  <c r="CG45" i="1" s="1"/>
  <c r="CF38" i="1"/>
  <c r="CE38" i="1"/>
  <c r="CE45" i="1" s="1"/>
  <c r="CD38" i="1"/>
  <c r="CC38" i="1"/>
  <c r="CB38" i="1"/>
  <c r="CA38" i="1"/>
  <c r="BZ38" i="1"/>
  <c r="BH35" i="1"/>
  <c r="BG35" i="1"/>
  <c r="BF35" i="1"/>
  <c r="BE35" i="1"/>
  <c r="BE36" i="1" s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S36" i="1" s="1"/>
  <c r="AR35" i="1"/>
  <c r="AQ35" i="1"/>
  <c r="AP35" i="1"/>
  <c r="AO35" i="1"/>
  <c r="AO36" i="1" s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C36" i="1" s="1"/>
  <c r="AB35" i="1"/>
  <c r="Z35" i="1"/>
  <c r="Y35" i="1"/>
  <c r="Y36" i="1" s="1"/>
  <c r="V35" i="1"/>
  <c r="U35" i="1"/>
  <c r="T35" i="1"/>
  <c r="R35" i="1"/>
  <c r="Q35" i="1"/>
  <c r="P35" i="1"/>
  <c r="O35" i="1"/>
  <c r="N35" i="1"/>
  <c r="M35" i="1"/>
  <c r="M36" i="1" s="1"/>
  <c r="L35" i="1"/>
  <c r="L36" i="1" s="1"/>
  <c r="K35" i="1"/>
  <c r="J35" i="1"/>
  <c r="I35" i="1"/>
  <c r="I36" i="1" s="1"/>
  <c r="H35" i="1"/>
  <c r="G35" i="1"/>
  <c r="F35" i="1"/>
  <c r="E35" i="1"/>
  <c r="D35" i="1"/>
  <c r="CN34" i="1"/>
  <c r="CM34" i="1"/>
  <c r="CL34" i="1"/>
  <c r="CK34" i="1"/>
  <c r="CJ34" i="1"/>
  <c r="CI34" i="1"/>
  <c r="CH34" i="1"/>
  <c r="CG34" i="1"/>
  <c r="CF34" i="1"/>
  <c r="CE34" i="1"/>
  <c r="CA34" i="1"/>
  <c r="BZ34" i="1"/>
  <c r="BY34" i="1"/>
  <c r="X34" i="1"/>
  <c r="CD34" i="1" s="1"/>
  <c r="W34" i="1"/>
  <c r="CC34" i="1" s="1"/>
  <c r="S34" i="1"/>
  <c r="S35" i="1" s="1"/>
  <c r="CO32" i="1"/>
  <c r="CN32" i="1"/>
  <c r="CM32" i="1"/>
  <c r="CL32" i="1"/>
  <c r="BY28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Z29" i="1"/>
  <c r="Y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L28" i="1"/>
  <c r="CK28" i="1"/>
  <c r="CJ28" i="1"/>
  <c r="CI28" i="1"/>
  <c r="CH28" i="1"/>
  <c r="CG28" i="1"/>
  <c r="CF28" i="1"/>
  <c r="CE28" i="1"/>
  <c r="CC28" i="1"/>
  <c r="CB28" i="1"/>
  <c r="CA28" i="1"/>
  <c r="BZ28" i="1"/>
  <c r="AA28" i="1"/>
  <c r="AA65" i="1" s="1"/>
  <c r="X28" i="1"/>
  <c r="AJ27" i="1"/>
  <c r="AK27" i="1" s="1"/>
  <c r="BH22" i="1"/>
  <c r="BG22" i="1"/>
  <c r="BG68" i="1" s="1"/>
  <c r="BF22" i="1"/>
  <c r="BF23" i="1" s="1"/>
  <c r="BE22" i="1"/>
  <c r="BD22" i="1"/>
  <c r="BC22" i="1"/>
  <c r="BC23" i="1" s="1"/>
  <c r="BB22" i="1"/>
  <c r="BB23" i="1" s="1"/>
  <c r="BA22" i="1"/>
  <c r="AZ22" i="1"/>
  <c r="AY22" i="1"/>
  <c r="AY23" i="1" s="1"/>
  <c r="AX22" i="1"/>
  <c r="AW22" i="1"/>
  <c r="AV22" i="1"/>
  <c r="AU22" i="1"/>
  <c r="AU68" i="1" s="1"/>
  <c r="AT22" i="1"/>
  <c r="AS22" i="1"/>
  <c r="AR22" i="1"/>
  <c r="AQ22" i="1"/>
  <c r="AQ68" i="1" s="1"/>
  <c r="AP22" i="1"/>
  <c r="AP23" i="1" s="1"/>
  <c r="AO22" i="1"/>
  <c r="AN22" i="1"/>
  <c r="AM22" i="1"/>
  <c r="AM23" i="1" s="1"/>
  <c r="AL22" i="1"/>
  <c r="AL23" i="1" s="1"/>
  <c r="AK22" i="1"/>
  <c r="AJ22" i="1"/>
  <c r="AI22" i="1"/>
  <c r="AI23" i="1" s="1"/>
  <c r="AH22" i="1"/>
  <c r="AG22" i="1"/>
  <c r="AF22" i="1"/>
  <c r="AE22" i="1"/>
  <c r="AE68" i="1" s="1"/>
  <c r="AD22" i="1"/>
  <c r="AC22" i="1"/>
  <c r="AB22" i="1"/>
  <c r="AA22" i="1"/>
  <c r="Z22" i="1"/>
  <c r="Z23" i="1" s="1"/>
  <c r="Y22" i="1"/>
  <c r="X22" i="1"/>
  <c r="W22" i="1"/>
  <c r="W23" i="1" s="1"/>
  <c r="V22" i="1"/>
  <c r="V23" i="1" s="1"/>
  <c r="U22" i="1"/>
  <c r="T22" i="1"/>
  <c r="S22" i="1"/>
  <c r="S23" i="1" s="1"/>
  <c r="R22" i="1"/>
  <c r="Q22" i="1"/>
  <c r="P22" i="1"/>
  <c r="O22" i="1"/>
  <c r="O68" i="1" s="1"/>
  <c r="N22" i="1"/>
  <c r="M22" i="1"/>
  <c r="L22" i="1"/>
  <c r="K22" i="1"/>
  <c r="K68" i="1" s="1"/>
  <c r="J22" i="1"/>
  <c r="I22" i="1"/>
  <c r="H22" i="1"/>
  <c r="G22" i="1"/>
  <c r="G23" i="1" s="1"/>
  <c r="F22" i="1"/>
  <c r="F23" i="1" s="1"/>
  <c r="E22" i="1"/>
  <c r="D22" i="1"/>
  <c r="BF20" i="1"/>
  <c r="BF25" i="1" s="1"/>
  <c r="BE20" i="1"/>
  <c r="BE25" i="1" s="1"/>
  <c r="BD20" i="1"/>
  <c r="BD25" i="1" s="1"/>
  <c r="BC20" i="1"/>
  <c r="BC25" i="1" s="1"/>
  <c r="BB20" i="1"/>
  <c r="BB25" i="1" s="1"/>
  <c r="BA20" i="1"/>
  <c r="BA25" i="1" s="1"/>
  <c r="AZ20" i="1"/>
  <c r="AZ25" i="1" s="1"/>
  <c r="AX20" i="1"/>
  <c r="AX25" i="1" s="1"/>
  <c r="AW20" i="1"/>
  <c r="AW25" i="1" s="1"/>
  <c r="AV20" i="1"/>
  <c r="AV25" i="1" s="1"/>
  <c r="AU20" i="1"/>
  <c r="AU25" i="1" s="1"/>
  <c r="AT20" i="1"/>
  <c r="AT25" i="1" s="1"/>
  <c r="AS20" i="1"/>
  <c r="AS25" i="1" s="1"/>
  <c r="AR20" i="1"/>
  <c r="AR25" i="1" s="1"/>
  <c r="AR26" i="1" s="1"/>
  <c r="AQ20" i="1"/>
  <c r="AQ25" i="1" s="1"/>
  <c r="AP20" i="1"/>
  <c r="AP25" i="1" s="1"/>
  <c r="AN20" i="1"/>
  <c r="AN25" i="1" s="1"/>
  <c r="AK20" i="1"/>
  <c r="AK25" i="1" s="1"/>
  <c r="AI20" i="1"/>
  <c r="AI25" i="1" s="1"/>
  <c r="AH20" i="1"/>
  <c r="AH25" i="1" s="1"/>
  <c r="AG20" i="1"/>
  <c r="AG25" i="1" s="1"/>
  <c r="AF20" i="1"/>
  <c r="AF25" i="1" s="1"/>
  <c r="AE20" i="1"/>
  <c r="AE25" i="1" s="1"/>
  <c r="AD20" i="1"/>
  <c r="AD25" i="1" s="1"/>
  <c r="AC20" i="1"/>
  <c r="AC25" i="1" s="1"/>
  <c r="AB20" i="1"/>
  <c r="AB25" i="1" s="1"/>
  <c r="AB26" i="1" s="1"/>
  <c r="Z20" i="1"/>
  <c r="Z25" i="1" s="1"/>
  <c r="V20" i="1"/>
  <c r="V25" i="1" s="1"/>
  <c r="U20" i="1"/>
  <c r="U25" i="1" s="1"/>
  <c r="T20" i="1"/>
  <c r="T25" i="1" s="1"/>
  <c r="R20" i="1"/>
  <c r="R25" i="1" s="1"/>
  <c r="Q20" i="1"/>
  <c r="Q25" i="1" s="1"/>
  <c r="P20" i="1"/>
  <c r="P25" i="1" s="1"/>
  <c r="O20" i="1"/>
  <c r="O25" i="1" s="1"/>
  <c r="N20" i="1"/>
  <c r="N25" i="1" s="1"/>
  <c r="M20" i="1"/>
  <c r="M25" i="1" s="1"/>
  <c r="L20" i="1"/>
  <c r="L25" i="1" s="1"/>
  <c r="L26" i="1" s="1"/>
  <c r="K20" i="1"/>
  <c r="K25" i="1" s="1"/>
  <c r="J20" i="1"/>
  <c r="J25" i="1" s="1"/>
  <c r="I20" i="1"/>
  <c r="I25" i="1" s="1"/>
  <c r="H20" i="1"/>
  <c r="H25" i="1" s="1"/>
  <c r="G20" i="1"/>
  <c r="G25" i="1" s="1"/>
  <c r="F20" i="1"/>
  <c r="F25" i="1" s="1"/>
  <c r="E20" i="1"/>
  <c r="E25" i="1" s="1"/>
  <c r="D20" i="1"/>
  <c r="D25" i="1" s="1"/>
  <c r="BH19" i="1"/>
  <c r="BH100" i="1" s="1"/>
  <c r="BG19" i="1"/>
  <c r="AY19" i="1"/>
  <c r="AY100" i="1" s="1"/>
  <c r="AO19" i="1"/>
  <c r="AO100" i="1" s="1"/>
  <c r="AM19" i="1"/>
  <c r="AM100" i="1" s="1"/>
  <c r="AL19" i="1"/>
  <c r="AJ19" i="1"/>
  <c r="AJ100" i="1" s="1"/>
  <c r="Z19" i="1"/>
  <c r="Z100" i="1" s="1"/>
  <c r="Y19" i="1"/>
  <c r="X19" i="1"/>
  <c r="W19" i="1"/>
  <c r="CC19" i="1" s="1"/>
  <c r="S19" i="1"/>
  <c r="CB19" i="1" s="1"/>
  <c r="CN19" i="1"/>
  <c r="CM19" i="1"/>
  <c r="CK19" i="1"/>
  <c r="CJ19" i="1"/>
  <c r="CI19" i="1"/>
  <c r="CH19" i="1"/>
  <c r="CF19" i="1"/>
  <c r="CE19" i="1"/>
  <c r="CA19" i="1"/>
  <c r="BZ19" i="1"/>
  <c r="BY19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B18" i="1"/>
  <c r="CA18" i="1"/>
  <c r="BZ18" i="1"/>
  <c r="BY18" i="1"/>
  <c r="W18" i="1"/>
  <c r="CC18" i="1" s="1"/>
  <c r="CO16" i="1"/>
  <c r="CN16" i="1"/>
  <c r="CM16" i="1"/>
  <c r="CL16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BH10" i="1"/>
  <c r="BH50" i="1" s="1"/>
  <c r="BG10" i="1"/>
  <c r="BF10" i="1"/>
  <c r="BF40" i="1" s="1"/>
  <c r="BE10" i="1"/>
  <c r="BE50" i="1" s="1"/>
  <c r="BD10" i="1"/>
  <c r="BD50" i="1" s="1"/>
  <c r="BC10" i="1"/>
  <c r="BB10" i="1"/>
  <c r="BB40" i="1" s="1"/>
  <c r="BA10" i="1"/>
  <c r="BA50" i="1" s="1"/>
  <c r="AZ10" i="1"/>
  <c r="AZ50" i="1" s="1"/>
  <c r="AY10" i="1"/>
  <c r="AX10" i="1"/>
  <c r="AX40" i="1" s="1"/>
  <c r="AW10" i="1"/>
  <c r="AW50" i="1" s="1"/>
  <c r="AV10" i="1"/>
  <c r="AV50" i="1" s="1"/>
  <c r="AU10" i="1"/>
  <c r="AT10" i="1"/>
  <c r="AT40" i="1" s="1"/>
  <c r="AS10" i="1"/>
  <c r="AS50" i="1" s="1"/>
  <c r="AR10" i="1"/>
  <c r="AR50" i="1" s="1"/>
  <c r="AQ10" i="1"/>
  <c r="AP10" i="1"/>
  <c r="AP40" i="1" s="1"/>
  <c r="AO10" i="1"/>
  <c r="AO50" i="1" s="1"/>
  <c r="AN10" i="1"/>
  <c r="AN50" i="1" s="1"/>
  <c r="AM10" i="1"/>
  <c r="AL10" i="1"/>
  <c r="AL40" i="1" s="1"/>
  <c r="AK10" i="1"/>
  <c r="AK50" i="1" s="1"/>
  <c r="AJ10" i="1"/>
  <c r="AJ50" i="1" s="1"/>
  <c r="AI10" i="1"/>
  <c r="AH10" i="1"/>
  <c r="AH40" i="1" s="1"/>
  <c r="AG10" i="1"/>
  <c r="AG50" i="1" s="1"/>
  <c r="AF10" i="1"/>
  <c r="AF50" i="1" s="1"/>
  <c r="AE10" i="1"/>
  <c r="AD10" i="1"/>
  <c r="AD40" i="1" s="1"/>
  <c r="AC10" i="1"/>
  <c r="AC50" i="1" s="1"/>
  <c r="AB10" i="1"/>
  <c r="AB50" i="1" s="1"/>
  <c r="AA10" i="1"/>
  <c r="Z10" i="1"/>
  <c r="Z40" i="1" s="1"/>
  <c r="Y10" i="1"/>
  <c r="Y50" i="1" s="1"/>
  <c r="X10" i="1"/>
  <c r="X50" i="1" s="1"/>
  <c r="W10" i="1"/>
  <c r="V10" i="1"/>
  <c r="V40" i="1" s="1"/>
  <c r="U10" i="1"/>
  <c r="U50" i="1" s="1"/>
  <c r="T10" i="1"/>
  <c r="T50" i="1" s="1"/>
  <c r="S10" i="1"/>
  <c r="R10" i="1"/>
  <c r="R40" i="1" s="1"/>
  <c r="Q10" i="1"/>
  <c r="Q50" i="1" s="1"/>
  <c r="P10" i="1"/>
  <c r="P50" i="1" s="1"/>
  <c r="O10" i="1"/>
  <c r="N10" i="1"/>
  <c r="N40" i="1" s="1"/>
  <c r="M10" i="1"/>
  <c r="M50" i="1" s="1"/>
  <c r="L10" i="1"/>
  <c r="L50" i="1" s="1"/>
  <c r="K10" i="1"/>
  <c r="J10" i="1"/>
  <c r="J40" i="1" s="1"/>
  <c r="I10" i="1"/>
  <c r="I50" i="1" s="1"/>
  <c r="H10" i="1"/>
  <c r="H50" i="1" s="1"/>
  <c r="G10" i="1"/>
  <c r="F10" i="1"/>
  <c r="F40" i="1" s="1"/>
  <c r="E10" i="1"/>
  <c r="E50" i="1" s="1"/>
  <c r="CL8" i="1"/>
  <c r="CK8" i="1"/>
  <c r="CJ8" i="1"/>
  <c r="CI8" i="1"/>
  <c r="CH8" i="1"/>
  <c r="CG8" i="1"/>
  <c r="CF8" i="1"/>
  <c r="CE8" i="1"/>
  <c r="CD8" i="1"/>
  <c r="CC8" i="1"/>
  <c r="CB8" i="1"/>
  <c r="CA8" i="1"/>
  <c r="BZ8" i="1"/>
  <c r="BY8" i="1"/>
  <c r="CP149" i="1" l="1"/>
  <c r="AY102" i="1"/>
  <c r="CA45" i="1"/>
  <c r="CA46" i="1" s="1"/>
  <c r="BZ45" i="1"/>
  <c r="BZ46" i="1" s="1"/>
  <c r="CI35" i="1"/>
  <c r="CD94" i="1"/>
  <c r="CH94" i="1"/>
  <c r="BY22" i="1"/>
  <c r="BY23" i="1" s="1"/>
  <c r="CC22" i="1"/>
  <c r="CC23" i="1" s="1"/>
  <c r="CG22" i="1"/>
  <c r="CK22" i="1"/>
  <c r="CK23" i="1" s="1"/>
  <c r="F66" i="1"/>
  <c r="F72" i="1" s="1"/>
  <c r="J66" i="1"/>
  <c r="J72" i="1" s="1"/>
  <c r="N66" i="1"/>
  <c r="N72" i="1" s="1"/>
  <c r="R66" i="1"/>
  <c r="R72" i="1" s="1"/>
  <c r="AB66" i="1"/>
  <c r="AB72" i="1" s="1"/>
  <c r="AF66" i="1"/>
  <c r="AF72" i="1" s="1"/>
  <c r="AF88" i="1" s="1"/>
  <c r="AF106" i="1" s="1"/>
  <c r="AJ66" i="1"/>
  <c r="AN66" i="1"/>
  <c r="AN72" i="1" s="1"/>
  <c r="AN88" i="1" s="1"/>
  <c r="AR66" i="1"/>
  <c r="AR72" i="1" s="1"/>
  <c r="AR137" i="1" s="1"/>
  <c r="AV66" i="1"/>
  <c r="AV72" i="1" s="1"/>
  <c r="AV73" i="1" s="1"/>
  <c r="AZ66" i="1"/>
  <c r="AZ72" i="1" s="1"/>
  <c r="AZ73" i="1" s="1"/>
  <c r="BH66" i="1"/>
  <c r="BY58" i="1"/>
  <c r="BY65" i="1" s="1"/>
  <c r="BY68" i="1" s="1"/>
  <c r="AP102" i="1"/>
  <c r="CI125" i="1"/>
  <c r="CJ125" i="1"/>
  <c r="CK125" i="1"/>
  <c r="CI20" i="1"/>
  <c r="U102" i="1"/>
  <c r="CI25" i="1"/>
  <c r="CI26" i="1" s="1"/>
  <c r="CK20" i="1"/>
  <c r="BE102" i="1"/>
  <c r="CC58" i="1"/>
  <c r="CA49" i="1"/>
  <c r="CE49" i="1"/>
  <c r="CG11" i="1"/>
  <c r="CG30" i="1" s="1"/>
  <c r="BY20" i="1"/>
  <c r="BY25" i="1" s="1"/>
  <c r="BY26" i="1" s="1"/>
  <c r="CA20" i="1"/>
  <c r="CA25" i="1" s="1"/>
  <c r="CA26" i="1" s="1"/>
  <c r="CE20" i="1"/>
  <c r="CE25" i="1" s="1"/>
  <c r="CE26" i="1" s="1"/>
  <c r="CL125" i="1"/>
  <c r="AM102" i="1"/>
  <c r="CG58" i="1"/>
  <c r="CG65" i="1" s="1"/>
  <c r="CG68" i="1" s="1"/>
  <c r="CK58" i="1"/>
  <c r="CO58" i="1"/>
  <c r="CG55" i="1"/>
  <c r="BZ58" i="1"/>
  <c r="BZ65" i="1" s="1"/>
  <c r="CH58" i="1"/>
  <c r="BH102" i="1"/>
  <c r="AA68" i="1"/>
  <c r="AA87" i="1" s="1"/>
  <c r="AN102" i="1"/>
  <c r="BD102" i="1"/>
  <c r="Z102" i="1"/>
  <c r="CD58" i="1"/>
  <c r="CI55" i="1"/>
  <c r="CI66" i="1" s="1"/>
  <c r="CI72" i="1" s="1"/>
  <c r="CC20" i="1"/>
  <c r="CC25" i="1" s="1"/>
  <c r="CE22" i="1"/>
  <c r="CE23" i="1" s="1"/>
  <c r="AL27" i="1"/>
  <c r="AM27" i="1" s="1"/>
  <c r="I30" i="1"/>
  <c r="Q30" i="1"/>
  <c r="Y30" i="1"/>
  <c r="AG30" i="1"/>
  <c r="AO30" i="1"/>
  <c r="AW30" i="1"/>
  <c r="BE30" i="1"/>
  <c r="CA35" i="1"/>
  <c r="CA36" i="1" s="1"/>
  <c r="CE35" i="1"/>
  <c r="CE46" i="1"/>
  <c r="CG46" i="1"/>
  <c r="CI46" i="1"/>
  <c r="CK46" i="1"/>
  <c r="I40" i="1"/>
  <c r="Q40" i="1"/>
  <c r="Y40" i="1"/>
  <c r="AG40" i="1"/>
  <c r="AO40" i="1"/>
  <c r="AW40" i="1"/>
  <c r="BE40" i="1"/>
  <c r="BY49" i="1"/>
  <c r="CC49" i="1"/>
  <c r="CG56" i="1"/>
  <c r="CI49" i="1"/>
  <c r="J50" i="1"/>
  <c r="R50" i="1"/>
  <c r="Z50" i="1"/>
  <c r="AH50" i="1"/>
  <c r="AP50" i="1"/>
  <c r="AX50" i="1"/>
  <c r="BF50" i="1"/>
  <c r="BZ55" i="1"/>
  <c r="BZ56" i="1" s="1"/>
  <c r="CJ55" i="1"/>
  <c r="CJ56" i="1" s="1"/>
  <c r="CL58" i="1"/>
  <c r="CL65" i="1" s="1"/>
  <c r="G68" i="1"/>
  <c r="G87" i="1" s="1"/>
  <c r="BG94" i="1"/>
  <c r="BZ20" i="1"/>
  <c r="BZ25" i="1" s="1"/>
  <c r="BZ26" i="1" s="1"/>
  <c r="CB20" i="1"/>
  <c r="CB25" i="1" s="1"/>
  <c r="CF20" i="1"/>
  <c r="CF25" i="1" s="1"/>
  <c r="CH20" i="1"/>
  <c r="CJ20" i="1"/>
  <c r="CA22" i="1"/>
  <c r="CI22" i="1"/>
  <c r="CI23" i="1" s="1"/>
  <c r="E30" i="1"/>
  <c r="M30" i="1"/>
  <c r="U30" i="1"/>
  <c r="AC30" i="1"/>
  <c r="AK30" i="1"/>
  <c r="AS30" i="1"/>
  <c r="BA30" i="1"/>
  <c r="CB34" i="1"/>
  <c r="CB35" i="1" s="1"/>
  <c r="E40" i="1"/>
  <c r="M40" i="1"/>
  <c r="U40" i="1"/>
  <c r="AC40" i="1"/>
  <c r="AK40" i="1"/>
  <c r="AS40" i="1"/>
  <c r="BA40" i="1"/>
  <c r="F50" i="1"/>
  <c r="N50" i="1"/>
  <c r="V50" i="1"/>
  <c r="AD50" i="1"/>
  <c r="AL50" i="1"/>
  <c r="AT50" i="1"/>
  <c r="BB50" i="1"/>
  <c r="CE55" i="1"/>
  <c r="CE56" i="1" s="1"/>
  <c r="W68" i="1"/>
  <c r="W69" i="1" s="1"/>
  <c r="BC68" i="1"/>
  <c r="BC87" i="1" s="1"/>
  <c r="AM68" i="1"/>
  <c r="AM87" i="1" s="1"/>
  <c r="Q102" i="1"/>
  <c r="AJ102" i="1"/>
  <c r="AB102" i="1"/>
  <c r="AF102" i="1"/>
  <c r="AR102" i="1"/>
  <c r="AV102" i="1"/>
  <c r="F68" i="1"/>
  <c r="F87" i="1" s="1"/>
  <c r="J68" i="1"/>
  <c r="J69" i="1" s="1"/>
  <c r="N68" i="1"/>
  <c r="N87" i="1" s="1"/>
  <c r="R68" i="1"/>
  <c r="R69" i="1" s="1"/>
  <c r="V68" i="1"/>
  <c r="V87" i="1" s="1"/>
  <c r="Z68" i="1"/>
  <c r="Z69" i="1" s="1"/>
  <c r="AD68" i="1"/>
  <c r="AD69" i="1" s="1"/>
  <c r="AH68" i="1"/>
  <c r="AH69" i="1" s="1"/>
  <c r="AL68" i="1"/>
  <c r="AL69" i="1" s="1"/>
  <c r="AP68" i="1"/>
  <c r="AP69" i="1" s="1"/>
  <c r="AT68" i="1"/>
  <c r="AT87" i="1" s="1"/>
  <c r="AX68" i="1"/>
  <c r="AX69" i="1" s="1"/>
  <c r="BB68" i="1"/>
  <c r="BB87" i="1" s="1"/>
  <c r="BF68" i="1"/>
  <c r="BF69" i="1" s="1"/>
  <c r="X65" i="1"/>
  <c r="X68" i="1" s="1"/>
  <c r="G66" i="1"/>
  <c r="G72" i="1" s="1"/>
  <c r="K66" i="1"/>
  <c r="K72" i="1" s="1"/>
  <c r="O66" i="1"/>
  <c r="O72" i="1" s="1"/>
  <c r="T66" i="1"/>
  <c r="T72" i="1" s="1"/>
  <c r="AE66" i="1"/>
  <c r="AE72" i="1" s="1"/>
  <c r="AI66" i="1"/>
  <c r="AI72" i="1" s="1"/>
  <c r="AM66" i="1"/>
  <c r="AQ66" i="1"/>
  <c r="AQ72" i="1" s="1"/>
  <c r="AU66" i="1"/>
  <c r="AU72" i="1" s="1"/>
  <c r="AY66" i="1"/>
  <c r="BG66" i="1"/>
  <c r="CH55" i="1"/>
  <c r="CH56" i="1" s="1"/>
  <c r="CL55" i="1"/>
  <c r="CL56" i="1" s="1"/>
  <c r="V66" i="1"/>
  <c r="V72" i="1" s="1"/>
  <c r="AG66" i="1"/>
  <c r="AG72" i="1" s="1"/>
  <c r="AK66" i="1"/>
  <c r="AK72" i="1" s="1"/>
  <c r="AW66" i="1"/>
  <c r="AW72" i="1" s="1"/>
  <c r="BA66" i="1"/>
  <c r="BA72" i="1" s="1"/>
  <c r="CD55" i="1"/>
  <c r="CD56" i="1" s="1"/>
  <c r="CD45" i="1"/>
  <c r="CD46" i="1" s="1"/>
  <c r="CH45" i="1"/>
  <c r="CL45" i="1"/>
  <c r="M66" i="1"/>
  <c r="M72" i="1" s="1"/>
  <c r="AV36" i="1"/>
  <c r="AF36" i="1"/>
  <c r="AR36" i="1"/>
  <c r="AB36" i="1"/>
  <c r="BH36" i="1"/>
  <c r="AC66" i="1"/>
  <c r="AC72" i="1" s="1"/>
  <c r="AS66" i="1"/>
  <c r="AS72" i="1" s="1"/>
  <c r="CL85" i="1"/>
  <c r="BZ75" i="1"/>
  <c r="CE94" i="1"/>
  <c r="AE102" i="1"/>
  <c r="AI102" i="1"/>
  <c r="AQ102" i="1"/>
  <c r="AU102" i="1"/>
  <c r="BZ85" i="1"/>
  <c r="CD85" i="1"/>
  <c r="CH85" i="1"/>
  <c r="CC75" i="1"/>
  <c r="CG75" i="1"/>
  <c r="CH74" i="1"/>
  <c r="CH75" i="1"/>
  <c r="CJ75" i="1"/>
  <c r="J94" i="1"/>
  <c r="CE100" i="1"/>
  <c r="CE102" i="1" s="1"/>
  <c r="CI100" i="1"/>
  <c r="CI102" i="1" s="1"/>
  <c r="CD74" i="1"/>
  <c r="CD75" i="1"/>
  <c r="CL75" i="1"/>
  <c r="D94" i="1"/>
  <c r="CG94" i="1"/>
  <c r="AC102" i="1"/>
  <c r="AG102" i="1"/>
  <c r="AS102" i="1"/>
  <c r="AW102" i="1"/>
  <c r="AO102" i="1"/>
  <c r="D102" i="1"/>
  <c r="H102" i="1"/>
  <c r="L102" i="1"/>
  <c r="V102" i="1"/>
  <c r="BA102" i="1"/>
  <c r="CK94" i="1"/>
  <c r="R102" i="1"/>
  <c r="AK102" i="1"/>
  <c r="BB102" i="1"/>
  <c r="D66" i="1"/>
  <c r="D72" i="1" s="1"/>
  <c r="D137" i="1" s="1"/>
  <c r="H66" i="1"/>
  <c r="H72" i="1" s="1"/>
  <c r="H88" i="1" s="1"/>
  <c r="L66" i="1"/>
  <c r="L72" i="1" s="1"/>
  <c r="P66" i="1"/>
  <c r="P72" i="1" s="1"/>
  <c r="P137" i="1" s="1"/>
  <c r="U66" i="1"/>
  <c r="U72" i="1" s="1"/>
  <c r="BY45" i="1"/>
  <c r="BY46" i="1" s="1"/>
  <c r="CB44" i="1"/>
  <c r="CB45" i="1" s="1"/>
  <c r="CB46" i="1" s="1"/>
  <c r="CC44" i="1"/>
  <c r="CC45" i="1" s="1"/>
  <c r="CC46" i="1" s="1"/>
  <c r="W100" i="1"/>
  <c r="AD66" i="1"/>
  <c r="AD72" i="1" s="1"/>
  <c r="AH66" i="1"/>
  <c r="AH72" i="1" s="1"/>
  <c r="AL66" i="1"/>
  <c r="AP66" i="1"/>
  <c r="AP72" i="1" s="1"/>
  <c r="AT66" i="1"/>
  <c r="AT72" i="1" s="1"/>
  <c r="AX66" i="1"/>
  <c r="AX72" i="1" s="1"/>
  <c r="BB66" i="1"/>
  <c r="BB72" i="1" s="1"/>
  <c r="BF66" i="1"/>
  <c r="BF72" i="1" s="1"/>
  <c r="AS46" i="1"/>
  <c r="Z66" i="1"/>
  <c r="Z72" i="1" s="1"/>
  <c r="CC26" i="1"/>
  <c r="CB22" i="1"/>
  <c r="CB11" i="1"/>
  <c r="CB30" i="1" s="1"/>
  <c r="CJ22" i="1"/>
  <c r="CJ25" i="1"/>
  <c r="CJ11" i="1"/>
  <c r="CJ40" i="1" s="1"/>
  <c r="I26" i="1"/>
  <c r="V26" i="1"/>
  <c r="BB26" i="1"/>
  <c r="CF45" i="1"/>
  <c r="CF46" i="1" s="1"/>
  <c r="M46" i="1"/>
  <c r="CG23" i="1"/>
  <c r="CK11" i="1"/>
  <c r="CK50" i="1" s="1"/>
  <c r="AL100" i="1"/>
  <c r="AL102" i="1" s="1"/>
  <c r="CG19" i="1"/>
  <c r="CG20" i="1" s="1"/>
  <c r="CG25" i="1" s="1"/>
  <c r="BG100" i="1"/>
  <c r="BG102" i="1" s="1"/>
  <c r="BG20" i="1"/>
  <c r="BG25" i="1" s="1"/>
  <c r="F26" i="1"/>
  <c r="J26" i="1"/>
  <c r="N26" i="1"/>
  <c r="R26" i="1"/>
  <c r="Z26" i="1"/>
  <c r="AE26" i="1"/>
  <c r="AI26" i="1"/>
  <c r="AP26" i="1"/>
  <c r="AT26" i="1"/>
  <c r="AX26" i="1"/>
  <c r="BC26" i="1"/>
  <c r="J23" i="1"/>
  <c r="CA23" i="1"/>
  <c r="P26" i="1"/>
  <c r="AF26" i="1"/>
  <c r="AV26" i="1"/>
  <c r="CF35" i="1"/>
  <c r="CJ35" i="1"/>
  <c r="CB29" i="1"/>
  <c r="P36" i="1"/>
  <c r="CF39" i="1"/>
  <c r="CJ45" i="1"/>
  <c r="BC100" i="1"/>
  <c r="BC102" i="1" s="1"/>
  <c r="CK63" i="1"/>
  <c r="E26" i="1"/>
  <c r="Q26" i="1"/>
  <c r="AH26" i="1"/>
  <c r="AS26" i="1"/>
  <c r="AW26" i="1"/>
  <c r="CB39" i="1"/>
  <c r="S55" i="1"/>
  <c r="S56" i="1" s="1"/>
  <c r="CB54" i="1"/>
  <c r="G40" i="1"/>
  <c r="G30" i="1"/>
  <c r="G50" i="1"/>
  <c r="S40" i="1"/>
  <c r="S30" i="1"/>
  <c r="S50" i="1"/>
  <c r="AA40" i="1"/>
  <c r="AA50" i="1"/>
  <c r="AI40" i="1"/>
  <c r="AI30" i="1"/>
  <c r="AI50" i="1"/>
  <c r="AQ40" i="1"/>
  <c r="AQ30" i="1"/>
  <c r="AQ50" i="1"/>
  <c r="AY40" i="1"/>
  <c r="AY30" i="1"/>
  <c r="AY50" i="1"/>
  <c r="BG40" i="1"/>
  <c r="BG30" i="1"/>
  <c r="BG50" i="1"/>
  <c r="CL19" i="1"/>
  <c r="CL20" i="1" s="1"/>
  <c r="Y100" i="1"/>
  <c r="Y102" i="1" s="1"/>
  <c r="Y20" i="1"/>
  <c r="Y25" i="1" s="1"/>
  <c r="G26" i="1"/>
  <c r="K26" i="1"/>
  <c r="O26" i="1"/>
  <c r="AK26" i="1"/>
  <c r="AQ26" i="1"/>
  <c r="AU26" i="1"/>
  <c r="N23" i="1"/>
  <c r="AD23" i="1"/>
  <c r="AT23" i="1"/>
  <c r="D26" i="1"/>
  <c r="T26" i="1"/>
  <c r="AZ26" i="1"/>
  <c r="CF29" i="1"/>
  <c r="CE36" i="1"/>
  <c r="E66" i="1"/>
  <c r="E72" i="1" s="1"/>
  <c r="Q66" i="1"/>
  <c r="Q72" i="1" s="1"/>
  <c r="BD66" i="1"/>
  <c r="BD72" i="1" s="1"/>
  <c r="CL35" i="1"/>
  <c r="D36" i="1"/>
  <c r="T36" i="1"/>
  <c r="AJ36" i="1"/>
  <c r="AZ36" i="1"/>
  <c r="CJ39" i="1"/>
  <c r="CB55" i="1"/>
  <c r="CB56" i="1" s="1"/>
  <c r="CB49" i="1"/>
  <c r="CB50" i="1"/>
  <c r="CF55" i="1"/>
  <c r="CF56" i="1" s="1"/>
  <c r="CF49" i="1"/>
  <c r="CF22" i="1"/>
  <c r="CF11" i="1"/>
  <c r="CF50" i="1" s="1"/>
  <c r="M26" i="1"/>
  <c r="AD26" i="1"/>
  <c r="BF26" i="1"/>
  <c r="K40" i="1"/>
  <c r="K30" i="1"/>
  <c r="K50" i="1"/>
  <c r="O40" i="1"/>
  <c r="O30" i="1"/>
  <c r="O50" i="1"/>
  <c r="W40" i="1"/>
  <c r="W30" i="1"/>
  <c r="W50" i="1"/>
  <c r="AE40" i="1"/>
  <c r="AE30" i="1"/>
  <c r="AE50" i="1"/>
  <c r="AM40" i="1"/>
  <c r="AM30" i="1"/>
  <c r="AM50" i="1"/>
  <c r="AU40" i="1"/>
  <c r="AU30" i="1"/>
  <c r="AU50" i="1"/>
  <c r="BC40" i="1"/>
  <c r="BC30" i="1"/>
  <c r="BC50" i="1"/>
  <c r="CC11" i="1"/>
  <c r="CC50" i="1" s="1"/>
  <c r="CA100" i="1"/>
  <c r="U26" i="1"/>
  <c r="AC26" i="1"/>
  <c r="AG26" i="1"/>
  <c r="AL20" i="1"/>
  <c r="AL25" i="1" s="1"/>
  <c r="BA26" i="1"/>
  <c r="BE26" i="1"/>
  <c r="K69" i="1"/>
  <c r="K87" i="1"/>
  <c r="O87" i="1"/>
  <c r="O69" i="1"/>
  <c r="AA69" i="1"/>
  <c r="AE87" i="1"/>
  <c r="AE69" i="1"/>
  <c r="AQ69" i="1"/>
  <c r="AQ87" i="1"/>
  <c r="AU87" i="1"/>
  <c r="AU97" i="1" s="1"/>
  <c r="AU69" i="1"/>
  <c r="BG87" i="1"/>
  <c r="BG69" i="1"/>
  <c r="R23" i="1"/>
  <c r="AH23" i="1"/>
  <c r="AX23" i="1"/>
  <c r="H26" i="1"/>
  <c r="AN26" i="1"/>
  <c r="BD26" i="1"/>
  <c r="CJ29" i="1"/>
  <c r="S36" i="1"/>
  <c r="X35" i="1"/>
  <c r="H36" i="1"/>
  <c r="AN36" i="1"/>
  <c r="BD36" i="1"/>
  <c r="G101" i="1"/>
  <c r="G102" i="1" s="1"/>
  <c r="G94" i="1"/>
  <c r="BZ100" i="1"/>
  <c r="CH100" i="1"/>
  <c r="CH102" i="1" s="1"/>
  <c r="X100" i="1"/>
  <c r="X102" i="1" s="1"/>
  <c r="AO20" i="1"/>
  <c r="AO25" i="1" s="1"/>
  <c r="E68" i="1"/>
  <c r="I68" i="1"/>
  <c r="M68" i="1"/>
  <c r="Q68" i="1"/>
  <c r="U68" i="1"/>
  <c r="Y68" i="1"/>
  <c r="AC68" i="1"/>
  <c r="AG68" i="1"/>
  <c r="AK68" i="1"/>
  <c r="AO68" i="1"/>
  <c r="AS68" i="1"/>
  <c r="AW68" i="1"/>
  <c r="BA68" i="1"/>
  <c r="BE68" i="1"/>
  <c r="E23" i="1"/>
  <c r="I23" i="1"/>
  <c r="M23" i="1"/>
  <c r="Q23" i="1"/>
  <c r="U23" i="1"/>
  <c r="Y23" i="1"/>
  <c r="AC23" i="1"/>
  <c r="AG23" i="1"/>
  <c r="AK23" i="1"/>
  <c r="AO23" i="1"/>
  <c r="AS23" i="1"/>
  <c r="AW23" i="1"/>
  <c r="BA23" i="1"/>
  <c r="BE23" i="1"/>
  <c r="BZ22" i="1"/>
  <c r="CD22" i="1"/>
  <c r="CH22" i="1"/>
  <c r="CL22" i="1"/>
  <c r="CA29" i="1"/>
  <c r="CE29" i="1"/>
  <c r="CI29" i="1"/>
  <c r="BY29" i="1"/>
  <c r="H30" i="1"/>
  <c r="L30" i="1"/>
  <c r="P30" i="1"/>
  <c r="T30" i="1"/>
  <c r="X30" i="1"/>
  <c r="AB30" i="1"/>
  <c r="AF30" i="1"/>
  <c r="AJ30" i="1"/>
  <c r="AN30" i="1"/>
  <c r="AR30" i="1"/>
  <c r="AV30" i="1"/>
  <c r="AZ30" i="1"/>
  <c r="BD30" i="1"/>
  <c r="BH30" i="1"/>
  <c r="BZ35" i="1"/>
  <c r="CH35" i="1"/>
  <c r="W35" i="1"/>
  <c r="AA35" i="1"/>
  <c r="BC66" i="1"/>
  <c r="BC72" i="1" s="1"/>
  <c r="G36" i="1"/>
  <c r="K36" i="1"/>
  <c r="O36" i="1"/>
  <c r="AE36" i="1"/>
  <c r="AI36" i="1"/>
  <c r="AM36" i="1"/>
  <c r="AQ36" i="1"/>
  <c r="AU36" i="1"/>
  <c r="AY36" i="1"/>
  <c r="BC36" i="1"/>
  <c r="BG36" i="1"/>
  <c r="CA39" i="1"/>
  <c r="CE39" i="1"/>
  <c r="CI39" i="1"/>
  <c r="BY39" i="1"/>
  <c r="H40" i="1"/>
  <c r="L40" i="1"/>
  <c r="P40" i="1"/>
  <c r="T40" i="1"/>
  <c r="X40" i="1"/>
  <c r="AB40" i="1"/>
  <c r="AF40" i="1"/>
  <c r="AJ40" i="1"/>
  <c r="AN40" i="1"/>
  <c r="AR40" i="1"/>
  <c r="AV40" i="1"/>
  <c r="AZ40" i="1"/>
  <c r="BD40" i="1"/>
  <c r="BH40" i="1"/>
  <c r="BZ49" i="1"/>
  <c r="CD49" i="1"/>
  <c r="CH49" i="1"/>
  <c r="CL49" i="1"/>
  <c r="BY55" i="1"/>
  <c r="BY56" i="1" s="1"/>
  <c r="CB58" i="1"/>
  <c r="CB65" i="1" s="1"/>
  <c r="CF58" i="1"/>
  <c r="CF65" i="1" s="1"/>
  <c r="CJ58" i="1"/>
  <c r="CJ65" i="1" s="1"/>
  <c r="CN58" i="1"/>
  <c r="CA58" i="1"/>
  <c r="CA65" i="1" s="1"/>
  <c r="CA68" i="1" s="1"/>
  <c r="CE58" i="1"/>
  <c r="CE65" i="1" s="1"/>
  <c r="CE68" i="1" s="1"/>
  <c r="CI58" i="1"/>
  <c r="CI65" i="1" s="1"/>
  <c r="CM58" i="1"/>
  <c r="I66" i="1"/>
  <c r="I72" i="1" s="1"/>
  <c r="Y66" i="1"/>
  <c r="AO66" i="1"/>
  <c r="BE66" i="1"/>
  <c r="BE72" i="1" s="1"/>
  <c r="S68" i="1"/>
  <c r="AI68" i="1"/>
  <c r="AY68" i="1"/>
  <c r="CA85" i="1"/>
  <c r="CA75" i="1"/>
  <c r="CE85" i="1"/>
  <c r="CE75" i="1"/>
  <c r="CE74" i="1"/>
  <c r="CI85" i="1"/>
  <c r="CI75" i="1"/>
  <c r="CI74" i="1"/>
  <c r="BY75" i="1"/>
  <c r="BY85" i="1"/>
  <c r="K101" i="1"/>
  <c r="K102" i="1" s="1"/>
  <c r="K94" i="1"/>
  <c r="BZ11" i="1"/>
  <c r="BZ50" i="1" s="1"/>
  <c r="CD11" i="1"/>
  <c r="CD40" i="1" s="1"/>
  <c r="CH11" i="1"/>
  <c r="CH50" i="1" s="1"/>
  <c r="CL11" i="1"/>
  <c r="CL50" i="1" s="1"/>
  <c r="CF100" i="1"/>
  <c r="CF102" i="1" s="1"/>
  <c r="CJ100" i="1"/>
  <c r="CJ102" i="1" s="1"/>
  <c r="S100" i="1"/>
  <c r="S102" i="1" s="1"/>
  <c r="S20" i="1"/>
  <c r="S25" i="1" s="1"/>
  <c r="W20" i="1"/>
  <c r="W25" i="1" s="1"/>
  <c r="AM20" i="1"/>
  <c r="AM25" i="1" s="1"/>
  <c r="AY20" i="1"/>
  <c r="AY25" i="1" s="1"/>
  <c r="K23" i="1"/>
  <c r="O23" i="1"/>
  <c r="AA23" i="1"/>
  <c r="AE23" i="1"/>
  <c r="AQ23" i="1"/>
  <c r="AU23" i="1"/>
  <c r="BG23" i="1"/>
  <c r="CC65" i="1"/>
  <c r="CC68" i="1" s="1"/>
  <c r="CK65" i="1"/>
  <c r="CK68" i="1" s="1"/>
  <c r="CC29" i="1"/>
  <c r="CG29" i="1"/>
  <c r="CK29" i="1"/>
  <c r="CC30" i="1"/>
  <c r="AA29" i="1"/>
  <c r="F30" i="1"/>
  <c r="J30" i="1"/>
  <c r="N30" i="1"/>
  <c r="R30" i="1"/>
  <c r="V30" i="1"/>
  <c r="Z30" i="1"/>
  <c r="AD30" i="1"/>
  <c r="AH30" i="1"/>
  <c r="AL30" i="1"/>
  <c r="AP30" i="1"/>
  <c r="AT30" i="1"/>
  <c r="AX30" i="1"/>
  <c r="BB30" i="1"/>
  <c r="BF30" i="1"/>
  <c r="E36" i="1"/>
  <c r="Q36" i="1"/>
  <c r="U36" i="1"/>
  <c r="AG36" i="1"/>
  <c r="AK36" i="1"/>
  <c r="AW36" i="1"/>
  <c r="BA36" i="1"/>
  <c r="CC39" i="1"/>
  <c r="CG39" i="1"/>
  <c r="CK39" i="1"/>
  <c r="CC40" i="1"/>
  <c r="CG40" i="1"/>
  <c r="CJ49" i="1"/>
  <c r="CA55" i="1"/>
  <c r="CA56" i="1" s="1"/>
  <c r="CK55" i="1"/>
  <c r="CK56" i="1" s="1"/>
  <c r="CH65" i="1"/>
  <c r="O101" i="1"/>
  <c r="O102" i="1" s="1"/>
  <c r="O94" i="1"/>
  <c r="CA11" i="1"/>
  <c r="CA40" i="1" s="1"/>
  <c r="CE11" i="1"/>
  <c r="CE40" i="1" s="1"/>
  <c r="CI11" i="1"/>
  <c r="CI50" i="1" s="1"/>
  <c r="BY100" i="1"/>
  <c r="CG100" i="1"/>
  <c r="CG102" i="1" s="1"/>
  <c r="AA19" i="1"/>
  <c r="CD19" i="1" s="1"/>
  <c r="CD100" i="1" s="1"/>
  <c r="CD102" i="1" s="1"/>
  <c r="X20" i="1"/>
  <c r="X25" i="1" s="1"/>
  <c r="AJ20" i="1"/>
  <c r="AJ25" i="1" s="1"/>
  <c r="BH20" i="1"/>
  <c r="D68" i="1"/>
  <c r="H68" i="1"/>
  <c r="L68" i="1"/>
  <c r="P68" i="1"/>
  <c r="T68" i="1"/>
  <c r="AB68" i="1"/>
  <c r="AF68" i="1"/>
  <c r="AJ68" i="1"/>
  <c r="AN68" i="1"/>
  <c r="AR68" i="1"/>
  <c r="AV68" i="1"/>
  <c r="AZ68" i="1"/>
  <c r="BD68" i="1"/>
  <c r="BH68" i="1"/>
  <c r="D23" i="1"/>
  <c r="H23" i="1"/>
  <c r="L23" i="1"/>
  <c r="P23" i="1"/>
  <c r="T23" i="1"/>
  <c r="X23" i="1"/>
  <c r="AB23" i="1"/>
  <c r="AF23" i="1"/>
  <c r="AJ23" i="1"/>
  <c r="AN23" i="1"/>
  <c r="AR23" i="1"/>
  <c r="AV23" i="1"/>
  <c r="AZ23" i="1"/>
  <c r="BD23" i="1"/>
  <c r="BH23" i="1"/>
  <c r="CD28" i="1"/>
  <c r="BZ29" i="1"/>
  <c r="CH29" i="1"/>
  <c r="CL29" i="1"/>
  <c r="CL30" i="1"/>
  <c r="X29" i="1"/>
  <c r="AA30" i="1"/>
  <c r="BY35" i="1"/>
  <c r="CC35" i="1"/>
  <c r="CG35" i="1"/>
  <c r="CK35" i="1"/>
  <c r="F36" i="1"/>
  <c r="J36" i="1"/>
  <c r="N36" i="1"/>
  <c r="R36" i="1"/>
  <c r="V36" i="1"/>
  <c r="Z36" i="1"/>
  <c r="AD36" i="1"/>
  <c r="AH36" i="1"/>
  <c r="AL36" i="1"/>
  <c r="AP36" i="1"/>
  <c r="AT36" i="1"/>
  <c r="AX36" i="1"/>
  <c r="BB36" i="1"/>
  <c r="BF36" i="1"/>
  <c r="BZ39" i="1"/>
  <c r="CD39" i="1"/>
  <c r="CH39" i="1"/>
  <c r="CL39" i="1"/>
  <c r="CG49" i="1"/>
  <c r="CK49" i="1"/>
  <c r="CC54" i="1"/>
  <c r="CC55" i="1" s="1"/>
  <c r="CC56" i="1" s="1"/>
  <c r="CK75" i="1"/>
  <c r="P100" i="1"/>
  <c r="P102" i="1" s="1"/>
  <c r="CB84" i="1"/>
  <c r="CB85" i="1" s="1"/>
  <c r="P85" i="1"/>
  <c r="CG85" i="1"/>
  <c r="CB94" i="1"/>
  <c r="CF94" i="1"/>
  <c r="BF101" i="1"/>
  <c r="BF102" i="1" s="1"/>
  <c r="CL93" i="1"/>
  <c r="CL101" i="1" s="1"/>
  <c r="BF94" i="1"/>
  <c r="CB75" i="1"/>
  <c r="CF75" i="1"/>
  <c r="CC85" i="1"/>
  <c r="CJ94" i="1"/>
  <c r="CK84" i="1"/>
  <c r="CK85" i="1" s="1"/>
  <c r="CF85" i="1"/>
  <c r="CJ85" i="1"/>
  <c r="BF85" i="1"/>
  <c r="CI90" i="1"/>
  <c r="W93" i="1"/>
  <c r="CA93" i="1"/>
  <c r="H94" i="1"/>
  <c r="N94" i="1"/>
  <c r="V94" i="1"/>
  <c r="AZ85" i="1"/>
  <c r="BY93" i="1"/>
  <c r="BY101" i="1" s="1"/>
  <c r="F94" i="1"/>
  <c r="T94" i="1"/>
  <c r="CM76" i="1"/>
  <c r="E94" i="1"/>
  <c r="E101" i="1"/>
  <c r="E102" i="1" s="1"/>
  <c r="I94" i="1"/>
  <c r="I101" i="1"/>
  <c r="I102" i="1" s="1"/>
  <c r="M94" i="1"/>
  <c r="M101" i="1"/>
  <c r="M102" i="1" s="1"/>
  <c r="BZ93" i="1"/>
  <c r="BZ101" i="1" s="1"/>
  <c r="L94" i="1"/>
  <c r="F102" i="1"/>
  <c r="J102" i="1"/>
  <c r="N102" i="1"/>
  <c r="T102" i="1"/>
  <c r="BL104" i="1"/>
  <c r="BL128" i="1"/>
  <c r="BM128" i="1" s="1"/>
  <c r="BN128" i="1" s="1"/>
  <c r="BO128" i="1" s="1"/>
  <c r="CM128" i="1"/>
  <c r="F69" i="1" l="1"/>
  <c r="CL25" i="1"/>
  <c r="CL46" i="1"/>
  <c r="CH25" i="1"/>
  <c r="CH26" i="1" s="1"/>
  <c r="CK25" i="1"/>
  <c r="CK26" i="1" s="1"/>
  <c r="CJ46" i="1"/>
  <c r="CH46" i="1"/>
  <c r="CI36" i="1"/>
  <c r="W87" i="1"/>
  <c r="W91" i="1" s="1"/>
  <c r="BC69" i="1"/>
  <c r="AL87" i="1"/>
  <c r="AL91" i="1" s="1"/>
  <c r="S66" i="1"/>
  <c r="S72" i="1" s="1"/>
  <c r="G69" i="1"/>
  <c r="CL40" i="1"/>
  <c r="AT69" i="1"/>
  <c r="V69" i="1"/>
  <c r="AM69" i="1"/>
  <c r="CI56" i="1"/>
  <c r="CE66" i="1"/>
  <c r="CE72" i="1" s="1"/>
  <c r="CK40" i="1"/>
  <c r="CK30" i="1"/>
  <c r="CI68" i="1"/>
  <c r="CI87" i="1" s="1"/>
  <c r="CI97" i="1" s="1"/>
  <c r="CL100" i="1"/>
  <c r="CL102" i="1" s="1"/>
  <c r="BB69" i="1"/>
  <c r="AD87" i="1"/>
  <c r="AD91" i="1" s="1"/>
  <c r="N69" i="1"/>
  <c r="CH40" i="1"/>
  <c r="CJ30" i="1"/>
  <c r="CJ50" i="1"/>
  <c r="BZ40" i="1"/>
  <c r="CB40" i="1"/>
  <c r="BF87" i="1"/>
  <c r="BF97" i="1" s="1"/>
  <c r="AX87" i="1"/>
  <c r="AX91" i="1" s="1"/>
  <c r="AH87" i="1"/>
  <c r="AH97" i="1" s="1"/>
  <c r="Z87" i="1"/>
  <c r="Z97" i="1" s="1"/>
  <c r="R87" i="1"/>
  <c r="R91" i="1" s="1"/>
  <c r="AF137" i="1"/>
  <c r="AP87" i="1"/>
  <c r="AP97" i="1" s="1"/>
  <c r="J87" i="1"/>
  <c r="J97" i="1" s="1"/>
  <c r="CM125" i="1"/>
  <c r="BH25" i="1"/>
  <c r="BH72" i="1" s="1"/>
  <c r="CH30" i="1"/>
  <c r="CE50" i="1"/>
  <c r="CA30" i="1"/>
  <c r="AU91" i="1"/>
  <c r="X69" i="1"/>
  <c r="X87" i="1"/>
  <c r="X97" i="1" s="1"/>
  <c r="AF73" i="1"/>
  <c r="AZ137" i="1"/>
  <c r="AV88" i="1"/>
  <c r="AZ88" i="1"/>
  <c r="AZ95" i="1" s="1"/>
  <c r="AR88" i="1"/>
  <c r="AR106" i="1" s="1"/>
  <c r="AR119" i="1" s="1"/>
  <c r="AN73" i="1"/>
  <c r="AN137" i="1"/>
  <c r="BJ102" i="1"/>
  <c r="CK100" i="1"/>
  <c r="CK102" i="1" s="1"/>
  <c r="CB100" i="1"/>
  <c r="CB102" i="1" s="1"/>
  <c r="CL94" i="1"/>
  <c r="AN106" i="1"/>
  <c r="AN119" i="1" s="1"/>
  <c r="AN95" i="1"/>
  <c r="H95" i="1"/>
  <c r="H137" i="1"/>
  <c r="H73" i="1"/>
  <c r="AF95" i="1"/>
  <c r="P73" i="1"/>
  <c r="P88" i="1"/>
  <c r="P106" i="1" s="1"/>
  <c r="AV137" i="1"/>
  <c r="D73" i="1"/>
  <c r="D88" i="1"/>
  <c r="AR73" i="1"/>
  <c r="CG87" i="1"/>
  <c r="CG69" i="1"/>
  <c r="CC87" i="1"/>
  <c r="CC69" i="1"/>
  <c r="BE137" i="1"/>
  <c r="BE88" i="1"/>
  <c r="BE73" i="1"/>
  <c r="CE87" i="1"/>
  <c r="CE69" i="1"/>
  <c r="CA87" i="1"/>
  <c r="CA69" i="1"/>
  <c r="CL26" i="1"/>
  <c r="BY87" i="1"/>
  <c r="BY69" i="1"/>
  <c r="Q137" i="1"/>
  <c r="Q88" i="1"/>
  <c r="Q73" i="1"/>
  <c r="CA101" i="1"/>
  <c r="CA102" i="1" s="1"/>
  <c r="CA94" i="1"/>
  <c r="CK66" i="1"/>
  <c r="CK72" i="1" s="1"/>
  <c r="CK36" i="1"/>
  <c r="AN87" i="1"/>
  <c r="AN69" i="1"/>
  <c r="AJ72" i="1"/>
  <c r="AJ26" i="1"/>
  <c r="S26" i="1"/>
  <c r="W66" i="1"/>
  <c r="W72" i="1" s="1"/>
  <c r="W36" i="1"/>
  <c r="BE87" i="1"/>
  <c r="BE69" i="1"/>
  <c r="AO87" i="1"/>
  <c r="AO69" i="1"/>
  <c r="Y87" i="1"/>
  <c r="Y69" i="1"/>
  <c r="I87" i="1"/>
  <c r="I69" i="1"/>
  <c r="L137" i="1"/>
  <c r="L88" i="1"/>
  <c r="L106" i="1" s="1"/>
  <c r="L73" i="1"/>
  <c r="BA137" i="1"/>
  <c r="BA88" i="1"/>
  <c r="BA73" i="1"/>
  <c r="BD137" i="1"/>
  <c r="BD88" i="1"/>
  <c r="BD73" i="1"/>
  <c r="AQ137" i="1"/>
  <c r="AQ73" i="1"/>
  <c r="AQ88" i="1"/>
  <c r="AW137" i="1"/>
  <c r="AW88" i="1"/>
  <c r="AW73" i="1"/>
  <c r="AH137" i="1"/>
  <c r="AH73" i="1"/>
  <c r="AH88" i="1"/>
  <c r="BC137" i="1"/>
  <c r="BC73" i="1"/>
  <c r="BC88" i="1"/>
  <c r="AT137" i="1"/>
  <c r="AT73" i="1"/>
  <c r="AT88" i="1"/>
  <c r="AI137" i="1"/>
  <c r="AI73" i="1"/>
  <c r="AI88" i="1"/>
  <c r="Z137" i="1"/>
  <c r="Z73" i="1"/>
  <c r="Z88" i="1"/>
  <c r="N137" i="1"/>
  <c r="N73" i="1"/>
  <c r="N88" i="1"/>
  <c r="N106" i="1" s="1"/>
  <c r="F137" i="1"/>
  <c r="F73" i="1"/>
  <c r="F88" i="1"/>
  <c r="F106" i="1" s="1"/>
  <c r="I137" i="1"/>
  <c r="I88" i="1"/>
  <c r="I106" i="1" s="1"/>
  <c r="I73" i="1"/>
  <c r="CJ26" i="1"/>
  <c r="CB68" i="1"/>
  <c r="CB23" i="1"/>
  <c r="CF40" i="1"/>
  <c r="W101" i="1"/>
  <c r="W102" i="1" s="1"/>
  <c r="W94" i="1"/>
  <c r="CG66" i="1"/>
  <c r="CG72" i="1" s="1"/>
  <c r="CG36" i="1"/>
  <c r="AZ87" i="1"/>
  <c r="AZ69" i="1"/>
  <c r="AJ87" i="1"/>
  <c r="AJ69" i="1"/>
  <c r="H87" i="1"/>
  <c r="H69" i="1"/>
  <c r="X26" i="1"/>
  <c r="CM78" i="1"/>
  <c r="AY72" i="1"/>
  <c r="AY26" i="1"/>
  <c r="CI40" i="1"/>
  <c r="CH66" i="1"/>
  <c r="CH72" i="1" s="1"/>
  <c r="CH36" i="1"/>
  <c r="CD23" i="1"/>
  <c r="BA87" i="1"/>
  <c r="BA69" i="1"/>
  <c r="AK87" i="1"/>
  <c r="AK69" i="1"/>
  <c r="U87" i="1"/>
  <c r="U69" i="1"/>
  <c r="E87" i="1"/>
  <c r="E69" i="1"/>
  <c r="X66" i="1"/>
  <c r="X72" i="1" s="1"/>
  <c r="X36" i="1"/>
  <c r="AU113" i="1"/>
  <c r="AU116" i="1" s="1"/>
  <c r="AU110" i="1"/>
  <c r="AU166" i="1" s="1"/>
  <c r="AU98" i="1"/>
  <c r="AE97" i="1"/>
  <c r="AE91" i="1"/>
  <c r="O97" i="1"/>
  <c r="O91" i="1"/>
  <c r="AL72" i="1"/>
  <c r="AL26" i="1"/>
  <c r="CI73" i="1"/>
  <c r="CI88" i="1"/>
  <c r="BZ30" i="1"/>
  <c r="CF26" i="1"/>
  <c r="CF30" i="1"/>
  <c r="H106" i="1"/>
  <c r="BF91" i="1"/>
  <c r="AH91" i="1"/>
  <c r="Z91" i="1"/>
  <c r="Y26" i="1"/>
  <c r="Y72" i="1"/>
  <c r="CD20" i="1"/>
  <c r="CD25" i="1" s="1"/>
  <c r="AS137" i="1"/>
  <c r="AS88" i="1"/>
  <c r="AS73" i="1"/>
  <c r="CA50" i="1"/>
  <c r="BG72" i="1"/>
  <c r="BG26" i="1"/>
  <c r="BB137" i="1"/>
  <c r="BB73" i="1"/>
  <c r="BB88" i="1"/>
  <c r="CJ23" i="1"/>
  <c r="CJ68" i="1"/>
  <c r="BD87" i="1"/>
  <c r="BD69" i="1"/>
  <c r="L87" i="1"/>
  <c r="L69" i="1"/>
  <c r="S87" i="1"/>
  <c r="S69" i="1"/>
  <c r="CH68" i="1"/>
  <c r="CH23" i="1"/>
  <c r="AC137" i="1"/>
  <c r="AC88" i="1"/>
  <c r="AC73" i="1"/>
  <c r="CK87" i="1"/>
  <c r="CK69" i="1"/>
  <c r="AD137" i="1"/>
  <c r="AD73" i="1"/>
  <c r="AD88" i="1"/>
  <c r="O137" i="1"/>
  <c r="O73" i="1"/>
  <c r="O88" i="1"/>
  <c r="O106" i="1" s="1"/>
  <c r="G137" i="1"/>
  <c r="G73" i="1"/>
  <c r="G88" i="1"/>
  <c r="G106" i="1" s="1"/>
  <c r="E137" i="1"/>
  <c r="E88" i="1"/>
  <c r="E106" i="1" s="1"/>
  <c r="E73" i="1"/>
  <c r="CJ66" i="1"/>
  <c r="CJ72" i="1" s="1"/>
  <c r="CJ36" i="1"/>
  <c r="BM104" i="1"/>
  <c r="BN104" i="1" s="1"/>
  <c r="BO104" i="1" s="1"/>
  <c r="BP104" i="1" s="1"/>
  <c r="BL82" i="1"/>
  <c r="CM104" i="1"/>
  <c r="CC93" i="1"/>
  <c r="CM82" i="1"/>
  <c r="CM100" i="1" s="1"/>
  <c r="BZ94" i="1"/>
  <c r="CC36" i="1"/>
  <c r="CC66" i="1"/>
  <c r="CC72" i="1" s="1"/>
  <c r="AV87" i="1"/>
  <c r="AV69" i="1"/>
  <c r="AF87" i="1"/>
  <c r="AF69" i="1"/>
  <c r="T87" i="1"/>
  <c r="T69" i="1"/>
  <c r="D87" i="1"/>
  <c r="D69" i="1"/>
  <c r="AA100" i="1"/>
  <c r="AA102" i="1" s="1"/>
  <c r="AA20" i="1"/>
  <c r="AA25" i="1" s="1"/>
  <c r="CC100" i="1"/>
  <c r="CD50" i="1"/>
  <c r="AM72" i="1"/>
  <c r="AM26" i="1"/>
  <c r="AY87" i="1"/>
  <c r="AY69" i="1"/>
  <c r="BZ66" i="1"/>
  <c r="BZ72" i="1" s="1"/>
  <c r="BZ36" i="1"/>
  <c r="CI30" i="1"/>
  <c r="BZ68" i="1"/>
  <c r="BZ23" i="1"/>
  <c r="AW87" i="1"/>
  <c r="AW69" i="1"/>
  <c r="AG87" i="1"/>
  <c r="AG69" i="1"/>
  <c r="Q87" i="1"/>
  <c r="Q69" i="1"/>
  <c r="AO26" i="1"/>
  <c r="AO72" i="1"/>
  <c r="BC97" i="1"/>
  <c r="BC91" i="1"/>
  <c r="AQ97" i="1"/>
  <c r="AQ91" i="1"/>
  <c r="AA97" i="1"/>
  <c r="AA91" i="1"/>
  <c r="K97" i="1"/>
  <c r="K91" i="1"/>
  <c r="G97" i="1"/>
  <c r="G91" i="1"/>
  <c r="BF137" i="1"/>
  <c r="BF73" i="1"/>
  <c r="BF88" i="1"/>
  <c r="BF106" i="1" s="1"/>
  <c r="M137" i="1"/>
  <c r="M88" i="1"/>
  <c r="M106" i="1" s="1"/>
  <c r="M73" i="1"/>
  <c r="CF23" i="1"/>
  <c r="CF68" i="1"/>
  <c r="AM97" i="1"/>
  <c r="AM91" i="1"/>
  <c r="CL66" i="1"/>
  <c r="CL72" i="1" s="1"/>
  <c r="CL36" i="1"/>
  <c r="AU137" i="1"/>
  <c r="AU73" i="1"/>
  <c r="AU88" i="1"/>
  <c r="AK137" i="1"/>
  <c r="AK88" i="1"/>
  <c r="AK73" i="1"/>
  <c r="K137" i="1"/>
  <c r="K73" i="1"/>
  <c r="K88" i="1"/>
  <c r="K106" i="1" s="1"/>
  <c r="CA66" i="1"/>
  <c r="CA72" i="1" s="1"/>
  <c r="CF66" i="1"/>
  <c r="CF72" i="1" s="1"/>
  <c r="CF36" i="1"/>
  <c r="AX137" i="1"/>
  <c r="AX73" i="1"/>
  <c r="AX88" i="1"/>
  <c r="AP137" i="1"/>
  <c r="AP73" i="1"/>
  <c r="AP88" i="1"/>
  <c r="AE137" i="1"/>
  <c r="AE73" i="1"/>
  <c r="AE88" i="1"/>
  <c r="R137" i="1"/>
  <c r="R73" i="1"/>
  <c r="R88" i="1"/>
  <c r="J137" i="1"/>
  <c r="J73" i="1"/>
  <c r="J88" i="1"/>
  <c r="AF117" i="1"/>
  <c r="AF119" i="1"/>
  <c r="BM78" i="1"/>
  <c r="BN78" i="1" s="1"/>
  <c r="BO78" i="1" s="1"/>
  <c r="BP78" i="1" s="1"/>
  <c r="BP128" i="1"/>
  <c r="BQ128" i="1" s="1"/>
  <c r="BR128" i="1" s="1"/>
  <c r="BS128" i="1" s="1"/>
  <c r="CN128" i="1"/>
  <c r="BM125" i="1"/>
  <c r="BN125" i="1" s="1"/>
  <c r="BO125" i="1" s="1"/>
  <c r="BP125" i="1" s="1"/>
  <c r="CI94" i="1"/>
  <c r="BY66" i="1"/>
  <c r="BY72" i="1" s="1"/>
  <c r="BY36" i="1"/>
  <c r="CD30" i="1"/>
  <c r="CD29" i="1"/>
  <c r="CD35" i="1"/>
  <c r="CD65" i="1"/>
  <c r="CD68" i="1" s="1"/>
  <c r="BH87" i="1"/>
  <c r="BH69" i="1"/>
  <c r="AR87" i="1"/>
  <c r="AR69" i="1"/>
  <c r="AB87" i="1"/>
  <c r="AB69" i="1"/>
  <c r="P87" i="1"/>
  <c r="P69" i="1"/>
  <c r="BY102" i="1"/>
  <c r="W26" i="1"/>
  <c r="BY94" i="1"/>
  <c r="AI87" i="1"/>
  <c r="AI69" i="1"/>
  <c r="AA66" i="1"/>
  <c r="AA36" i="1"/>
  <c r="CE30" i="1"/>
  <c r="CL68" i="1"/>
  <c r="CL23" i="1"/>
  <c r="AS87" i="1"/>
  <c r="AS69" i="1"/>
  <c r="AC87" i="1"/>
  <c r="AC69" i="1"/>
  <c r="M87" i="1"/>
  <c r="M69" i="1"/>
  <c r="BZ102" i="1"/>
  <c r="AB137" i="1"/>
  <c r="AB88" i="1"/>
  <c r="AB73" i="1"/>
  <c r="BG97" i="1"/>
  <c r="BG91" i="1"/>
  <c r="AG137" i="1"/>
  <c r="AG88" i="1"/>
  <c r="AG73" i="1"/>
  <c r="U137" i="1"/>
  <c r="U88" i="1"/>
  <c r="U73" i="1"/>
  <c r="CB66" i="1"/>
  <c r="CB72" i="1" s="1"/>
  <c r="CB36" i="1"/>
  <c r="BB97" i="1"/>
  <c r="BB91" i="1"/>
  <c r="AT97" i="1"/>
  <c r="AT91" i="1"/>
  <c r="AL97" i="1"/>
  <c r="V97" i="1"/>
  <c r="V91" i="1"/>
  <c r="N97" i="1"/>
  <c r="N91" i="1"/>
  <c r="F97" i="1"/>
  <c r="F91" i="1"/>
  <c r="T137" i="1"/>
  <c r="T88" i="1"/>
  <c r="T106" i="1" s="1"/>
  <c r="T73" i="1"/>
  <c r="CG26" i="1"/>
  <c r="V137" i="1"/>
  <c r="V73" i="1"/>
  <c r="V88" i="1"/>
  <c r="V106" i="1" s="1"/>
  <c r="CB26" i="1"/>
  <c r="BM63" i="63"/>
  <c r="CO128" i="1" l="1"/>
  <c r="BT128" i="1"/>
  <c r="BH26" i="1"/>
  <c r="W97" i="1"/>
  <c r="W98" i="1" s="1"/>
  <c r="CI69" i="1"/>
  <c r="J91" i="1"/>
  <c r="R97" i="1"/>
  <c r="R113" i="1" s="1"/>
  <c r="R116" i="1" s="1"/>
  <c r="AP91" i="1"/>
  <c r="AZ106" i="1"/>
  <c r="AZ117" i="1" s="1"/>
  <c r="AD97" i="1"/>
  <c r="AD110" i="1" s="1"/>
  <c r="AD166" i="1" s="1"/>
  <c r="AX97" i="1"/>
  <c r="AX98" i="1" s="1"/>
  <c r="CE73" i="1"/>
  <c r="CE88" i="1"/>
  <c r="CE106" i="1" s="1"/>
  <c r="X91" i="1"/>
  <c r="AR117" i="1"/>
  <c r="CN125" i="1"/>
  <c r="CN104" i="1"/>
  <c r="AV106" i="1"/>
  <c r="AV95" i="1"/>
  <c r="AR95" i="1"/>
  <c r="AN117" i="1"/>
  <c r="F95" i="1"/>
  <c r="K95" i="1"/>
  <c r="CI106" i="1"/>
  <c r="CI117" i="1" s="1"/>
  <c r="CI91" i="1"/>
  <c r="P95" i="1"/>
  <c r="D106" i="1"/>
  <c r="D95" i="1"/>
  <c r="G95" i="1"/>
  <c r="CK137" i="1"/>
  <c r="L95" i="1"/>
  <c r="N95" i="1"/>
  <c r="BF95" i="1"/>
  <c r="CF137" i="1"/>
  <c r="BY137" i="1"/>
  <c r="O95" i="1"/>
  <c r="CL73" i="1"/>
  <c r="CL88" i="1"/>
  <c r="CD87" i="1"/>
  <c r="CD69" i="1"/>
  <c r="CJ88" i="1"/>
  <c r="CJ73" i="1"/>
  <c r="CF88" i="1"/>
  <c r="CF73" i="1"/>
  <c r="CE137" i="1"/>
  <c r="AH110" i="1"/>
  <c r="AH166" i="1" s="1"/>
  <c r="AH113" i="1"/>
  <c r="AH116" i="1" s="1"/>
  <c r="AH98" i="1"/>
  <c r="BA97" i="1"/>
  <c r="BA91" i="1"/>
  <c r="BA106" i="1"/>
  <c r="BA95" i="1"/>
  <c r="Y97" i="1"/>
  <c r="Y91" i="1"/>
  <c r="BY97" i="1"/>
  <c r="BY91" i="1"/>
  <c r="CB88" i="1"/>
  <c r="CB73" i="1"/>
  <c r="F110" i="1"/>
  <c r="F166" i="1" s="1"/>
  <c r="F113" i="1"/>
  <c r="F116" i="1" s="1"/>
  <c r="F98" i="1"/>
  <c r="V110" i="1"/>
  <c r="V166" i="1" s="1"/>
  <c r="V113" i="1"/>
  <c r="V116" i="1" s="1"/>
  <c r="V98" i="1"/>
  <c r="AL110" i="1"/>
  <c r="AL166" i="1" s="1"/>
  <c r="AL113" i="1"/>
  <c r="AL116" i="1" s="1"/>
  <c r="AL98" i="1"/>
  <c r="BB113" i="1"/>
  <c r="BB116" i="1" s="1"/>
  <c r="BB110" i="1"/>
  <c r="BB166" i="1" s="1"/>
  <c r="BB98" i="1"/>
  <c r="BG113" i="1"/>
  <c r="BG116" i="1" s="1"/>
  <c r="BG98" i="1"/>
  <c r="BG110" i="1"/>
  <c r="BG166" i="1" s="1"/>
  <c r="AC97" i="1"/>
  <c r="AC91" i="1"/>
  <c r="BH137" i="1"/>
  <c r="BH88" i="1"/>
  <c r="BH73" i="1"/>
  <c r="AB97" i="1"/>
  <c r="AB91" i="1"/>
  <c r="BH97" i="1"/>
  <c r="BH91" i="1"/>
  <c r="CI95" i="1"/>
  <c r="I95" i="1"/>
  <c r="BL123" i="1"/>
  <c r="AP106" i="1"/>
  <c r="AP95" i="1"/>
  <c r="CA73" i="1"/>
  <c r="CA88" i="1"/>
  <c r="CA106" i="1" s="1"/>
  <c r="K117" i="1"/>
  <c r="K119" i="1"/>
  <c r="AK106" i="1"/>
  <c r="AK95" i="1"/>
  <c r="AM110" i="1"/>
  <c r="AM166" i="1" s="1"/>
  <c r="AM113" i="1"/>
  <c r="AM116" i="1" s="1"/>
  <c r="AM98" i="1"/>
  <c r="M119" i="1"/>
  <c r="M117" i="1"/>
  <c r="Q97" i="1"/>
  <c r="Q91" i="1"/>
  <c r="AW97" i="1"/>
  <c r="AW91" i="1"/>
  <c r="AY97" i="1"/>
  <c r="AY91" i="1"/>
  <c r="D97" i="1"/>
  <c r="D91" i="1"/>
  <c r="AF91" i="1"/>
  <c r="AF97" i="1"/>
  <c r="CC101" i="1"/>
  <c r="CC102" i="1" s="1"/>
  <c r="CC94" i="1"/>
  <c r="BL100" i="1"/>
  <c r="BM82" i="1"/>
  <c r="BQ104" i="1"/>
  <c r="BR104" i="1" s="1"/>
  <c r="BS104" i="1" s="1"/>
  <c r="BT104" i="1" s="1"/>
  <c r="E119" i="1"/>
  <c r="E117" i="1"/>
  <c r="CH87" i="1"/>
  <c r="CH69" i="1"/>
  <c r="L97" i="1"/>
  <c r="L91" i="1"/>
  <c r="V95" i="1"/>
  <c r="O113" i="1"/>
  <c r="O116" i="1" s="1"/>
  <c r="O110" i="1"/>
  <c r="O166" i="1" s="1"/>
  <c r="O98" i="1"/>
  <c r="CH73" i="1"/>
  <c r="CH88" i="1"/>
  <c r="AY137" i="1"/>
  <c r="CJ137" i="1" s="1"/>
  <c r="AY73" i="1"/>
  <c r="AY88" i="1"/>
  <c r="E95" i="1"/>
  <c r="N119" i="1"/>
  <c r="N117" i="1"/>
  <c r="BC106" i="1"/>
  <c r="BC95" i="1"/>
  <c r="AH106" i="1"/>
  <c r="AH95" i="1"/>
  <c r="AW106" i="1"/>
  <c r="AW95" i="1"/>
  <c r="AJ137" i="1"/>
  <c r="AJ88" i="1"/>
  <c r="AJ73" i="1"/>
  <c r="CK88" i="1"/>
  <c r="CK73" i="1"/>
  <c r="Q106" i="1"/>
  <c r="Q95" i="1"/>
  <c r="CC97" i="1"/>
  <c r="CC91" i="1"/>
  <c r="J106" i="1"/>
  <c r="J95" i="1"/>
  <c r="AX106" i="1"/>
  <c r="AX95" i="1"/>
  <c r="AA110" i="1"/>
  <c r="AA166" i="1" s="1"/>
  <c r="AA113" i="1"/>
  <c r="AA116" i="1" s="1"/>
  <c r="AA98" i="1"/>
  <c r="BZ87" i="1"/>
  <c r="BZ69" i="1"/>
  <c r="CC88" i="1"/>
  <c r="CC73" i="1"/>
  <c r="CK97" i="1"/>
  <c r="CK91" i="1"/>
  <c r="U97" i="1"/>
  <c r="U91" i="1"/>
  <c r="AZ97" i="1"/>
  <c r="AZ91" i="1"/>
  <c r="I119" i="1"/>
  <c r="I117" i="1"/>
  <c r="Z106" i="1"/>
  <c r="Z95" i="1"/>
  <c r="W113" i="1"/>
  <c r="W116" i="1" s="1"/>
  <c r="CA137" i="1"/>
  <c r="BE97" i="1"/>
  <c r="BE91" i="1"/>
  <c r="CA97" i="1"/>
  <c r="CA91" i="1"/>
  <c r="CI110" i="1"/>
  <c r="CI166" i="1" s="1"/>
  <c r="CI113" i="1"/>
  <c r="CI116" i="1" s="1"/>
  <c r="CI98" i="1"/>
  <c r="V119" i="1"/>
  <c r="V117" i="1"/>
  <c r="T119" i="1"/>
  <c r="T117" i="1"/>
  <c r="AG106" i="1"/>
  <c r="AG95" i="1"/>
  <c r="CL87" i="1"/>
  <c r="CL69" i="1"/>
  <c r="BQ78" i="1"/>
  <c r="BR78" i="1" s="1"/>
  <c r="BS78" i="1" s="1"/>
  <c r="BT78" i="1" s="1"/>
  <c r="CM124" i="1"/>
  <c r="AE106" i="1"/>
  <c r="AE95" i="1"/>
  <c r="BZ137" i="1"/>
  <c r="CF87" i="1"/>
  <c r="CF69" i="1"/>
  <c r="K110" i="1"/>
  <c r="K166" i="1" s="1"/>
  <c r="K98" i="1"/>
  <c r="K113" i="1"/>
  <c r="K116" i="1" s="1"/>
  <c r="AQ110" i="1"/>
  <c r="AQ166" i="1" s="1"/>
  <c r="AQ98" i="1"/>
  <c r="AQ113" i="1"/>
  <c r="AQ116" i="1" s="1"/>
  <c r="BC113" i="1"/>
  <c r="BC116" i="1" s="1"/>
  <c r="BC110" i="1"/>
  <c r="BC166" i="1" s="1"/>
  <c r="BC98" i="1"/>
  <c r="AO137" i="1"/>
  <c r="AO88" i="1"/>
  <c r="AO73" i="1"/>
  <c r="AM137" i="1"/>
  <c r="AM73" i="1"/>
  <c r="AM88" i="1"/>
  <c r="AA72" i="1"/>
  <c r="AA26" i="1"/>
  <c r="O117" i="1"/>
  <c r="O119" i="1"/>
  <c r="T95" i="1"/>
  <c r="CJ69" i="1"/>
  <c r="CJ87" i="1"/>
  <c r="CD26" i="1"/>
  <c r="J113" i="1"/>
  <c r="J116" i="1" s="1"/>
  <c r="J110" i="1"/>
  <c r="J166" i="1" s="1"/>
  <c r="J98" i="1"/>
  <c r="Z113" i="1"/>
  <c r="Z116" i="1" s="1"/>
  <c r="Z110" i="1"/>
  <c r="Z166" i="1" s="1"/>
  <c r="Z98" i="1"/>
  <c r="AP113" i="1"/>
  <c r="AP116" i="1" s="1"/>
  <c r="AP110" i="1"/>
  <c r="AP166" i="1" s="1"/>
  <c r="AP98" i="1"/>
  <c r="BF113" i="1"/>
  <c r="BF116" i="1" s="1"/>
  <c r="BF110" i="1"/>
  <c r="BF166" i="1" s="1"/>
  <c r="BF98" i="1"/>
  <c r="E97" i="1"/>
  <c r="E91" i="1"/>
  <c r="AK97" i="1"/>
  <c r="AK91" i="1"/>
  <c r="H97" i="1"/>
  <c r="H91" i="1"/>
  <c r="AJ97" i="1"/>
  <c r="AJ91" i="1"/>
  <c r="F119" i="1"/>
  <c r="F117" i="1"/>
  <c r="AT106" i="1"/>
  <c r="AT95" i="1"/>
  <c r="I97" i="1"/>
  <c r="I91" i="1"/>
  <c r="AO97" i="1"/>
  <c r="AO91" i="1"/>
  <c r="P117" i="1"/>
  <c r="P119" i="1"/>
  <c r="CE97" i="1"/>
  <c r="CE91" i="1"/>
  <c r="BE106" i="1"/>
  <c r="BE95" i="1"/>
  <c r="CG88" i="1"/>
  <c r="CG73" i="1"/>
  <c r="BM124" i="1"/>
  <c r="BN124" i="1" s="1"/>
  <c r="BO124" i="1" s="1"/>
  <c r="BP124" i="1" s="1"/>
  <c r="AD106" i="1"/>
  <c r="AD95" i="1"/>
  <c r="BB106" i="1"/>
  <c r="BB95" i="1"/>
  <c r="AS106" i="1"/>
  <c r="AS95" i="1"/>
  <c r="X137" i="1"/>
  <c r="X88" i="1"/>
  <c r="X73" i="1"/>
  <c r="X113" i="1"/>
  <c r="X116" i="1" s="1"/>
  <c r="X110" i="1"/>
  <c r="X166" i="1" s="1"/>
  <c r="X98" i="1"/>
  <c r="CB87" i="1"/>
  <c r="CB69" i="1"/>
  <c r="N113" i="1"/>
  <c r="N116" i="1" s="1"/>
  <c r="N110" i="1"/>
  <c r="N166" i="1" s="1"/>
  <c r="N98" i="1"/>
  <c r="AD98" i="1"/>
  <c r="AT113" i="1"/>
  <c r="AT116" i="1" s="1"/>
  <c r="AT110" i="1"/>
  <c r="AT166" i="1" s="1"/>
  <c r="AT98" i="1"/>
  <c r="U106" i="1"/>
  <c r="U95" i="1"/>
  <c r="AB106" i="1"/>
  <c r="AB95" i="1"/>
  <c r="M97" i="1"/>
  <c r="M91" i="1"/>
  <c r="AS97" i="1"/>
  <c r="AS91" i="1"/>
  <c r="AI97" i="1"/>
  <c r="AI91" i="1"/>
  <c r="W137" i="1"/>
  <c r="W73" i="1"/>
  <c r="W88" i="1"/>
  <c r="W106" i="1" s="1"/>
  <c r="P91" i="1"/>
  <c r="P97" i="1"/>
  <c r="AR97" i="1"/>
  <c r="AR91" i="1"/>
  <c r="CD66" i="1"/>
  <c r="CD72" i="1" s="1"/>
  <c r="CD36" i="1"/>
  <c r="BY88" i="1"/>
  <c r="BY106" i="1" s="1"/>
  <c r="BY73" i="1"/>
  <c r="BQ125" i="1"/>
  <c r="BR125" i="1" s="1"/>
  <c r="BS125" i="1" s="1"/>
  <c r="BT125" i="1" s="1"/>
  <c r="CN78" i="1"/>
  <c r="R106" i="1"/>
  <c r="R95" i="1"/>
  <c r="AU106" i="1"/>
  <c r="AU95" i="1"/>
  <c r="BF119" i="1"/>
  <c r="BF117" i="1"/>
  <c r="G110" i="1"/>
  <c r="G166" i="1" s="1"/>
  <c r="G113" i="1"/>
  <c r="G116" i="1" s="1"/>
  <c r="G98" i="1"/>
  <c r="CI137" i="1"/>
  <c r="AG97" i="1"/>
  <c r="AG91" i="1"/>
  <c r="BZ73" i="1"/>
  <c r="BZ88" i="1"/>
  <c r="BZ106" i="1" s="1"/>
  <c r="T97" i="1"/>
  <c r="T91" i="1"/>
  <c r="AV91" i="1"/>
  <c r="AV97" i="1"/>
  <c r="M95" i="1"/>
  <c r="G117" i="1"/>
  <c r="G119" i="1"/>
  <c r="AC106" i="1"/>
  <c r="AC95" i="1"/>
  <c r="S97" i="1"/>
  <c r="S91" i="1"/>
  <c r="BD97" i="1"/>
  <c r="BD91" i="1"/>
  <c r="BG137" i="1"/>
  <c r="BG73" i="1"/>
  <c r="BG88" i="1"/>
  <c r="Y137" i="1"/>
  <c r="Y88" i="1"/>
  <c r="Y73" i="1"/>
  <c r="H117" i="1"/>
  <c r="H119" i="1"/>
  <c r="AL137" i="1"/>
  <c r="AL73" i="1"/>
  <c r="AL88" i="1"/>
  <c r="AE113" i="1"/>
  <c r="AE116" i="1" s="1"/>
  <c r="AE110" i="1"/>
  <c r="AE166" i="1" s="1"/>
  <c r="AE98" i="1"/>
  <c r="AI106" i="1"/>
  <c r="AI95" i="1"/>
  <c r="AQ106" i="1"/>
  <c r="AQ95" i="1"/>
  <c r="BD106" i="1"/>
  <c r="BD95" i="1"/>
  <c r="L119" i="1"/>
  <c r="L117" i="1"/>
  <c r="S137" i="1"/>
  <c r="S73" i="1"/>
  <c r="S88" i="1"/>
  <c r="AN97" i="1"/>
  <c r="AN91" i="1"/>
  <c r="CG97" i="1"/>
  <c r="CG91" i="1"/>
  <c r="BU125" i="1" l="1"/>
  <c r="BV125" i="1" s="1"/>
  <c r="BW125" i="1" s="1"/>
  <c r="BU78" i="1"/>
  <c r="BV78" i="1" s="1"/>
  <c r="BW78" i="1" s="1"/>
  <c r="BU104" i="1"/>
  <c r="BV104" i="1" s="1"/>
  <c r="BW104" i="1" s="1"/>
  <c r="BU128" i="1"/>
  <c r="BV128" i="1" s="1"/>
  <c r="BW128" i="1" s="1"/>
  <c r="CP128" i="1"/>
  <c r="AX110" i="1"/>
  <c r="AX166" i="1" s="1"/>
  <c r="AD113" i="1"/>
  <c r="AD116" i="1" s="1"/>
  <c r="W110" i="1"/>
  <c r="W166" i="1" s="1"/>
  <c r="AZ119" i="1"/>
  <c r="CE95" i="1"/>
  <c r="AX113" i="1"/>
  <c r="AX116" i="1" s="1"/>
  <c r="R110" i="1"/>
  <c r="R166" i="1" s="1"/>
  <c r="R98" i="1"/>
  <c r="CM123" i="1"/>
  <c r="CO104" i="1"/>
  <c r="CO78" i="1"/>
  <c r="AV119" i="1"/>
  <c r="AV117" i="1"/>
  <c r="CI119" i="1"/>
  <c r="CC106" i="1"/>
  <c r="CC119" i="1" s="1"/>
  <c r="D119" i="1"/>
  <c r="D117" i="1"/>
  <c r="CA95" i="1"/>
  <c r="CC137" i="1"/>
  <c r="T113" i="1"/>
  <c r="T116" i="1" s="1"/>
  <c r="T110" i="1"/>
  <c r="T166" i="1" s="1"/>
  <c r="T98" i="1"/>
  <c r="AI110" i="1"/>
  <c r="AI166" i="1" s="1"/>
  <c r="AI113" i="1"/>
  <c r="AI116" i="1" s="1"/>
  <c r="AI98" i="1"/>
  <c r="U119" i="1"/>
  <c r="U117" i="1"/>
  <c r="Q119" i="1"/>
  <c r="Q117" i="1"/>
  <c r="AJ106" i="1"/>
  <c r="AJ95" i="1"/>
  <c r="AW119" i="1"/>
  <c r="AW117" i="1"/>
  <c r="AY106" i="1"/>
  <c r="AY95" i="1"/>
  <c r="CE119" i="1"/>
  <c r="CE117" i="1"/>
  <c r="AC119" i="1"/>
  <c r="AC117" i="1"/>
  <c r="BZ119" i="1"/>
  <c r="BZ117" i="1"/>
  <c r="BY119" i="1"/>
  <c r="BY117" i="1"/>
  <c r="CB97" i="1"/>
  <c r="CB91" i="1"/>
  <c r="BB119" i="1"/>
  <c r="BB117" i="1"/>
  <c r="AT117" i="1"/>
  <c r="AT119" i="1"/>
  <c r="AK113" i="1"/>
  <c r="AK116" i="1" s="1"/>
  <c r="AK98" i="1"/>
  <c r="AK110" i="1"/>
  <c r="AK166" i="1" s="1"/>
  <c r="CD73" i="1"/>
  <c r="CD88" i="1"/>
  <c r="AG119" i="1"/>
  <c r="AG117" i="1"/>
  <c r="AZ113" i="1"/>
  <c r="AZ116" i="1" s="1"/>
  <c r="AZ110" i="1"/>
  <c r="AZ166" i="1" s="1"/>
  <c r="AZ98" i="1"/>
  <c r="L113" i="1"/>
  <c r="L116" i="1" s="1"/>
  <c r="L110" i="1"/>
  <c r="L166" i="1" s="1"/>
  <c r="L98" i="1"/>
  <c r="CC95" i="1"/>
  <c r="AB113" i="1"/>
  <c r="AB116" i="1" s="1"/>
  <c r="AB110" i="1"/>
  <c r="AB166" i="1" s="1"/>
  <c r="AB98" i="1"/>
  <c r="BY110" i="1"/>
  <c r="BY166" i="1" s="1"/>
  <c r="BY113" i="1"/>
  <c r="BY116" i="1" s="1"/>
  <c r="BY98" i="1"/>
  <c r="CL106" i="1"/>
  <c r="CL95" i="1"/>
  <c r="W95" i="1"/>
  <c r="CG98" i="1"/>
  <c r="CG113" i="1"/>
  <c r="CG116" i="1" s="1"/>
  <c r="CG110" i="1"/>
  <c r="CG166" i="1" s="1"/>
  <c r="S106" i="1"/>
  <c r="S95" i="1"/>
  <c r="AQ117" i="1"/>
  <c r="AQ119" i="1"/>
  <c r="AL106" i="1"/>
  <c r="AL95" i="1"/>
  <c r="BG106" i="1"/>
  <c r="BG95" i="1"/>
  <c r="S110" i="1"/>
  <c r="S166" i="1" s="1"/>
  <c r="S113" i="1"/>
  <c r="S116" i="1" s="1"/>
  <c r="S98" i="1"/>
  <c r="CB137" i="1"/>
  <c r="CO125" i="1"/>
  <c r="AS119" i="1"/>
  <c r="AS117" i="1"/>
  <c r="AD119" i="1"/>
  <c r="AD117" i="1"/>
  <c r="CG106" i="1"/>
  <c r="CG95" i="1"/>
  <c r="CE110" i="1"/>
  <c r="CE166" i="1" s="1"/>
  <c r="CE113" i="1"/>
  <c r="CE116" i="1" s="1"/>
  <c r="CE98" i="1"/>
  <c r="I113" i="1"/>
  <c r="I116" i="1" s="1"/>
  <c r="I98" i="1"/>
  <c r="I110" i="1"/>
  <c r="I166" i="1" s="1"/>
  <c r="H113" i="1"/>
  <c r="H116" i="1" s="1"/>
  <c r="H110" i="1"/>
  <c r="H166" i="1" s="1"/>
  <c r="H98" i="1"/>
  <c r="E113" i="1"/>
  <c r="E116" i="1" s="1"/>
  <c r="E98" i="1"/>
  <c r="E110" i="1"/>
  <c r="E166" i="1" s="1"/>
  <c r="AM106" i="1"/>
  <c r="AM95" i="1"/>
  <c r="CH137" i="1"/>
  <c r="CL97" i="1"/>
  <c r="CL91" i="1"/>
  <c r="CL137" i="1"/>
  <c r="U113" i="1"/>
  <c r="U116" i="1" s="1"/>
  <c r="U98" i="1"/>
  <c r="U110" i="1"/>
  <c r="U166" i="1" s="1"/>
  <c r="CK113" i="1"/>
  <c r="CK116" i="1" s="1"/>
  <c r="CK98" i="1"/>
  <c r="CK110" i="1"/>
  <c r="CK166" i="1" s="1"/>
  <c r="BZ97" i="1"/>
  <c r="BZ91" i="1"/>
  <c r="CH106" i="1"/>
  <c r="CH95" i="1"/>
  <c r="CH97" i="1"/>
  <c r="CH91" i="1"/>
  <c r="BZ95" i="1"/>
  <c r="D113" i="1"/>
  <c r="D116" i="1" s="1"/>
  <c r="D110" i="1"/>
  <c r="D166" i="1" s="1"/>
  <c r="D98" i="1"/>
  <c r="AK119" i="1"/>
  <c r="AK117" i="1"/>
  <c r="BH113" i="1"/>
  <c r="BH116" i="1" s="1"/>
  <c r="BH110" i="1"/>
  <c r="BH166" i="1" s="1"/>
  <c r="BH98" i="1"/>
  <c r="BH106" i="1"/>
  <c r="BH95" i="1"/>
  <c r="CB106" i="1"/>
  <c r="CB95" i="1"/>
  <c r="Y113" i="1"/>
  <c r="Y116" i="1" s="1"/>
  <c r="Y98" i="1"/>
  <c r="Y110" i="1"/>
  <c r="Y166" i="1" s="1"/>
  <c r="BA113" i="1"/>
  <c r="BA116" i="1" s="1"/>
  <c r="BA110" i="1"/>
  <c r="BA166" i="1" s="1"/>
  <c r="BA98" i="1"/>
  <c r="AG98" i="1"/>
  <c r="AG113" i="1"/>
  <c r="AG116" i="1" s="1"/>
  <c r="AG110" i="1"/>
  <c r="AG166" i="1" s="1"/>
  <c r="W117" i="1"/>
  <c r="W119" i="1"/>
  <c r="M98" i="1"/>
  <c r="M110" i="1"/>
  <c r="M166" i="1" s="1"/>
  <c r="M113" i="1"/>
  <c r="M116" i="1" s="1"/>
  <c r="AE117" i="1"/>
  <c r="AE119" i="1"/>
  <c r="BE110" i="1"/>
  <c r="BE166" i="1" s="1"/>
  <c r="BE98" i="1"/>
  <c r="BE113" i="1"/>
  <c r="BE116" i="1" s="1"/>
  <c r="AX119" i="1"/>
  <c r="AX117" i="1"/>
  <c r="BC117" i="1"/>
  <c r="BC119" i="1"/>
  <c r="BL101" i="1"/>
  <c r="BL93" i="1" s="1"/>
  <c r="AF113" i="1"/>
  <c r="AF116" i="1" s="1"/>
  <c r="AF110" i="1"/>
  <c r="AF166" i="1" s="1"/>
  <c r="AF98" i="1"/>
  <c r="AW98" i="1"/>
  <c r="AW113" i="1"/>
  <c r="AW116" i="1" s="1"/>
  <c r="AW110" i="1"/>
  <c r="AW166" i="1" s="1"/>
  <c r="CD97" i="1"/>
  <c r="CD91" i="1"/>
  <c r="BD117" i="1"/>
  <c r="BD119" i="1"/>
  <c r="AI117" i="1"/>
  <c r="AI119" i="1"/>
  <c r="Y106" i="1"/>
  <c r="Y95" i="1"/>
  <c r="BD110" i="1"/>
  <c r="BD166" i="1" s="1"/>
  <c r="BD113" i="1"/>
  <c r="BD116" i="1" s="1"/>
  <c r="BD98" i="1"/>
  <c r="AV113" i="1"/>
  <c r="AV116" i="1" s="1"/>
  <c r="AV110" i="1"/>
  <c r="AV166" i="1" s="1"/>
  <c r="AV98" i="1"/>
  <c r="R119" i="1"/>
  <c r="R117" i="1"/>
  <c r="AR113" i="1"/>
  <c r="AR116" i="1" s="1"/>
  <c r="AR110" i="1"/>
  <c r="AR166" i="1" s="1"/>
  <c r="AR98" i="1"/>
  <c r="BQ124" i="1"/>
  <c r="BR124" i="1" s="1"/>
  <c r="BS124" i="1" s="1"/>
  <c r="BT124" i="1" s="1"/>
  <c r="BE119" i="1"/>
  <c r="BE117" i="1"/>
  <c r="AO113" i="1"/>
  <c r="AO116" i="1" s="1"/>
  <c r="AO98" i="1"/>
  <c r="AO110" i="1"/>
  <c r="AO166" i="1" s="1"/>
  <c r="AJ113" i="1"/>
  <c r="AJ116" i="1" s="1"/>
  <c r="AJ110" i="1"/>
  <c r="AJ166" i="1" s="1"/>
  <c r="AJ98" i="1"/>
  <c r="Z119" i="1"/>
  <c r="Z117" i="1"/>
  <c r="CG137" i="1"/>
  <c r="AP119" i="1"/>
  <c r="AP117" i="1"/>
  <c r="BA119" i="1"/>
  <c r="BA117" i="1"/>
  <c r="AN113" i="1"/>
  <c r="AN116" i="1" s="1"/>
  <c r="AN110" i="1"/>
  <c r="AN166" i="1" s="1"/>
  <c r="AN98" i="1"/>
  <c r="AU117" i="1"/>
  <c r="AU119" i="1"/>
  <c r="P113" i="1"/>
  <c r="P116" i="1" s="1"/>
  <c r="P110" i="1"/>
  <c r="P166" i="1" s="1"/>
  <c r="P98" i="1"/>
  <c r="AS98" i="1"/>
  <c r="AS110" i="1"/>
  <c r="AS166" i="1" s="1"/>
  <c r="AS113" i="1"/>
  <c r="AS116" i="1" s="1"/>
  <c r="AB119" i="1"/>
  <c r="AB117" i="1"/>
  <c r="X106" i="1"/>
  <c r="X95" i="1"/>
  <c r="CN124" i="1"/>
  <c r="CJ97" i="1"/>
  <c r="CJ91" i="1"/>
  <c r="AA137" i="1"/>
  <c r="AA73" i="1"/>
  <c r="AA88" i="1"/>
  <c r="AO106" i="1"/>
  <c r="AO95" i="1"/>
  <c r="CF97" i="1"/>
  <c r="CF91" i="1"/>
  <c r="CA113" i="1"/>
  <c r="CA116" i="1" s="1"/>
  <c r="CA110" i="1"/>
  <c r="CA166" i="1" s="1"/>
  <c r="CA98" i="1"/>
  <c r="J117" i="1"/>
  <c r="J119" i="1"/>
  <c r="BY95" i="1"/>
  <c r="CC110" i="1"/>
  <c r="CC166" i="1" s="1"/>
  <c r="CC98" i="1"/>
  <c r="CC113" i="1"/>
  <c r="CC116" i="1" s="1"/>
  <c r="CK106" i="1"/>
  <c r="CK95" i="1"/>
  <c r="AH119" i="1"/>
  <c r="AH117" i="1"/>
  <c r="BM100" i="1"/>
  <c r="BN82" i="1"/>
  <c r="AY113" i="1"/>
  <c r="AY116" i="1" s="1"/>
  <c r="AY110" i="1"/>
  <c r="AY166" i="1" s="1"/>
  <c r="AY98" i="1"/>
  <c r="Q98" i="1"/>
  <c r="Q113" i="1"/>
  <c r="Q116" i="1" s="1"/>
  <c r="Q110" i="1"/>
  <c r="Q166" i="1" s="1"/>
  <c r="CA119" i="1"/>
  <c r="CA117" i="1"/>
  <c r="BM123" i="1"/>
  <c r="BN123" i="1" s="1"/>
  <c r="BO123" i="1" s="1"/>
  <c r="BP123" i="1" s="1"/>
  <c r="AC113" i="1"/>
  <c r="AC116" i="1" s="1"/>
  <c r="AC98" i="1"/>
  <c r="AC110" i="1"/>
  <c r="AC166" i="1" s="1"/>
  <c r="CF106" i="1"/>
  <c r="CF95" i="1"/>
  <c r="CJ106" i="1"/>
  <c r="CJ95" i="1"/>
  <c r="BH105" i="61"/>
  <c r="BH72" i="61"/>
  <c r="BH68" i="61"/>
  <c r="BH65" i="61"/>
  <c r="BH62" i="61"/>
  <c r="BH61" i="61"/>
  <c r="BH60" i="61"/>
  <c r="BH59" i="61"/>
  <c r="BH58" i="61"/>
  <c r="BH57" i="61"/>
  <c r="BH56" i="61"/>
  <c r="BH55" i="61"/>
  <c r="BH54" i="61"/>
  <c r="BH53" i="61"/>
  <c r="BH52" i="61"/>
  <c r="BH63" i="61" s="1"/>
  <c r="BH48" i="61"/>
  <c r="BH47" i="61"/>
  <c r="BH46" i="61"/>
  <c r="BH45" i="61"/>
  <c r="BH44" i="61"/>
  <c r="BH43" i="61"/>
  <c r="BH42" i="61"/>
  <c r="BH41" i="61"/>
  <c r="BH40" i="61"/>
  <c r="BH49" i="61" s="1"/>
  <c r="BH36" i="61"/>
  <c r="BH35" i="61"/>
  <c r="BH34" i="61"/>
  <c r="BH33" i="61"/>
  <c r="BH32" i="61"/>
  <c r="BH31" i="61"/>
  <c r="BH30" i="61"/>
  <c r="BH29" i="61"/>
  <c r="BH28" i="61"/>
  <c r="BH27" i="61"/>
  <c r="BH26" i="61"/>
  <c r="BH25" i="61"/>
  <c r="BH24" i="61"/>
  <c r="BH23" i="61"/>
  <c r="BH22" i="61"/>
  <c r="BH21" i="61"/>
  <c r="BH20" i="61"/>
  <c r="BH19" i="61"/>
  <c r="BH18" i="61"/>
  <c r="BH17" i="61"/>
  <c r="BH16" i="61"/>
  <c r="BH15" i="61"/>
  <c r="BH14" i="61"/>
  <c r="BH13" i="61"/>
  <c r="BH12" i="61"/>
  <c r="BH11" i="61"/>
  <c r="BH9" i="61"/>
  <c r="CP104" i="1" l="1"/>
  <c r="CP125" i="1"/>
  <c r="BU124" i="1"/>
  <c r="BT78" i="2"/>
  <c r="CP78" i="1"/>
  <c r="BH138" i="1"/>
  <c r="BH139" i="1" s="1"/>
  <c r="BI11" i="61"/>
  <c r="BJ11" i="61" s="1"/>
  <c r="BH37" i="61"/>
  <c r="BH69" i="61" s="1"/>
  <c r="BI9" i="61"/>
  <c r="BJ9" i="61" s="1"/>
  <c r="BI12" i="61"/>
  <c r="BJ12" i="61" s="1"/>
  <c r="BH93" i="61"/>
  <c r="BH103" i="61"/>
  <c r="BH96" i="61"/>
  <c r="CO124" i="1"/>
  <c r="CC117" i="1"/>
  <c r="BL102" i="1"/>
  <c r="BN100" i="1"/>
  <c r="BO82" i="1"/>
  <c r="CN82" i="1" s="1"/>
  <c r="CN100" i="1" s="1"/>
  <c r="AY117" i="1"/>
  <c r="AY119" i="1"/>
  <c r="AJ119" i="1"/>
  <c r="AJ117" i="1"/>
  <c r="CN123" i="1"/>
  <c r="CK119" i="1"/>
  <c r="CK117" i="1"/>
  <c r="CF113" i="1"/>
  <c r="CF116" i="1" s="1"/>
  <c r="CF110" i="1"/>
  <c r="CF166" i="1" s="1"/>
  <c r="CF98" i="1"/>
  <c r="Y119" i="1"/>
  <c r="Y117" i="1"/>
  <c r="CB119" i="1"/>
  <c r="CB117" i="1"/>
  <c r="CH113" i="1"/>
  <c r="CH116" i="1" s="1"/>
  <c r="CH110" i="1"/>
  <c r="CH166" i="1" s="1"/>
  <c r="CH98" i="1"/>
  <c r="CL113" i="1"/>
  <c r="CL116" i="1" s="1"/>
  <c r="CL110" i="1"/>
  <c r="CL166" i="1" s="1"/>
  <c r="CL98" i="1"/>
  <c r="CG119" i="1"/>
  <c r="CG117" i="1"/>
  <c r="AL117" i="1"/>
  <c r="AL119" i="1"/>
  <c r="S117" i="1"/>
  <c r="S119" i="1"/>
  <c r="CD106" i="1"/>
  <c r="CD95" i="1"/>
  <c r="BQ123" i="1"/>
  <c r="BR123" i="1" s="1"/>
  <c r="BS123" i="1" s="1"/>
  <c r="BT123" i="1" s="1"/>
  <c r="BM101" i="1"/>
  <c r="BM93" i="1" s="1"/>
  <c r="AO119" i="1"/>
  <c r="AO117" i="1"/>
  <c r="X117" i="1"/>
  <c r="X119" i="1"/>
  <c r="CD113" i="1"/>
  <c r="CD116" i="1" s="1"/>
  <c r="CD110" i="1"/>
  <c r="CD166" i="1" s="1"/>
  <c r="CD98" i="1"/>
  <c r="BH117" i="1"/>
  <c r="BH119" i="1"/>
  <c r="CH117" i="1"/>
  <c r="CH119" i="1"/>
  <c r="AM117" i="1"/>
  <c r="AM119" i="1"/>
  <c r="CD137" i="1"/>
  <c r="BG117" i="1"/>
  <c r="BG119" i="1"/>
  <c r="CL117" i="1"/>
  <c r="CL119" i="1"/>
  <c r="CJ119" i="1"/>
  <c r="CJ117" i="1"/>
  <c r="BI137" i="1"/>
  <c r="CF119" i="1"/>
  <c r="CF117" i="1"/>
  <c r="AA106" i="1"/>
  <c r="AA95" i="1"/>
  <c r="CJ110" i="1"/>
  <c r="CJ166" i="1" s="1"/>
  <c r="CJ113" i="1"/>
  <c r="CJ116" i="1" s="1"/>
  <c r="CJ98" i="1"/>
  <c r="BZ113" i="1"/>
  <c r="BZ116" i="1" s="1"/>
  <c r="BZ110" i="1"/>
  <c r="BZ166" i="1" s="1"/>
  <c r="BZ98" i="1"/>
  <c r="CB110" i="1"/>
  <c r="CB166" i="1" s="1"/>
  <c r="CB113" i="1"/>
  <c r="CB116" i="1" s="1"/>
  <c r="CB98" i="1"/>
  <c r="BH94" i="61"/>
  <c r="BU123" i="1" l="1"/>
  <c r="BV124" i="1"/>
  <c r="BU78" i="2"/>
  <c r="BH110" i="61"/>
  <c r="BH111" i="61" s="1"/>
  <c r="BH108" i="61"/>
  <c r="BJ92" i="63"/>
  <c r="BJ93" i="61"/>
  <c r="BJ96" i="61"/>
  <c r="BI37" i="61"/>
  <c r="BI69" i="61" s="1"/>
  <c r="BJ37" i="61"/>
  <c r="BI93" i="61"/>
  <c r="BI94" i="61" s="1"/>
  <c r="BI92" i="63"/>
  <c r="BI96" i="61"/>
  <c r="BH97" i="61"/>
  <c r="CO123" i="1"/>
  <c r="BM102" i="1"/>
  <c r="CD119" i="1"/>
  <c r="CD117" i="1"/>
  <c r="BN101" i="1"/>
  <c r="BN93" i="1" s="1"/>
  <c r="BO100" i="1"/>
  <c r="BP82" i="1"/>
  <c r="AA117" i="1"/>
  <c r="AA119" i="1"/>
  <c r="BV123" i="1" l="1"/>
  <c r="BW124" i="1"/>
  <c r="BW78" i="2" s="1"/>
  <c r="BV78" i="2"/>
  <c r="CP124" i="1"/>
  <c r="CP78" i="2" s="1"/>
  <c r="BJ97" i="61"/>
  <c r="BJ69" i="61"/>
  <c r="BJ108" i="61"/>
  <c r="BJ110" i="61"/>
  <c r="BJ111" i="61" s="1"/>
  <c r="BN102" i="1"/>
  <c r="BO101" i="1"/>
  <c r="BO93" i="1" s="1"/>
  <c r="CN93" i="1" s="1"/>
  <c r="CN101" i="1" s="1"/>
  <c r="CN102" i="1" s="1"/>
  <c r="BP100" i="1"/>
  <c r="BQ82" i="1"/>
  <c r="BW123" i="1" l="1"/>
  <c r="CP123" i="1" s="1"/>
  <c r="BO102" i="1"/>
  <c r="BP101" i="1"/>
  <c r="BP93" i="1" s="1"/>
  <c r="BQ100" i="1"/>
  <c r="BR82" i="1"/>
  <c r="BR100" i="1" l="1"/>
  <c r="BS82" i="1"/>
  <c r="BP102" i="1"/>
  <c r="BQ101" i="1"/>
  <c r="BQ93" i="1" s="1"/>
  <c r="BS100" i="1" l="1"/>
  <c r="BT82" i="1"/>
  <c r="BS101" i="1"/>
  <c r="BS93" i="1" s="1"/>
  <c r="BR101" i="1"/>
  <c r="BR93" i="1" s="1"/>
  <c r="BQ102" i="1"/>
  <c r="CO82" i="1"/>
  <c r="CO100" i="1" s="1"/>
  <c r="BH81" i="63"/>
  <c r="BH124" i="63" s="1"/>
  <c r="BU82" i="1" l="1"/>
  <c r="BT100" i="1"/>
  <c r="CO93" i="1"/>
  <c r="CO101" i="1" s="1"/>
  <c r="CO102" i="1" s="1"/>
  <c r="BR102" i="1"/>
  <c r="BS102" i="1"/>
  <c r="BH120" i="63"/>
  <c r="BT101" i="1" l="1"/>
  <c r="BT93" i="1" s="1"/>
  <c r="BU100" i="1"/>
  <c r="BV82" i="1"/>
  <c r="BH104" i="61"/>
  <c r="BT102" i="1" l="1"/>
  <c r="BW82" i="1"/>
  <c r="BW100" i="1" s="1"/>
  <c r="BV100" i="1"/>
  <c r="BU101" i="1"/>
  <c r="BU93" i="1" s="1"/>
  <c r="BH98" i="63"/>
  <c r="BH86" i="63"/>
  <c r="BH71" i="63"/>
  <c r="BH54" i="63"/>
  <c r="BI55" i="63" s="1"/>
  <c r="BH43" i="63"/>
  <c r="BI44" i="63" s="1"/>
  <c r="BH32" i="63"/>
  <c r="BI33" i="63" s="1"/>
  <c r="BH21" i="63"/>
  <c r="BI22" i="63" s="1"/>
  <c r="BH10" i="63"/>
  <c r="BI11" i="63" s="1"/>
  <c r="BH166" i="63"/>
  <c r="BH157" i="63"/>
  <c r="BH128" i="63"/>
  <c r="BH127" i="63"/>
  <c r="BH126" i="63"/>
  <c r="BH125" i="63"/>
  <c r="BH109" i="63"/>
  <c r="BH139" i="63" s="1"/>
  <c r="CP82" i="1" l="1"/>
  <c r="CP100" i="1" s="1"/>
  <c r="BU102" i="1"/>
  <c r="BV101" i="1"/>
  <c r="BV93" i="1" s="1"/>
  <c r="BW101" i="1"/>
  <c r="BW93" i="1" s="1"/>
  <c r="BH136" i="63"/>
  <c r="BH140" i="63"/>
  <c r="BH137" i="63"/>
  <c r="BH141" i="63"/>
  <c r="BH138" i="63"/>
  <c r="BH142" i="63"/>
  <c r="BH76" i="63"/>
  <c r="BI77" i="63" s="1"/>
  <c r="BH135" i="63"/>
  <c r="BH99" i="63"/>
  <c r="BH130" i="63"/>
  <c r="BH87" i="61"/>
  <c r="BH81" i="61"/>
  <c r="BH78" i="61"/>
  <c r="BH80" i="61" s="1"/>
  <c r="BH92" i="63"/>
  <c r="BH172" i="61"/>
  <c r="BH167" i="61"/>
  <c r="BH136" i="61"/>
  <c r="BH92" i="2"/>
  <c r="BH89" i="2"/>
  <c r="CP89" i="2" s="1"/>
  <c r="BH86" i="2"/>
  <c r="BH82" i="2"/>
  <c r="BH78" i="2"/>
  <c r="BH81" i="2" s="1"/>
  <c r="BH59" i="2"/>
  <c r="BH54" i="2" s="1"/>
  <c r="BH53" i="2" s="1"/>
  <c r="BH58" i="2"/>
  <c r="BH56" i="2" s="1"/>
  <c r="BH22" i="2"/>
  <c r="BW102" i="1" l="1"/>
  <c r="BV102" i="1"/>
  <c r="CP93" i="1"/>
  <c r="CP101" i="1" s="1"/>
  <c r="CP102" i="1" s="1"/>
  <c r="BH69" i="63"/>
  <c r="BH55" i="2"/>
  <c r="BH83" i="2"/>
  <c r="BH36" i="63"/>
  <c r="BH38" i="63" s="1"/>
  <c r="BI39" i="63" s="1"/>
  <c r="BH58" i="63"/>
  <c r="BH60" i="63" s="1"/>
  <c r="BI61" i="63" s="1"/>
  <c r="BH47" i="63"/>
  <c r="BH49" i="63" s="1"/>
  <c r="BI50" i="63" s="1"/>
  <c r="BH143" i="63"/>
  <c r="BH14" i="63"/>
  <c r="BH16" i="63" s="1"/>
  <c r="BI17" i="63" s="1"/>
  <c r="BH165" i="63"/>
  <c r="BH167" i="63" s="1"/>
  <c r="BH25" i="63"/>
  <c r="BH27" i="63" s="1"/>
  <c r="BI28" i="63" s="1"/>
  <c r="BH52" i="2"/>
  <c r="BH63" i="63" l="1"/>
  <c r="BH30" i="63"/>
  <c r="BH52" i="63"/>
  <c r="BH41" i="63"/>
  <c r="BH19" i="63"/>
  <c r="BH95" i="63"/>
  <c r="BH96" i="63" s="1"/>
  <c r="CO79" i="61"/>
  <c r="CN79" i="61"/>
  <c r="CM79" i="61"/>
  <c r="CL79" i="61"/>
  <c r="CO68" i="61"/>
  <c r="CO65" i="61"/>
  <c r="CO62" i="61"/>
  <c r="CO61" i="61"/>
  <c r="CO60" i="61"/>
  <c r="CO59" i="61"/>
  <c r="CO58" i="61"/>
  <c r="CO57" i="61"/>
  <c r="CO55" i="61"/>
  <c r="CO54" i="61"/>
  <c r="CO53" i="61"/>
  <c r="CO52" i="61"/>
  <c r="CO48" i="61"/>
  <c r="CO47" i="61"/>
  <c r="CO46" i="61"/>
  <c r="CO45" i="61"/>
  <c r="CO44" i="61"/>
  <c r="CO43" i="61"/>
  <c r="CO42" i="61"/>
  <c r="CO41" i="61"/>
  <c r="CO26" i="61"/>
  <c r="CO24" i="61"/>
  <c r="CO23" i="61"/>
  <c r="CO22" i="61"/>
  <c r="CO21" i="61"/>
  <c r="CO20" i="61"/>
  <c r="CO19" i="61"/>
  <c r="CO18" i="61"/>
  <c r="CO17" i="61"/>
  <c r="CO16" i="61"/>
  <c r="CO15" i="61"/>
  <c r="CO14" i="61"/>
  <c r="CO13" i="61"/>
  <c r="CO190" i="61" l="1"/>
  <c r="CO117" i="61"/>
  <c r="CO77" i="61"/>
  <c r="CO92" i="61" s="1"/>
  <c r="CO100" i="61" s="1"/>
  <c r="BQ169" i="2"/>
  <c r="BP169" i="2"/>
  <c r="BS166" i="2"/>
  <c r="BR166" i="2"/>
  <c r="BQ166" i="2"/>
  <c r="BP166" i="2"/>
  <c r="BS68" i="2"/>
  <c r="BR68" i="2"/>
  <c r="BQ68" i="2"/>
  <c r="BP68" i="2"/>
  <c r="BS7" i="2"/>
  <c r="BS51" i="2" s="1"/>
  <c r="BS62" i="2" s="1"/>
  <c r="BR7" i="2"/>
  <c r="BR51" i="2" s="1"/>
  <c r="BR62" i="2" s="1"/>
  <c r="BQ7" i="2"/>
  <c r="BQ51" i="2" s="1"/>
  <c r="BQ62" i="2" s="1"/>
  <c r="BP7" i="2"/>
  <c r="BP51" i="2" s="1"/>
  <c r="BP62" i="2" s="1"/>
  <c r="BS6" i="2"/>
  <c r="BR6" i="2"/>
  <c r="BQ6" i="2"/>
  <c r="BP6" i="2"/>
  <c r="BS5" i="2"/>
  <c r="BR5" i="2"/>
  <c r="BQ5" i="2"/>
  <c r="BP5" i="2"/>
  <c r="BS190" i="61"/>
  <c r="BR190" i="61"/>
  <c r="BQ190" i="61"/>
  <c r="BP190" i="61"/>
  <c r="BP178" i="61"/>
  <c r="BQ178" i="61" s="1"/>
  <c r="BR178" i="61" s="1"/>
  <c r="BS178" i="61" s="1"/>
  <c r="BP175" i="61"/>
  <c r="BQ175" i="61" s="1"/>
  <c r="BR175" i="61" s="1"/>
  <c r="BS175" i="61" s="1"/>
  <c r="BP172" i="61"/>
  <c r="BQ172" i="61" s="1"/>
  <c r="BR172" i="61" s="1"/>
  <c r="BS172" i="61" s="1"/>
  <c r="BP171" i="61"/>
  <c r="BQ171" i="61" s="1"/>
  <c r="BR171" i="61" s="1"/>
  <c r="BS171" i="61" s="1"/>
  <c r="BP170" i="61"/>
  <c r="BQ170" i="61" s="1"/>
  <c r="BR170" i="61" s="1"/>
  <c r="BS170" i="61" s="1"/>
  <c r="BP169" i="61"/>
  <c r="BQ169" i="61" s="1"/>
  <c r="BR169" i="61" s="1"/>
  <c r="BS169" i="61" s="1"/>
  <c r="BP168" i="61"/>
  <c r="BQ168" i="61" s="1"/>
  <c r="BR168" i="61" s="1"/>
  <c r="BS168" i="61" s="1"/>
  <c r="BP167" i="61"/>
  <c r="BQ167" i="61" s="1"/>
  <c r="BR167" i="61" s="1"/>
  <c r="BS167" i="61" s="1"/>
  <c r="BP166" i="61"/>
  <c r="BQ166" i="61" s="1"/>
  <c r="BP165" i="61"/>
  <c r="BQ165" i="61" s="1"/>
  <c r="BR165" i="61" s="1"/>
  <c r="BS165" i="61" s="1"/>
  <c r="BP164" i="61"/>
  <c r="BQ164" i="61" s="1"/>
  <c r="BR164" i="61" s="1"/>
  <c r="BS164" i="61" s="1"/>
  <c r="BP163" i="61"/>
  <c r="BQ163" i="61" s="1"/>
  <c r="BR163" i="61" s="1"/>
  <c r="BS163" i="61" s="1"/>
  <c r="BP162" i="61"/>
  <c r="BP158" i="61"/>
  <c r="BQ158" i="61" s="1"/>
  <c r="BR158" i="61" s="1"/>
  <c r="BS158" i="61" s="1"/>
  <c r="BP157" i="61"/>
  <c r="BQ157" i="61" s="1"/>
  <c r="BR157" i="61" s="1"/>
  <c r="BS157" i="61" s="1"/>
  <c r="BP156" i="61"/>
  <c r="BQ156" i="61" s="1"/>
  <c r="BR156" i="61" s="1"/>
  <c r="BS156" i="61" s="1"/>
  <c r="BP155" i="61"/>
  <c r="BQ155" i="61" s="1"/>
  <c r="BR155" i="61" s="1"/>
  <c r="BS155" i="61" s="1"/>
  <c r="BP154" i="61"/>
  <c r="BQ154" i="61" s="1"/>
  <c r="BR154" i="61" s="1"/>
  <c r="BS154" i="61" s="1"/>
  <c r="BP153" i="61"/>
  <c r="BQ153" i="61" s="1"/>
  <c r="BR153" i="61" s="1"/>
  <c r="BS153" i="61" s="1"/>
  <c r="BP152" i="61"/>
  <c r="BQ152" i="61" s="1"/>
  <c r="BR152" i="61" s="1"/>
  <c r="BS152" i="61" s="1"/>
  <c r="BP151" i="61"/>
  <c r="BQ151" i="61" s="1"/>
  <c r="BR151" i="61" s="1"/>
  <c r="BS151" i="61" s="1"/>
  <c r="BP136" i="61"/>
  <c r="BQ136" i="61" s="1"/>
  <c r="BR136" i="61" s="1"/>
  <c r="BS136" i="61" s="1"/>
  <c r="BP134" i="61"/>
  <c r="BQ134" i="61" s="1"/>
  <c r="BR134" i="61" s="1"/>
  <c r="BS134" i="61" s="1"/>
  <c r="BP133" i="61"/>
  <c r="BQ133" i="61" s="1"/>
  <c r="BR133" i="61" s="1"/>
  <c r="BS133" i="61" s="1"/>
  <c r="BP132" i="61"/>
  <c r="BQ132" i="61" s="1"/>
  <c r="BR132" i="61" s="1"/>
  <c r="BS132" i="61" s="1"/>
  <c r="BP131" i="61"/>
  <c r="BQ131" i="61" s="1"/>
  <c r="BR131" i="61" s="1"/>
  <c r="BS131" i="61" s="1"/>
  <c r="BP130" i="61"/>
  <c r="BQ130" i="61" s="1"/>
  <c r="BR130" i="61" s="1"/>
  <c r="BS130" i="61" s="1"/>
  <c r="BP129" i="61"/>
  <c r="BQ129" i="61" s="1"/>
  <c r="BR129" i="61" s="1"/>
  <c r="BS129" i="61" s="1"/>
  <c r="BP128" i="61"/>
  <c r="BQ128" i="61" s="1"/>
  <c r="BR128" i="61" s="1"/>
  <c r="BS128" i="61" s="1"/>
  <c r="BP127" i="61"/>
  <c r="BQ127" i="61" s="1"/>
  <c r="BR127" i="61" s="1"/>
  <c r="BS127" i="61" s="1"/>
  <c r="BP126" i="61"/>
  <c r="BQ126" i="61" s="1"/>
  <c r="BR126" i="61" s="1"/>
  <c r="BS126" i="61" s="1"/>
  <c r="BP125" i="61"/>
  <c r="BQ125" i="61" s="1"/>
  <c r="BR125" i="61" s="1"/>
  <c r="BS125" i="61" s="1"/>
  <c r="BP124" i="61"/>
  <c r="BQ124" i="61" s="1"/>
  <c r="BR124" i="61" s="1"/>
  <c r="BS124" i="61" s="1"/>
  <c r="BP123" i="61"/>
  <c r="BQ123" i="61" s="1"/>
  <c r="BR123" i="61" s="1"/>
  <c r="BS123" i="61" s="1"/>
  <c r="BS81" i="61"/>
  <c r="BR81" i="61"/>
  <c r="BQ81" i="61"/>
  <c r="BP81" i="61"/>
  <c r="BQ63" i="61"/>
  <c r="BP63" i="61"/>
  <c r="BR56" i="61"/>
  <c r="BS56" i="61" s="1"/>
  <c r="BS12" i="61"/>
  <c r="BR12" i="61"/>
  <c r="BQ12" i="61"/>
  <c r="BP12" i="61"/>
  <c r="BS7" i="61"/>
  <c r="BS117" i="61" s="1"/>
  <c r="BR7" i="61"/>
  <c r="BR117" i="61" s="1"/>
  <c r="BQ7" i="61"/>
  <c r="BQ117" i="61" s="1"/>
  <c r="BP7" i="61"/>
  <c r="BP117" i="61" s="1"/>
  <c r="BS6" i="61"/>
  <c r="BR6" i="61"/>
  <c r="BQ6" i="61"/>
  <c r="BP6" i="61"/>
  <c r="BS5" i="61"/>
  <c r="BR5" i="61"/>
  <c r="BQ5" i="61"/>
  <c r="BP5" i="61"/>
  <c r="CO40" i="2"/>
  <c r="CO166" i="2"/>
  <c r="CO51" i="2"/>
  <c r="CO62" i="2" s="1"/>
  <c r="CO68" i="2"/>
  <c r="CM360" i="63"/>
  <c r="CM351" i="63"/>
  <c r="CL351" i="63"/>
  <c r="CO173" i="63"/>
  <c r="CO148" i="63"/>
  <c r="CO134" i="63"/>
  <c r="CO123" i="63"/>
  <c r="CO102" i="63"/>
  <c r="BS168" i="63"/>
  <c r="BR168" i="63"/>
  <c r="BQ168" i="63"/>
  <c r="BP168" i="63"/>
  <c r="BP92" i="63"/>
  <c r="BS7" i="63"/>
  <c r="BS148" i="63" s="1"/>
  <c r="BR7" i="63"/>
  <c r="BR134" i="63" s="1"/>
  <c r="BQ7" i="63"/>
  <c r="BQ148" i="63" s="1"/>
  <c r="BP7" i="63"/>
  <c r="BP134" i="63" s="1"/>
  <c r="BS6" i="63"/>
  <c r="BR6" i="63"/>
  <c r="BQ6" i="63"/>
  <c r="BP6" i="63"/>
  <c r="BS5" i="63"/>
  <c r="BR5" i="63"/>
  <c r="BQ5" i="63"/>
  <c r="BP5" i="63"/>
  <c r="BP173" i="61" l="1"/>
  <c r="BS63" i="61"/>
  <c r="BS169" i="2"/>
  <c r="BR63" i="61"/>
  <c r="CO56" i="61"/>
  <c r="CO169" i="2" s="1"/>
  <c r="BR169" i="2"/>
  <c r="BP122" i="61"/>
  <c r="BQ122" i="61" s="1"/>
  <c r="BR122" i="61" s="1"/>
  <c r="BS122" i="61" s="1"/>
  <c r="CO12" i="61"/>
  <c r="CO63" i="61"/>
  <c r="CO81" i="61"/>
  <c r="BP98" i="2"/>
  <c r="BP77" i="2"/>
  <c r="BR98" i="2"/>
  <c r="BR77" i="2"/>
  <c r="BQ98" i="2"/>
  <c r="BQ77" i="2"/>
  <c r="BS98" i="2"/>
  <c r="BS77" i="2"/>
  <c r="BQ162" i="61"/>
  <c r="BQ173" i="61" s="1"/>
  <c r="BP77" i="61"/>
  <c r="BP92" i="61" s="1"/>
  <c r="BP100" i="61" s="1"/>
  <c r="BR77" i="61"/>
  <c r="BR92" i="61" s="1"/>
  <c r="BR100" i="61" s="1"/>
  <c r="BQ77" i="61"/>
  <c r="BQ92" i="61" s="1"/>
  <c r="BQ100" i="61" s="1"/>
  <c r="BS77" i="61"/>
  <c r="BS92" i="61" s="1"/>
  <c r="BS100" i="61" s="1"/>
  <c r="BR166" i="61"/>
  <c r="BS166" i="61" s="1"/>
  <c r="BR162" i="61"/>
  <c r="CO98" i="2"/>
  <c r="CO77" i="2"/>
  <c r="BQ102" i="63"/>
  <c r="BP123" i="63"/>
  <c r="BR123" i="63"/>
  <c r="BQ134" i="63"/>
  <c r="BP148" i="63"/>
  <c r="BR148" i="63"/>
  <c r="BS102" i="63"/>
  <c r="BS134" i="63"/>
  <c r="BP102" i="63"/>
  <c r="BR102" i="63"/>
  <c r="BQ123" i="63"/>
  <c r="BS123" i="63"/>
  <c r="BS162" i="61" l="1"/>
  <c r="BS173" i="61" s="1"/>
  <c r="BR173" i="61"/>
  <c r="BG87" i="61" l="1"/>
  <c r="BG85" i="61"/>
  <c r="BG88" i="61" l="1"/>
  <c r="BN63" i="63" l="1"/>
  <c r="BO63" i="63" s="1"/>
  <c r="BP63" i="63" s="1"/>
  <c r="BQ63" i="63" s="1"/>
  <c r="BR63" i="63" s="1"/>
  <c r="BS63" i="63" l="1"/>
  <c r="BT63" i="63" s="1"/>
  <c r="BU63" i="63" l="1"/>
  <c r="BG92" i="2"/>
  <c r="BG89" i="2"/>
  <c r="CO89" i="2" s="1"/>
  <c r="BG87" i="2"/>
  <c r="BG86" i="2"/>
  <c r="BG82" i="2"/>
  <c r="BG86" i="63"/>
  <c r="BG81" i="63"/>
  <c r="BG65" i="63"/>
  <c r="BG54" i="63"/>
  <c r="BG43" i="63"/>
  <c r="BG32" i="63"/>
  <c r="BG21" i="63"/>
  <c r="BG10" i="63"/>
  <c r="BG166" i="63"/>
  <c r="BG159" i="63"/>
  <c r="BG157" i="63"/>
  <c r="BG109" i="63"/>
  <c r="BG141" i="63" s="1"/>
  <c r="BH22" i="63" l="1"/>
  <c r="BK24" i="63"/>
  <c r="BH11" i="63"/>
  <c r="BK13" i="63"/>
  <c r="BH33" i="63"/>
  <c r="BK35" i="63"/>
  <c r="BH55" i="63"/>
  <c r="BK57" i="63"/>
  <c r="BH44" i="63"/>
  <c r="BK46" i="63"/>
  <c r="BV63" i="63"/>
  <c r="BG88" i="2"/>
  <c r="BG90" i="2" s="1"/>
  <c r="BG76" i="63"/>
  <c r="BK79" i="63" s="1"/>
  <c r="BG136" i="63"/>
  <c r="BG142" i="63"/>
  <c r="BG138" i="63"/>
  <c r="BG139" i="63"/>
  <c r="BG111" i="63"/>
  <c r="BG135" i="63"/>
  <c r="BG140" i="63"/>
  <c r="BG137" i="63"/>
  <c r="BG72" i="61"/>
  <c r="BW63" i="63" l="1"/>
  <c r="BG93" i="2"/>
  <c r="BG47" i="63"/>
  <c r="BH77" i="63"/>
  <c r="BG25" i="63"/>
  <c r="BG14" i="63"/>
  <c r="BG69" i="63"/>
  <c r="BG36" i="63"/>
  <c r="BG58" i="63"/>
  <c r="BG143" i="63"/>
  <c r="BG145" i="63" s="1"/>
  <c r="BG136" i="61" l="1"/>
  <c r="BG172" i="61" l="1"/>
  <c r="BG158" i="61"/>
  <c r="BF158" i="61"/>
  <c r="BG182" i="61"/>
  <c r="BG159" i="61"/>
  <c r="BG105" i="61"/>
  <c r="BG36" i="2"/>
  <c r="BG22" i="2"/>
  <c r="BG78" i="2"/>
  <c r="BG73" i="2"/>
  <c r="BG66" i="2"/>
  <c r="BG71" i="2" s="1"/>
  <c r="BG59" i="2"/>
  <c r="BG54" i="2" s="1"/>
  <c r="BG58" i="2"/>
  <c r="BG56" i="2" s="1"/>
  <c r="BG33" i="2"/>
  <c r="BG38" i="2" s="1"/>
  <c r="BG46" i="2" s="1"/>
  <c r="BG15" i="2"/>
  <c r="BG23" i="2" s="1"/>
  <c r="BG83" i="61" s="1"/>
  <c r="BG104" i="61"/>
  <c r="BG74" i="2" l="1"/>
  <c r="BG53" i="2"/>
  <c r="BG81" i="2"/>
  <c r="BG83" i="2"/>
  <c r="BG94" i="2"/>
  <c r="BG55" i="2"/>
  <c r="BG52" i="2"/>
  <c r="BG173" i="61"/>
  <c r="BG48" i="2"/>
  <c r="BG160" i="63" l="1"/>
  <c r="BG98" i="63"/>
  <c r="BG99" i="63" l="1"/>
  <c r="BG161" i="63"/>
  <c r="BG71" i="63"/>
  <c r="BG27" i="63"/>
  <c r="BG49" i="63"/>
  <c r="BG16" i="63"/>
  <c r="BG60" i="63"/>
  <c r="BG38" i="63"/>
  <c r="BH61" i="63" l="1"/>
  <c r="BK62" i="63"/>
  <c r="BH50" i="63"/>
  <c r="BK51" i="63"/>
  <c r="BH39" i="63"/>
  <c r="BK40" i="63"/>
  <c r="BH17" i="63"/>
  <c r="BK18" i="63"/>
  <c r="BH28" i="63"/>
  <c r="BK29" i="63"/>
  <c r="BG52" i="63"/>
  <c r="BG41" i="63"/>
  <c r="BG30" i="63"/>
  <c r="BG19" i="63"/>
  <c r="BG95" i="63"/>
  <c r="BG96" i="63" s="1"/>
  <c r="BG63" i="63"/>
  <c r="BF182" i="61" l="1"/>
  <c r="BF82" i="2"/>
  <c r="BF86" i="2"/>
  <c r="BF87" i="2"/>
  <c r="BF89" i="2"/>
  <c r="BF92" i="2"/>
  <c r="BF72" i="61"/>
  <c r="BF136" i="61"/>
  <c r="BF147" i="61" s="1"/>
  <c r="BF88" i="2" l="1"/>
  <c r="BF93" i="2" s="1"/>
  <c r="BF90" i="2" l="1"/>
  <c r="BF87" i="61" l="1"/>
  <c r="BF85" i="61"/>
  <c r="BF88" i="61" l="1"/>
  <c r="BD16" i="61" l="1"/>
  <c r="BD17" i="61"/>
  <c r="BD18" i="61"/>
  <c r="BD19" i="61"/>
  <c r="BD20" i="61"/>
  <c r="BD21" i="61"/>
  <c r="BD22" i="61"/>
  <c r="BD23" i="61"/>
  <c r="BD24" i="61"/>
  <c r="BD25" i="61"/>
  <c r="BD26" i="61"/>
  <c r="BD27" i="61"/>
  <c r="BF105" i="61"/>
  <c r="BF172" i="61"/>
  <c r="BE159" i="63"/>
  <c r="BF159" i="63"/>
  <c r="BE166" i="63"/>
  <c r="BF166" i="63"/>
  <c r="BF10" i="63"/>
  <c r="BF190" i="61"/>
  <c r="BF73" i="2"/>
  <c r="BF66" i="2"/>
  <c r="BF71" i="2" s="1"/>
  <c r="BF22" i="2"/>
  <c r="BF59" i="2"/>
  <c r="BF55" i="2" s="1"/>
  <c r="BF58" i="2"/>
  <c r="BF56" i="2" s="1"/>
  <c r="BF33" i="2"/>
  <c r="BF38" i="2" s="1"/>
  <c r="BF46" i="2" s="1"/>
  <c r="BF15" i="2"/>
  <c r="BF86" i="63"/>
  <c r="BF81" i="63"/>
  <c r="BF65" i="63"/>
  <c r="BF54" i="63"/>
  <c r="BF43" i="63"/>
  <c r="BF32" i="63"/>
  <c r="BF21" i="63"/>
  <c r="BF109" i="63"/>
  <c r="BF157" i="63"/>
  <c r="BE157" i="63"/>
  <c r="BG44" i="63" l="1"/>
  <c r="BJ46" i="63"/>
  <c r="BG11" i="63"/>
  <c r="BJ13" i="63"/>
  <c r="BG55" i="63"/>
  <c r="BJ57" i="63"/>
  <c r="BG22" i="63"/>
  <c r="BJ24" i="63"/>
  <c r="BG33" i="63"/>
  <c r="BJ35" i="63"/>
  <c r="BF74" i="2"/>
  <c r="BE27" i="61"/>
  <c r="BG27" i="61" s="1"/>
  <c r="BF126" i="63"/>
  <c r="BF111" i="63"/>
  <c r="BF128" i="63"/>
  <c r="BE21" i="61"/>
  <c r="BE23" i="61"/>
  <c r="BF23" i="61" s="1"/>
  <c r="BE19" i="61"/>
  <c r="BF173" i="61"/>
  <c r="BF159" i="61"/>
  <c r="BE26" i="61"/>
  <c r="BF26" i="61" s="1"/>
  <c r="BG26" i="61" s="1"/>
  <c r="BE22" i="61"/>
  <c r="BF22" i="61" s="1"/>
  <c r="BE18" i="61"/>
  <c r="BF18" i="61" s="1"/>
  <c r="BE25" i="61"/>
  <c r="BF25" i="61" s="1"/>
  <c r="BE17" i="61"/>
  <c r="BF17" i="61" s="1"/>
  <c r="BE24" i="61"/>
  <c r="BF24" i="61" s="1"/>
  <c r="BE20" i="61"/>
  <c r="BF20" i="61" s="1"/>
  <c r="BE16" i="61"/>
  <c r="BF16" i="61" s="1"/>
  <c r="BF127" i="63"/>
  <c r="BF125" i="63"/>
  <c r="BF124" i="63"/>
  <c r="BF53" i="2"/>
  <c r="BF76" i="63"/>
  <c r="BJ79" i="63" s="1"/>
  <c r="BF52" i="2"/>
  <c r="BF137" i="63"/>
  <c r="BF141" i="63"/>
  <c r="BF138" i="63"/>
  <c r="BF142" i="63"/>
  <c r="BF135" i="63"/>
  <c r="BF139" i="63"/>
  <c r="BF136" i="63"/>
  <c r="BF140" i="63"/>
  <c r="BG24" i="61" l="1"/>
  <c r="BG22" i="61"/>
  <c r="BF21" i="61"/>
  <c r="BG21" i="61" s="1"/>
  <c r="BG17" i="61"/>
  <c r="BF165" i="63"/>
  <c r="BF167" i="63" s="1"/>
  <c r="BG77" i="63"/>
  <c r="BG20" i="61"/>
  <c r="BG25" i="61"/>
  <c r="BG23" i="61"/>
  <c r="BF19" i="61"/>
  <c r="BG19" i="61" s="1"/>
  <c r="BG16" i="61"/>
  <c r="BG18" i="61"/>
  <c r="BF130" i="63"/>
  <c r="BF179" i="61"/>
  <c r="BF14" i="63"/>
  <c r="BF47" i="63"/>
  <c r="BF58" i="63"/>
  <c r="BF69" i="63"/>
  <c r="BF36" i="63"/>
  <c r="BF25" i="63"/>
  <c r="BF143" i="63"/>
  <c r="BF145" i="63" s="1"/>
  <c r="BF104" i="61" l="1"/>
  <c r="CN173" i="63" l="1"/>
  <c r="CM173" i="63"/>
  <c r="CL173" i="63"/>
  <c r="CK173" i="63"/>
  <c r="CJ173" i="63"/>
  <c r="CI173" i="63"/>
  <c r="CH173" i="63"/>
  <c r="CG173" i="63"/>
  <c r="CF173" i="63"/>
  <c r="CE173" i="63"/>
  <c r="CD173" i="63"/>
  <c r="CC173" i="63"/>
  <c r="CB173" i="63"/>
  <c r="CA173" i="63"/>
  <c r="BZ173" i="63"/>
  <c r="BY173" i="63"/>
  <c r="BK173" i="63"/>
  <c r="BJ173" i="63"/>
  <c r="BI173" i="63"/>
  <c r="BH173" i="63"/>
  <c r="BG173" i="63"/>
  <c r="BF173" i="63"/>
  <c r="BE173" i="63"/>
  <c r="BD173" i="63"/>
  <c r="BC173" i="63"/>
  <c r="BB173" i="63"/>
  <c r="BA173" i="63"/>
  <c r="AZ173" i="63"/>
  <c r="AY173" i="63"/>
  <c r="AX173" i="63"/>
  <c r="AW173" i="63"/>
  <c r="AV173" i="63"/>
  <c r="AU173" i="63"/>
  <c r="AT173" i="63"/>
  <c r="AS173" i="63"/>
  <c r="AR173" i="63"/>
  <c r="AQ173" i="63"/>
  <c r="AP173" i="63"/>
  <c r="AO173" i="63"/>
  <c r="AN173" i="63"/>
  <c r="AM173" i="63"/>
  <c r="AL173" i="63"/>
  <c r="AK173" i="63"/>
  <c r="AJ173" i="63"/>
  <c r="AI173" i="63"/>
  <c r="AH173" i="63"/>
  <c r="AG173" i="63"/>
  <c r="AF173" i="63"/>
  <c r="AE173" i="63"/>
  <c r="AD173" i="63"/>
  <c r="AC173" i="63"/>
  <c r="AB173" i="63"/>
  <c r="AA173" i="63"/>
  <c r="Z173" i="63"/>
  <c r="Y173" i="63"/>
  <c r="X173" i="63"/>
  <c r="W173" i="63"/>
  <c r="V173" i="63"/>
  <c r="U173" i="63"/>
  <c r="T173" i="63"/>
  <c r="S173" i="63"/>
  <c r="R173" i="63"/>
  <c r="Q173" i="63"/>
  <c r="P173" i="63"/>
  <c r="O173" i="63"/>
  <c r="N173" i="63"/>
  <c r="M173" i="63"/>
  <c r="L173" i="63"/>
  <c r="K173" i="63"/>
  <c r="J173" i="63"/>
  <c r="I173" i="63"/>
  <c r="H173" i="63"/>
  <c r="G173" i="63"/>
  <c r="F173" i="63"/>
  <c r="E173" i="63"/>
  <c r="D173" i="63"/>
  <c r="BO168" i="63"/>
  <c r="BN168" i="63"/>
  <c r="BM168" i="63"/>
  <c r="BL168" i="63"/>
  <c r="BB168" i="63"/>
  <c r="AY168" i="63"/>
  <c r="AX168" i="63"/>
  <c r="BD166" i="63"/>
  <c r="BC166" i="63"/>
  <c r="BB166" i="63"/>
  <c r="BA166" i="63"/>
  <c r="AZ166" i="63"/>
  <c r="AY166" i="63"/>
  <c r="AX166" i="63"/>
  <c r="AW166" i="63"/>
  <c r="AV166" i="63"/>
  <c r="AU166" i="63"/>
  <c r="AT166" i="63"/>
  <c r="AS166" i="63"/>
  <c r="AR166" i="63"/>
  <c r="AQ166" i="63"/>
  <c r="AP166" i="63"/>
  <c r="AO166" i="63"/>
  <c r="AN166" i="63"/>
  <c r="AM166" i="63"/>
  <c r="AL166" i="63"/>
  <c r="AK166" i="63"/>
  <c r="AJ166" i="63"/>
  <c r="AI166" i="63"/>
  <c r="AH166" i="63"/>
  <c r="AG166" i="63"/>
  <c r="AF166" i="63"/>
  <c r="AE166" i="63"/>
  <c r="AD166" i="63"/>
  <c r="AC166" i="63"/>
  <c r="AB166" i="63"/>
  <c r="AA166" i="63"/>
  <c r="Z166" i="63"/>
  <c r="Y166" i="63"/>
  <c r="X166" i="63"/>
  <c r="W166" i="63"/>
  <c r="V166" i="63"/>
  <c r="U166" i="63"/>
  <c r="T166" i="63"/>
  <c r="S166" i="63"/>
  <c r="R166" i="63"/>
  <c r="Q166" i="63"/>
  <c r="P166" i="63"/>
  <c r="O166" i="63"/>
  <c r="N166" i="63"/>
  <c r="M166" i="63"/>
  <c r="L166" i="63"/>
  <c r="K166" i="63"/>
  <c r="J166" i="63"/>
  <c r="I166" i="63"/>
  <c r="H166" i="63"/>
  <c r="BD159" i="63"/>
  <c r="BC159" i="63"/>
  <c r="BB159" i="63"/>
  <c r="BB108" i="63" s="1"/>
  <c r="BA159" i="63"/>
  <c r="AZ159" i="63"/>
  <c r="AY159" i="63"/>
  <c r="AX159" i="63"/>
  <c r="AX103" i="63" s="1"/>
  <c r="AW159" i="63"/>
  <c r="AV159" i="63"/>
  <c r="AU159" i="63"/>
  <c r="AT159" i="63"/>
  <c r="AT103" i="63" s="1"/>
  <c r="AS159" i="63"/>
  <c r="AR159" i="63"/>
  <c r="AQ159" i="63"/>
  <c r="AP159" i="63"/>
  <c r="AP104" i="63" s="1"/>
  <c r="AO159" i="63"/>
  <c r="AN159" i="63"/>
  <c r="AN106" i="63" s="1"/>
  <c r="AM159" i="63"/>
  <c r="AL159" i="63"/>
  <c r="AL108" i="63" s="1"/>
  <c r="AL65" i="63" s="1"/>
  <c r="AK159" i="63"/>
  <c r="AJ159" i="63"/>
  <c r="AJ150" i="63" s="1"/>
  <c r="AI159" i="63"/>
  <c r="AH159" i="63"/>
  <c r="AH105" i="63" s="1"/>
  <c r="AG159" i="63"/>
  <c r="AF159" i="63"/>
  <c r="AF105" i="63" s="1"/>
  <c r="AE159" i="63"/>
  <c r="AD159" i="63"/>
  <c r="AD106" i="63" s="1"/>
  <c r="AC159" i="63"/>
  <c r="AB159" i="63"/>
  <c r="AA159" i="63"/>
  <c r="Z159" i="63"/>
  <c r="Z150" i="63" s="1"/>
  <c r="Y159" i="63"/>
  <c r="X159" i="63"/>
  <c r="X103" i="63" s="1"/>
  <c r="W159" i="63"/>
  <c r="V159" i="63"/>
  <c r="V107" i="63" s="1"/>
  <c r="U159" i="63"/>
  <c r="T159" i="63"/>
  <c r="T154" i="63" s="1"/>
  <c r="S159" i="63"/>
  <c r="R159" i="63"/>
  <c r="Q159" i="63"/>
  <c r="Q106" i="63" s="1"/>
  <c r="P159" i="63"/>
  <c r="P156" i="63" s="1"/>
  <c r="O159" i="63"/>
  <c r="N159" i="63"/>
  <c r="N104" i="63" s="1"/>
  <c r="M159" i="63"/>
  <c r="M107" i="63" s="1"/>
  <c r="L159" i="63"/>
  <c r="K159" i="63"/>
  <c r="J159" i="63"/>
  <c r="J103" i="63" s="1"/>
  <c r="I159" i="63"/>
  <c r="I104" i="63" s="1"/>
  <c r="H159" i="63"/>
  <c r="G159" i="63"/>
  <c r="F159" i="63"/>
  <c r="F105" i="63" s="1"/>
  <c r="E159" i="63"/>
  <c r="E105" i="63" s="1"/>
  <c r="D159" i="63"/>
  <c r="BD157" i="63"/>
  <c r="BC157" i="63"/>
  <c r="BB157" i="63"/>
  <c r="AY157" i="63"/>
  <c r="AX157" i="63"/>
  <c r="AW157" i="63"/>
  <c r="AV157" i="63"/>
  <c r="AU157" i="63"/>
  <c r="AS157" i="63"/>
  <c r="AT156" i="63"/>
  <c r="B156" i="63"/>
  <c r="B150" i="63"/>
  <c r="B149" i="63"/>
  <c r="Z152" i="63"/>
  <c r="CN148" i="63"/>
  <c r="BY143" i="63"/>
  <c r="AT143" i="63"/>
  <c r="AR143" i="63"/>
  <c r="AP143" i="63"/>
  <c r="AO143" i="63"/>
  <c r="AN143" i="63"/>
  <c r="AL143" i="63"/>
  <c r="AL145" i="63" s="1"/>
  <c r="AK143" i="63"/>
  <c r="AJ143" i="63"/>
  <c r="AH143" i="63"/>
  <c r="AG143" i="63"/>
  <c r="AD143" i="63"/>
  <c r="AC143" i="63"/>
  <c r="Z143" i="63"/>
  <c r="Y143" i="63"/>
  <c r="X143" i="63"/>
  <c r="V143" i="63"/>
  <c r="U143" i="63"/>
  <c r="T143" i="63"/>
  <c r="R143" i="63"/>
  <c r="Q143" i="63"/>
  <c r="P143" i="63"/>
  <c r="N143" i="63"/>
  <c r="L143" i="63"/>
  <c r="F143" i="63"/>
  <c r="E143" i="63"/>
  <c r="D143" i="63"/>
  <c r="BA142" i="63"/>
  <c r="AZ142" i="63"/>
  <c r="AZ143" i="63" s="1"/>
  <c r="AS142" i="63"/>
  <c r="AS141" i="63"/>
  <c r="AS140" i="63"/>
  <c r="AS139" i="63"/>
  <c r="AS138" i="63"/>
  <c r="AS137" i="63"/>
  <c r="AS136" i="63"/>
  <c r="AS135" i="63"/>
  <c r="AQ142" i="63"/>
  <c r="AQ141" i="63"/>
  <c r="CH141" i="63" s="1"/>
  <c r="AQ140" i="63"/>
  <c r="CH140" i="63" s="1"/>
  <c r="AQ139" i="63"/>
  <c r="CH139" i="63" s="1"/>
  <c r="AQ138" i="63"/>
  <c r="CH138" i="63" s="1"/>
  <c r="AQ137" i="63"/>
  <c r="AQ136" i="63"/>
  <c r="CH136" i="63" s="1"/>
  <c r="AQ135" i="63"/>
  <c r="CH135" i="63" s="1"/>
  <c r="AM142" i="63"/>
  <c r="CG142" i="63" s="1"/>
  <c r="AM141" i="63"/>
  <c r="AM140" i="63"/>
  <c r="CG140" i="63" s="1"/>
  <c r="AM139" i="63"/>
  <c r="AM138" i="63"/>
  <c r="AM137" i="63"/>
  <c r="AM136" i="63"/>
  <c r="CG136" i="63" s="1"/>
  <c r="AM135" i="63"/>
  <c r="AI142" i="63"/>
  <c r="AI141" i="63"/>
  <c r="CF141" i="63" s="1"/>
  <c r="AI140" i="63"/>
  <c r="AI139" i="63"/>
  <c r="CF139" i="63" s="1"/>
  <c r="AI138" i="63"/>
  <c r="AI136" i="63"/>
  <c r="CF136" i="63" s="1"/>
  <c r="AI135" i="63"/>
  <c r="CF135" i="63" s="1"/>
  <c r="AE142" i="63"/>
  <c r="CE142" i="63" s="1"/>
  <c r="AE141" i="63"/>
  <c r="AE140" i="63"/>
  <c r="CE140" i="63" s="1"/>
  <c r="AE139" i="63"/>
  <c r="AE138" i="63"/>
  <c r="CE138" i="63" s="1"/>
  <c r="AE136" i="63"/>
  <c r="AE135" i="63"/>
  <c r="AA142" i="63"/>
  <c r="AA141" i="63"/>
  <c r="CD141" i="63" s="1"/>
  <c r="AA140" i="63"/>
  <c r="AA139" i="63"/>
  <c r="CD139" i="63" s="1"/>
  <c r="AA138" i="63"/>
  <c r="AA137" i="63"/>
  <c r="CD137" i="63" s="1"/>
  <c r="AA136" i="63"/>
  <c r="AA135" i="63"/>
  <c r="CD135" i="63" s="1"/>
  <c r="W142" i="63"/>
  <c r="CC142" i="63" s="1"/>
  <c r="W141" i="63"/>
  <c r="W140" i="63"/>
  <c r="W139" i="63"/>
  <c r="W138" i="63"/>
  <c r="CC138" i="63" s="1"/>
  <c r="W137" i="63"/>
  <c r="W136" i="63"/>
  <c r="CC136" i="63" s="1"/>
  <c r="W135" i="63"/>
  <c r="S142" i="63"/>
  <c r="CB142" i="63" s="1"/>
  <c r="S141" i="63"/>
  <c r="CB141" i="63" s="1"/>
  <c r="S140" i="63"/>
  <c r="CB140" i="63" s="1"/>
  <c r="S139" i="63"/>
  <c r="CB139" i="63" s="1"/>
  <c r="S138" i="63"/>
  <c r="CB138" i="63" s="1"/>
  <c r="S137" i="63"/>
  <c r="CB137" i="63" s="1"/>
  <c r="S136" i="63"/>
  <c r="S135" i="63"/>
  <c r="CB135" i="63" s="1"/>
  <c r="O142" i="63"/>
  <c r="CA142" i="63" s="1"/>
  <c r="O141" i="63"/>
  <c r="O140" i="63"/>
  <c r="O139" i="63"/>
  <c r="O138" i="63"/>
  <c r="CA138" i="63" s="1"/>
  <c r="O135" i="63"/>
  <c r="K142" i="63"/>
  <c r="BZ142" i="63" s="1"/>
  <c r="K141" i="63"/>
  <c r="BZ141" i="63" s="1"/>
  <c r="K140" i="63"/>
  <c r="K139" i="63"/>
  <c r="BZ139" i="63" s="1"/>
  <c r="K138" i="63"/>
  <c r="K136" i="63"/>
  <c r="BZ136" i="63" s="1"/>
  <c r="K135" i="63"/>
  <c r="BZ135" i="63" s="1"/>
  <c r="G142" i="63"/>
  <c r="G141" i="63"/>
  <c r="G140" i="63"/>
  <c r="G139" i="63"/>
  <c r="G138" i="63"/>
  <c r="G137" i="63"/>
  <c r="G136" i="63"/>
  <c r="G135" i="63"/>
  <c r="AF137" i="63"/>
  <c r="AF143" i="63" s="1"/>
  <c r="AB137" i="63"/>
  <c r="AE137" i="63" s="1"/>
  <c r="CE137" i="63" s="1"/>
  <c r="M137" i="63"/>
  <c r="O137" i="63" s="1"/>
  <c r="M136" i="63"/>
  <c r="J137" i="63"/>
  <c r="I137" i="63"/>
  <c r="I143" i="63" s="1"/>
  <c r="H137" i="63"/>
  <c r="CH142" i="63"/>
  <c r="CC140" i="63"/>
  <c r="CA140" i="63"/>
  <c r="CG138" i="63"/>
  <c r="BZ138" i="63"/>
  <c r="CH137" i="63"/>
  <c r="CE136" i="63"/>
  <c r="CB136" i="63"/>
  <c r="CN134" i="63"/>
  <c r="AY130" i="63"/>
  <c r="AX130" i="63"/>
  <c r="AW130" i="63"/>
  <c r="AV130" i="63"/>
  <c r="AU130" i="63"/>
  <c r="AT130" i="63"/>
  <c r="AS130" i="63"/>
  <c r="AR130" i="63"/>
  <c r="AQ130" i="63"/>
  <c r="AP130" i="63"/>
  <c r="AO130" i="63"/>
  <c r="AN130" i="63"/>
  <c r="AM130" i="63"/>
  <c r="AL130" i="63"/>
  <c r="AK130" i="63"/>
  <c r="AJ130" i="63"/>
  <c r="AI130" i="63"/>
  <c r="AH130" i="63"/>
  <c r="AG130" i="63"/>
  <c r="AF130" i="63"/>
  <c r="AE130" i="63"/>
  <c r="AD130" i="63"/>
  <c r="AC130" i="63"/>
  <c r="AB130" i="63"/>
  <c r="AA130" i="63"/>
  <c r="Z130" i="63"/>
  <c r="Y130" i="63"/>
  <c r="D130" i="63"/>
  <c r="X129" i="63"/>
  <c r="W129" i="63"/>
  <c r="W130" i="63" s="1"/>
  <c r="V129" i="63"/>
  <c r="U129" i="63"/>
  <c r="U130" i="63" s="1"/>
  <c r="T129" i="63"/>
  <c r="S129" i="63"/>
  <c r="S130" i="63" s="1"/>
  <c r="R129" i="63"/>
  <c r="Q129" i="63"/>
  <c r="Q130" i="63" s="1"/>
  <c r="P129" i="63"/>
  <c r="O129" i="63"/>
  <c r="O130" i="63" s="1"/>
  <c r="N129" i="63"/>
  <c r="M129" i="63"/>
  <c r="M130" i="63" s="1"/>
  <c r="L129" i="63"/>
  <c r="K129" i="63"/>
  <c r="K130" i="63" s="1"/>
  <c r="J129" i="63"/>
  <c r="I129" i="63"/>
  <c r="I130" i="63" s="1"/>
  <c r="H129" i="63"/>
  <c r="G129" i="63"/>
  <c r="G130" i="63" s="1"/>
  <c r="F129" i="63"/>
  <c r="E129" i="63"/>
  <c r="E130" i="63" s="1"/>
  <c r="B129" i="63"/>
  <c r="B128" i="63"/>
  <c r="B127" i="63"/>
  <c r="B126" i="63"/>
  <c r="B125" i="63"/>
  <c r="B124" i="63"/>
  <c r="CN123" i="63"/>
  <c r="BE109" i="63"/>
  <c r="BD109" i="63"/>
  <c r="BD140" i="63" s="1"/>
  <c r="BC109" i="63"/>
  <c r="CN102" i="63"/>
  <c r="CA756" i="63"/>
  <c r="N756" i="63"/>
  <c r="M756" i="63"/>
  <c r="L756" i="63"/>
  <c r="O755" i="63"/>
  <c r="N755" i="63"/>
  <c r="M755" i="63"/>
  <c r="J755" i="63"/>
  <c r="I755" i="63"/>
  <c r="K752" i="63"/>
  <c r="K749" i="63"/>
  <c r="K746" i="63"/>
  <c r="L755" i="63" s="1"/>
  <c r="O740" i="63"/>
  <c r="O739" i="63"/>
  <c r="CA739" i="63" s="1"/>
  <c r="O738" i="63"/>
  <c r="O737" i="63"/>
  <c r="CA737" i="63" s="1"/>
  <c r="K740" i="63"/>
  <c r="BZ740" i="63" s="1"/>
  <c r="K739" i="63"/>
  <c r="K738" i="63"/>
  <c r="BZ738" i="63" s="1"/>
  <c r="K737" i="63"/>
  <c r="BZ737" i="63" s="1"/>
  <c r="CA740" i="63"/>
  <c r="BZ739" i="63"/>
  <c r="CA738" i="63"/>
  <c r="N735" i="63"/>
  <c r="M735" i="63"/>
  <c r="L735" i="63"/>
  <c r="J735" i="63"/>
  <c r="J741" i="63" s="1"/>
  <c r="J753" i="63" s="1"/>
  <c r="I735" i="63"/>
  <c r="H735" i="63"/>
  <c r="H741" i="63" s="1"/>
  <c r="H753" i="63" s="1"/>
  <c r="N725" i="63"/>
  <c r="N747" i="63" s="1"/>
  <c r="M725" i="63"/>
  <c r="M715" i="63" s="1"/>
  <c r="L725" i="63"/>
  <c r="L702" i="63" s="1"/>
  <c r="J725" i="63"/>
  <c r="J715" i="63" s="1"/>
  <c r="I725" i="63"/>
  <c r="I165" i="63" s="1"/>
  <c r="H725" i="63"/>
  <c r="H702" i="63" s="1"/>
  <c r="N723" i="63"/>
  <c r="M723" i="63"/>
  <c r="L723" i="63"/>
  <c r="J723" i="63"/>
  <c r="I723" i="63"/>
  <c r="H723" i="63"/>
  <c r="N722" i="63"/>
  <c r="M722" i="63"/>
  <c r="L722" i="63"/>
  <c r="N721" i="63"/>
  <c r="M721" i="63"/>
  <c r="J721" i="63"/>
  <c r="I721" i="63"/>
  <c r="O720" i="63"/>
  <c r="O721" i="63" s="1"/>
  <c r="K720" i="63"/>
  <c r="N714" i="63"/>
  <c r="M714" i="63"/>
  <c r="L714" i="63"/>
  <c r="N713" i="63"/>
  <c r="M713" i="63"/>
  <c r="J713" i="63"/>
  <c r="I713" i="63"/>
  <c r="O712" i="63"/>
  <c r="K712" i="63"/>
  <c r="L713" i="63" s="1"/>
  <c r="N710" i="63"/>
  <c r="M710" i="63"/>
  <c r="L710" i="63"/>
  <c r="J710" i="63"/>
  <c r="I710" i="63"/>
  <c r="H710" i="63"/>
  <c r="N709" i="63"/>
  <c r="M709" i="63"/>
  <c r="L709" i="63"/>
  <c r="N708" i="63"/>
  <c r="M708" i="63"/>
  <c r="J708" i="63"/>
  <c r="I708" i="63"/>
  <c r="O707" i="63"/>
  <c r="CA707" i="63" s="1"/>
  <c r="K707" i="63"/>
  <c r="L708" i="63" s="1"/>
  <c r="N701" i="63"/>
  <c r="M701" i="63"/>
  <c r="L701" i="63"/>
  <c r="N700" i="63"/>
  <c r="M700" i="63"/>
  <c r="J700" i="63"/>
  <c r="I700" i="63"/>
  <c r="O699" i="63"/>
  <c r="O700" i="63" s="1"/>
  <c r="K699" i="63"/>
  <c r="CC694" i="63"/>
  <c r="CB694" i="63"/>
  <c r="Z694" i="63"/>
  <c r="Y694" i="63"/>
  <c r="X694" i="63"/>
  <c r="V694" i="63"/>
  <c r="U694" i="63"/>
  <c r="T694" i="63"/>
  <c r="R694" i="63"/>
  <c r="Q694" i="63"/>
  <c r="P694" i="63"/>
  <c r="Z693" i="63"/>
  <c r="Y693" i="63"/>
  <c r="V693" i="63"/>
  <c r="U693" i="63"/>
  <c r="R693" i="63"/>
  <c r="Q693" i="63"/>
  <c r="N693" i="63"/>
  <c r="M693" i="63"/>
  <c r="W690" i="63"/>
  <c r="S690" i="63"/>
  <c r="O690" i="63"/>
  <c r="W687" i="63"/>
  <c r="S687" i="63"/>
  <c r="O687" i="63"/>
  <c r="W684" i="63"/>
  <c r="S684" i="63"/>
  <c r="O684" i="63"/>
  <c r="W678" i="63"/>
  <c r="CC678" i="63" s="1"/>
  <c r="W677" i="63"/>
  <c r="W676" i="63"/>
  <c r="W675" i="63"/>
  <c r="CC675" i="63" s="1"/>
  <c r="S678" i="63"/>
  <c r="CB678" i="63" s="1"/>
  <c r="S677" i="63"/>
  <c r="CB677" i="63" s="1"/>
  <c r="S676" i="63"/>
  <c r="CB676" i="63" s="1"/>
  <c r="S675" i="63"/>
  <c r="CB675" i="63" s="1"/>
  <c r="O678" i="63"/>
  <c r="O677" i="63"/>
  <c r="CA677" i="63" s="1"/>
  <c r="O676" i="63"/>
  <c r="CA676" i="63" s="1"/>
  <c r="O675" i="63"/>
  <c r="CA675" i="63" s="1"/>
  <c r="CA678" i="63"/>
  <c r="CC677" i="63"/>
  <c r="CC676" i="63"/>
  <c r="Z673" i="63"/>
  <c r="Y673" i="63"/>
  <c r="X673" i="63"/>
  <c r="X679" i="63" s="1"/>
  <c r="X691" i="63" s="1"/>
  <c r="W673" i="63"/>
  <c r="V673" i="63"/>
  <c r="U673" i="63"/>
  <c r="T673" i="63"/>
  <c r="T679" i="63" s="1"/>
  <c r="T691" i="63" s="1"/>
  <c r="S673" i="63"/>
  <c r="R673" i="63"/>
  <c r="Q673" i="63"/>
  <c r="P673" i="63"/>
  <c r="P679" i="63" s="1"/>
  <c r="P691" i="63" s="1"/>
  <c r="O673" i="63"/>
  <c r="N673" i="63"/>
  <c r="M673" i="63"/>
  <c r="L673" i="63"/>
  <c r="L679" i="63" s="1"/>
  <c r="L691" i="63" s="1"/>
  <c r="W669" i="63"/>
  <c r="CC669" i="63" s="1"/>
  <c r="S669" i="63"/>
  <c r="CB669" i="63" s="1"/>
  <c r="O669" i="63"/>
  <c r="CA669" i="63" s="1"/>
  <c r="Z667" i="63"/>
  <c r="Z670" i="63" s="1"/>
  <c r="Y667" i="63"/>
  <c r="Y670" i="63" s="1"/>
  <c r="Y688" i="63" s="1"/>
  <c r="X667" i="63"/>
  <c r="X670" i="63" s="1"/>
  <c r="W667" i="63"/>
  <c r="V667" i="63"/>
  <c r="V670" i="63" s="1"/>
  <c r="U667" i="63"/>
  <c r="U670" i="63" s="1"/>
  <c r="U688" i="63" s="1"/>
  <c r="T667" i="63"/>
  <c r="T670" i="63" s="1"/>
  <c r="S667" i="63"/>
  <c r="R667" i="63"/>
  <c r="R670" i="63" s="1"/>
  <c r="R688" i="63" s="1"/>
  <c r="Q667" i="63"/>
  <c r="Q670" i="63" s="1"/>
  <c r="Q688" i="63" s="1"/>
  <c r="P667" i="63"/>
  <c r="O667" i="63"/>
  <c r="O670" i="63" s="1"/>
  <c r="N667" i="63"/>
  <c r="N670" i="63" s="1"/>
  <c r="M667" i="63"/>
  <c r="M670" i="63" s="1"/>
  <c r="M688" i="63" s="1"/>
  <c r="L667" i="63"/>
  <c r="L670" i="63" s="1"/>
  <c r="Z663" i="63"/>
  <c r="Y663" i="63"/>
  <c r="Y685" i="63" s="1"/>
  <c r="X663" i="63"/>
  <c r="X685" i="63" s="1"/>
  <c r="W663" i="63"/>
  <c r="W165" i="63" s="1"/>
  <c r="V663" i="63"/>
  <c r="U663" i="63"/>
  <c r="U165" i="63" s="1"/>
  <c r="T663" i="63"/>
  <c r="T165" i="63" s="1"/>
  <c r="S663" i="63"/>
  <c r="S165" i="63" s="1"/>
  <c r="R663" i="63"/>
  <c r="Q663" i="63"/>
  <c r="Q165" i="63" s="1"/>
  <c r="P663" i="63"/>
  <c r="P165" i="63" s="1"/>
  <c r="O663" i="63"/>
  <c r="O165" i="63" s="1"/>
  <c r="N663" i="63"/>
  <c r="M663" i="63"/>
  <c r="M165" i="63" s="1"/>
  <c r="L663" i="63"/>
  <c r="L165" i="63" s="1"/>
  <c r="Z661" i="63"/>
  <c r="Y661" i="63"/>
  <c r="X661" i="63"/>
  <c r="W661" i="63"/>
  <c r="V661" i="63"/>
  <c r="U661" i="63"/>
  <c r="T661" i="63"/>
  <c r="S661" i="63"/>
  <c r="R661" i="63"/>
  <c r="Q661" i="63"/>
  <c r="P661" i="63"/>
  <c r="O661" i="63"/>
  <c r="N661" i="63"/>
  <c r="M661" i="63"/>
  <c r="L661" i="63"/>
  <c r="Z660" i="63"/>
  <c r="Y660" i="63"/>
  <c r="X660" i="63"/>
  <c r="W660" i="63"/>
  <c r="V660" i="63"/>
  <c r="U660" i="63"/>
  <c r="T660" i="63"/>
  <c r="S660" i="63"/>
  <c r="R660" i="63"/>
  <c r="Q660" i="63"/>
  <c r="P660" i="63"/>
  <c r="Z659" i="63"/>
  <c r="Y659" i="63"/>
  <c r="X659" i="63"/>
  <c r="W659" i="63"/>
  <c r="V659" i="63"/>
  <c r="U659" i="63"/>
  <c r="T659" i="63"/>
  <c r="S659" i="63"/>
  <c r="R659" i="63"/>
  <c r="Q659" i="63"/>
  <c r="P659" i="63"/>
  <c r="O659" i="63"/>
  <c r="N659" i="63"/>
  <c r="M659" i="63"/>
  <c r="CC658" i="63"/>
  <c r="CB658" i="63"/>
  <c r="CA658" i="63"/>
  <c r="Z656" i="63"/>
  <c r="Y656" i="63"/>
  <c r="X656" i="63"/>
  <c r="W656" i="63"/>
  <c r="V656" i="63"/>
  <c r="U656" i="63"/>
  <c r="T656" i="63"/>
  <c r="S656" i="63"/>
  <c r="R656" i="63"/>
  <c r="Q656" i="63"/>
  <c r="P656" i="63"/>
  <c r="O656" i="63"/>
  <c r="N656" i="63"/>
  <c r="M656" i="63"/>
  <c r="L656" i="63"/>
  <c r="CC655" i="63"/>
  <c r="CB655" i="63"/>
  <c r="CA655" i="63"/>
  <c r="R653" i="63"/>
  <c r="M653" i="63"/>
  <c r="Z652" i="63"/>
  <c r="Y652" i="63"/>
  <c r="X652" i="63"/>
  <c r="W652" i="63"/>
  <c r="V652" i="63"/>
  <c r="U652" i="63"/>
  <c r="T652" i="63"/>
  <c r="S652" i="63"/>
  <c r="R652" i="63"/>
  <c r="Q652" i="63"/>
  <c r="P652" i="63"/>
  <c r="Z651" i="63"/>
  <c r="Y651" i="63"/>
  <c r="X651" i="63"/>
  <c r="W651" i="63"/>
  <c r="V651" i="63"/>
  <c r="U651" i="63"/>
  <c r="T651" i="63"/>
  <c r="R651" i="63"/>
  <c r="Q651" i="63"/>
  <c r="P651" i="63"/>
  <c r="O651" i="63"/>
  <c r="N651" i="63"/>
  <c r="M651" i="63"/>
  <c r="CC650" i="63"/>
  <c r="CB650" i="63"/>
  <c r="CA650" i="63"/>
  <c r="Z648" i="63"/>
  <c r="Y648" i="63"/>
  <c r="X648" i="63"/>
  <c r="W648" i="63"/>
  <c r="V648" i="63"/>
  <c r="U648" i="63"/>
  <c r="T648" i="63"/>
  <c r="S648" i="63"/>
  <c r="R648" i="63"/>
  <c r="Q648" i="63"/>
  <c r="P648" i="63"/>
  <c r="O648" i="63"/>
  <c r="N648" i="63"/>
  <c r="M648" i="63"/>
  <c r="L648" i="63"/>
  <c r="Z647" i="63"/>
  <c r="Y647" i="63"/>
  <c r="X647" i="63"/>
  <c r="W647" i="63"/>
  <c r="V647" i="63"/>
  <c r="U647" i="63"/>
  <c r="T647" i="63"/>
  <c r="S647" i="63"/>
  <c r="R647" i="63"/>
  <c r="Q647" i="63"/>
  <c r="P647" i="63"/>
  <c r="Z646" i="63"/>
  <c r="Y646" i="63"/>
  <c r="X646" i="63"/>
  <c r="W646" i="63"/>
  <c r="V646" i="63"/>
  <c r="U646" i="63"/>
  <c r="T646" i="63"/>
  <c r="S646" i="63"/>
  <c r="R646" i="63"/>
  <c r="Q646" i="63"/>
  <c r="P646" i="63"/>
  <c r="O646" i="63"/>
  <c r="N646" i="63"/>
  <c r="M646" i="63"/>
  <c r="CC645" i="63"/>
  <c r="CB645" i="63"/>
  <c r="CA645" i="63"/>
  <c r="Z643" i="63"/>
  <c r="Y643" i="63"/>
  <c r="X643" i="63"/>
  <c r="W643" i="63"/>
  <c r="V643" i="63"/>
  <c r="U643" i="63"/>
  <c r="T643" i="63"/>
  <c r="S643" i="63"/>
  <c r="R643" i="63"/>
  <c r="Q643" i="63"/>
  <c r="P643" i="63"/>
  <c r="O643" i="63"/>
  <c r="N643" i="63"/>
  <c r="M643" i="63"/>
  <c r="L643" i="63"/>
  <c r="CC642" i="63"/>
  <c r="CB642" i="63"/>
  <c r="CA642" i="63"/>
  <c r="Z639" i="63"/>
  <c r="Y639" i="63"/>
  <c r="X639" i="63"/>
  <c r="W639" i="63"/>
  <c r="V639" i="63"/>
  <c r="U639" i="63"/>
  <c r="T639" i="63"/>
  <c r="S639" i="63"/>
  <c r="R639" i="63"/>
  <c r="Q639" i="63"/>
  <c r="P639" i="63"/>
  <c r="Z638" i="63"/>
  <c r="Y638" i="63"/>
  <c r="X638" i="63"/>
  <c r="W638" i="63"/>
  <c r="V638" i="63"/>
  <c r="U638" i="63"/>
  <c r="T638" i="63"/>
  <c r="S638" i="63"/>
  <c r="R638" i="63"/>
  <c r="Q638" i="63"/>
  <c r="P638" i="63"/>
  <c r="O638" i="63"/>
  <c r="N638" i="63"/>
  <c r="M638" i="63"/>
  <c r="CC637" i="63"/>
  <c r="CB637" i="63"/>
  <c r="CA637" i="63"/>
  <c r="Z635" i="63"/>
  <c r="Y635" i="63"/>
  <c r="X635" i="63"/>
  <c r="W635" i="63"/>
  <c r="V635" i="63"/>
  <c r="U635" i="63"/>
  <c r="T635" i="63"/>
  <c r="S635" i="63"/>
  <c r="R635" i="63"/>
  <c r="Q635" i="63"/>
  <c r="P635" i="63"/>
  <c r="O635" i="63"/>
  <c r="N635" i="63"/>
  <c r="M635" i="63"/>
  <c r="L635" i="63"/>
  <c r="Z634" i="63"/>
  <c r="Y634" i="63"/>
  <c r="X634" i="63"/>
  <c r="W634" i="63"/>
  <c r="V634" i="63"/>
  <c r="U634" i="63"/>
  <c r="T634" i="63"/>
  <c r="S634" i="63"/>
  <c r="R634" i="63"/>
  <c r="Q634" i="63"/>
  <c r="P634" i="63"/>
  <c r="Z633" i="63"/>
  <c r="Y633" i="63"/>
  <c r="X633" i="63"/>
  <c r="W633" i="63"/>
  <c r="V633" i="63"/>
  <c r="U633" i="63"/>
  <c r="T633" i="63"/>
  <c r="S633" i="63"/>
  <c r="R633" i="63"/>
  <c r="Q633" i="63"/>
  <c r="P633" i="63"/>
  <c r="O633" i="63"/>
  <c r="N633" i="63"/>
  <c r="M633" i="63"/>
  <c r="CC632" i="63"/>
  <c r="CB632" i="63"/>
  <c r="CA632" i="63"/>
  <c r="Z630" i="63"/>
  <c r="Y630" i="63"/>
  <c r="X630" i="63"/>
  <c r="W630" i="63"/>
  <c r="V630" i="63"/>
  <c r="U630" i="63"/>
  <c r="T630" i="63"/>
  <c r="S630" i="63"/>
  <c r="R630" i="63"/>
  <c r="Q630" i="63"/>
  <c r="P630" i="63"/>
  <c r="O630" i="63"/>
  <c r="N630" i="63"/>
  <c r="M630" i="63"/>
  <c r="L630" i="63"/>
  <c r="CC629" i="63"/>
  <c r="CB629" i="63"/>
  <c r="CA629" i="63"/>
  <c r="U627" i="63"/>
  <c r="Z626" i="63"/>
  <c r="Y626" i="63"/>
  <c r="X626" i="63"/>
  <c r="W626" i="63"/>
  <c r="V626" i="63"/>
  <c r="U626" i="63"/>
  <c r="T626" i="63"/>
  <c r="S626" i="63"/>
  <c r="R626" i="63"/>
  <c r="Q626" i="63"/>
  <c r="P626" i="63"/>
  <c r="Z625" i="63"/>
  <c r="Y625" i="63"/>
  <c r="X625" i="63"/>
  <c r="W625" i="63"/>
  <c r="V625" i="63"/>
  <c r="U625" i="63"/>
  <c r="T625" i="63"/>
  <c r="S625" i="63"/>
  <c r="R625" i="63"/>
  <c r="Q625" i="63"/>
  <c r="P625" i="63"/>
  <c r="O625" i="63"/>
  <c r="N625" i="63"/>
  <c r="M625" i="63"/>
  <c r="CC624" i="63"/>
  <c r="CB624" i="63"/>
  <c r="CA624" i="63"/>
  <c r="Z622" i="63"/>
  <c r="Y622" i="63"/>
  <c r="X622" i="63"/>
  <c r="W622" i="63"/>
  <c r="V622" i="63"/>
  <c r="U622" i="63"/>
  <c r="T622" i="63"/>
  <c r="S622" i="63"/>
  <c r="R622" i="63"/>
  <c r="Q622" i="63"/>
  <c r="P622" i="63"/>
  <c r="O622" i="63"/>
  <c r="N622" i="63"/>
  <c r="M622" i="63"/>
  <c r="L622" i="63"/>
  <c r="Z621" i="63"/>
  <c r="Y621" i="63"/>
  <c r="X621" i="63"/>
  <c r="W621" i="63"/>
  <c r="V621" i="63"/>
  <c r="U621" i="63"/>
  <c r="T621" i="63"/>
  <c r="S621" i="63"/>
  <c r="R621" i="63"/>
  <c r="Q621" i="63"/>
  <c r="P621" i="63"/>
  <c r="Z620" i="63"/>
  <c r="Y620" i="63"/>
  <c r="X620" i="63"/>
  <c r="W620" i="63"/>
  <c r="V620" i="63"/>
  <c r="U620" i="63"/>
  <c r="T620" i="63"/>
  <c r="S620" i="63"/>
  <c r="R620" i="63"/>
  <c r="Q620" i="63"/>
  <c r="P620" i="63"/>
  <c r="O620" i="63"/>
  <c r="N620" i="63"/>
  <c r="M620" i="63"/>
  <c r="CC619" i="63"/>
  <c r="CB619" i="63"/>
  <c r="CA619" i="63"/>
  <c r="Z617" i="63"/>
  <c r="Y617" i="63"/>
  <c r="X617" i="63"/>
  <c r="W617" i="63"/>
  <c r="V617" i="63"/>
  <c r="U617" i="63"/>
  <c r="T617" i="63"/>
  <c r="S617" i="63"/>
  <c r="R617" i="63"/>
  <c r="Q617" i="63"/>
  <c r="P617" i="63"/>
  <c r="O617" i="63"/>
  <c r="N617" i="63"/>
  <c r="M617" i="63"/>
  <c r="L617" i="63"/>
  <c r="CC616" i="63"/>
  <c r="CB616" i="63"/>
  <c r="CA616" i="63"/>
  <c r="Z613" i="63"/>
  <c r="Y613" i="63"/>
  <c r="X613" i="63"/>
  <c r="W613" i="63"/>
  <c r="V613" i="63"/>
  <c r="U613" i="63"/>
  <c r="T613" i="63"/>
  <c r="S613" i="63"/>
  <c r="R613" i="63"/>
  <c r="Q613" i="63"/>
  <c r="P613" i="63"/>
  <c r="Z612" i="63"/>
  <c r="Y612" i="63"/>
  <c r="X612" i="63"/>
  <c r="W612" i="63"/>
  <c r="V612" i="63"/>
  <c r="U612" i="63"/>
  <c r="T612" i="63"/>
  <c r="S612" i="63"/>
  <c r="R612" i="63"/>
  <c r="Q612" i="63"/>
  <c r="P612" i="63"/>
  <c r="O612" i="63"/>
  <c r="N612" i="63"/>
  <c r="M612" i="63"/>
  <c r="CC611" i="63"/>
  <c r="CB611" i="63"/>
  <c r="CA611" i="63"/>
  <c r="Z609" i="63"/>
  <c r="Y609" i="63"/>
  <c r="X609" i="63"/>
  <c r="W609" i="63"/>
  <c r="V609" i="63"/>
  <c r="U609" i="63"/>
  <c r="T609" i="63"/>
  <c r="S609" i="63"/>
  <c r="R609" i="63"/>
  <c r="Q609" i="63"/>
  <c r="P609" i="63"/>
  <c r="O609" i="63"/>
  <c r="N609" i="63"/>
  <c r="M609" i="63"/>
  <c r="L609" i="63"/>
  <c r="Z608" i="63"/>
  <c r="Y608" i="63"/>
  <c r="X608" i="63"/>
  <c r="W608" i="63"/>
  <c r="V608" i="63"/>
  <c r="U608" i="63"/>
  <c r="T608" i="63"/>
  <c r="S608" i="63"/>
  <c r="R608" i="63"/>
  <c r="Q608" i="63"/>
  <c r="P608" i="63"/>
  <c r="Z607" i="63"/>
  <c r="Y607" i="63"/>
  <c r="X607" i="63"/>
  <c r="W607" i="63"/>
  <c r="V607" i="63"/>
  <c r="U607" i="63"/>
  <c r="T607" i="63"/>
  <c r="S607" i="63"/>
  <c r="R607" i="63"/>
  <c r="Q607" i="63"/>
  <c r="P607" i="63"/>
  <c r="O607" i="63"/>
  <c r="N607" i="63"/>
  <c r="M607" i="63"/>
  <c r="CC606" i="63"/>
  <c r="CB606" i="63"/>
  <c r="CA606" i="63"/>
  <c r="Z604" i="63"/>
  <c r="Y604" i="63"/>
  <c r="X604" i="63"/>
  <c r="W604" i="63"/>
  <c r="V604" i="63"/>
  <c r="U604" i="63"/>
  <c r="T604" i="63"/>
  <c r="S604" i="63"/>
  <c r="R604" i="63"/>
  <c r="Q604" i="63"/>
  <c r="P604" i="63"/>
  <c r="O604" i="63"/>
  <c r="N604" i="63"/>
  <c r="M604" i="63"/>
  <c r="L604" i="63"/>
  <c r="CC603" i="63"/>
  <c r="CB603" i="63"/>
  <c r="CA603" i="63"/>
  <c r="Z600" i="63"/>
  <c r="Y600" i="63"/>
  <c r="X600" i="63"/>
  <c r="W600" i="63"/>
  <c r="V600" i="63"/>
  <c r="U600" i="63"/>
  <c r="T600" i="63"/>
  <c r="S600" i="63"/>
  <c r="R600" i="63"/>
  <c r="Q600" i="63"/>
  <c r="P600" i="63"/>
  <c r="Z599" i="63"/>
  <c r="Y599" i="63"/>
  <c r="X599" i="63"/>
  <c r="W599" i="63"/>
  <c r="V599" i="63"/>
  <c r="U599" i="63"/>
  <c r="T599" i="63"/>
  <c r="S599" i="63"/>
  <c r="R599" i="63"/>
  <c r="Q599" i="63"/>
  <c r="P599" i="63"/>
  <c r="O599" i="63"/>
  <c r="N599" i="63"/>
  <c r="M599" i="63"/>
  <c r="CC598" i="63"/>
  <c r="CB598" i="63"/>
  <c r="CA598" i="63"/>
  <c r="AL593" i="63"/>
  <c r="AK593" i="63"/>
  <c r="AJ593" i="63"/>
  <c r="AH593" i="63"/>
  <c r="AG593" i="63"/>
  <c r="AF593" i="63"/>
  <c r="AD593" i="63"/>
  <c r="AC593" i="63"/>
  <c r="AB593" i="63"/>
  <c r="AL592" i="63"/>
  <c r="AK592" i="63"/>
  <c r="AH592" i="63"/>
  <c r="AG592" i="63"/>
  <c r="AD592" i="63"/>
  <c r="AC592" i="63"/>
  <c r="Z592" i="63"/>
  <c r="Y592" i="63"/>
  <c r="AI589" i="63"/>
  <c r="AE589" i="63"/>
  <c r="CE589" i="63" s="1"/>
  <c r="AA589" i="63"/>
  <c r="CD589" i="63" s="1"/>
  <c r="AI586" i="63"/>
  <c r="AE586" i="63"/>
  <c r="AA586" i="63"/>
  <c r="CD586" i="63" s="1"/>
  <c r="AI583" i="63"/>
  <c r="AJ592" i="63" s="1"/>
  <c r="AE583" i="63"/>
  <c r="AA583" i="63"/>
  <c r="AI577" i="63"/>
  <c r="CF577" i="63" s="1"/>
  <c r="AI576" i="63"/>
  <c r="CF576" i="63" s="1"/>
  <c r="AI575" i="63"/>
  <c r="CF575" i="63" s="1"/>
  <c r="AI574" i="63"/>
  <c r="CF574" i="63" s="1"/>
  <c r="AE577" i="63"/>
  <c r="CE577" i="63" s="1"/>
  <c r="AE576" i="63"/>
  <c r="CE576" i="63" s="1"/>
  <c r="AE575" i="63"/>
  <c r="CE575" i="63" s="1"/>
  <c r="AA577" i="63"/>
  <c r="AA576" i="63"/>
  <c r="CD576" i="63" s="1"/>
  <c r="AA575" i="63"/>
  <c r="CD575" i="63" s="1"/>
  <c r="AA574" i="63"/>
  <c r="CD574" i="63" s="1"/>
  <c r="CD577" i="63"/>
  <c r="AD574" i="63"/>
  <c r="CE574" i="63" s="1"/>
  <c r="CC572" i="63"/>
  <c r="AL572" i="63"/>
  <c r="AL578" i="63" s="1"/>
  <c r="AL590" i="63" s="1"/>
  <c r="AK572" i="63"/>
  <c r="AJ572" i="63"/>
  <c r="AI572" i="63"/>
  <c r="AH572" i="63"/>
  <c r="AH578" i="63" s="1"/>
  <c r="AH590" i="63" s="1"/>
  <c r="AG572" i="63"/>
  <c r="AF572" i="63"/>
  <c r="AE572" i="63"/>
  <c r="AD572" i="63"/>
  <c r="AC572" i="63"/>
  <c r="AC578" i="63" s="1"/>
  <c r="AC590" i="63" s="1"/>
  <c r="AB572" i="63"/>
  <c r="AA572" i="63"/>
  <c r="Z572" i="63"/>
  <c r="Z578" i="63" s="1"/>
  <c r="Z590" i="63" s="1"/>
  <c r="Y572" i="63"/>
  <c r="X572" i="63"/>
  <c r="X578" i="63" s="1"/>
  <c r="X590" i="63" s="1"/>
  <c r="AI568" i="63"/>
  <c r="CF568" i="63" s="1"/>
  <c r="AE568" i="63"/>
  <c r="CE568" i="63" s="1"/>
  <c r="AA568" i="63"/>
  <c r="CD568" i="63" s="1"/>
  <c r="CC566" i="63"/>
  <c r="CC569" i="63" s="1"/>
  <c r="AL566" i="63"/>
  <c r="AL569" i="63" s="1"/>
  <c r="AK566" i="63"/>
  <c r="AK569" i="63" s="1"/>
  <c r="AJ566" i="63"/>
  <c r="AJ569" i="63" s="1"/>
  <c r="AJ587" i="63" s="1"/>
  <c r="AI566" i="63"/>
  <c r="AH566" i="63"/>
  <c r="AH569" i="63" s="1"/>
  <c r="AG566" i="63"/>
  <c r="AG569" i="63" s="1"/>
  <c r="AF566" i="63"/>
  <c r="AE566" i="63"/>
  <c r="AD566" i="63"/>
  <c r="AD569" i="63" s="1"/>
  <c r="AC566" i="63"/>
  <c r="AC569" i="63" s="1"/>
  <c r="AB566" i="63"/>
  <c r="Z566" i="63"/>
  <c r="Z569" i="63" s="1"/>
  <c r="Y566" i="63"/>
  <c r="Y569" i="63" s="1"/>
  <c r="X566" i="63"/>
  <c r="X569" i="63" s="1"/>
  <c r="X587" i="63" s="1"/>
  <c r="CC562" i="63"/>
  <c r="CC513" i="63" s="1"/>
  <c r="AL562" i="63"/>
  <c r="AL584" i="63" s="1"/>
  <c r="AK562" i="63"/>
  <c r="AK552" i="63" s="1"/>
  <c r="AJ562" i="63"/>
  <c r="AJ526" i="63" s="1"/>
  <c r="AI562" i="63"/>
  <c r="AH562" i="63"/>
  <c r="AH165" i="63" s="1"/>
  <c r="AG562" i="63"/>
  <c r="AG165" i="63" s="1"/>
  <c r="AF562" i="63"/>
  <c r="AF526" i="63" s="1"/>
  <c r="AE562" i="63"/>
  <c r="AD562" i="63"/>
  <c r="AD165" i="63" s="1"/>
  <c r="AC562" i="63"/>
  <c r="AC165" i="63" s="1"/>
  <c r="AB562" i="63"/>
  <c r="AB526" i="63" s="1"/>
  <c r="AA562" i="63"/>
  <c r="AA526" i="63" s="1"/>
  <c r="Z562" i="63"/>
  <c r="Z165" i="63" s="1"/>
  <c r="Y562" i="63"/>
  <c r="Y165" i="63" s="1"/>
  <c r="X562" i="63"/>
  <c r="X165" i="63" s="1"/>
  <c r="CF560" i="63"/>
  <c r="CE560" i="63"/>
  <c r="CD560" i="63"/>
  <c r="CC560" i="63"/>
  <c r="AL560" i="63"/>
  <c r="AK560" i="63"/>
  <c r="AJ560" i="63"/>
  <c r="CF559" i="63"/>
  <c r="CE559" i="63"/>
  <c r="CD559" i="63"/>
  <c r="AL558" i="63"/>
  <c r="AK558" i="63"/>
  <c r="CF555" i="63"/>
  <c r="CE555" i="63"/>
  <c r="CD555" i="63"/>
  <c r="CC555" i="63"/>
  <c r="AL555" i="63"/>
  <c r="AK555" i="63"/>
  <c r="AJ555" i="63"/>
  <c r="CF551" i="63"/>
  <c r="CE551" i="63"/>
  <c r="CD551" i="63"/>
  <c r="AL550" i="63"/>
  <c r="AK550" i="63"/>
  <c r="CC547" i="63"/>
  <c r="AL547" i="63"/>
  <c r="AK547" i="63"/>
  <c r="AJ547" i="63"/>
  <c r="AI547" i="63"/>
  <c r="AH547" i="63"/>
  <c r="AG547" i="63"/>
  <c r="AF547" i="63"/>
  <c r="AE547" i="63"/>
  <c r="AD547" i="63"/>
  <c r="AC547" i="63"/>
  <c r="AB547" i="63"/>
  <c r="AA547" i="63"/>
  <c r="Z547" i="63"/>
  <c r="Y547" i="63"/>
  <c r="X547" i="63"/>
  <c r="AL546" i="63"/>
  <c r="AK546" i="63"/>
  <c r="AJ546" i="63"/>
  <c r="AI546" i="63"/>
  <c r="AH546" i="63"/>
  <c r="AG546" i="63"/>
  <c r="AF546" i="63"/>
  <c r="AE546" i="63"/>
  <c r="AD546" i="63"/>
  <c r="AC546" i="63"/>
  <c r="AB546" i="63"/>
  <c r="AL545" i="63"/>
  <c r="AK545" i="63"/>
  <c r="AJ545" i="63"/>
  <c r="AI545" i="63"/>
  <c r="AH545" i="63"/>
  <c r="AG545" i="63"/>
  <c r="AF545" i="63"/>
  <c r="AE545" i="63"/>
  <c r="AD545" i="63"/>
  <c r="AC545" i="63"/>
  <c r="AB545" i="63"/>
  <c r="AA545" i="63"/>
  <c r="Z545" i="63"/>
  <c r="Y545" i="63"/>
  <c r="CF544" i="63"/>
  <c r="CE544" i="63"/>
  <c r="CD544" i="63"/>
  <c r="CC542" i="63"/>
  <c r="AL542" i="63"/>
  <c r="AK542" i="63"/>
  <c r="AJ542" i="63"/>
  <c r="AI542" i="63"/>
  <c r="AH542" i="63"/>
  <c r="AG542" i="63"/>
  <c r="AF542" i="63"/>
  <c r="AE542" i="63"/>
  <c r="AD542" i="63"/>
  <c r="AC542" i="63"/>
  <c r="AB542" i="63"/>
  <c r="Z542" i="63"/>
  <c r="Y542" i="63"/>
  <c r="X542" i="63"/>
  <c r="CF541" i="63"/>
  <c r="CE541" i="63"/>
  <c r="AA541" i="63"/>
  <c r="AA566" i="63" s="1"/>
  <c r="AL538" i="63"/>
  <c r="AK538" i="63"/>
  <c r="AJ538" i="63"/>
  <c r="AI538" i="63"/>
  <c r="AH538" i="63"/>
  <c r="AG538" i="63"/>
  <c r="AF538" i="63"/>
  <c r="AE538" i="63"/>
  <c r="AD538" i="63"/>
  <c r="AC538" i="63"/>
  <c r="AB538" i="63"/>
  <c r="AL537" i="63"/>
  <c r="AK537" i="63"/>
  <c r="AJ537" i="63"/>
  <c r="AI537" i="63"/>
  <c r="AH537" i="63"/>
  <c r="AG537" i="63"/>
  <c r="AF537" i="63"/>
  <c r="AE537" i="63"/>
  <c r="AD537" i="63"/>
  <c r="AC537" i="63"/>
  <c r="AB537" i="63"/>
  <c r="AA537" i="63"/>
  <c r="Z537" i="63"/>
  <c r="Y537" i="63"/>
  <c r="CF536" i="63"/>
  <c r="CE536" i="63"/>
  <c r="CD536" i="63"/>
  <c r="CC534" i="63"/>
  <c r="AL534" i="63"/>
  <c r="AK534" i="63"/>
  <c r="AJ534" i="63"/>
  <c r="AI534" i="63"/>
  <c r="AH534" i="63"/>
  <c r="AG534" i="63"/>
  <c r="AF534" i="63"/>
  <c r="AE534" i="63"/>
  <c r="AD534" i="63"/>
  <c r="AC534" i="63"/>
  <c r="AB534" i="63"/>
  <c r="AA534" i="63"/>
  <c r="Z534" i="63"/>
  <c r="Y534" i="63"/>
  <c r="X534" i="63"/>
  <c r="AL533" i="63"/>
  <c r="AK533" i="63"/>
  <c r="AJ533" i="63"/>
  <c r="AI533" i="63"/>
  <c r="AH533" i="63"/>
  <c r="AG533" i="63"/>
  <c r="AF533" i="63"/>
  <c r="AE533" i="63"/>
  <c r="AD533" i="63"/>
  <c r="AC533" i="63"/>
  <c r="AB533" i="63"/>
  <c r="AL532" i="63"/>
  <c r="AK532" i="63"/>
  <c r="AJ532" i="63"/>
  <c r="AI532" i="63"/>
  <c r="AH532" i="63"/>
  <c r="AG532" i="63"/>
  <c r="AF532" i="63"/>
  <c r="AE532" i="63"/>
  <c r="AD532" i="63"/>
  <c r="AC532" i="63"/>
  <c r="AB532" i="63"/>
  <c r="AA532" i="63"/>
  <c r="Z532" i="63"/>
  <c r="Y532" i="63"/>
  <c r="CF531" i="63"/>
  <c r="CE531" i="63"/>
  <c r="CD531" i="63"/>
  <c r="CD533" i="63" s="1"/>
  <c r="CC529" i="63"/>
  <c r="AL529" i="63"/>
  <c r="AK529" i="63"/>
  <c r="AJ529" i="63"/>
  <c r="AI529" i="63"/>
  <c r="AH529" i="63"/>
  <c r="AG529" i="63"/>
  <c r="AF529" i="63"/>
  <c r="AE529" i="63"/>
  <c r="AD529" i="63"/>
  <c r="AC529" i="63"/>
  <c r="AB529" i="63"/>
  <c r="AA529" i="63"/>
  <c r="Z529" i="63"/>
  <c r="Y529" i="63"/>
  <c r="X529" i="63"/>
  <c r="CF528" i="63"/>
  <c r="CE528" i="63"/>
  <c r="CD528" i="63"/>
  <c r="AL525" i="63"/>
  <c r="AK525" i="63"/>
  <c r="AJ525" i="63"/>
  <c r="AI525" i="63"/>
  <c r="AH525" i="63"/>
  <c r="AG525" i="63"/>
  <c r="AF525" i="63"/>
  <c r="AE525" i="63"/>
  <c r="AD525" i="63"/>
  <c r="AC525" i="63"/>
  <c r="AB525" i="63"/>
  <c r="AL524" i="63"/>
  <c r="AK524" i="63"/>
  <c r="AJ524" i="63"/>
  <c r="AI524" i="63"/>
  <c r="AH524" i="63"/>
  <c r="AG524" i="63"/>
  <c r="AF524" i="63"/>
  <c r="AE524" i="63"/>
  <c r="AD524" i="63"/>
  <c r="AC524" i="63"/>
  <c r="AB524" i="63"/>
  <c r="AA524" i="63"/>
  <c r="Z524" i="63"/>
  <c r="Y524" i="63"/>
  <c r="CF523" i="63"/>
  <c r="CE523" i="63"/>
  <c r="CD523" i="63"/>
  <c r="CD525" i="63" s="1"/>
  <c r="CC521" i="63"/>
  <c r="AL521" i="63"/>
  <c r="AK521" i="63"/>
  <c r="AJ521" i="63"/>
  <c r="AI521" i="63"/>
  <c r="AH521" i="63"/>
  <c r="AG521" i="63"/>
  <c r="AF521" i="63"/>
  <c r="AE521" i="63"/>
  <c r="AD521" i="63"/>
  <c r="AC521" i="63"/>
  <c r="AB521" i="63"/>
  <c r="AA521" i="63"/>
  <c r="Z521" i="63"/>
  <c r="Y521" i="63"/>
  <c r="X521" i="63"/>
  <c r="AL520" i="63"/>
  <c r="AK520" i="63"/>
  <c r="AJ520" i="63"/>
  <c r="AI520" i="63"/>
  <c r="AH520" i="63"/>
  <c r="AG520" i="63"/>
  <c r="AF520" i="63"/>
  <c r="AE520" i="63"/>
  <c r="AD520" i="63"/>
  <c r="AC520" i="63"/>
  <c r="AB520" i="63"/>
  <c r="AL519" i="63"/>
  <c r="AK519" i="63"/>
  <c r="AJ519" i="63"/>
  <c r="AI519" i="63"/>
  <c r="AH519" i="63"/>
  <c r="AG519" i="63"/>
  <c r="AF519" i="63"/>
  <c r="AE519" i="63"/>
  <c r="AD519" i="63"/>
  <c r="AC519" i="63"/>
  <c r="AB519" i="63"/>
  <c r="AA519" i="63"/>
  <c r="Z519" i="63"/>
  <c r="Y519" i="63"/>
  <c r="CF518" i="63"/>
  <c r="CE518" i="63"/>
  <c r="CD518" i="63"/>
  <c r="CD520" i="63" s="1"/>
  <c r="CC516" i="63"/>
  <c r="AL516" i="63"/>
  <c r="AK516" i="63"/>
  <c r="AJ516" i="63"/>
  <c r="AI516" i="63"/>
  <c r="AH516" i="63"/>
  <c r="AG516" i="63"/>
  <c r="AF516" i="63"/>
  <c r="AE516" i="63"/>
  <c r="AD516" i="63"/>
  <c r="AC516" i="63"/>
  <c r="AB516" i="63"/>
  <c r="AA516" i="63"/>
  <c r="Z516" i="63"/>
  <c r="Y516" i="63"/>
  <c r="X516" i="63"/>
  <c r="CF515" i="63"/>
  <c r="CE515" i="63"/>
  <c r="CD515" i="63"/>
  <c r="AK513" i="63"/>
  <c r="AL512" i="63"/>
  <c r="AK512" i="63"/>
  <c r="AJ512" i="63"/>
  <c r="AI512" i="63"/>
  <c r="AH512" i="63"/>
  <c r="AG512" i="63"/>
  <c r="AF512" i="63"/>
  <c r="AE512" i="63"/>
  <c r="AD512" i="63"/>
  <c r="AC512" i="63"/>
  <c r="AB512" i="63"/>
  <c r="AL511" i="63"/>
  <c r="AK511" i="63"/>
  <c r="AJ511" i="63"/>
  <c r="AI511" i="63"/>
  <c r="AH511" i="63"/>
  <c r="AG511" i="63"/>
  <c r="AF511" i="63"/>
  <c r="AE511" i="63"/>
  <c r="AD511" i="63"/>
  <c r="AC511" i="63"/>
  <c r="AB511" i="63"/>
  <c r="AA511" i="63"/>
  <c r="Z511" i="63"/>
  <c r="Y511" i="63"/>
  <c r="CF510" i="63"/>
  <c r="CE510" i="63"/>
  <c r="CD510" i="63"/>
  <c r="CD512" i="63" s="1"/>
  <c r="CC508" i="63"/>
  <c r="AL508" i="63"/>
  <c r="AK508" i="63"/>
  <c r="AJ508" i="63"/>
  <c r="AI508" i="63"/>
  <c r="AH508" i="63"/>
  <c r="AG508" i="63"/>
  <c r="AF508" i="63"/>
  <c r="AE508" i="63"/>
  <c r="AD508" i="63"/>
  <c r="AC508" i="63"/>
  <c r="AB508" i="63"/>
  <c r="AA508" i="63"/>
  <c r="Z508" i="63"/>
  <c r="Y508" i="63"/>
  <c r="X508" i="63"/>
  <c r="AL507" i="63"/>
  <c r="AK507" i="63"/>
  <c r="AJ507" i="63"/>
  <c r="AI507" i="63"/>
  <c r="AH507" i="63"/>
  <c r="AG507" i="63"/>
  <c r="AF507" i="63"/>
  <c r="AE507" i="63"/>
  <c r="AD507" i="63"/>
  <c r="AC507" i="63"/>
  <c r="AB507" i="63"/>
  <c r="AL506" i="63"/>
  <c r="AK506" i="63"/>
  <c r="AJ506" i="63"/>
  <c r="AI506" i="63"/>
  <c r="AH506" i="63"/>
  <c r="AG506" i="63"/>
  <c r="AF506" i="63"/>
  <c r="AE506" i="63"/>
  <c r="AD506" i="63"/>
  <c r="AC506" i="63"/>
  <c r="AB506" i="63"/>
  <c r="AA506" i="63"/>
  <c r="Z506" i="63"/>
  <c r="Y506" i="63"/>
  <c r="CF505" i="63"/>
  <c r="CE505" i="63"/>
  <c r="CD505" i="63"/>
  <c r="CD507" i="63" s="1"/>
  <c r="CC503" i="63"/>
  <c r="AL503" i="63"/>
  <c r="AK503" i="63"/>
  <c r="AJ503" i="63"/>
  <c r="AI503" i="63"/>
  <c r="AH503" i="63"/>
  <c r="AG503" i="63"/>
  <c r="AF503" i="63"/>
  <c r="AE503" i="63"/>
  <c r="AD503" i="63"/>
  <c r="AC503" i="63"/>
  <c r="AB503" i="63"/>
  <c r="AA503" i="63"/>
  <c r="Z503" i="63"/>
  <c r="Y503" i="63"/>
  <c r="X503" i="63"/>
  <c r="CF502" i="63"/>
  <c r="CE502" i="63"/>
  <c r="CD502" i="63"/>
  <c r="AK500" i="63"/>
  <c r="AC500" i="63"/>
  <c r="AL499" i="63"/>
  <c r="AK499" i="63"/>
  <c r="AJ499" i="63"/>
  <c r="AI499" i="63"/>
  <c r="AH499" i="63"/>
  <c r="AG499" i="63"/>
  <c r="AF499" i="63"/>
  <c r="AE499" i="63"/>
  <c r="AD499" i="63"/>
  <c r="AC499" i="63"/>
  <c r="AB499" i="63"/>
  <c r="AL498" i="63"/>
  <c r="AK498" i="63"/>
  <c r="AJ498" i="63"/>
  <c r="AI498" i="63"/>
  <c r="AH498" i="63"/>
  <c r="AG498" i="63"/>
  <c r="AF498" i="63"/>
  <c r="AE498" i="63"/>
  <c r="AD498" i="63"/>
  <c r="AC498" i="63"/>
  <c r="AB498" i="63"/>
  <c r="AA498" i="63"/>
  <c r="Z498" i="63"/>
  <c r="Y498" i="63"/>
  <c r="CF497" i="63"/>
  <c r="CE497" i="63"/>
  <c r="CE503" i="63" s="1"/>
  <c r="CD497" i="63"/>
  <c r="CD499" i="63" s="1"/>
  <c r="CE492" i="63"/>
  <c r="CD492" i="63"/>
  <c r="AP492" i="63"/>
  <c r="AO492" i="63"/>
  <c r="AN492" i="63"/>
  <c r="AM492" i="63"/>
  <c r="AL492" i="63"/>
  <c r="AK492" i="63"/>
  <c r="AJ492" i="63"/>
  <c r="AP491" i="63"/>
  <c r="AO491" i="63"/>
  <c r="AN491" i="63"/>
  <c r="AM491" i="63"/>
  <c r="AL491" i="63"/>
  <c r="AK491" i="63"/>
  <c r="AJ491" i="63"/>
  <c r="AI491" i="63"/>
  <c r="AH491" i="63"/>
  <c r="AG491" i="63"/>
  <c r="CF488" i="63"/>
  <c r="AM488" i="63"/>
  <c r="CG488" i="63" s="1"/>
  <c r="CG485" i="63"/>
  <c r="CF485" i="63"/>
  <c r="CG482" i="63"/>
  <c r="CF482" i="63"/>
  <c r="CF492" i="63" s="1"/>
  <c r="AM476" i="63"/>
  <c r="AM475" i="63"/>
  <c r="CG475" i="63" s="1"/>
  <c r="AM474" i="63"/>
  <c r="CG474" i="63" s="1"/>
  <c r="AM473" i="63"/>
  <c r="AI476" i="63"/>
  <c r="CF476" i="63" s="1"/>
  <c r="AI475" i="63"/>
  <c r="CF475" i="63" s="1"/>
  <c r="AI474" i="63"/>
  <c r="CF474" i="63" s="1"/>
  <c r="AI473" i="63"/>
  <c r="CG476" i="63"/>
  <c r="CE471" i="63"/>
  <c r="CE477" i="63" s="1"/>
  <c r="CE489" i="63" s="1"/>
  <c r="CD471" i="63"/>
  <c r="CC471" i="63"/>
  <c r="AP471" i="63"/>
  <c r="AP477" i="63" s="1"/>
  <c r="AP489" i="63" s="1"/>
  <c r="AO471" i="63"/>
  <c r="AO477" i="63" s="1"/>
  <c r="AO489" i="63" s="1"/>
  <c r="AN471" i="63"/>
  <c r="AM471" i="63"/>
  <c r="AL471" i="63"/>
  <c r="AL477" i="63" s="1"/>
  <c r="AL489" i="63" s="1"/>
  <c r="AK471" i="63"/>
  <c r="AK477" i="63" s="1"/>
  <c r="AK489" i="63" s="1"/>
  <c r="AJ471" i="63"/>
  <c r="AI471" i="63"/>
  <c r="AH471" i="63"/>
  <c r="AG471" i="63"/>
  <c r="AG477" i="63" s="1"/>
  <c r="AG489" i="63" s="1"/>
  <c r="AF471" i="63"/>
  <c r="AM467" i="63"/>
  <c r="CG467" i="63" s="1"/>
  <c r="AI467" i="63"/>
  <c r="CF467" i="63" s="1"/>
  <c r="CE465" i="63"/>
  <c r="CE468" i="63" s="1"/>
  <c r="CE486" i="63" s="1"/>
  <c r="CD465" i="63"/>
  <c r="CC465" i="63"/>
  <c r="AP465" i="63"/>
  <c r="AP468" i="63" s="1"/>
  <c r="AO465" i="63"/>
  <c r="AO468" i="63" s="1"/>
  <c r="AO486" i="63" s="1"/>
  <c r="AN465" i="63"/>
  <c r="AN468" i="63" s="1"/>
  <c r="AM465" i="63"/>
  <c r="AM468" i="63" s="1"/>
  <c r="AL465" i="63"/>
  <c r="AL468" i="63" s="1"/>
  <c r="AK465" i="63"/>
  <c r="AK468" i="63" s="1"/>
  <c r="AK486" i="63" s="1"/>
  <c r="AJ465" i="63"/>
  <c r="AI465" i="63"/>
  <c r="AH465" i="63"/>
  <c r="AH468" i="63" s="1"/>
  <c r="AG465" i="63"/>
  <c r="AG468" i="63" s="1"/>
  <c r="AG486" i="63" s="1"/>
  <c r="AF465" i="63"/>
  <c r="CE461" i="63"/>
  <c r="CD461" i="63"/>
  <c r="CD425" i="63" s="1"/>
  <c r="CC461" i="63"/>
  <c r="CC483" i="63" s="1"/>
  <c r="AP461" i="63"/>
  <c r="AP438" i="63" s="1"/>
  <c r="AO461" i="63"/>
  <c r="AO483" i="63" s="1"/>
  <c r="AN461" i="63"/>
  <c r="AN483" i="63" s="1"/>
  <c r="AM461" i="63"/>
  <c r="AM483" i="63" s="1"/>
  <c r="AL461" i="63"/>
  <c r="AL438" i="63" s="1"/>
  <c r="AK461" i="63"/>
  <c r="AK438" i="63" s="1"/>
  <c r="AJ461" i="63"/>
  <c r="AJ483" i="63" s="1"/>
  <c r="AI461" i="63"/>
  <c r="AH461" i="63"/>
  <c r="AH483" i="63" s="1"/>
  <c r="AG461" i="63"/>
  <c r="AF461" i="63"/>
  <c r="AF483" i="63" s="1"/>
  <c r="CE459" i="63"/>
  <c r="CD459" i="63"/>
  <c r="CC459" i="63"/>
  <c r="AP459" i="63"/>
  <c r="AO459" i="63"/>
  <c r="AN459" i="63"/>
  <c r="AM459" i="63"/>
  <c r="AL459" i="63"/>
  <c r="AK459" i="63"/>
  <c r="AJ459" i="63"/>
  <c r="CE458" i="63"/>
  <c r="CD458" i="63"/>
  <c r="AP458" i="63"/>
  <c r="AO458" i="63"/>
  <c r="AN458" i="63"/>
  <c r="AP457" i="63"/>
  <c r="AO457" i="63"/>
  <c r="AN457" i="63"/>
  <c r="AM457" i="63"/>
  <c r="AL457" i="63"/>
  <c r="AK457" i="63"/>
  <c r="CG456" i="63"/>
  <c r="CF456" i="63"/>
  <c r="CE454" i="63"/>
  <c r="CD454" i="63"/>
  <c r="CC454" i="63"/>
  <c r="AP454" i="63"/>
  <c r="AO454" i="63"/>
  <c r="AN454" i="63"/>
  <c r="AM454" i="63"/>
  <c r="AL454" i="63"/>
  <c r="AK454" i="63"/>
  <c r="AJ454" i="63"/>
  <c r="CG453" i="63"/>
  <c r="CF453" i="63"/>
  <c r="CE450" i="63"/>
  <c r="CD450" i="63"/>
  <c r="AP450" i="63"/>
  <c r="AO450" i="63"/>
  <c r="AN450" i="63"/>
  <c r="AP449" i="63"/>
  <c r="AO449" i="63"/>
  <c r="AN449" i="63"/>
  <c r="AM449" i="63"/>
  <c r="AL449" i="63"/>
  <c r="AK449" i="63"/>
  <c r="CG448" i="63"/>
  <c r="CF448" i="63"/>
  <c r="CF450" i="63" s="1"/>
  <c r="CE446" i="63"/>
  <c r="CD446" i="63"/>
  <c r="CC446" i="63"/>
  <c r="AP446" i="63"/>
  <c r="AO446" i="63"/>
  <c r="AN446" i="63"/>
  <c r="AM446" i="63"/>
  <c r="AL446" i="63"/>
  <c r="AK446" i="63"/>
  <c r="AJ446" i="63"/>
  <c r="AI446" i="63"/>
  <c r="AH446" i="63"/>
  <c r="AG446" i="63"/>
  <c r="AF446" i="63"/>
  <c r="CE445" i="63"/>
  <c r="CD445" i="63"/>
  <c r="AP445" i="63"/>
  <c r="AO445" i="63"/>
  <c r="AN445" i="63"/>
  <c r="AM445" i="63"/>
  <c r="AL445" i="63"/>
  <c r="AK445" i="63"/>
  <c r="AJ445" i="63"/>
  <c r="AP444" i="63"/>
  <c r="AO444" i="63"/>
  <c r="AN444" i="63"/>
  <c r="AM444" i="63"/>
  <c r="AL444" i="63"/>
  <c r="AK444" i="63"/>
  <c r="AJ444" i="63"/>
  <c r="AI444" i="63"/>
  <c r="AH444" i="63"/>
  <c r="AG444" i="63"/>
  <c r="CG443" i="63"/>
  <c r="CF443" i="63"/>
  <c r="CE441" i="63"/>
  <c r="CD441" i="63"/>
  <c r="CC441" i="63"/>
  <c r="AP441" i="63"/>
  <c r="AO441" i="63"/>
  <c r="AN441" i="63"/>
  <c r="AM441" i="63"/>
  <c r="AL441" i="63"/>
  <c r="AK441" i="63"/>
  <c r="AJ441" i="63"/>
  <c r="AI441" i="63"/>
  <c r="AH441" i="63"/>
  <c r="AG441" i="63"/>
  <c r="AF441" i="63"/>
  <c r="CG440" i="63"/>
  <c r="CF440" i="63"/>
  <c r="AF438" i="63"/>
  <c r="CE437" i="63"/>
  <c r="CD437" i="63"/>
  <c r="AP437" i="63"/>
  <c r="AO437" i="63"/>
  <c r="AN437" i="63"/>
  <c r="AM437" i="63"/>
  <c r="AL437" i="63"/>
  <c r="AK437" i="63"/>
  <c r="AJ437" i="63"/>
  <c r="AP436" i="63"/>
  <c r="AO436" i="63"/>
  <c r="AN436" i="63"/>
  <c r="AM436" i="63"/>
  <c r="AL436" i="63"/>
  <c r="AK436" i="63"/>
  <c r="AJ436" i="63"/>
  <c r="AI436" i="63"/>
  <c r="AH436" i="63"/>
  <c r="AG436" i="63"/>
  <c r="CG435" i="63"/>
  <c r="CF435" i="63"/>
  <c r="CF437" i="63" s="1"/>
  <c r="CE433" i="63"/>
  <c r="CD433" i="63"/>
  <c r="CC433" i="63"/>
  <c r="AP433" i="63"/>
  <c r="AO433" i="63"/>
  <c r="AN433" i="63"/>
  <c r="AM433" i="63"/>
  <c r="AL433" i="63"/>
  <c r="AK433" i="63"/>
  <c r="AJ433" i="63"/>
  <c r="AI433" i="63"/>
  <c r="AH433" i="63"/>
  <c r="AG433" i="63"/>
  <c r="AF433" i="63"/>
  <c r="CE432" i="63"/>
  <c r="CD432" i="63"/>
  <c r="AP432" i="63"/>
  <c r="AO432" i="63"/>
  <c r="AN432" i="63"/>
  <c r="AM432" i="63"/>
  <c r="AL432" i="63"/>
  <c r="AK432" i="63"/>
  <c r="AJ432" i="63"/>
  <c r="AP431" i="63"/>
  <c r="AO431" i="63"/>
  <c r="AN431" i="63"/>
  <c r="AM431" i="63"/>
  <c r="AL431" i="63"/>
  <c r="AK431" i="63"/>
  <c r="AJ431" i="63"/>
  <c r="AI431" i="63"/>
  <c r="AH431" i="63"/>
  <c r="AG431" i="63"/>
  <c r="CG430" i="63"/>
  <c r="CF430" i="63"/>
  <c r="CE428" i="63"/>
  <c r="CD428" i="63"/>
  <c r="CC428" i="63"/>
  <c r="AP428" i="63"/>
  <c r="AO428" i="63"/>
  <c r="AN428" i="63"/>
  <c r="AM428" i="63"/>
  <c r="AL428" i="63"/>
  <c r="AK428" i="63"/>
  <c r="AJ428" i="63"/>
  <c r="AI428" i="63"/>
  <c r="AH428" i="63"/>
  <c r="AG428" i="63"/>
  <c r="AF428" i="63"/>
  <c r="CG427" i="63"/>
  <c r="CF427" i="63"/>
  <c r="CC425" i="63"/>
  <c r="CE424" i="63"/>
  <c r="CD424" i="63"/>
  <c r="AP424" i="63"/>
  <c r="AO424" i="63"/>
  <c r="AN424" i="63"/>
  <c r="AM424" i="63"/>
  <c r="AL424" i="63"/>
  <c r="AK424" i="63"/>
  <c r="AJ424" i="63"/>
  <c r="AP423" i="63"/>
  <c r="AO423" i="63"/>
  <c r="AN423" i="63"/>
  <c r="AM423" i="63"/>
  <c r="AL423" i="63"/>
  <c r="AK423" i="63"/>
  <c r="AJ423" i="63"/>
  <c r="AI423" i="63"/>
  <c r="AH423" i="63"/>
  <c r="AG423" i="63"/>
  <c r="CG422" i="63"/>
  <c r="CF422" i="63"/>
  <c r="CF424" i="63" s="1"/>
  <c r="CE420" i="63"/>
  <c r="CD420" i="63"/>
  <c r="CC420" i="63"/>
  <c r="AP420" i="63"/>
  <c r="AO420" i="63"/>
  <c r="AN420" i="63"/>
  <c r="AM420" i="63"/>
  <c r="AL420" i="63"/>
  <c r="AK420" i="63"/>
  <c r="AJ420" i="63"/>
  <c r="AI420" i="63"/>
  <c r="AH420" i="63"/>
  <c r="AG420" i="63"/>
  <c r="AF420" i="63"/>
  <c r="CE419" i="63"/>
  <c r="CD419" i="63"/>
  <c r="AP419" i="63"/>
  <c r="AO419" i="63"/>
  <c r="AN419" i="63"/>
  <c r="AM419" i="63"/>
  <c r="AL419" i="63"/>
  <c r="AK419" i="63"/>
  <c r="AJ419" i="63"/>
  <c r="AP418" i="63"/>
  <c r="AO418" i="63"/>
  <c r="AN418" i="63"/>
  <c r="AM418" i="63"/>
  <c r="AL418" i="63"/>
  <c r="AK418" i="63"/>
  <c r="AJ418" i="63"/>
  <c r="AI418" i="63"/>
  <c r="AH418" i="63"/>
  <c r="AG418" i="63"/>
  <c r="CG417" i="63"/>
  <c r="CF417" i="63"/>
  <c r="CE415" i="63"/>
  <c r="CD415" i="63"/>
  <c r="CC415" i="63"/>
  <c r="AP415" i="63"/>
  <c r="AO415" i="63"/>
  <c r="AN415" i="63"/>
  <c r="AM415" i="63"/>
  <c r="AL415" i="63"/>
  <c r="AK415" i="63"/>
  <c r="AJ415" i="63"/>
  <c r="AI415" i="63"/>
  <c r="AH415" i="63"/>
  <c r="AG415" i="63"/>
  <c r="AF415" i="63"/>
  <c r="CG414" i="63"/>
  <c r="CF414" i="63"/>
  <c r="CE411" i="63"/>
  <c r="CD411" i="63"/>
  <c r="AP411" i="63"/>
  <c r="AO411" i="63"/>
  <c r="AN411" i="63"/>
  <c r="AM411" i="63"/>
  <c r="AL411" i="63"/>
  <c r="AK411" i="63"/>
  <c r="AJ411" i="63"/>
  <c r="AP410" i="63"/>
  <c r="AO410" i="63"/>
  <c r="AN410" i="63"/>
  <c r="AM410" i="63"/>
  <c r="AL410" i="63"/>
  <c r="AK410" i="63"/>
  <c r="AJ410" i="63"/>
  <c r="AI410" i="63"/>
  <c r="AH410" i="63"/>
  <c r="AG410" i="63"/>
  <c r="CG409" i="63"/>
  <c r="CF409" i="63"/>
  <c r="CF411" i="63" s="1"/>
  <c r="CF401" i="63"/>
  <c r="CE401" i="63"/>
  <c r="AW401" i="63"/>
  <c r="AV401" i="63"/>
  <c r="AT401" i="63"/>
  <c r="AS401" i="63"/>
  <c r="AR401" i="63"/>
  <c r="AP401" i="63"/>
  <c r="AO401" i="63"/>
  <c r="AN401" i="63"/>
  <c r="AW400" i="63"/>
  <c r="AV400" i="63"/>
  <c r="AU400" i="63"/>
  <c r="AT400" i="63"/>
  <c r="AS400" i="63"/>
  <c r="AP400" i="63"/>
  <c r="AO400" i="63"/>
  <c r="AL400" i="63"/>
  <c r="AK400" i="63"/>
  <c r="CI397" i="63"/>
  <c r="AQ397" i="63"/>
  <c r="CH397" i="63" s="1"/>
  <c r="AM397" i="63"/>
  <c r="CG397" i="63" s="1"/>
  <c r="CI394" i="63"/>
  <c r="AQ394" i="63"/>
  <c r="CH394" i="63" s="1"/>
  <c r="AM394" i="63"/>
  <c r="CG394" i="63" s="1"/>
  <c r="CI391" i="63"/>
  <c r="CI401" i="63" s="1"/>
  <c r="AQ391" i="63"/>
  <c r="AM391" i="63"/>
  <c r="AM400" i="63" s="1"/>
  <c r="AU385" i="63"/>
  <c r="CI385" i="63" s="1"/>
  <c r="AU384" i="63"/>
  <c r="CI384" i="63" s="1"/>
  <c r="AQ385" i="63"/>
  <c r="CH385" i="63" s="1"/>
  <c r="AQ384" i="63"/>
  <c r="CH384" i="63" s="1"/>
  <c r="AQ383" i="63"/>
  <c r="CH383" i="63" s="1"/>
  <c r="AQ382" i="63"/>
  <c r="CH382" i="63" s="1"/>
  <c r="AM385" i="63"/>
  <c r="CG385" i="63" s="1"/>
  <c r="AM384" i="63"/>
  <c r="CG384" i="63" s="1"/>
  <c r="AM383" i="63"/>
  <c r="CG383" i="63" s="1"/>
  <c r="AM382" i="63"/>
  <c r="CG382" i="63" s="1"/>
  <c r="CI383" i="63"/>
  <c r="AU382" i="63"/>
  <c r="CI382" i="63" s="1"/>
  <c r="CI381" i="63"/>
  <c r="CE380" i="63"/>
  <c r="CD380" i="63"/>
  <c r="CD386" i="63" s="1"/>
  <c r="AW380" i="63"/>
  <c r="AV380" i="63"/>
  <c r="AV386" i="63" s="1"/>
  <c r="AV398" i="63" s="1"/>
  <c r="AU380" i="63"/>
  <c r="AT380" i="63"/>
  <c r="AS380" i="63"/>
  <c r="AR380" i="63"/>
  <c r="AR386" i="63" s="1"/>
  <c r="AQ380" i="63"/>
  <c r="AP380" i="63"/>
  <c r="AO380" i="63"/>
  <c r="AN380" i="63"/>
  <c r="AN386" i="63" s="1"/>
  <c r="AN398" i="63" s="1"/>
  <c r="AM380" i="63"/>
  <c r="AL380" i="63"/>
  <c r="AL386" i="63" s="1"/>
  <c r="AK380" i="63"/>
  <c r="AJ380" i="63"/>
  <c r="AJ386" i="63" s="1"/>
  <c r="AJ398" i="63" s="1"/>
  <c r="AQ374" i="63"/>
  <c r="CH374" i="63" s="1"/>
  <c r="AM374" i="63"/>
  <c r="CG374" i="63" s="1"/>
  <c r="CE372" i="63"/>
  <c r="CE377" i="63" s="1"/>
  <c r="CE395" i="63" s="1"/>
  <c r="CD372" i="63"/>
  <c r="AW372" i="63"/>
  <c r="AW377" i="63" s="1"/>
  <c r="AV372" i="63"/>
  <c r="AV377" i="63" s="1"/>
  <c r="AU372" i="63"/>
  <c r="AT372" i="63"/>
  <c r="AT375" i="63" s="1"/>
  <c r="AS372" i="63"/>
  <c r="AS377" i="63" s="1"/>
  <c r="AR372" i="63"/>
  <c r="AQ372" i="63"/>
  <c r="AP372" i="63"/>
  <c r="AP377" i="63" s="1"/>
  <c r="AO372" i="63"/>
  <c r="AO375" i="63" s="1"/>
  <c r="AN372" i="63"/>
  <c r="AN375" i="63" s="1"/>
  <c r="AM372" i="63"/>
  <c r="AL372" i="63"/>
  <c r="AL377" i="63" s="1"/>
  <c r="AK372" i="63"/>
  <c r="AK375" i="63" s="1"/>
  <c r="AJ372" i="63"/>
  <c r="AJ377" i="63" s="1"/>
  <c r="CE368" i="63"/>
  <c r="CE354" i="63" s="1"/>
  <c r="CD368" i="63"/>
  <c r="CD303" i="63" s="1"/>
  <c r="AW368" i="63"/>
  <c r="AW165" i="63" s="1"/>
  <c r="AV368" i="63"/>
  <c r="AV337" i="63" s="1"/>
  <c r="AU368" i="63"/>
  <c r="AU337" i="63" s="1"/>
  <c r="AT368" i="63"/>
  <c r="AT337" i="63" s="1"/>
  <c r="AS368" i="63"/>
  <c r="AS337" i="63" s="1"/>
  <c r="AR368" i="63"/>
  <c r="AR303" i="63" s="1"/>
  <c r="AQ368" i="63"/>
  <c r="AQ165" i="63" s="1"/>
  <c r="AP368" i="63"/>
  <c r="AP392" i="63" s="1"/>
  <c r="AO368" i="63"/>
  <c r="AO320" i="63" s="1"/>
  <c r="AN368" i="63"/>
  <c r="AN303" i="63" s="1"/>
  <c r="AM368" i="63"/>
  <c r="AL368" i="63"/>
  <c r="AL303" i="63" s="1"/>
  <c r="AK368" i="63"/>
  <c r="AJ368" i="63"/>
  <c r="AJ165" i="63" s="1"/>
  <c r="CF366" i="63"/>
  <c r="CE366" i="63"/>
  <c r="CD366" i="63"/>
  <c r="CF365" i="63"/>
  <c r="CE365" i="63"/>
  <c r="CI363" i="63"/>
  <c r="CH363" i="63"/>
  <c r="CG363" i="63"/>
  <c r="CG365" i="63" s="1"/>
  <c r="CF361" i="63"/>
  <c r="CE361" i="63"/>
  <c r="CD361" i="63"/>
  <c r="BB361" i="63"/>
  <c r="CI360" i="63"/>
  <c r="CH360" i="63"/>
  <c r="CG360" i="63"/>
  <c r="AW357" i="63"/>
  <c r="AV357" i="63"/>
  <c r="AU357" i="63"/>
  <c r="AT357" i="63"/>
  <c r="AS357" i="63"/>
  <c r="AR357" i="63"/>
  <c r="AQ357" i="63"/>
  <c r="AP357" i="63"/>
  <c r="AO357" i="63"/>
  <c r="AN357" i="63"/>
  <c r="AM357" i="63"/>
  <c r="AL357" i="63"/>
  <c r="AK357" i="63"/>
  <c r="AJ357" i="63"/>
  <c r="AP356" i="63"/>
  <c r="AO356" i="63"/>
  <c r="AN356" i="63"/>
  <c r="AM356" i="63"/>
  <c r="AL356" i="63"/>
  <c r="AK356" i="63"/>
  <c r="AJ356" i="63"/>
  <c r="CF354" i="63"/>
  <c r="CF353" i="63"/>
  <c r="CE353" i="63"/>
  <c r="CG351" i="63"/>
  <c r="CG353" i="63" s="1"/>
  <c r="CF349" i="63"/>
  <c r="CE349" i="63"/>
  <c r="CD349" i="63"/>
  <c r="AW349" i="63"/>
  <c r="AV349" i="63"/>
  <c r="AU349" i="63"/>
  <c r="AT349" i="63"/>
  <c r="AS349" i="63"/>
  <c r="AR349" i="63"/>
  <c r="AQ349" i="63"/>
  <c r="AP349" i="63"/>
  <c r="AO349" i="63"/>
  <c r="AN349" i="63"/>
  <c r="AM349" i="63"/>
  <c r="AL349" i="63"/>
  <c r="AK349" i="63"/>
  <c r="AJ349" i="63"/>
  <c r="CF348" i="63"/>
  <c r="CE348" i="63"/>
  <c r="AW348" i="63"/>
  <c r="AV348" i="63"/>
  <c r="AU348" i="63"/>
  <c r="AT348" i="63"/>
  <c r="AS348" i="63"/>
  <c r="AR348" i="63"/>
  <c r="AQ348" i="63"/>
  <c r="AP348" i="63"/>
  <c r="AO348" i="63"/>
  <c r="AN348" i="63"/>
  <c r="AW347" i="63"/>
  <c r="AV347" i="63"/>
  <c r="AU347" i="63"/>
  <c r="AT347" i="63"/>
  <c r="AS347" i="63"/>
  <c r="AR347" i="63"/>
  <c r="AQ347" i="63"/>
  <c r="AP347" i="63"/>
  <c r="AO347" i="63"/>
  <c r="AN347" i="63"/>
  <c r="AM347" i="63"/>
  <c r="AL347" i="63"/>
  <c r="AK347" i="63"/>
  <c r="CI346" i="63"/>
  <c r="CH346" i="63"/>
  <c r="CG346" i="63"/>
  <c r="CF344" i="63"/>
  <c r="CE344" i="63"/>
  <c r="CD344" i="63"/>
  <c r="AW344" i="63"/>
  <c r="AX344" i="63" s="1"/>
  <c r="AY344" i="63" s="1"/>
  <c r="AZ344" i="63" s="1"/>
  <c r="BA344" i="63" s="1"/>
  <c r="BB344" i="63" s="1"/>
  <c r="BC344" i="63" s="1"/>
  <c r="BD344" i="63" s="1"/>
  <c r="BE344" i="63" s="1"/>
  <c r="BF344" i="63" s="1"/>
  <c r="BG344" i="63" s="1"/>
  <c r="BH344" i="63" s="1"/>
  <c r="BI344" i="63" s="1"/>
  <c r="BJ344" i="63" s="1"/>
  <c r="BK344" i="63" s="1"/>
  <c r="AV344" i="63"/>
  <c r="AU344" i="63"/>
  <c r="AT344" i="63"/>
  <c r="AS344" i="63"/>
  <c r="AR344" i="63"/>
  <c r="AQ344" i="63"/>
  <c r="AP344" i="63"/>
  <c r="AO344" i="63"/>
  <c r="AN344" i="63"/>
  <c r="AM344" i="63"/>
  <c r="AL344" i="63"/>
  <c r="AK344" i="63"/>
  <c r="AJ344" i="63"/>
  <c r="CI343" i="63"/>
  <c r="CH343" i="63"/>
  <c r="CG343" i="63"/>
  <c r="AW340" i="63"/>
  <c r="AV340" i="63"/>
  <c r="AU340" i="63"/>
  <c r="AT340" i="63"/>
  <c r="AS340" i="63"/>
  <c r="AR340" i="63"/>
  <c r="AQ340" i="63"/>
  <c r="AP340" i="63"/>
  <c r="AO340" i="63"/>
  <c r="AN340" i="63"/>
  <c r="AM340" i="63"/>
  <c r="AL340" i="63"/>
  <c r="AK340" i="63"/>
  <c r="AJ340" i="63"/>
  <c r="AW339" i="63"/>
  <c r="AV339" i="63"/>
  <c r="AU339" i="63"/>
  <c r="AT339" i="63"/>
  <c r="AS339" i="63"/>
  <c r="AR339" i="63"/>
  <c r="AQ339" i="63"/>
  <c r="AP339" i="63"/>
  <c r="AO339" i="63"/>
  <c r="AN339" i="63"/>
  <c r="AM339" i="63"/>
  <c r="AL339" i="63"/>
  <c r="AK339" i="63"/>
  <c r="AJ339" i="63"/>
  <c r="CD337" i="63"/>
  <c r="CF336" i="63"/>
  <c r="CE336" i="63"/>
  <c r="AW336" i="63"/>
  <c r="AV336" i="63"/>
  <c r="AU336" i="63"/>
  <c r="AT336" i="63"/>
  <c r="AS336" i="63"/>
  <c r="AR336" i="63"/>
  <c r="AQ336" i="63"/>
  <c r="AP336" i="63"/>
  <c r="AO336" i="63"/>
  <c r="AN336" i="63"/>
  <c r="AW335" i="63"/>
  <c r="AV335" i="63"/>
  <c r="AU335" i="63"/>
  <c r="AT335" i="63"/>
  <c r="AS335" i="63"/>
  <c r="AR335" i="63"/>
  <c r="AQ335" i="63"/>
  <c r="AP335" i="63"/>
  <c r="AO335" i="63"/>
  <c r="AN335" i="63"/>
  <c r="AM335" i="63"/>
  <c r="AL335" i="63"/>
  <c r="AK335" i="63"/>
  <c r="CI334" i="63"/>
  <c r="CH334" i="63"/>
  <c r="CG334" i="63"/>
  <c r="CE332" i="63"/>
  <c r="CD332" i="63"/>
  <c r="AW332" i="63"/>
  <c r="AV332" i="63"/>
  <c r="AU332" i="63"/>
  <c r="AT332" i="63"/>
  <c r="AS332" i="63"/>
  <c r="AR332" i="63"/>
  <c r="AQ332" i="63"/>
  <c r="AP332" i="63"/>
  <c r="AO332" i="63"/>
  <c r="AN332" i="63"/>
  <c r="AM332" i="63"/>
  <c r="AL332" i="63"/>
  <c r="AK332" i="63"/>
  <c r="AJ332" i="63"/>
  <c r="CE331" i="63"/>
  <c r="AW331" i="63"/>
  <c r="AV331" i="63"/>
  <c r="AU331" i="63"/>
  <c r="AT331" i="63"/>
  <c r="AS331" i="63"/>
  <c r="AR331" i="63"/>
  <c r="AQ331" i="63"/>
  <c r="AP331" i="63"/>
  <c r="AO331" i="63"/>
  <c r="AN331" i="63"/>
  <c r="AW330" i="63"/>
  <c r="AV330" i="63"/>
  <c r="AU330" i="63"/>
  <c r="AT330" i="63"/>
  <c r="AS330" i="63"/>
  <c r="AR330" i="63"/>
  <c r="AQ330" i="63"/>
  <c r="AP330" i="63"/>
  <c r="AO330" i="63"/>
  <c r="AN330" i="63"/>
  <c r="AM330" i="63"/>
  <c r="AL330" i="63"/>
  <c r="AK330" i="63"/>
  <c r="CI329" i="63"/>
  <c r="CH329" i="63"/>
  <c r="CG329" i="63"/>
  <c r="CF329" i="63"/>
  <c r="AW326" i="63"/>
  <c r="AV326" i="63"/>
  <c r="AU326" i="63"/>
  <c r="AT326" i="63"/>
  <c r="AS326" i="63"/>
  <c r="AR326" i="63"/>
  <c r="AQ326" i="63"/>
  <c r="AP326" i="63"/>
  <c r="AO326" i="63"/>
  <c r="AN326" i="63"/>
  <c r="AM326" i="63"/>
  <c r="AL326" i="63"/>
  <c r="AK326" i="63"/>
  <c r="AJ326" i="63"/>
  <c r="AW325" i="63"/>
  <c r="AV325" i="63"/>
  <c r="AU325" i="63"/>
  <c r="AT325" i="63"/>
  <c r="AS325" i="63"/>
  <c r="AR325" i="63"/>
  <c r="AQ325" i="63"/>
  <c r="AP325" i="63"/>
  <c r="AO325" i="63"/>
  <c r="AN325" i="63"/>
  <c r="AM325" i="63"/>
  <c r="AL325" i="63"/>
  <c r="AK325" i="63"/>
  <c r="AJ325" i="63"/>
  <c r="CE323" i="63"/>
  <c r="CD323" i="63"/>
  <c r="AW323" i="63"/>
  <c r="AX323" i="63" s="1"/>
  <c r="AY323" i="63" s="1"/>
  <c r="AZ323" i="63" s="1"/>
  <c r="BA323" i="63" s="1"/>
  <c r="BB323" i="63" s="1"/>
  <c r="BC323" i="63" s="1"/>
  <c r="BD323" i="63" s="1"/>
  <c r="BE323" i="63" s="1"/>
  <c r="BF323" i="63" s="1"/>
  <c r="BG323" i="63" s="1"/>
  <c r="BH323" i="63" s="1"/>
  <c r="BI323" i="63" s="1"/>
  <c r="BJ323" i="63" s="1"/>
  <c r="BK323" i="63" s="1"/>
  <c r="AV323" i="63"/>
  <c r="AU323" i="63"/>
  <c r="AT323" i="63"/>
  <c r="AS323" i="63"/>
  <c r="AR323" i="63"/>
  <c r="AQ323" i="63"/>
  <c r="AP323" i="63"/>
  <c r="AO323" i="63"/>
  <c r="AN323" i="63"/>
  <c r="AM323" i="63"/>
  <c r="AL323" i="63"/>
  <c r="AK323" i="63"/>
  <c r="AJ323" i="63"/>
  <c r="CI322" i="63"/>
  <c r="CH322" i="63"/>
  <c r="CG322" i="63"/>
  <c r="CF322" i="63"/>
  <c r="CE319" i="63"/>
  <c r="AW319" i="63"/>
  <c r="AV319" i="63"/>
  <c r="AU319" i="63"/>
  <c r="AT319" i="63"/>
  <c r="AS319" i="63"/>
  <c r="AR319" i="63"/>
  <c r="AQ319" i="63"/>
  <c r="AP319" i="63"/>
  <c r="AO319" i="63"/>
  <c r="AN319" i="63"/>
  <c r="AW318" i="63"/>
  <c r="AV318" i="63"/>
  <c r="AU318" i="63"/>
  <c r="AT318" i="63"/>
  <c r="AS318" i="63"/>
  <c r="AR318" i="63"/>
  <c r="AQ318" i="63"/>
  <c r="AP318" i="63"/>
  <c r="AO318" i="63"/>
  <c r="AN318" i="63"/>
  <c r="AM318" i="63"/>
  <c r="AL318" i="63"/>
  <c r="AK318" i="63"/>
  <c r="CI317" i="63"/>
  <c r="CH317" i="63"/>
  <c r="CG317" i="63"/>
  <c r="CG319" i="63" s="1"/>
  <c r="CF317" i="63"/>
  <c r="CF319" i="63" s="1"/>
  <c r="CE315" i="63"/>
  <c r="CD315" i="63"/>
  <c r="AW315" i="63"/>
  <c r="AV315" i="63"/>
  <c r="AU315" i="63"/>
  <c r="AT315" i="63"/>
  <c r="AS315" i="63"/>
  <c r="AR315" i="63"/>
  <c r="AQ315" i="63"/>
  <c r="AP315" i="63"/>
  <c r="AO315" i="63"/>
  <c r="AN315" i="63"/>
  <c r="AM315" i="63"/>
  <c r="AL315" i="63"/>
  <c r="AK315" i="63"/>
  <c r="AJ315" i="63"/>
  <c r="CE314" i="63"/>
  <c r="AW314" i="63"/>
  <c r="AV314" i="63"/>
  <c r="AU314" i="63"/>
  <c r="AT314" i="63"/>
  <c r="AS314" i="63"/>
  <c r="AR314" i="63"/>
  <c r="AQ314" i="63"/>
  <c r="AP314" i="63"/>
  <c r="AO314" i="63"/>
  <c r="AN314" i="63"/>
  <c r="AW313" i="63"/>
  <c r="AV313" i="63"/>
  <c r="AU313" i="63"/>
  <c r="AT313" i="63"/>
  <c r="AS313" i="63"/>
  <c r="AR313" i="63"/>
  <c r="AQ313" i="63"/>
  <c r="AP313" i="63"/>
  <c r="AO313" i="63"/>
  <c r="AN313" i="63"/>
  <c r="AM313" i="63"/>
  <c r="AL313" i="63"/>
  <c r="AK313" i="63"/>
  <c r="CI312" i="63"/>
  <c r="CH312" i="63"/>
  <c r="CG312" i="63"/>
  <c r="CG314" i="63" s="1"/>
  <c r="CF312" i="63"/>
  <c r="AW309" i="63"/>
  <c r="AV309" i="63"/>
  <c r="AU309" i="63"/>
  <c r="AT309" i="63"/>
  <c r="AS309" i="63"/>
  <c r="AR309" i="63"/>
  <c r="AQ309" i="63"/>
  <c r="AP309" i="63"/>
  <c r="AO309" i="63"/>
  <c r="AN309" i="63"/>
  <c r="AM309" i="63"/>
  <c r="AL309" i="63"/>
  <c r="AK309" i="63"/>
  <c r="AJ309" i="63"/>
  <c r="AW308" i="63"/>
  <c r="AW310" i="63" s="1"/>
  <c r="AV308" i="63"/>
  <c r="AU308" i="63"/>
  <c r="AT308" i="63"/>
  <c r="AS308" i="63"/>
  <c r="AR308" i="63"/>
  <c r="AQ308" i="63"/>
  <c r="AP308" i="63"/>
  <c r="AO308" i="63"/>
  <c r="AO310" i="63" s="1"/>
  <c r="AN308" i="63"/>
  <c r="AM308" i="63"/>
  <c r="AL308" i="63"/>
  <c r="AK308" i="63"/>
  <c r="AK310" i="63" s="1"/>
  <c r="AJ308" i="63"/>
  <c r="CE306" i="63"/>
  <c r="CD306" i="63"/>
  <c r="AW306" i="63"/>
  <c r="AX306" i="63" s="1"/>
  <c r="AY306" i="63" s="1"/>
  <c r="AZ306" i="63" s="1"/>
  <c r="BA306" i="63" s="1"/>
  <c r="BB306" i="63" s="1"/>
  <c r="BC306" i="63" s="1"/>
  <c r="BD306" i="63" s="1"/>
  <c r="BE306" i="63" s="1"/>
  <c r="BF306" i="63" s="1"/>
  <c r="BG306" i="63" s="1"/>
  <c r="BH306" i="63" s="1"/>
  <c r="BI306" i="63" s="1"/>
  <c r="BJ306" i="63" s="1"/>
  <c r="BK306" i="63" s="1"/>
  <c r="AV306" i="63"/>
  <c r="AU306" i="63"/>
  <c r="AT306" i="63"/>
  <c r="AS306" i="63"/>
  <c r="AR306" i="63"/>
  <c r="AQ306" i="63"/>
  <c r="AP306" i="63"/>
  <c r="AO306" i="63"/>
  <c r="AN306" i="63"/>
  <c r="AM306" i="63"/>
  <c r="AL306" i="63"/>
  <c r="AK306" i="63"/>
  <c r="AJ306" i="63"/>
  <c r="CI305" i="63"/>
  <c r="CH305" i="63"/>
  <c r="CG305" i="63"/>
  <c r="CF305" i="63"/>
  <c r="CE302" i="63"/>
  <c r="AW302" i="63"/>
  <c r="AV302" i="63"/>
  <c r="AU302" i="63"/>
  <c r="AT302" i="63"/>
  <c r="AS302" i="63"/>
  <c r="AR302" i="63"/>
  <c r="AQ302" i="63"/>
  <c r="AP302" i="63"/>
  <c r="AO302" i="63"/>
  <c r="AN302" i="63"/>
  <c r="AW301" i="63"/>
  <c r="AV301" i="63"/>
  <c r="AU301" i="63"/>
  <c r="AT301" i="63"/>
  <c r="AS301" i="63"/>
  <c r="AR301" i="63"/>
  <c r="AQ301" i="63"/>
  <c r="AP301" i="63"/>
  <c r="AO301" i="63"/>
  <c r="AN301" i="63"/>
  <c r="AM301" i="63"/>
  <c r="AL301" i="63"/>
  <c r="AK301" i="63"/>
  <c r="CI300" i="63"/>
  <c r="CH300" i="63"/>
  <c r="CG300" i="63"/>
  <c r="CF300" i="63"/>
  <c r="CF302" i="63" s="1"/>
  <c r="D95" i="63"/>
  <c r="CF93" i="63"/>
  <c r="CE93" i="63"/>
  <c r="CD93" i="63"/>
  <c r="CC93" i="63"/>
  <c r="CB93" i="63"/>
  <c r="CA93" i="63"/>
  <c r="BZ93" i="63"/>
  <c r="BY93" i="63"/>
  <c r="CF92" i="63"/>
  <c r="CE92" i="63"/>
  <c r="CD92" i="63"/>
  <c r="CC92" i="63"/>
  <c r="CB92" i="63"/>
  <c r="CA92" i="63"/>
  <c r="BZ92" i="63"/>
  <c r="BY92" i="63"/>
  <c r="CF91" i="63"/>
  <c r="CE91" i="63"/>
  <c r="CD91" i="63"/>
  <c r="CC91" i="63"/>
  <c r="CB91" i="63"/>
  <c r="CA91" i="63"/>
  <c r="BZ91" i="63"/>
  <c r="BY91" i="63"/>
  <c r="CF89" i="63"/>
  <c r="CE89" i="63"/>
  <c r="CD89" i="63"/>
  <c r="CC89" i="63"/>
  <c r="CB89" i="63"/>
  <c r="CA89" i="63"/>
  <c r="BZ89" i="63"/>
  <c r="BY89" i="63"/>
  <c r="AK90" i="63"/>
  <c r="BE86" i="63"/>
  <c r="BD86" i="63"/>
  <c r="BC86" i="63"/>
  <c r="BB86" i="63"/>
  <c r="BA86" i="63"/>
  <c r="AZ86" i="63"/>
  <c r="AY86" i="63"/>
  <c r="AX86" i="63"/>
  <c r="AW86" i="63"/>
  <c r="AV86" i="63"/>
  <c r="AU86" i="63"/>
  <c r="AT86" i="63"/>
  <c r="AS86" i="63"/>
  <c r="AR86" i="63"/>
  <c r="AQ86" i="63"/>
  <c r="AP86" i="63"/>
  <c r="AO86" i="63"/>
  <c r="AN86" i="63"/>
  <c r="AM86" i="63"/>
  <c r="AL86" i="63"/>
  <c r="AK86" i="63"/>
  <c r="AJ86" i="63"/>
  <c r="AI86" i="63"/>
  <c r="AH86" i="63"/>
  <c r="AG86" i="63"/>
  <c r="AF86" i="63"/>
  <c r="AE86" i="63"/>
  <c r="AD86" i="63"/>
  <c r="AC86" i="63"/>
  <c r="AB86" i="63"/>
  <c r="AA86" i="63"/>
  <c r="Z86" i="63"/>
  <c r="Y86" i="63"/>
  <c r="X86" i="63"/>
  <c r="W86" i="63"/>
  <c r="V86" i="63"/>
  <c r="U86" i="63"/>
  <c r="T86" i="63"/>
  <c r="S86" i="63"/>
  <c r="R86" i="63"/>
  <c r="Q86" i="63"/>
  <c r="P86" i="63"/>
  <c r="O86" i="63"/>
  <c r="N86" i="63"/>
  <c r="M86" i="63"/>
  <c r="L86" i="63"/>
  <c r="K86" i="63"/>
  <c r="J86" i="63"/>
  <c r="I86" i="63"/>
  <c r="H86" i="63"/>
  <c r="G86" i="63"/>
  <c r="F86" i="63"/>
  <c r="E86" i="63"/>
  <c r="D86" i="63"/>
  <c r="BE81" i="63"/>
  <c r="BD81" i="63"/>
  <c r="BC81" i="63"/>
  <c r="BB81" i="63"/>
  <c r="BA81" i="63"/>
  <c r="AZ81" i="63"/>
  <c r="AY81" i="63"/>
  <c r="AX81" i="63"/>
  <c r="AW81" i="63"/>
  <c r="AV81" i="63"/>
  <c r="AU81" i="63"/>
  <c r="AT81" i="63"/>
  <c r="AS81" i="63"/>
  <c r="AR81" i="63"/>
  <c r="AQ81" i="63"/>
  <c r="AP81" i="63"/>
  <c r="AO81" i="63"/>
  <c r="AN81" i="63"/>
  <c r="AM81" i="63"/>
  <c r="AL81" i="63"/>
  <c r="AK81" i="63"/>
  <c r="AJ81" i="63"/>
  <c r="AI81" i="63"/>
  <c r="AH81" i="63"/>
  <c r="AG81" i="63"/>
  <c r="AF81" i="63"/>
  <c r="AE81" i="63"/>
  <c r="AD81" i="63"/>
  <c r="AC81" i="63"/>
  <c r="AB81" i="63"/>
  <c r="AA81" i="63"/>
  <c r="Z81" i="63"/>
  <c r="Y81" i="63"/>
  <c r="X81" i="63"/>
  <c r="W81" i="63"/>
  <c r="V81" i="63"/>
  <c r="U81" i="63"/>
  <c r="T81" i="63"/>
  <c r="S81" i="63"/>
  <c r="R81" i="63"/>
  <c r="Q81" i="63"/>
  <c r="P81" i="63"/>
  <c r="O81" i="63"/>
  <c r="N81" i="63"/>
  <c r="M81" i="63"/>
  <c r="L81" i="63"/>
  <c r="K81" i="63"/>
  <c r="J81" i="63"/>
  <c r="I81" i="63"/>
  <c r="H81" i="63"/>
  <c r="G81" i="63"/>
  <c r="F81" i="63"/>
  <c r="E81" i="63"/>
  <c r="D81" i="63"/>
  <c r="BD71" i="63"/>
  <c r="AZ71" i="63"/>
  <c r="B71" i="63"/>
  <c r="BE65" i="63"/>
  <c r="BC65" i="63"/>
  <c r="BA65" i="63"/>
  <c r="D65" i="63"/>
  <c r="B65" i="63"/>
  <c r="B60" i="63"/>
  <c r="BE54" i="63"/>
  <c r="BI57" i="63" s="1"/>
  <c r="BD54" i="63"/>
  <c r="BH57" i="63" s="1"/>
  <c r="BC54" i="63"/>
  <c r="BB54" i="63"/>
  <c r="BA54" i="63"/>
  <c r="AZ54" i="63"/>
  <c r="D54" i="63"/>
  <c r="B54" i="63"/>
  <c r="B49" i="63"/>
  <c r="BE43" i="63"/>
  <c r="BI46" i="63" s="1"/>
  <c r="BD43" i="63"/>
  <c r="BC43" i="63"/>
  <c r="BB43" i="63"/>
  <c r="BA43" i="63"/>
  <c r="AZ43" i="63"/>
  <c r="D43" i="63"/>
  <c r="B43" i="63"/>
  <c r="B38" i="63"/>
  <c r="BE32" i="63"/>
  <c r="BI35" i="63" s="1"/>
  <c r="BD32" i="63"/>
  <c r="BC32" i="63"/>
  <c r="BB32" i="63"/>
  <c r="BA32" i="63"/>
  <c r="AZ32" i="63"/>
  <c r="D32" i="63"/>
  <c r="B32" i="63"/>
  <c r="B27" i="63"/>
  <c r="BE21" i="63"/>
  <c r="BI24" i="63" s="1"/>
  <c r="BD21" i="63"/>
  <c r="BC21" i="63"/>
  <c r="BB21" i="63"/>
  <c r="BA21" i="63"/>
  <c r="AZ21" i="63"/>
  <c r="D21" i="63"/>
  <c r="B21" i="63"/>
  <c r="B16" i="63"/>
  <c r="BE10" i="63"/>
  <c r="BI13" i="63" s="1"/>
  <c r="BD10" i="63"/>
  <c r="BH13" i="63" s="1"/>
  <c r="BC10" i="63"/>
  <c r="BB10" i="63"/>
  <c r="BA10" i="63"/>
  <c r="AZ10" i="63"/>
  <c r="D10" i="63"/>
  <c r="B10" i="63"/>
  <c r="CM7" i="63"/>
  <c r="CL7" i="63"/>
  <c r="CK7" i="63"/>
  <c r="CJ7" i="63"/>
  <c r="CI7" i="63"/>
  <c r="CH7" i="63"/>
  <c r="CG7" i="63"/>
  <c r="CF7" i="63"/>
  <c r="CE7" i="63"/>
  <c r="CD7" i="63"/>
  <c r="CC7" i="63"/>
  <c r="CB7" i="63"/>
  <c r="CA7" i="63"/>
  <c r="BZ7" i="63"/>
  <c r="BY7" i="63"/>
  <c r="BO7" i="63"/>
  <c r="BN7" i="63"/>
  <c r="BM7" i="63"/>
  <c r="BL7" i="63"/>
  <c r="BK7" i="63"/>
  <c r="BJ7" i="63"/>
  <c r="BI7" i="63"/>
  <c r="BH7" i="63"/>
  <c r="BG7" i="63"/>
  <c r="BF7" i="63"/>
  <c r="BE7" i="63"/>
  <c r="BD7" i="63"/>
  <c r="BC7" i="63"/>
  <c r="BB7" i="63"/>
  <c r="BA7" i="63"/>
  <c r="AZ7" i="63"/>
  <c r="AY7" i="63"/>
  <c r="AX7" i="63"/>
  <c r="AW7" i="63"/>
  <c r="AV7" i="63"/>
  <c r="AU7" i="63"/>
  <c r="AT7" i="63"/>
  <c r="AS7" i="63"/>
  <c r="AR7" i="63"/>
  <c r="AQ7" i="63"/>
  <c r="AP7" i="63"/>
  <c r="AO7" i="63"/>
  <c r="AN7" i="63"/>
  <c r="AM7" i="63"/>
  <c r="AL7" i="63"/>
  <c r="AK7" i="63"/>
  <c r="AJ7" i="63"/>
  <c r="AI7" i="63"/>
  <c r="AH7" i="63"/>
  <c r="AG7" i="63"/>
  <c r="AF7" i="63"/>
  <c r="AE7" i="63"/>
  <c r="AD7" i="63"/>
  <c r="AC7" i="63"/>
  <c r="AB7" i="63"/>
  <c r="AA7" i="63"/>
  <c r="Z7" i="63"/>
  <c r="Y7" i="63"/>
  <c r="X7" i="63"/>
  <c r="W7" i="63"/>
  <c r="V7" i="63"/>
  <c r="U7" i="63"/>
  <c r="T7" i="63"/>
  <c r="S7" i="63"/>
  <c r="R7" i="63"/>
  <c r="Q7" i="63"/>
  <c r="P7" i="63"/>
  <c r="O7" i="63"/>
  <c r="N7" i="63"/>
  <c r="M7" i="63"/>
  <c r="L7" i="63"/>
  <c r="K7" i="63"/>
  <c r="J7" i="63"/>
  <c r="I7" i="63"/>
  <c r="H7" i="63"/>
  <c r="G7" i="63"/>
  <c r="F7" i="63"/>
  <c r="E7" i="63"/>
  <c r="D7" i="63"/>
  <c r="BO6" i="63"/>
  <c r="BN6" i="63"/>
  <c r="BM6" i="63"/>
  <c r="BL6" i="63"/>
  <c r="BK6" i="63"/>
  <c r="BJ6" i="63"/>
  <c r="BI6" i="63"/>
  <c r="BH6" i="63"/>
  <c r="BG6" i="63"/>
  <c r="BF6" i="63"/>
  <c r="BE6" i="63"/>
  <c r="BD6" i="63"/>
  <c r="BC6" i="63"/>
  <c r="BB6" i="63"/>
  <c r="BA6" i="63"/>
  <c r="AZ6" i="63"/>
  <c r="AY6" i="63"/>
  <c r="AX6" i="63"/>
  <c r="AW6" i="63"/>
  <c r="AV6" i="63"/>
  <c r="AU6" i="63"/>
  <c r="AT6" i="63"/>
  <c r="AS6" i="63"/>
  <c r="AR6" i="63"/>
  <c r="AQ6" i="63"/>
  <c r="AP6" i="63"/>
  <c r="AO6" i="63"/>
  <c r="AN6" i="63"/>
  <c r="AM6" i="63"/>
  <c r="AL6" i="63"/>
  <c r="AK6" i="63"/>
  <c r="AJ6" i="63"/>
  <c r="AI6" i="63"/>
  <c r="AH6" i="63"/>
  <c r="AG6" i="63"/>
  <c r="AF6" i="63"/>
  <c r="AE6" i="63"/>
  <c r="AD6" i="63"/>
  <c r="AC6" i="63"/>
  <c r="AB6" i="63"/>
  <c r="AA6" i="63"/>
  <c r="Z6" i="63"/>
  <c r="Y6" i="63"/>
  <c r="X6" i="63"/>
  <c r="W6" i="63"/>
  <c r="V6" i="63"/>
  <c r="U6" i="63"/>
  <c r="T6" i="63"/>
  <c r="S6" i="63"/>
  <c r="R6" i="63"/>
  <c r="Q6" i="63"/>
  <c r="P6" i="63"/>
  <c r="O6" i="63"/>
  <c r="N6" i="63"/>
  <c r="M6" i="63"/>
  <c r="L6" i="63"/>
  <c r="K6" i="63"/>
  <c r="J6" i="63"/>
  <c r="I6" i="63"/>
  <c r="H6" i="63"/>
  <c r="G6" i="63"/>
  <c r="F6" i="63"/>
  <c r="E6" i="63"/>
  <c r="D6" i="63"/>
  <c r="BO5" i="63"/>
  <c r="BN5" i="63"/>
  <c r="BM5" i="63"/>
  <c r="BL5" i="63"/>
  <c r="BK5" i="63"/>
  <c r="BJ5" i="63"/>
  <c r="BI5" i="63"/>
  <c r="BH5" i="63"/>
  <c r="BG5" i="63"/>
  <c r="BF5" i="63"/>
  <c r="BE5" i="63"/>
  <c r="BD5" i="63"/>
  <c r="BC5" i="63"/>
  <c r="BB5" i="63"/>
  <c r="BA5" i="63"/>
  <c r="AZ5" i="63"/>
  <c r="AY5" i="63"/>
  <c r="AX5" i="63"/>
  <c r="AW5" i="63"/>
  <c r="AV5" i="63"/>
  <c r="AU5" i="63"/>
  <c r="AT5" i="63"/>
  <c r="AS5" i="63"/>
  <c r="AR5" i="63"/>
  <c r="AQ5" i="63"/>
  <c r="AP5" i="63"/>
  <c r="AO5" i="63"/>
  <c r="AN5" i="63"/>
  <c r="AM5" i="63"/>
  <c r="AL5" i="63"/>
  <c r="AK5" i="63"/>
  <c r="AJ5" i="63"/>
  <c r="AI5" i="63"/>
  <c r="AH5" i="63"/>
  <c r="AG5" i="63"/>
  <c r="AF5" i="63"/>
  <c r="AE5" i="63"/>
  <c r="AD5" i="63"/>
  <c r="AC5" i="63"/>
  <c r="AB5" i="63"/>
  <c r="AA5" i="63"/>
  <c r="Z5" i="63"/>
  <c r="Y5" i="63"/>
  <c r="X5" i="63"/>
  <c r="W5" i="63"/>
  <c r="V5" i="63"/>
  <c r="U5" i="63"/>
  <c r="T5" i="63"/>
  <c r="S5" i="63"/>
  <c r="R5" i="63"/>
  <c r="Q5" i="63"/>
  <c r="P5" i="63"/>
  <c r="O5" i="63"/>
  <c r="N5" i="63"/>
  <c r="M5" i="63"/>
  <c r="L5" i="63"/>
  <c r="K5" i="63"/>
  <c r="J5" i="63"/>
  <c r="I5" i="63"/>
  <c r="H5" i="63"/>
  <c r="G5" i="63"/>
  <c r="F5" i="63"/>
  <c r="E5" i="63"/>
  <c r="D5" i="63"/>
  <c r="CN190" i="61"/>
  <c r="CM190" i="61"/>
  <c r="CL190" i="61"/>
  <c r="CK190" i="61"/>
  <c r="CJ190" i="61"/>
  <c r="CI190" i="61"/>
  <c r="CH190" i="61"/>
  <c r="CG190" i="61"/>
  <c r="CF190" i="61"/>
  <c r="CE190" i="61"/>
  <c r="CD190" i="61"/>
  <c r="CC190" i="61"/>
  <c r="CB190" i="61"/>
  <c r="CA190" i="61"/>
  <c r="BZ190" i="61"/>
  <c r="BY190" i="61"/>
  <c r="BO190" i="61"/>
  <c r="BN190" i="61"/>
  <c r="BM190" i="61"/>
  <c r="BL190" i="61"/>
  <c r="BK190" i="61"/>
  <c r="BJ190" i="61"/>
  <c r="BI190" i="61"/>
  <c r="BH190" i="61"/>
  <c r="BG190" i="61"/>
  <c r="BE190" i="61"/>
  <c r="BD190" i="61"/>
  <c r="BC190" i="61"/>
  <c r="BB190" i="61"/>
  <c r="BA190" i="61"/>
  <c r="AZ190" i="61"/>
  <c r="AY190" i="61"/>
  <c r="AX190" i="61"/>
  <c r="AW190" i="61"/>
  <c r="AV190" i="61"/>
  <c r="AU190" i="61"/>
  <c r="AT190" i="61"/>
  <c r="AS190" i="61"/>
  <c r="AR190" i="61"/>
  <c r="AQ190" i="61"/>
  <c r="AP190" i="61"/>
  <c r="AO190" i="61"/>
  <c r="AN190" i="61"/>
  <c r="AM190" i="61"/>
  <c r="AL190" i="61"/>
  <c r="AK190" i="61"/>
  <c r="AJ190" i="61"/>
  <c r="AI190" i="61"/>
  <c r="AH190" i="61"/>
  <c r="AG190" i="61"/>
  <c r="AF190" i="61"/>
  <c r="AE190" i="61"/>
  <c r="AD190" i="61"/>
  <c r="AC190" i="61"/>
  <c r="AB190" i="61"/>
  <c r="AA190" i="61"/>
  <c r="Z190" i="61"/>
  <c r="Y190" i="61"/>
  <c r="X190" i="61"/>
  <c r="W190" i="61"/>
  <c r="V190" i="61"/>
  <c r="U190" i="61"/>
  <c r="T190" i="61"/>
  <c r="S190" i="61"/>
  <c r="R190" i="61"/>
  <c r="Q190" i="61"/>
  <c r="P190" i="61"/>
  <c r="O190" i="61"/>
  <c r="N190" i="61"/>
  <c r="M190" i="61"/>
  <c r="L190" i="61"/>
  <c r="K190" i="61"/>
  <c r="J190" i="61"/>
  <c r="I190" i="61"/>
  <c r="H190" i="61"/>
  <c r="G190" i="61"/>
  <c r="F190" i="61"/>
  <c r="E190" i="61"/>
  <c r="D190" i="61"/>
  <c r="C190" i="61"/>
  <c r="BE182" i="61"/>
  <c r="BD182" i="61"/>
  <c r="BC182" i="61"/>
  <c r="BB182" i="61"/>
  <c r="BA182" i="61"/>
  <c r="AZ182" i="61"/>
  <c r="AY182" i="61"/>
  <c r="AX182" i="61"/>
  <c r="AW182" i="61"/>
  <c r="AV182" i="61"/>
  <c r="AU182" i="61"/>
  <c r="AT182" i="61"/>
  <c r="AS182" i="61"/>
  <c r="AR182" i="61"/>
  <c r="AQ182" i="61"/>
  <c r="AP182" i="61"/>
  <c r="AO182" i="61"/>
  <c r="AN182" i="61"/>
  <c r="AM182" i="61"/>
  <c r="AL182" i="61"/>
  <c r="AK182" i="61"/>
  <c r="AJ182" i="61"/>
  <c r="AI182" i="61"/>
  <c r="AH182" i="61"/>
  <c r="AG182" i="61"/>
  <c r="AF182" i="61"/>
  <c r="AE182" i="61"/>
  <c r="AD182" i="61"/>
  <c r="AC182" i="61"/>
  <c r="AB182" i="61"/>
  <c r="AA182" i="61"/>
  <c r="Z182" i="61"/>
  <c r="Y182" i="61"/>
  <c r="X182" i="61"/>
  <c r="W182" i="61"/>
  <c r="V182" i="61"/>
  <c r="U182" i="61"/>
  <c r="T182" i="61"/>
  <c r="S182" i="61"/>
  <c r="R182" i="61"/>
  <c r="Q182" i="61"/>
  <c r="P182" i="61"/>
  <c r="O182" i="61"/>
  <c r="N182" i="61"/>
  <c r="M182" i="61"/>
  <c r="L182" i="61"/>
  <c r="K182" i="61"/>
  <c r="J182" i="61"/>
  <c r="I182" i="61"/>
  <c r="H182" i="61"/>
  <c r="G182" i="61"/>
  <c r="F182" i="61"/>
  <c r="E182" i="61"/>
  <c r="D182" i="61"/>
  <c r="D178" i="61"/>
  <c r="D68" i="61" s="1"/>
  <c r="E68" i="61" s="1"/>
  <c r="BL178" i="61"/>
  <c r="BM178" i="61" s="1"/>
  <c r="BN178" i="61" s="1"/>
  <c r="BO178" i="61" s="1"/>
  <c r="E177" i="61"/>
  <c r="F177" i="61" s="1"/>
  <c r="BL175" i="61"/>
  <c r="BM175" i="61" s="1"/>
  <c r="BN175" i="61" s="1"/>
  <c r="BO175" i="61" s="1"/>
  <c r="BE173" i="61"/>
  <c r="AZ173" i="61"/>
  <c r="AY173" i="61"/>
  <c r="AX173" i="61"/>
  <c r="AW173" i="61"/>
  <c r="AV173" i="61"/>
  <c r="AU173" i="61"/>
  <c r="AT173" i="61"/>
  <c r="AS173" i="61"/>
  <c r="AR173" i="61"/>
  <c r="AQ173" i="61"/>
  <c r="AP173" i="61"/>
  <c r="AO173" i="61"/>
  <c r="AN173" i="61"/>
  <c r="AM173" i="61"/>
  <c r="AL173" i="61"/>
  <c r="AK173" i="61"/>
  <c r="AJ173" i="61"/>
  <c r="AI173" i="61"/>
  <c r="AH173" i="61"/>
  <c r="AG173" i="61"/>
  <c r="AF173" i="61"/>
  <c r="AE173" i="61"/>
  <c r="AD173" i="61"/>
  <c r="AC173" i="61"/>
  <c r="AB173" i="61"/>
  <c r="AA173" i="61"/>
  <c r="Z173" i="61"/>
  <c r="Y173" i="61"/>
  <c r="X173" i="61"/>
  <c r="Q173" i="61"/>
  <c r="P173" i="61"/>
  <c r="BC172" i="61"/>
  <c r="BC173" i="61" s="1"/>
  <c r="BB172" i="61"/>
  <c r="BA172" i="61"/>
  <c r="BA173" i="61" s="1"/>
  <c r="O172" i="61"/>
  <c r="N172" i="61"/>
  <c r="N173" i="61" s="1"/>
  <c r="M172" i="61"/>
  <c r="M173" i="61" s="1"/>
  <c r="L172" i="61"/>
  <c r="L173" i="61" s="1"/>
  <c r="K172" i="61"/>
  <c r="J172" i="61"/>
  <c r="I172" i="61"/>
  <c r="H172" i="61"/>
  <c r="H173" i="61" s="1"/>
  <c r="BD167" i="61"/>
  <c r="BD173" i="61" s="1"/>
  <c r="BB167" i="61"/>
  <c r="W167" i="61"/>
  <c r="W173" i="61" s="1"/>
  <c r="V167" i="61"/>
  <c r="V173" i="61" s="1"/>
  <c r="U167" i="61"/>
  <c r="U173" i="61" s="1"/>
  <c r="T167" i="61"/>
  <c r="T173" i="61" s="1"/>
  <c r="S167" i="61"/>
  <c r="S173" i="61" s="1"/>
  <c r="R167" i="61"/>
  <c r="R173" i="61" s="1"/>
  <c r="O167" i="61"/>
  <c r="O173" i="61" s="1"/>
  <c r="K167" i="61"/>
  <c r="J167" i="61"/>
  <c r="I167" i="61"/>
  <c r="G167" i="61"/>
  <c r="G173" i="61" s="1"/>
  <c r="F167" i="61"/>
  <c r="F173" i="61" s="1"/>
  <c r="E167" i="61"/>
  <c r="E173" i="61" s="1"/>
  <c r="D167" i="61"/>
  <c r="D173" i="61" s="1"/>
  <c r="BL172" i="61"/>
  <c r="BM172" i="61" s="1"/>
  <c r="BN172" i="61" s="1"/>
  <c r="BO172" i="61" s="1"/>
  <c r="BL171" i="61"/>
  <c r="BM171" i="61" s="1"/>
  <c r="BN171" i="61" s="1"/>
  <c r="BO171" i="61" s="1"/>
  <c r="BL170" i="61"/>
  <c r="BM170" i="61" s="1"/>
  <c r="BN170" i="61" s="1"/>
  <c r="BO170" i="61" s="1"/>
  <c r="BL169" i="61"/>
  <c r="BM169" i="61" s="1"/>
  <c r="BN169" i="61" s="1"/>
  <c r="BO169" i="61" s="1"/>
  <c r="BL168" i="61"/>
  <c r="BM168" i="61" s="1"/>
  <c r="BN168" i="61" s="1"/>
  <c r="BO168" i="61" s="1"/>
  <c r="BL167" i="61"/>
  <c r="BM167" i="61" s="1"/>
  <c r="BN167" i="61" s="1"/>
  <c r="BO167" i="61" s="1"/>
  <c r="BL166" i="61"/>
  <c r="BM166" i="61" s="1"/>
  <c r="BL165" i="61"/>
  <c r="BM165" i="61" s="1"/>
  <c r="BN165" i="61" s="1"/>
  <c r="BO165" i="61" s="1"/>
  <c r="BL164" i="61"/>
  <c r="BM164" i="61" s="1"/>
  <c r="BN164" i="61" s="1"/>
  <c r="BO164" i="61" s="1"/>
  <c r="BL163" i="61"/>
  <c r="BM163" i="61" s="1"/>
  <c r="BN163" i="61" s="1"/>
  <c r="BO163" i="61" s="1"/>
  <c r="BL162" i="61"/>
  <c r="BM162" i="61" s="1"/>
  <c r="BD159" i="61"/>
  <c r="BA159" i="61"/>
  <c r="AZ159" i="61"/>
  <c r="AX159" i="61"/>
  <c r="AW159" i="61"/>
  <c r="AV159" i="61"/>
  <c r="AU159" i="61"/>
  <c r="AT159" i="61"/>
  <c r="AS159" i="61"/>
  <c r="AR159" i="61"/>
  <c r="AQ159" i="61"/>
  <c r="AP159" i="61"/>
  <c r="AO159" i="61"/>
  <c r="AN159" i="61"/>
  <c r="AM159" i="61"/>
  <c r="AL159" i="61"/>
  <c r="AK159" i="61"/>
  <c r="AJ159" i="61"/>
  <c r="AI159" i="61"/>
  <c r="AH159" i="61"/>
  <c r="AG159" i="61"/>
  <c r="AF159" i="61"/>
  <c r="AE159" i="61"/>
  <c r="AD159" i="61"/>
  <c r="AC159" i="61"/>
  <c r="AB159" i="61"/>
  <c r="AA159" i="61"/>
  <c r="Z159" i="61"/>
  <c r="Y159" i="61"/>
  <c r="X159" i="61"/>
  <c r="W159" i="61"/>
  <c r="V159" i="61"/>
  <c r="U159" i="61"/>
  <c r="T159" i="61"/>
  <c r="P159" i="61"/>
  <c r="G159" i="61"/>
  <c r="F159" i="61"/>
  <c r="D159" i="61"/>
  <c r="BL158" i="61"/>
  <c r="BM158" i="61" s="1"/>
  <c r="BN158" i="61" s="1"/>
  <c r="BO158" i="61" s="1"/>
  <c r="BE158" i="61"/>
  <c r="BE159" i="61" s="1"/>
  <c r="BC158" i="61"/>
  <c r="BC159" i="61" s="1"/>
  <c r="BB158" i="61"/>
  <c r="AY158" i="61"/>
  <c r="AY159" i="61" s="1"/>
  <c r="S158" i="61"/>
  <c r="S159" i="61" s="1"/>
  <c r="R158" i="61"/>
  <c r="R159" i="61" s="1"/>
  <c r="Q158" i="61"/>
  <c r="Q159" i="61" s="1"/>
  <c r="O158" i="61"/>
  <c r="O159" i="61" s="1"/>
  <c r="N158" i="61"/>
  <c r="N159" i="61" s="1"/>
  <c r="M158" i="61"/>
  <c r="M159" i="61" s="1"/>
  <c r="L158" i="61"/>
  <c r="L159" i="61" s="1"/>
  <c r="K158" i="61"/>
  <c r="K159" i="61" s="1"/>
  <c r="J158" i="61"/>
  <c r="J159" i="61" s="1"/>
  <c r="I158" i="61"/>
  <c r="I159" i="61" s="1"/>
  <c r="H158" i="61"/>
  <c r="H159" i="61" s="1"/>
  <c r="E158" i="61"/>
  <c r="E159" i="61" s="1"/>
  <c r="BB155" i="61"/>
  <c r="BL157" i="61"/>
  <c r="BM157" i="61" s="1"/>
  <c r="BN157" i="61" s="1"/>
  <c r="BO157" i="61" s="1"/>
  <c r="BL156" i="61"/>
  <c r="BM156" i="61" s="1"/>
  <c r="BN156" i="61" s="1"/>
  <c r="BO156" i="61" s="1"/>
  <c r="BL155" i="61"/>
  <c r="BM155" i="61" s="1"/>
  <c r="BN155" i="61" s="1"/>
  <c r="BO155" i="61" s="1"/>
  <c r="BL154" i="61"/>
  <c r="BM154" i="61" s="1"/>
  <c r="BN154" i="61" s="1"/>
  <c r="BO154" i="61" s="1"/>
  <c r="BL153" i="61"/>
  <c r="BM153" i="61" s="1"/>
  <c r="BN153" i="61" s="1"/>
  <c r="BO153" i="61" s="1"/>
  <c r="BL152" i="61"/>
  <c r="BM152" i="61" s="1"/>
  <c r="BN152" i="61" s="1"/>
  <c r="BO152" i="61" s="1"/>
  <c r="BL151" i="61"/>
  <c r="BM151" i="61" s="1"/>
  <c r="BN151" i="61" s="1"/>
  <c r="BO151" i="61" s="1"/>
  <c r="BD147" i="61"/>
  <c r="BC147" i="61"/>
  <c r="BB147" i="61"/>
  <c r="BA147" i="61"/>
  <c r="AZ147" i="61"/>
  <c r="AV147" i="61"/>
  <c r="N147" i="61"/>
  <c r="M147" i="61"/>
  <c r="L147" i="61"/>
  <c r="K147" i="61"/>
  <c r="J147" i="61"/>
  <c r="I147" i="61"/>
  <c r="H147" i="61"/>
  <c r="BE146" i="61"/>
  <c r="AX136" i="61"/>
  <c r="AW136" i="61"/>
  <c r="AU136" i="61"/>
  <c r="AS136" i="61"/>
  <c r="AR136" i="61"/>
  <c r="AR26" i="61" s="1"/>
  <c r="AA136" i="61"/>
  <c r="Z136" i="61"/>
  <c r="Y136" i="61"/>
  <c r="X136" i="61"/>
  <c r="X26" i="61" s="1"/>
  <c r="W136" i="61"/>
  <c r="V136" i="61"/>
  <c r="U136" i="61"/>
  <c r="T136" i="61"/>
  <c r="S136" i="61"/>
  <c r="O136" i="61"/>
  <c r="O147" i="61" s="1"/>
  <c r="G136" i="61"/>
  <c r="F136" i="61"/>
  <c r="E136" i="61"/>
  <c r="D136" i="61"/>
  <c r="E122" i="61"/>
  <c r="E121" i="61" s="1"/>
  <c r="BL136" i="61"/>
  <c r="BM136" i="61" s="1"/>
  <c r="BN136" i="61" s="1"/>
  <c r="BO136" i="61" s="1"/>
  <c r="BL134" i="61"/>
  <c r="BM134" i="61" s="1"/>
  <c r="BN134" i="61" s="1"/>
  <c r="BO134" i="61" s="1"/>
  <c r="BL133" i="61"/>
  <c r="BM133" i="61" s="1"/>
  <c r="BN133" i="61" s="1"/>
  <c r="BO133" i="61" s="1"/>
  <c r="BL132" i="61"/>
  <c r="BM132" i="61" s="1"/>
  <c r="BN132" i="61" s="1"/>
  <c r="BO132" i="61" s="1"/>
  <c r="BL131" i="61"/>
  <c r="BM131" i="61" s="1"/>
  <c r="BN131" i="61" s="1"/>
  <c r="BO131" i="61" s="1"/>
  <c r="BL130" i="61"/>
  <c r="BM130" i="61" s="1"/>
  <c r="BN130" i="61" s="1"/>
  <c r="BO130" i="61" s="1"/>
  <c r="BL129" i="61"/>
  <c r="BM129" i="61" s="1"/>
  <c r="BN129" i="61" s="1"/>
  <c r="BO129" i="61" s="1"/>
  <c r="BL128" i="61"/>
  <c r="BM128" i="61" s="1"/>
  <c r="BN128" i="61" s="1"/>
  <c r="BO128" i="61" s="1"/>
  <c r="BL127" i="61"/>
  <c r="BM127" i="61" s="1"/>
  <c r="BN127" i="61" s="1"/>
  <c r="BO127" i="61" s="1"/>
  <c r="BL126" i="61"/>
  <c r="BM126" i="61" s="1"/>
  <c r="BN126" i="61" s="1"/>
  <c r="BO126" i="61" s="1"/>
  <c r="BL125" i="61"/>
  <c r="BM125" i="61" s="1"/>
  <c r="BN125" i="61" s="1"/>
  <c r="BO125" i="61" s="1"/>
  <c r="BL124" i="61"/>
  <c r="BM124" i="61" s="1"/>
  <c r="BN124" i="61" s="1"/>
  <c r="BO124" i="61" s="1"/>
  <c r="BL123" i="61"/>
  <c r="BM123" i="61" s="1"/>
  <c r="BN123" i="61" s="1"/>
  <c r="BO123" i="61" s="1"/>
  <c r="AY121" i="61"/>
  <c r="AY147" i="61" s="1"/>
  <c r="AX121" i="61"/>
  <c r="AW121" i="61"/>
  <c r="AU121" i="61"/>
  <c r="AT121" i="61"/>
  <c r="AT147" i="61" s="1"/>
  <c r="AS121" i="61"/>
  <c r="AS147" i="61" s="1"/>
  <c r="AR121" i="61"/>
  <c r="AQ121" i="61"/>
  <c r="AQ147" i="61" s="1"/>
  <c r="AP121" i="61"/>
  <c r="AP147" i="61" s="1"/>
  <c r="AO121" i="61"/>
  <c r="AO147" i="61" s="1"/>
  <c r="AN121" i="61"/>
  <c r="AN147" i="61" s="1"/>
  <c r="AM121" i="61"/>
  <c r="AM147" i="61" s="1"/>
  <c r="AL121" i="61"/>
  <c r="AL147" i="61" s="1"/>
  <c r="AK121" i="61"/>
  <c r="AK147" i="61" s="1"/>
  <c r="AJ121" i="61"/>
  <c r="AJ147" i="61" s="1"/>
  <c r="AI121" i="61"/>
  <c r="AI147" i="61" s="1"/>
  <c r="AH121" i="61"/>
  <c r="AH147" i="61" s="1"/>
  <c r="AG121" i="61"/>
  <c r="AG147" i="61" s="1"/>
  <c r="AF121" i="61"/>
  <c r="AF147" i="61" s="1"/>
  <c r="AE121" i="61"/>
  <c r="AE147" i="61" s="1"/>
  <c r="AD121" i="61"/>
  <c r="AD147" i="61" s="1"/>
  <c r="AC121" i="61"/>
  <c r="AC147" i="61" s="1"/>
  <c r="AB121" i="61"/>
  <c r="AB147" i="61" s="1"/>
  <c r="AA121" i="61"/>
  <c r="Z121" i="61"/>
  <c r="Y121" i="61"/>
  <c r="Y147" i="61" s="1"/>
  <c r="X121" i="61"/>
  <c r="W121" i="61"/>
  <c r="V121" i="61"/>
  <c r="U121" i="61"/>
  <c r="U147" i="61" s="1"/>
  <c r="T121" i="61"/>
  <c r="S121" i="61"/>
  <c r="R121" i="61"/>
  <c r="R147" i="61" s="1"/>
  <c r="Q121" i="61"/>
  <c r="Q147" i="61" s="1"/>
  <c r="P121" i="61"/>
  <c r="P147" i="61" s="1"/>
  <c r="G121" i="61"/>
  <c r="G147" i="61" s="1"/>
  <c r="F121" i="61"/>
  <c r="D121" i="61"/>
  <c r="D11" i="61" s="1"/>
  <c r="CN117" i="61"/>
  <c r="BE105" i="61"/>
  <c r="BD105" i="61"/>
  <c r="BC105" i="61"/>
  <c r="BB105" i="61"/>
  <c r="BA105" i="61"/>
  <c r="AZ105" i="61"/>
  <c r="AY105" i="61"/>
  <c r="AX105" i="61"/>
  <c r="AW105" i="61"/>
  <c r="AV105" i="61"/>
  <c r="AU105" i="61"/>
  <c r="AT105" i="61"/>
  <c r="AS105" i="61"/>
  <c r="AR105" i="61"/>
  <c r="AQ105" i="61"/>
  <c r="AP105" i="61"/>
  <c r="AO105" i="61"/>
  <c r="AN105" i="61"/>
  <c r="AM105" i="61"/>
  <c r="AL105" i="61"/>
  <c r="AK105" i="61"/>
  <c r="AJ105" i="61"/>
  <c r="AI105" i="61"/>
  <c r="AH105" i="61"/>
  <c r="AG105" i="61"/>
  <c r="AF105" i="61"/>
  <c r="AE105" i="61"/>
  <c r="AD105" i="61"/>
  <c r="AC105" i="61"/>
  <c r="AB105" i="61"/>
  <c r="AA105" i="61"/>
  <c r="Z105" i="61"/>
  <c r="Y105" i="61"/>
  <c r="X105" i="61"/>
  <c r="W105" i="61"/>
  <c r="V105" i="61"/>
  <c r="U105" i="61"/>
  <c r="T105" i="61"/>
  <c r="S105" i="61"/>
  <c r="R105" i="61"/>
  <c r="Q105" i="61"/>
  <c r="P105" i="61"/>
  <c r="O105" i="61"/>
  <c r="N105" i="61"/>
  <c r="M105" i="61"/>
  <c r="L105" i="61"/>
  <c r="K105" i="61"/>
  <c r="J105" i="61"/>
  <c r="I105" i="61"/>
  <c r="H105" i="61"/>
  <c r="G105" i="61"/>
  <c r="F105" i="61"/>
  <c r="E105" i="61"/>
  <c r="D105" i="61"/>
  <c r="BE87" i="61"/>
  <c r="BD87" i="61"/>
  <c r="BC87" i="61"/>
  <c r="BB87" i="61"/>
  <c r="BA87" i="61"/>
  <c r="AZ87" i="61"/>
  <c r="AY87" i="61"/>
  <c r="AX87" i="61"/>
  <c r="AW87" i="61"/>
  <c r="AV87" i="61"/>
  <c r="AU87" i="61"/>
  <c r="AT87" i="61"/>
  <c r="AS87" i="61"/>
  <c r="AR87" i="61"/>
  <c r="AQ87" i="61"/>
  <c r="AP87" i="61"/>
  <c r="AO87" i="61"/>
  <c r="AN87" i="61"/>
  <c r="AM87" i="61"/>
  <c r="AL87" i="61"/>
  <c r="AK87" i="61"/>
  <c r="AJ87" i="61"/>
  <c r="AI87" i="61"/>
  <c r="AH87" i="61"/>
  <c r="AG87" i="61"/>
  <c r="AF87" i="61"/>
  <c r="AE87" i="61"/>
  <c r="AD87" i="61"/>
  <c r="AC87" i="61"/>
  <c r="AB87" i="61"/>
  <c r="AA87" i="61"/>
  <c r="Z87" i="61"/>
  <c r="Y87" i="61"/>
  <c r="X87" i="61"/>
  <c r="W87" i="61"/>
  <c r="V87" i="61"/>
  <c r="U87" i="61"/>
  <c r="T87" i="61"/>
  <c r="S87" i="61"/>
  <c r="R87" i="61"/>
  <c r="Q87" i="61"/>
  <c r="P87" i="61"/>
  <c r="O87" i="61"/>
  <c r="N87" i="61"/>
  <c r="M87" i="61"/>
  <c r="L87" i="61"/>
  <c r="K87" i="61"/>
  <c r="J87" i="61"/>
  <c r="I87" i="61"/>
  <c r="H87" i="61"/>
  <c r="G87" i="61"/>
  <c r="F87" i="61"/>
  <c r="E87" i="61"/>
  <c r="D87" i="61"/>
  <c r="BE85" i="61"/>
  <c r="BD85" i="61"/>
  <c r="BC85" i="61"/>
  <c r="BB85" i="61"/>
  <c r="BA85" i="61"/>
  <c r="AZ85" i="61"/>
  <c r="AY85" i="61"/>
  <c r="AX85" i="61"/>
  <c r="AW85" i="61"/>
  <c r="AV85" i="61"/>
  <c r="AU85" i="61"/>
  <c r="AT85" i="61"/>
  <c r="AS85" i="61"/>
  <c r="AR85" i="61"/>
  <c r="AQ85" i="61"/>
  <c r="AP85" i="61"/>
  <c r="AO85" i="61"/>
  <c r="AN85" i="61"/>
  <c r="AM85" i="61"/>
  <c r="AL85" i="61"/>
  <c r="AK85" i="61"/>
  <c r="AJ85" i="61"/>
  <c r="AI85" i="61"/>
  <c r="AH85" i="61"/>
  <c r="AG85" i="61"/>
  <c r="AF85" i="61"/>
  <c r="AE85" i="61"/>
  <c r="AD85" i="61"/>
  <c r="AC85" i="61"/>
  <c r="AB85" i="61"/>
  <c r="AA85" i="61"/>
  <c r="Z85" i="61"/>
  <c r="Y85" i="61"/>
  <c r="X85" i="61"/>
  <c r="W85" i="61"/>
  <c r="V85" i="61"/>
  <c r="U85" i="61"/>
  <c r="T85" i="61"/>
  <c r="S85" i="61"/>
  <c r="R85" i="61"/>
  <c r="Q85" i="61"/>
  <c r="P85" i="61"/>
  <c r="O85" i="61"/>
  <c r="N85" i="61"/>
  <c r="M85" i="61"/>
  <c r="L85" i="61"/>
  <c r="K85" i="61"/>
  <c r="J85" i="61"/>
  <c r="I85" i="61"/>
  <c r="H85" i="61"/>
  <c r="G85" i="61"/>
  <c r="F85" i="61"/>
  <c r="E85" i="61"/>
  <c r="D85" i="61"/>
  <c r="BO81" i="61"/>
  <c r="BN81" i="61"/>
  <c r="BM81" i="61"/>
  <c r="BL81" i="61"/>
  <c r="BK81" i="61"/>
  <c r="CK84" i="61"/>
  <c r="CJ84" i="61"/>
  <c r="CI84" i="61"/>
  <c r="CH84" i="61"/>
  <c r="CG84" i="61"/>
  <c r="CF84" i="61"/>
  <c r="CE84" i="61"/>
  <c r="CD84" i="61"/>
  <c r="CC84" i="61"/>
  <c r="CB84" i="61"/>
  <c r="CA84" i="61"/>
  <c r="BZ84" i="61"/>
  <c r="BY84" i="61"/>
  <c r="CK82" i="61"/>
  <c r="CJ82" i="61"/>
  <c r="CI82" i="61"/>
  <c r="CH82" i="61"/>
  <c r="CG82" i="61"/>
  <c r="CF82" i="61"/>
  <c r="CE82" i="61"/>
  <c r="CD82" i="61"/>
  <c r="CC82" i="61"/>
  <c r="CB82" i="61"/>
  <c r="CA82" i="61"/>
  <c r="BZ82" i="61"/>
  <c r="BY82" i="61"/>
  <c r="CK79" i="61"/>
  <c r="CJ79" i="61"/>
  <c r="CI79" i="61"/>
  <c r="CH79" i="61"/>
  <c r="CG79" i="61"/>
  <c r="CF79" i="61"/>
  <c r="CE79" i="61"/>
  <c r="CD79" i="61"/>
  <c r="CC79" i="61"/>
  <c r="CB79" i="61"/>
  <c r="CA79" i="61"/>
  <c r="BZ79" i="61"/>
  <c r="BY79" i="61"/>
  <c r="CN77" i="61"/>
  <c r="CN92" i="61" s="1"/>
  <c r="CN100" i="61" s="1"/>
  <c r="B73" i="61"/>
  <c r="B72" i="61"/>
  <c r="BE72" i="61"/>
  <c r="BD72" i="61"/>
  <c r="BC72" i="61"/>
  <c r="BB72" i="61"/>
  <c r="BA72" i="61"/>
  <c r="AZ72" i="61"/>
  <c r="AY72" i="61"/>
  <c r="AX72" i="61"/>
  <c r="AW72" i="61"/>
  <c r="AV72" i="61"/>
  <c r="AU72" i="61"/>
  <c r="AT72" i="61"/>
  <c r="AS72" i="61"/>
  <c r="AR72" i="61"/>
  <c r="AQ72" i="61"/>
  <c r="AP72" i="61"/>
  <c r="AO72" i="61"/>
  <c r="AN72" i="61"/>
  <c r="AM72" i="61"/>
  <c r="AL72" i="61"/>
  <c r="AK72" i="61"/>
  <c r="AJ72" i="61"/>
  <c r="AI72" i="61"/>
  <c r="AH72" i="61"/>
  <c r="AG72" i="61"/>
  <c r="AF72" i="61"/>
  <c r="AE72" i="61"/>
  <c r="AD72" i="61"/>
  <c r="AC72" i="61"/>
  <c r="AB72" i="61"/>
  <c r="AA72" i="61"/>
  <c r="Z72" i="61"/>
  <c r="Y72" i="61"/>
  <c r="X72" i="61"/>
  <c r="W72" i="61"/>
  <c r="V72" i="61"/>
  <c r="U72" i="61"/>
  <c r="T72" i="61"/>
  <c r="S72" i="61"/>
  <c r="R72" i="61"/>
  <c r="Q72" i="61"/>
  <c r="P72" i="61"/>
  <c r="O72" i="61"/>
  <c r="N72" i="61"/>
  <c r="M72" i="61"/>
  <c r="L72" i="61"/>
  <c r="K72" i="61"/>
  <c r="J72" i="61"/>
  <c r="I72" i="61"/>
  <c r="H72" i="61"/>
  <c r="G72" i="61"/>
  <c r="F72" i="61"/>
  <c r="E72" i="61"/>
  <c r="D72" i="61"/>
  <c r="B70" i="61"/>
  <c r="B69" i="61"/>
  <c r="B68" i="61"/>
  <c r="B67" i="61"/>
  <c r="BD68" i="61"/>
  <c r="AZ68" i="61"/>
  <c r="BA68" i="61" s="1"/>
  <c r="AV68" i="61"/>
  <c r="AW68" i="61" s="1"/>
  <c r="AR68" i="61"/>
  <c r="AS68" i="61" s="1"/>
  <c r="AN68" i="61"/>
  <c r="AO68" i="61" s="1"/>
  <c r="AP68" i="61" s="1"/>
  <c r="AJ68" i="61"/>
  <c r="AK68" i="61" s="1"/>
  <c r="AF68" i="61"/>
  <c r="AG68" i="61" s="1"/>
  <c r="AB68" i="61"/>
  <c r="AC68" i="61" s="1"/>
  <c r="X68" i="61"/>
  <c r="Y68" i="61" s="1"/>
  <c r="Z68" i="61" s="1"/>
  <c r="T68" i="61"/>
  <c r="U68" i="61" s="1"/>
  <c r="P68" i="61"/>
  <c r="Q68" i="61" s="1"/>
  <c r="L68" i="61"/>
  <c r="M68" i="61" s="1"/>
  <c r="H68" i="61"/>
  <c r="I68" i="61" s="1"/>
  <c r="J68" i="61" s="1"/>
  <c r="CN68" i="61"/>
  <c r="D67" i="61"/>
  <c r="CN65" i="61"/>
  <c r="CM65" i="61"/>
  <c r="CM175" i="61" s="1"/>
  <c r="BD65" i="61"/>
  <c r="AZ65" i="61"/>
  <c r="BA65" i="61" s="1"/>
  <c r="AV65" i="61"/>
  <c r="AR65" i="61"/>
  <c r="AS65" i="61" s="1"/>
  <c r="AN65" i="61"/>
  <c r="AO65" i="61" s="1"/>
  <c r="AJ65" i="61"/>
  <c r="AK65" i="61" s="1"/>
  <c r="AF65" i="61"/>
  <c r="AB65" i="61"/>
  <c r="AC65" i="61" s="1"/>
  <c r="X65" i="61"/>
  <c r="Y65" i="61" s="1"/>
  <c r="T65" i="61"/>
  <c r="U65" i="61" s="1"/>
  <c r="P65" i="61"/>
  <c r="L65" i="61"/>
  <c r="M65" i="61" s="1"/>
  <c r="H65" i="61"/>
  <c r="I65" i="61" s="1"/>
  <c r="D65" i="61"/>
  <c r="E65" i="61" s="1"/>
  <c r="B65" i="61"/>
  <c r="BM63" i="61"/>
  <c r="BL63" i="61"/>
  <c r="B63" i="61"/>
  <c r="B62" i="61"/>
  <c r="B60" i="61"/>
  <c r="B59" i="61"/>
  <c r="B58" i="61"/>
  <c r="B57" i="61"/>
  <c r="B56" i="61"/>
  <c r="B55" i="61"/>
  <c r="BD62" i="61"/>
  <c r="AZ62" i="61"/>
  <c r="AV62" i="61"/>
  <c r="AW62" i="61" s="1"/>
  <c r="AR62" i="61"/>
  <c r="AN62" i="61"/>
  <c r="AO62" i="61" s="1"/>
  <c r="AJ62" i="61"/>
  <c r="AK62" i="61" s="1"/>
  <c r="AF62" i="61"/>
  <c r="AB62" i="61"/>
  <c r="X62" i="61"/>
  <c r="Y62" i="61" s="1"/>
  <c r="T62" i="61"/>
  <c r="U62" i="61" s="1"/>
  <c r="V62" i="61" s="1"/>
  <c r="P62" i="61"/>
  <c r="Q62" i="61" s="1"/>
  <c r="H62" i="61"/>
  <c r="D62" i="61"/>
  <c r="E62" i="61" s="1"/>
  <c r="F62" i="61" s="1"/>
  <c r="BD61" i="61"/>
  <c r="AZ61" i="61"/>
  <c r="AZ68" i="2" s="1"/>
  <c r="AV61" i="61"/>
  <c r="AV68" i="2" s="1"/>
  <c r="AR61" i="61"/>
  <c r="AN61" i="61"/>
  <c r="AJ61" i="61"/>
  <c r="AF61" i="61"/>
  <c r="AB61" i="61"/>
  <c r="X61" i="61"/>
  <c r="T61" i="61"/>
  <c r="P61" i="61"/>
  <c r="L61" i="61"/>
  <c r="H61" i="61"/>
  <c r="D61" i="61"/>
  <c r="BD60" i="61"/>
  <c r="AZ60" i="61"/>
  <c r="BA60" i="61" s="1"/>
  <c r="AV60" i="61"/>
  <c r="AR60" i="61"/>
  <c r="AN60" i="61"/>
  <c r="AJ60" i="61"/>
  <c r="AK60" i="61" s="1"/>
  <c r="AF60" i="61"/>
  <c r="AG60" i="61" s="1"/>
  <c r="AB60" i="61"/>
  <c r="AC60" i="61" s="1"/>
  <c r="X60" i="61"/>
  <c r="Y60" i="61" s="1"/>
  <c r="T60" i="61"/>
  <c r="U60" i="61" s="1"/>
  <c r="P60" i="61"/>
  <c r="Q60" i="61" s="1"/>
  <c r="L60" i="61"/>
  <c r="M60" i="61" s="1"/>
  <c r="H60" i="61"/>
  <c r="I60" i="61" s="1"/>
  <c r="D60" i="61"/>
  <c r="E60" i="61" s="1"/>
  <c r="BD59" i="61"/>
  <c r="AZ59" i="61"/>
  <c r="BA59" i="61" s="1"/>
  <c r="AV59" i="61"/>
  <c r="AW59" i="61" s="1"/>
  <c r="AR59" i="61"/>
  <c r="AN59" i="61"/>
  <c r="AO59" i="61" s="1"/>
  <c r="AJ59" i="61"/>
  <c r="AK59" i="61" s="1"/>
  <c r="AF59" i="61"/>
  <c r="AG59" i="61" s="1"/>
  <c r="AB59" i="61"/>
  <c r="X59" i="61"/>
  <c r="Y59" i="61" s="1"/>
  <c r="T59" i="61"/>
  <c r="U59" i="61" s="1"/>
  <c r="P59" i="61"/>
  <c r="Q59" i="61" s="1"/>
  <c r="L59" i="61"/>
  <c r="H59" i="61"/>
  <c r="I59" i="61" s="1"/>
  <c r="D59" i="61"/>
  <c r="E59" i="61" s="1"/>
  <c r="BD58" i="61"/>
  <c r="AZ58" i="61"/>
  <c r="AV58" i="61"/>
  <c r="AW58" i="61" s="1"/>
  <c r="AR58" i="61"/>
  <c r="AN58" i="61"/>
  <c r="AJ58" i="61"/>
  <c r="AF58" i="61"/>
  <c r="AG58" i="61" s="1"/>
  <c r="AB58" i="61"/>
  <c r="AC58" i="61" s="1"/>
  <c r="AD58" i="61" s="1"/>
  <c r="X58" i="61"/>
  <c r="T58" i="61"/>
  <c r="P58" i="61"/>
  <c r="Q58" i="61" s="1"/>
  <c r="L58" i="61"/>
  <c r="M58" i="61" s="1"/>
  <c r="N58" i="61" s="1"/>
  <c r="H58" i="61"/>
  <c r="D58" i="61"/>
  <c r="AZ57" i="61"/>
  <c r="BA57" i="61" s="1"/>
  <c r="AV57" i="61"/>
  <c r="AR57" i="61"/>
  <c r="AS57" i="61" s="1"/>
  <c r="AN57" i="61"/>
  <c r="AO57" i="61" s="1"/>
  <c r="AJ57" i="61"/>
  <c r="AK57" i="61" s="1"/>
  <c r="AF57" i="61"/>
  <c r="AB57" i="61"/>
  <c r="AC57" i="61" s="1"/>
  <c r="X57" i="61"/>
  <c r="Y57" i="61" s="1"/>
  <c r="T57" i="61"/>
  <c r="U57" i="61" s="1"/>
  <c r="P57" i="61"/>
  <c r="L57" i="61"/>
  <c r="M57" i="61" s="1"/>
  <c r="H57" i="61"/>
  <c r="BN56" i="61"/>
  <c r="BN63" i="61" s="1"/>
  <c r="BD56" i="61"/>
  <c r="AZ56" i="61"/>
  <c r="AV56" i="61"/>
  <c r="AR56" i="61"/>
  <c r="AS56" i="61" s="1"/>
  <c r="AN56" i="61"/>
  <c r="AO56" i="61" s="1"/>
  <c r="AP56" i="61" s="1"/>
  <c r="AJ56" i="61"/>
  <c r="AK56" i="61" s="1"/>
  <c r="AF56" i="61"/>
  <c r="AG56" i="61" s="1"/>
  <c r="AB56" i="61"/>
  <c r="AC56" i="61" s="1"/>
  <c r="X56" i="61"/>
  <c r="Y56" i="61" s="1"/>
  <c r="T56" i="61"/>
  <c r="U56" i="61" s="1"/>
  <c r="P56" i="61"/>
  <c r="Q56" i="61" s="1"/>
  <c r="L56" i="61"/>
  <c r="M56" i="61" s="1"/>
  <c r="H56" i="61"/>
  <c r="I56" i="61" s="1"/>
  <c r="D56" i="61"/>
  <c r="E56" i="61" s="1"/>
  <c r="B53" i="61"/>
  <c r="B52" i="61"/>
  <c r="B51" i="61"/>
  <c r="CN62" i="61"/>
  <c r="CM62" i="61"/>
  <c r="CM172" i="61" s="1"/>
  <c r="CN61" i="61"/>
  <c r="CN60" i="61"/>
  <c r="CN59" i="61"/>
  <c r="CM59" i="61"/>
  <c r="CM169" i="61" s="1"/>
  <c r="CN58" i="61"/>
  <c r="CM58" i="61"/>
  <c r="CM168" i="61" s="1"/>
  <c r="CN57" i="61"/>
  <c r="CM57" i="61"/>
  <c r="CM167" i="61" s="1"/>
  <c r="CN55" i="61"/>
  <c r="CM55" i="61"/>
  <c r="CM165" i="61" s="1"/>
  <c r="CN54" i="61"/>
  <c r="CM54" i="61"/>
  <c r="CM164" i="61" s="1"/>
  <c r="CN53" i="61"/>
  <c r="CM53" i="61"/>
  <c r="CM163" i="61" s="1"/>
  <c r="CN52" i="61"/>
  <c r="CM52" i="61"/>
  <c r="CM162" i="61" s="1"/>
  <c r="BD55" i="61"/>
  <c r="AZ55" i="61"/>
  <c r="AV55" i="61"/>
  <c r="AR55" i="61"/>
  <c r="AN55" i="61"/>
  <c r="AJ55" i="61"/>
  <c r="AF55" i="61"/>
  <c r="AB55" i="61"/>
  <c r="X55" i="61"/>
  <c r="T55" i="61"/>
  <c r="P55" i="61"/>
  <c r="L55" i="61"/>
  <c r="H55" i="61"/>
  <c r="D55" i="61"/>
  <c r="BD54" i="61"/>
  <c r="AZ54" i="61"/>
  <c r="AV54" i="61"/>
  <c r="AR54" i="61"/>
  <c r="AN54" i="61"/>
  <c r="AJ54" i="61"/>
  <c r="AF54" i="61"/>
  <c r="AB54" i="61"/>
  <c r="X54" i="61"/>
  <c r="T54" i="61"/>
  <c r="P54" i="61"/>
  <c r="L54" i="61"/>
  <c r="H54" i="61"/>
  <c r="D54" i="61"/>
  <c r="BD53" i="61"/>
  <c r="AZ53" i="61"/>
  <c r="AV53" i="61"/>
  <c r="AR53" i="61"/>
  <c r="AN53" i="61"/>
  <c r="AJ53" i="61"/>
  <c r="AF53" i="61"/>
  <c r="AB53" i="61"/>
  <c r="X53" i="61"/>
  <c r="T53" i="61"/>
  <c r="P53" i="61"/>
  <c r="L53" i="61"/>
  <c r="H53" i="61"/>
  <c r="D53" i="61"/>
  <c r="BD52" i="61"/>
  <c r="AZ52" i="61"/>
  <c r="AV52" i="61"/>
  <c r="AR52" i="61"/>
  <c r="AN52" i="61"/>
  <c r="AJ52" i="61"/>
  <c r="AF52" i="61"/>
  <c r="AB52" i="61"/>
  <c r="X52" i="61"/>
  <c r="T52" i="61"/>
  <c r="P52" i="61"/>
  <c r="L52" i="61"/>
  <c r="L169" i="2" s="1"/>
  <c r="H52" i="61"/>
  <c r="D52" i="61"/>
  <c r="B49" i="61"/>
  <c r="B48" i="61"/>
  <c r="B47" i="61"/>
  <c r="B46" i="61"/>
  <c r="B45" i="61"/>
  <c r="B44" i="61"/>
  <c r="B43" i="61"/>
  <c r="B42" i="61"/>
  <c r="B41" i="61"/>
  <c r="B40" i="61"/>
  <c r="B39" i="61"/>
  <c r="BD48" i="61"/>
  <c r="AZ48" i="61"/>
  <c r="BA48" i="61" s="1"/>
  <c r="AV48" i="61"/>
  <c r="AW48" i="61" s="1"/>
  <c r="AR48" i="61"/>
  <c r="AS48" i="61" s="1"/>
  <c r="AN48" i="61"/>
  <c r="AO48" i="61" s="1"/>
  <c r="AJ48" i="61"/>
  <c r="AK48" i="61" s="1"/>
  <c r="AF48" i="61"/>
  <c r="AG48" i="61" s="1"/>
  <c r="AB48" i="61"/>
  <c r="AC48" i="61" s="1"/>
  <c r="X48" i="61"/>
  <c r="Y48" i="61" s="1"/>
  <c r="T48" i="61"/>
  <c r="U48" i="61" s="1"/>
  <c r="P48" i="61"/>
  <c r="D48" i="61"/>
  <c r="E48" i="61" s="1"/>
  <c r="BD47" i="61"/>
  <c r="AZ47" i="61"/>
  <c r="BA47" i="61" s="1"/>
  <c r="AV47" i="61"/>
  <c r="AR47" i="61"/>
  <c r="AS47" i="61" s="1"/>
  <c r="AN47" i="61"/>
  <c r="AJ47" i="61"/>
  <c r="AF47" i="61"/>
  <c r="AB47" i="61"/>
  <c r="X47" i="61"/>
  <c r="T47" i="61"/>
  <c r="U47" i="61" s="1"/>
  <c r="P47" i="61"/>
  <c r="L47" i="61"/>
  <c r="H47" i="61"/>
  <c r="D47" i="61"/>
  <c r="E47" i="61" s="1"/>
  <c r="BD46" i="61"/>
  <c r="AZ46" i="61"/>
  <c r="BA46" i="61" s="1"/>
  <c r="AV46" i="61"/>
  <c r="AW46" i="61" s="1"/>
  <c r="AR46" i="61"/>
  <c r="AS46" i="61" s="1"/>
  <c r="AN46" i="61"/>
  <c r="AO46" i="61" s="1"/>
  <c r="AJ46" i="61"/>
  <c r="AK46" i="61" s="1"/>
  <c r="AF46" i="61"/>
  <c r="AG46" i="61" s="1"/>
  <c r="AB46" i="61"/>
  <c r="AC46" i="61" s="1"/>
  <c r="X46" i="61"/>
  <c r="Y46" i="61" s="1"/>
  <c r="T46" i="61"/>
  <c r="U46" i="61" s="1"/>
  <c r="P46" i="61"/>
  <c r="Q46" i="61" s="1"/>
  <c r="L46" i="61"/>
  <c r="M46" i="61" s="1"/>
  <c r="H46" i="61"/>
  <c r="I46" i="61" s="1"/>
  <c r="D46" i="61"/>
  <c r="E46" i="61" s="1"/>
  <c r="BD45" i="61"/>
  <c r="AZ45" i="61"/>
  <c r="BA45" i="61" s="1"/>
  <c r="AV45" i="61"/>
  <c r="AR45" i="61"/>
  <c r="AS45" i="61" s="1"/>
  <c r="AN45" i="61"/>
  <c r="AO45" i="61" s="1"/>
  <c r="AJ45" i="61"/>
  <c r="AK45" i="61" s="1"/>
  <c r="AF45" i="61"/>
  <c r="AB45" i="61"/>
  <c r="AC45" i="61" s="1"/>
  <c r="X45" i="61"/>
  <c r="Y45" i="61" s="1"/>
  <c r="T45" i="61"/>
  <c r="P45" i="61"/>
  <c r="L45" i="61"/>
  <c r="M45" i="61" s="1"/>
  <c r="H45" i="61"/>
  <c r="D45" i="61"/>
  <c r="E45" i="61" s="1"/>
  <c r="BD44" i="61"/>
  <c r="AZ44" i="61"/>
  <c r="BA44" i="61" s="1"/>
  <c r="AV44" i="61"/>
  <c r="AW44" i="61" s="1"/>
  <c r="AR44" i="61"/>
  <c r="AS44" i="61" s="1"/>
  <c r="AN44" i="61"/>
  <c r="AO44" i="61" s="1"/>
  <c r="AJ44" i="61"/>
  <c r="AK44" i="61" s="1"/>
  <c r="AF44" i="61"/>
  <c r="AG44" i="61" s="1"/>
  <c r="AB44" i="61"/>
  <c r="AC44" i="61" s="1"/>
  <c r="X44" i="61"/>
  <c r="Y44" i="61" s="1"/>
  <c r="T44" i="61"/>
  <c r="U44" i="61" s="1"/>
  <c r="P44" i="61"/>
  <c r="Q44" i="61" s="1"/>
  <c r="L44" i="61"/>
  <c r="M44" i="61" s="1"/>
  <c r="H44" i="61"/>
  <c r="I44" i="61" s="1"/>
  <c r="D44" i="61"/>
  <c r="E44" i="61" s="1"/>
  <c r="BD43" i="61"/>
  <c r="AZ43" i="61"/>
  <c r="BA43" i="61" s="1"/>
  <c r="AV43" i="61"/>
  <c r="AR43" i="61"/>
  <c r="AN43" i="61"/>
  <c r="AO43" i="61" s="1"/>
  <c r="AJ43" i="61"/>
  <c r="AF43" i="61"/>
  <c r="AG43" i="61" s="1"/>
  <c r="AB43" i="61"/>
  <c r="X43" i="61"/>
  <c r="T43" i="61"/>
  <c r="U43" i="61" s="1"/>
  <c r="P43" i="61"/>
  <c r="L43" i="61"/>
  <c r="H43" i="61"/>
  <c r="I43" i="61" s="1"/>
  <c r="D43" i="61"/>
  <c r="BD42" i="61"/>
  <c r="AZ42" i="61"/>
  <c r="BA42" i="61" s="1"/>
  <c r="AV42" i="61"/>
  <c r="AW42" i="61" s="1"/>
  <c r="AR42" i="61"/>
  <c r="AS42" i="61" s="1"/>
  <c r="AN42" i="61"/>
  <c r="AO42" i="61" s="1"/>
  <c r="AJ42" i="61"/>
  <c r="AK42" i="61" s="1"/>
  <c r="AF42" i="61"/>
  <c r="AG42" i="61" s="1"/>
  <c r="AB42" i="61"/>
  <c r="AC42" i="61" s="1"/>
  <c r="X42" i="61"/>
  <c r="Y42" i="61" s="1"/>
  <c r="T42" i="61"/>
  <c r="U42" i="61" s="1"/>
  <c r="P42" i="61"/>
  <c r="Q42" i="61" s="1"/>
  <c r="L42" i="61"/>
  <c r="M42" i="61" s="1"/>
  <c r="H42" i="61"/>
  <c r="I42" i="61" s="1"/>
  <c r="D42" i="61"/>
  <c r="E42" i="61" s="1"/>
  <c r="BD41" i="61"/>
  <c r="AZ41" i="61"/>
  <c r="AV41" i="61"/>
  <c r="AR41" i="61"/>
  <c r="AN41" i="61"/>
  <c r="AJ41" i="61"/>
  <c r="AF41" i="61"/>
  <c r="AB41" i="61"/>
  <c r="X41" i="61"/>
  <c r="Y41" i="61" s="1"/>
  <c r="T41" i="61"/>
  <c r="P41" i="61"/>
  <c r="L41" i="61"/>
  <c r="M41" i="61" s="1"/>
  <c r="H41" i="61"/>
  <c r="D41" i="61"/>
  <c r="CN48" i="61"/>
  <c r="CM48" i="61"/>
  <c r="CM158" i="61" s="1"/>
  <c r="CN47" i="61"/>
  <c r="CM47" i="61"/>
  <c r="CM157" i="61" s="1"/>
  <c r="CN46" i="61"/>
  <c r="CM46" i="61"/>
  <c r="CM156" i="61" s="1"/>
  <c r="CN45" i="61"/>
  <c r="CM45" i="61"/>
  <c r="CM155" i="61" s="1"/>
  <c r="CN44" i="61"/>
  <c r="CM44" i="61"/>
  <c r="CM154" i="61" s="1"/>
  <c r="CN43" i="61"/>
  <c r="CM43" i="61"/>
  <c r="CM153" i="61" s="1"/>
  <c r="CN42" i="61"/>
  <c r="CM42" i="61"/>
  <c r="CM152" i="61" s="1"/>
  <c r="CN41" i="61"/>
  <c r="CM41" i="61"/>
  <c r="BD40" i="61"/>
  <c r="AZ40" i="61"/>
  <c r="AV40" i="61"/>
  <c r="AW40" i="61" s="1"/>
  <c r="AR40" i="61"/>
  <c r="AN40" i="61"/>
  <c r="AO40" i="61" s="1"/>
  <c r="AJ40" i="61"/>
  <c r="AK40" i="61" s="1"/>
  <c r="AF40" i="61"/>
  <c r="AB40" i="61"/>
  <c r="AC40" i="61" s="1"/>
  <c r="X40" i="61"/>
  <c r="T40" i="61"/>
  <c r="P40" i="61"/>
  <c r="Q40" i="61" s="1"/>
  <c r="L40" i="61"/>
  <c r="H40" i="61"/>
  <c r="I40" i="61" s="1"/>
  <c r="D40" i="61"/>
  <c r="E40" i="61" s="1"/>
  <c r="B37" i="61"/>
  <c r="B36" i="61"/>
  <c r="B35" i="61"/>
  <c r="B34" i="61"/>
  <c r="B33" i="61"/>
  <c r="B32" i="61"/>
  <c r="B31" i="61"/>
  <c r="B30" i="61"/>
  <c r="B29" i="61"/>
  <c r="B28" i="61"/>
  <c r="B27" i="61"/>
  <c r="B26" i="61"/>
  <c r="B25" i="61"/>
  <c r="B24" i="61"/>
  <c r="B23" i="61"/>
  <c r="B22" i="61"/>
  <c r="B21" i="61"/>
  <c r="B20" i="61"/>
  <c r="B19" i="61"/>
  <c r="B18" i="61"/>
  <c r="B17" i="61"/>
  <c r="B16" i="61"/>
  <c r="B15" i="61"/>
  <c r="B14" i="61"/>
  <c r="B13" i="61"/>
  <c r="B12" i="61"/>
  <c r="B11" i="61"/>
  <c r="B10" i="61"/>
  <c r="B9" i="61"/>
  <c r="B8" i="61"/>
  <c r="BD36" i="61"/>
  <c r="AZ36" i="61"/>
  <c r="AV36" i="61"/>
  <c r="AW36" i="61" s="1"/>
  <c r="AR36" i="61"/>
  <c r="AS36" i="61" s="1"/>
  <c r="AN36" i="61"/>
  <c r="AJ36" i="61"/>
  <c r="AF36" i="61"/>
  <c r="AG36" i="61" s="1"/>
  <c r="AB36" i="61"/>
  <c r="AC36" i="61" s="1"/>
  <c r="X36" i="61"/>
  <c r="T36" i="61"/>
  <c r="P36" i="61"/>
  <c r="Q36" i="61" s="1"/>
  <c r="L36" i="61"/>
  <c r="M36" i="61" s="1"/>
  <c r="H36" i="61"/>
  <c r="D36" i="61"/>
  <c r="BD35" i="61"/>
  <c r="AZ35" i="61"/>
  <c r="BA35" i="61" s="1"/>
  <c r="AV35" i="61"/>
  <c r="AW35" i="61" s="1"/>
  <c r="AR35" i="61"/>
  <c r="AN35" i="61"/>
  <c r="AJ35" i="61"/>
  <c r="AF35" i="61"/>
  <c r="AG35" i="61" s="1"/>
  <c r="AB35" i="61"/>
  <c r="X35" i="61"/>
  <c r="T35" i="61"/>
  <c r="U35" i="61" s="1"/>
  <c r="V35" i="61" s="1"/>
  <c r="P35" i="61"/>
  <c r="Q35" i="61" s="1"/>
  <c r="L35" i="61"/>
  <c r="H35" i="61"/>
  <c r="D35" i="61"/>
  <c r="E35" i="61" s="1"/>
  <c r="F35" i="61" s="1"/>
  <c r="BD34" i="61"/>
  <c r="AZ34" i="61"/>
  <c r="BA34" i="61" s="1"/>
  <c r="AV34" i="61"/>
  <c r="AR34" i="61"/>
  <c r="AN34" i="61"/>
  <c r="AJ34" i="61"/>
  <c r="AK34" i="61" s="1"/>
  <c r="AF34" i="61"/>
  <c r="AB34" i="61"/>
  <c r="X34" i="61"/>
  <c r="Y34" i="61" s="1"/>
  <c r="Z34" i="61" s="1"/>
  <c r="T34" i="61"/>
  <c r="U34" i="61" s="1"/>
  <c r="P34" i="61"/>
  <c r="Q34" i="61" s="1"/>
  <c r="L34" i="61"/>
  <c r="M34" i="61" s="1"/>
  <c r="H34" i="61"/>
  <c r="I34" i="61" s="1"/>
  <c r="D34" i="61"/>
  <c r="BD33" i="61"/>
  <c r="AZ33" i="61"/>
  <c r="BA33" i="61" s="1"/>
  <c r="AV33" i="61"/>
  <c r="AW33" i="61" s="1"/>
  <c r="AR33" i="61"/>
  <c r="AS33" i="61" s="1"/>
  <c r="AT33" i="61" s="1"/>
  <c r="AN33" i="61"/>
  <c r="AO33" i="61" s="1"/>
  <c r="AJ33" i="61"/>
  <c r="AK33" i="61" s="1"/>
  <c r="AF33" i="61"/>
  <c r="AG33" i="61" s="1"/>
  <c r="AB33" i="61"/>
  <c r="X33" i="61"/>
  <c r="Y33" i="61" s="1"/>
  <c r="Z33" i="61" s="1"/>
  <c r="T33" i="61"/>
  <c r="U33" i="61" s="1"/>
  <c r="P33" i="61"/>
  <c r="Q33" i="61" s="1"/>
  <c r="L33" i="61"/>
  <c r="M33" i="61" s="1"/>
  <c r="N33" i="61" s="1"/>
  <c r="H33" i="61"/>
  <c r="D33" i="61"/>
  <c r="E33" i="61" s="1"/>
  <c r="BD32" i="61"/>
  <c r="AZ32" i="61"/>
  <c r="BA32" i="61" s="1"/>
  <c r="AV32" i="61"/>
  <c r="AW32" i="61" s="1"/>
  <c r="AX32" i="61" s="1"/>
  <c r="AR32" i="61"/>
  <c r="AS32" i="61" s="1"/>
  <c r="AT32" i="61" s="1"/>
  <c r="AN32" i="61"/>
  <c r="AO32" i="61" s="1"/>
  <c r="AJ32" i="61"/>
  <c r="AK32" i="61" s="1"/>
  <c r="AF32" i="61"/>
  <c r="AG32" i="61" s="1"/>
  <c r="AB32" i="61"/>
  <c r="X32" i="61"/>
  <c r="Y32" i="61" s="1"/>
  <c r="T32" i="61"/>
  <c r="U32" i="61" s="1"/>
  <c r="P32" i="61"/>
  <c r="Q32" i="61" s="1"/>
  <c r="R32" i="61" s="1"/>
  <c r="L32" i="61"/>
  <c r="M32" i="61" s="1"/>
  <c r="N32" i="61" s="1"/>
  <c r="H32" i="61"/>
  <c r="I32" i="61" s="1"/>
  <c r="D32" i="61"/>
  <c r="E32" i="61" s="1"/>
  <c r="BD31" i="61"/>
  <c r="AZ31" i="61"/>
  <c r="BA31" i="61" s="1"/>
  <c r="BB31" i="61" s="1"/>
  <c r="AV31" i="61"/>
  <c r="AW31" i="61" s="1"/>
  <c r="AX31" i="61" s="1"/>
  <c r="AR31" i="61"/>
  <c r="AS31" i="61" s="1"/>
  <c r="AN31" i="61"/>
  <c r="AO31" i="61" s="1"/>
  <c r="AJ31" i="61"/>
  <c r="AF31" i="61"/>
  <c r="AB31" i="61"/>
  <c r="AC31" i="61" s="1"/>
  <c r="X31" i="61"/>
  <c r="Y31" i="61" s="1"/>
  <c r="T31" i="61"/>
  <c r="U31" i="61" s="1"/>
  <c r="V31" i="61" s="1"/>
  <c r="P31" i="61"/>
  <c r="Q31" i="61" s="1"/>
  <c r="L31" i="61"/>
  <c r="M31" i="61" s="1"/>
  <c r="H31" i="61"/>
  <c r="I31" i="61" s="1"/>
  <c r="D31" i="61"/>
  <c r="BD30" i="61"/>
  <c r="AZ30" i="61"/>
  <c r="BA30" i="61" s="1"/>
  <c r="BB30" i="61" s="1"/>
  <c r="AV30" i="61"/>
  <c r="AW30" i="61" s="1"/>
  <c r="AR30" i="61"/>
  <c r="AS30" i="61" s="1"/>
  <c r="AN30" i="61"/>
  <c r="AJ30" i="61"/>
  <c r="AF30" i="61"/>
  <c r="AG30" i="61" s="1"/>
  <c r="AB30" i="61"/>
  <c r="AC30" i="61" s="1"/>
  <c r="X30" i="61"/>
  <c r="Y30" i="61" s="1"/>
  <c r="Z30" i="61" s="1"/>
  <c r="T30" i="61"/>
  <c r="U30" i="61" s="1"/>
  <c r="V30" i="61" s="1"/>
  <c r="P30" i="61"/>
  <c r="Q30" i="61" s="1"/>
  <c r="L30" i="61"/>
  <c r="M30" i="61" s="1"/>
  <c r="H30" i="61"/>
  <c r="I30" i="61" s="1"/>
  <c r="D30" i="61"/>
  <c r="BD29" i="61"/>
  <c r="AZ29" i="61"/>
  <c r="BA29" i="61" s="1"/>
  <c r="AV29" i="61"/>
  <c r="AW29" i="61" s="1"/>
  <c r="AR29" i="61"/>
  <c r="AS29" i="61" s="1"/>
  <c r="AN29" i="61"/>
  <c r="AJ29" i="61"/>
  <c r="AK29" i="61" s="1"/>
  <c r="AF29" i="61"/>
  <c r="AG29" i="61" s="1"/>
  <c r="AB29" i="61"/>
  <c r="X29" i="61"/>
  <c r="Y29" i="61" s="1"/>
  <c r="Z29" i="61" s="1"/>
  <c r="T29" i="61"/>
  <c r="U29" i="61" s="1"/>
  <c r="P29" i="61"/>
  <c r="Q29" i="61" s="1"/>
  <c r="L29" i="61"/>
  <c r="H29" i="61"/>
  <c r="D29" i="61"/>
  <c r="E29" i="61" s="1"/>
  <c r="BD28" i="61"/>
  <c r="AZ28" i="61"/>
  <c r="BA28" i="61" s="1"/>
  <c r="AV28" i="61"/>
  <c r="AW28" i="61" s="1"/>
  <c r="AR28" i="61"/>
  <c r="AN28" i="61"/>
  <c r="AJ28" i="61"/>
  <c r="AK28" i="61" s="1"/>
  <c r="AF28" i="61"/>
  <c r="AB28" i="61"/>
  <c r="X28" i="61"/>
  <c r="Y28" i="61" s="1"/>
  <c r="T28" i="61"/>
  <c r="U28" i="61" s="1"/>
  <c r="P28" i="61"/>
  <c r="Q28" i="61" s="1"/>
  <c r="R28" i="61" s="1"/>
  <c r="L28" i="61"/>
  <c r="M28" i="61" s="1"/>
  <c r="H28" i="61"/>
  <c r="D28" i="61"/>
  <c r="E28" i="61" s="1"/>
  <c r="BC27" i="61"/>
  <c r="CK27" i="61" s="1"/>
  <c r="AY27" i="61"/>
  <c r="CJ27" i="61" s="1"/>
  <c r="AU27" i="61"/>
  <c r="CI27" i="61" s="1"/>
  <c r="AQ27" i="61"/>
  <c r="CH27" i="61" s="1"/>
  <c r="AM27" i="61"/>
  <c r="CG27" i="61" s="1"/>
  <c r="AI27" i="61"/>
  <c r="CF27" i="61" s="1"/>
  <c r="AE27" i="61"/>
  <c r="CE27" i="61" s="1"/>
  <c r="AA27" i="61"/>
  <c r="CD27" i="61" s="1"/>
  <c r="W27" i="61"/>
  <c r="CC27" i="61" s="1"/>
  <c r="S27" i="61"/>
  <c r="CB27" i="61" s="1"/>
  <c r="O27" i="61"/>
  <c r="CA27" i="61" s="1"/>
  <c r="K27" i="61"/>
  <c r="BZ27" i="61" s="1"/>
  <c r="G27" i="61"/>
  <c r="BY27" i="61" s="1"/>
  <c r="CL24" i="61"/>
  <c r="CL134" i="61" s="1"/>
  <c r="CL23" i="61"/>
  <c r="CL133" i="61" s="1"/>
  <c r="CL21" i="61"/>
  <c r="CL131" i="61" s="1"/>
  <c r="BD15" i="61"/>
  <c r="BD14" i="61"/>
  <c r="BD13" i="61"/>
  <c r="CL27" i="61"/>
  <c r="CN26" i="61"/>
  <c r="CM26" i="61"/>
  <c r="CM136" i="61" s="1"/>
  <c r="CN24" i="61"/>
  <c r="CN23" i="61"/>
  <c r="CM23" i="61"/>
  <c r="CM133" i="61" s="1"/>
  <c r="CN22" i="61"/>
  <c r="CM22" i="61"/>
  <c r="CM132" i="61" s="1"/>
  <c r="CL22" i="61"/>
  <c r="CL132" i="61" s="1"/>
  <c r="CN21" i="61"/>
  <c r="CM21" i="61"/>
  <c r="CM131" i="61" s="1"/>
  <c r="CN20" i="61"/>
  <c r="CM20" i="61"/>
  <c r="CM130" i="61" s="1"/>
  <c r="CL20" i="61"/>
  <c r="CL130" i="61" s="1"/>
  <c r="CN19" i="61"/>
  <c r="CM19" i="61"/>
  <c r="CM129" i="61" s="1"/>
  <c r="CN18" i="61"/>
  <c r="CM18" i="61"/>
  <c r="CM128" i="61" s="1"/>
  <c r="CN17" i="61"/>
  <c r="CM17" i="61"/>
  <c r="CM127" i="61" s="1"/>
  <c r="CN16" i="61"/>
  <c r="CM16" i="61"/>
  <c r="CM126" i="61" s="1"/>
  <c r="CL16" i="61"/>
  <c r="CL126" i="61" s="1"/>
  <c r="CN15" i="61"/>
  <c r="CM15" i="61"/>
  <c r="CM125" i="61" s="1"/>
  <c r="CN14" i="61"/>
  <c r="CM14" i="61"/>
  <c r="CM124" i="61" s="1"/>
  <c r="CN13" i="61"/>
  <c r="CM13" i="61"/>
  <c r="CM123" i="61" s="1"/>
  <c r="BO12" i="61"/>
  <c r="BN12" i="61"/>
  <c r="BM12" i="61"/>
  <c r="BL12" i="61"/>
  <c r="BD12" i="61"/>
  <c r="BD11" i="61"/>
  <c r="AZ26" i="61"/>
  <c r="AZ25" i="61"/>
  <c r="BA25" i="61" s="1"/>
  <c r="AZ24" i="61"/>
  <c r="BA24" i="61" s="1"/>
  <c r="AZ23" i="61"/>
  <c r="AZ22" i="61"/>
  <c r="BA22" i="61" s="1"/>
  <c r="AZ21" i="61"/>
  <c r="AZ20" i="61"/>
  <c r="BA20" i="61" s="1"/>
  <c r="AZ19" i="61"/>
  <c r="AZ18" i="61"/>
  <c r="AZ17" i="61"/>
  <c r="BA17" i="61" s="1"/>
  <c r="AZ16" i="61"/>
  <c r="BA16" i="61" s="1"/>
  <c r="BB16" i="61" s="1"/>
  <c r="AZ15" i="61"/>
  <c r="AZ14" i="61"/>
  <c r="BA14" i="61" s="1"/>
  <c r="AZ13" i="61"/>
  <c r="AZ12" i="61"/>
  <c r="BA12" i="61" s="1"/>
  <c r="BB12" i="61" s="1"/>
  <c r="AZ11" i="61"/>
  <c r="AV26" i="61"/>
  <c r="AV25" i="61"/>
  <c r="AV24" i="61"/>
  <c r="AW24" i="61" s="1"/>
  <c r="AX24" i="61" s="1"/>
  <c r="AV23" i="61"/>
  <c r="AV22" i="61"/>
  <c r="AW22" i="61" s="1"/>
  <c r="AV21" i="61"/>
  <c r="AV20" i="61"/>
  <c r="AW20" i="61" s="1"/>
  <c r="AX20" i="61" s="1"/>
  <c r="AV19" i="61"/>
  <c r="AV18" i="61"/>
  <c r="AV17" i="61"/>
  <c r="AV16" i="61"/>
  <c r="AW16" i="61" s="1"/>
  <c r="AX16" i="61" s="1"/>
  <c r="AV15" i="61"/>
  <c r="AV14" i="61"/>
  <c r="AW14" i="61" s="1"/>
  <c r="AV13" i="61"/>
  <c r="AV12" i="61"/>
  <c r="AV11" i="61"/>
  <c r="AR25" i="61"/>
  <c r="AR24" i="61"/>
  <c r="AS24" i="61" s="1"/>
  <c r="AR23" i="61"/>
  <c r="AR22" i="61"/>
  <c r="AS22" i="61" s="1"/>
  <c r="AR21" i="61"/>
  <c r="AR20" i="61"/>
  <c r="AS20" i="61" s="1"/>
  <c r="AT20" i="61" s="1"/>
  <c r="AR19" i="61"/>
  <c r="AR18" i="61"/>
  <c r="AR17" i="61"/>
  <c r="AR16" i="61"/>
  <c r="AS16" i="61" s="1"/>
  <c r="AR15" i="61"/>
  <c r="AR14" i="61"/>
  <c r="AS14" i="61" s="1"/>
  <c r="AR13" i="61"/>
  <c r="AR12" i="61"/>
  <c r="AN26" i="61"/>
  <c r="AN25" i="61"/>
  <c r="AN24" i="61"/>
  <c r="AO24" i="61" s="1"/>
  <c r="AN23" i="61"/>
  <c r="AN22" i="61"/>
  <c r="AO22" i="61" s="1"/>
  <c r="AN21" i="61"/>
  <c r="AO21" i="61" s="1"/>
  <c r="AN20" i="61"/>
  <c r="AO20" i="61" s="1"/>
  <c r="AP20" i="61" s="1"/>
  <c r="AQ20" i="61" s="1"/>
  <c r="AN19" i="61"/>
  <c r="AO19" i="61" s="1"/>
  <c r="AP19" i="61" s="1"/>
  <c r="AN18" i="61"/>
  <c r="AN17" i="61"/>
  <c r="AN16" i="61"/>
  <c r="AO16" i="61" s="1"/>
  <c r="AN15" i="61"/>
  <c r="AN14" i="61"/>
  <c r="AO14" i="61" s="1"/>
  <c r="AN13" i="61"/>
  <c r="AO13" i="61" s="1"/>
  <c r="AN12" i="61"/>
  <c r="AO12" i="61" s="1"/>
  <c r="AJ26" i="61"/>
  <c r="AJ25" i="61"/>
  <c r="AJ24" i="61"/>
  <c r="AK24" i="61" s="1"/>
  <c r="AJ23" i="61"/>
  <c r="AJ22" i="61"/>
  <c r="AJ21" i="61"/>
  <c r="AJ20" i="61"/>
  <c r="AK20" i="61" s="1"/>
  <c r="AL20" i="61" s="1"/>
  <c r="AJ19" i="61"/>
  <c r="AK19" i="61" s="1"/>
  <c r="AL19" i="61" s="1"/>
  <c r="AJ18" i="61"/>
  <c r="AJ17" i="61"/>
  <c r="AK17" i="61" s="1"/>
  <c r="AJ16" i="61"/>
  <c r="AK16" i="61" s="1"/>
  <c r="AL16" i="61" s="1"/>
  <c r="AJ15" i="61"/>
  <c r="AJ14" i="61"/>
  <c r="AJ13" i="61"/>
  <c r="AJ12" i="61"/>
  <c r="AK12" i="61" s="1"/>
  <c r="AL12" i="61" s="1"/>
  <c r="AF26" i="61"/>
  <c r="AF25" i="61"/>
  <c r="AF24" i="61"/>
  <c r="AG24" i="61" s="1"/>
  <c r="AH24" i="61" s="1"/>
  <c r="AF23" i="61"/>
  <c r="AF22" i="61"/>
  <c r="AG22" i="61" s="1"/>
  <c r="AF21" i="61"/>
  <c r="AF20" i="61"/>
  <c r="AG20" i="61" s="1"/>
  <c r="AH20" i="61" s="1"/>
  <c r="AF19" i="61"/>
  <c r="AG19" i="61" s="1"/>
  <c r="AH19" i="61" s="1"/>
  <c r="AF18" i="61"/>
  <c r="AF17" i="61"/>
  <c r="AF16" i="61"/>
  <c r="AG16" i="61" s="1"/>
  <c r="AH16" i="61" s="1"/>
  <c r="AF15" i="61"/>
  <c r="AF14" i="61"/>
  <c r="AG14" i="61" s="1"/>
  <c r="AF13" i="61"/>
  <c r="AF12" i="61"/>
  <c r="AG12" i="61" s="1"/>
  <c r="AH12" i="61" s="1"/>
  <c r="AB26" i="61"/>
  <c r="AB25" i="61"/>
  <c r="AB24" i="61"/>
  <c r="AC24" i="61" s="1"/>
  <c r="AB23" i="61"/>
  <c r="AB22" i="61"/>
  <c r="AC22" i="61" s="1"/>
  <c r="AB21" i="61"/>
  <c r="AB20" i="61"/>
  <c r="AC20" i="61" s="1"/>
  <c r="AD20" i="61" s="1"/>
  <c r="AB19" i="61"/>
  <c r="AB18" i="61"/>
  <c r="AB17" i="61"/>
  <c r="AB16" i="61"/>
  <c r="AC16" i="61" s="1"/>
  <c r="AB15" i="61"/>
  <c r="AB14" i="61"/>
  <c r="AC14" i="61" s="1"/>
  <c r="AB13" i="61"/>
  <c r="AB12" i="61"/>
  <c r="AC12" i="61" s="1"/>
  <c r="AD12" i="61" s="1"/>
  <c r="X25" i="61"/>
  <c r="X24" i="61"/>
  <c r="Y24" i="61" s="1"/>
  <c r="X23" i="61"/>
  <c r="X22" i="61"/>
  <c r="X21" i="61"/>
  <c r="X20" i="61"/>
  <c r="Y20" i="61" s="1"/>
  <c r="X19" i="61"/>
  <c r="Y19" i="61" s="1"/>
  <c r="Z19" i="61" s="1"/>
  <c r="X18" i="61"/>
  <c r="X17" i="61"/>
  <c r="X16" i="61"/>
  <c r="Y16" i="61" s="1"/>
  <c r="X15" i="61"/>
  <c r="X14" i="61"/>
  <c r="Y14" i="61" s="1"/>
  <c r="X13" i="61"/>
  <c r="X12" i="61"/>
  <c r="Y12" i="61" s="1"/>
  <c r="T26" i="61"/>
  <c r="T25" i="61"/>
  <c r="U25" i="61" s="1"/>
  <c r="T24" i="61"/>
  <c r="U24" i="61" s="1"/>
  <c r="T23" i="61"/>
  <c r="T22" i="61"/>
  <c r="T21" i="61"/>
  <c r="T20" i="61"/>
  <c r="U20" i="61" s="1"/>
  <c r="V20" i="61" s="1"/>
  <c r="T19" i="61"/>
  <c r="T18" i="61"/>
  <c r="T17" i="61"/>
  <c r="U17" i="61" s="1"/>
  <c r="T16" i="61"/>
  <c r="U16" i="61" s="1"/>
  <c r="T15" i="61"/>
  <c r="T14" i="61"/>
  <c r="T13" i="61"/>
  <c r="T12" i="61"/>
  <c r="U12" i="61" s="1"/>
  <c r="P26" i="61"/>
  <c r="P25" i="61"/>
  <c r="P24" i="61"/>
  <c r="Q24" i="61" s="1"/>
  <c r="R24" i="61" s="1"/>
  <c r="P23" i="61"/>
  <c r="P22" i="61"/>
  <c r="Q22" i="61" s="1"/>
  <c r="P21" i="61"/>
  <c r="P20" i="61"/>
  <c r="Q20" i="61" s="1"/>
  <c r="R20" i="61" s="1"/>
  <c r="P19" i="61"/>
  <c r="Q19" i="61" s="1"/>
  <c r="R19" i="61" s="1"/>
  <c r="P18" i="61"/>
  <c r="P17" i="61"/>
  <c r="P16" i="61"/>
  <c r="Q16" i="61" s="1"/>
  <c r="R16" i="61" s="1"/>
  <c r="P15" i="61"/>
  <c r="P14" i="61"/>
  <c r="Q14" i="61" s="1"/>
  <c r="P13" i="61"/>
  <c r="P12" i="61"/>
  <c r="Q12" i="61" s="1"/>
  <c r="R12" i="61" s="1"/>
  <c r="L26" i="61"/>
  <c r="L25" i="61"/>
  <c r="L24" i="61"/>
  <c r="M24" i="61" s="1"/>
  <c r="L23" i="61"/>
  <c r="L22" i="61"/>
  <c r="M22" i="61" s="1"/>
  <c r="L21" i="61"/>
  <c r="L20" i="61"/>
  <c r="M20" i="61" s="1"/>
  <c r="N20" i="61" s="1"/>
  <c r="L19" i="61"/>
  <c r="L18" i="61"/>
  <c r="L17" i="61"/>
  <c r="L16" i="61"/>
  <c r="M16" i="61" s="1"/>
  <c r="L15" i="61"/>
  <c r="L14" i="61"/>
  <c r="M14" i="61" s="1"/>
  <c r="L13" i="61"/>
  <c r="L12" i="61"/>
  <c r="M12" i="61" s="1"/>
  <c r="N12" i="61" s="1"/>
  <c r="L11" i="61"/>
  <c r="H26" i="61"/>
  <c r="H25" i="61"/>
  <c r="H24" i="61"/>
  <c r="I24" i="61" s="1"/>
  <c r="H23" i="61"/>
  <c r="H22" i="61"/>
  <c r="I22" i="61" s="1"/>
  <c r="H21" i="61"/>
  <c r="I21" i="61" s="1"/>
  <c r="H20" i="61"/>
  <c r="I20" i="61" s="1"/>
  <c r="J20" i="61" s="1"/>
  <c r="K20" i="61" s="1"/>
  <c r="H19" i="61"/>
  <c r="I19" i="61" s="1"/>
  <c r="H18" i="61"/>
  <c r="H17" i="61"/>
  <c r="H16" i="61"/>
  <c r="I16" i="61" s="1"/>
  <c r="H15" i="61"/>
  <c r="H14" i="61"/>
  <c r="I14" i="61" s="1"/>
  <c r="H13" i="61"/>
  <c r="I13" i="61" s="1"/>
  <c r="H12" i="61"/>
  <c r="H11" i="61"/>
  <c r="D26" i="61"/>
  <c r="D25" i="61"/>
  <c r="D24" i="61"/>
  <c r="E24" i="61" s="1"/>
  <c r="F24" i="61" s="1"/>
  <c r="D23" i="61"/>
  <c r="D22" i="61"/>
  <c r="D21" i="61"/>
  <c r="D20" i="61"/>
  <c r="E20" i="61" s="1"/>
  <c r="D19" i="61"/>
  <c r="E19" i="61" s="1"/>
  <c r="F19" i="61" s="1"/>
  <c r="D18" i="61"/>
  <c r="D17" i="61"/>
  <c r="E17" i="61" s="1"/>
  <c r="D16" i="61"/>
  <c r="E16" i="61" s="1"/>
  <c r="D15" i="61"/>
  <c r="D14" i="61"/>
  <c r="D13" i="61"/>
  <c r="D12" i="61"/>
  <c r="E12" i="61" s="1"/>
  <c r="F12" i="61" s="1"/>
  <c r="BD9" i="61"/>
  <c r="AZ9" i="61"/>
  <c r="AV9" i="61"/>
  <c r="AW9" i="61" s="1"/>
  <c r="AR9" i="61"/>
  <c r="AN9" i="61"/>
  <c r="AJ9" i="61"/>
  <c r="AK9" i="61" s="1"/>
  <c r="AF9" i="61"/>
  <c r="AG9" i="61" s="1"/>
  <c r="AB9" i="61"/>
  <c r="X9" i="61"/>
  <c r="Y9" i="61" s="1"/>
  <c r="T9" i="61"/>
  <c r="P9" i="61"/>
  <c r="Q9" i="61" s="1"/>
  <c r="L9" i="61"/>
  <c r="H9" i="61"/>
  <c r="I9" i="61" s="1"/>
  <c r="D9" i="61"/>
  <c r="CM7" i="61"/>
  <c r="CL7" i="61"/>
  <c r="CK7" i="61"/>
  <c r="CJ7" i="61"/>
  <c r="CI7" i="61"/>
  <c r="CH7" i="61"/>
  <c r="CG7" i="61"/>
  <c r="CF7" i="61"/>
  <c r="CE7" i="61"/>
  <c r="CD7" i="61"/>
  <c r="CC7" i="61"/>
  <c r="CB7" i="61"/>
  <c r="CA7" i="61"/>
  <c r="BZ7" i="61"/>
  <c r="BY7" i="61"/>
  <c r="BO7" i="61"/>
  <c r="BN7" i="61"/>
  <c r="BM7" i="61"/>
  <c r="BL7" i="61"/>
  <c r="BK7" i="61"/>
  <c r="BJ7" i="61"/>
  <c r="BI7" i="61"/>
  <c r="BH7" i="61"/>
  <c r="BG7" i="61"/>
  <c r="BF7" i="61"/>
  <c r="BF117" i="61" s="1"/>
  <c r="BE7" i="61"/>
  <c r="BD7" i="61"/>
  <c r="BC7" i="61"/>
  <c r="BB7" i="61"/>
  <c r="BA7" i="61"/>
  <c r="AZ7" i="61"/>
  <c r="AY7" i="61"/>
  <c r="AX7" i="61"/>
  <c r="AW7" i="61"/>
  <c r="AV7" i="61"/>
  <c r="AU7" i="61"/>
  <c r="AT7" i="61"/>
  <c r="AS7" i="61"/>
  <c r="AR7" i="61"/>
  <c r="AQ7" i="61"/>
  <c r="AP7" i="61"/>
  <c r="AO7" i="61"/>
  <c r="AN7" i="61"/>
  <c r="AM7" i="61"/>
  <c r="AL7" i="61"/>
  <c r="AK7" i="61"/>
  <c r="AJ7" i="61"/>
  <c r="AI7" i="61"/>
  <c r="AH7" i="61"/>
  <c r="AG7" i="61"/>
  <c r="AF7" i="61"/>
  <c r="AE7" i="61"/>
  <c r="AD7" i="61"/>
  <c r="AC7" i="61"/>
  <c r="AB7" i="61"/>
  <c r="AA7" i="61"/>
  <c r="Z7" i="61"/>
  <c r="Y7" i="61"/>
  <c r="X7" i="61"/>
  <c r="W7" i="61"/>
  <c r="V7" i="61"/>
  <c r="U7" i="61"/>
  <c r="T7" i="61"/>
  <c r="S7" i="61"/>
  <c r="R7" i="61"/>
  <c r="Q7" i="61"/>
  <c r="P7" i="61"/>
  <c r="O7" i="61"/>
  <c r="N7" i="61"/>
  <c r="M7" i="61"/>
  <c r="L7" i="61"/>
  <c r="K7" i="61"/>
  <c r="J7" i="61"/>
  <c r="I7" i="61"/>
  <c r="H7" i="61"/>
  <c r="G7" i="61"/>
  <c r="F7" i="61"/>
  <c r="E7" i="61"/>
  <c r="D7" i="61"/>
  <c r="BO6" i="61"/>
  <c r="BN6" i="61"/>
  <c r="BM6" i="61"/>
  <c r="BL6" i="61"/>
  <c r="BK6" i="61"/>
  <c r="BJ6" i="61"/>
  <c r="BI6" i="61"/>
  <c r="BH6" i="61"/>
  <c r="BG6" i="61"/>
  <c r="BF6" i="61"/>
  <c r="BE6" i="61"/>
  <c r="BD6" i="61"/>
  <c r="BC6" i="61"/>
  <c r="BB6" i="61"/>
  <c r="BA6" i="61"/>
  <c r="AZ6" i="61"/>
  <c r="AY6" i="61"/>
  <c r="AX6" i="61"/>
  <c r="AW6" i="61"/>
  <c r="AV6" i="61"/>
  <c r="AU6" i="61"/>
  <c r="AT6" i="61"/>
  <c r="AS6" i="61"/>
  <c r="AR6" i="61"/>
  <c r="AQ6" i="61"/>
  <c r="AP6" i="61"/>
  <c r="AO6" i="61"/>
  <c r="AN6" i="61"/>
  <c r="AM6" i="61"/>
  <c r="AL6" i="61"/>
  <c r="AK6" i="61"/>
  <c r="AJ6" i="61"/>
  <c r="AI6" i="61"/>
  <c r="AH6" i="61"/>
  <c r="AG6" i="61"/>
  <c r="AF6" i="61"/>
  <c r="AE6" i="61"/>
  <c r="AD6" i="61"/>
  <c r="AC6" i="61"/>
  <c r="AB6" i="61"/>
  <c r="AA6" i="61"/>
  <c r="Z6" i="61"/>
  <c r="Y6" i="61"/>
  <c r="X6" i="61"/>
  <c r="W6" i="61"/>
  <c r="V6" i="61"/>
  <c r="U6" i="61"/>
  <c r="T6" i="61"/>
  <c r="S6" i="61"/>
  <c r="R6" i="61"/>
  <c r="Q6" i="61"/>
  <c r="P6" i="61"/>
  <c r="O6" i="61"/>
  <c r="N6" i="61"/>
  <c r="M6" i="61"/>
  <c r="L6" i="61"/>
  <c r="K6" i="61"/>
  <c r="J6" i="61"/>
  <c r="I6" i="61"/>
  <c r="H6" i="61"/>
  <c r="G6" i="61"/>
  <c r="F6" i="61"/>
  <c r="E6" i="61"/>
  <c r="D6" i="61"/>
  <c r="BO5" i="61"/>
  <c r="BN5" i="61"/>
  <c r="BM5" i="61"/>
  <c r="BL5" i="61"/>
  <c r="BK5" i="61"/>
  <c r="BJ5" i="61"/>
  <c r="BI5" i="61"/>
  <c r="BH5" i="61"/>
  <c r="BG5" i="61"/>
  <c r="BF5" i="61"/>
  <c r="BE5" i="61"/>
  <c r="BD5" i="61"/>
  <c r="BC5" i="61"/>
  <c r="BB5" i="61"/>
  <c r="BA5" i="61"/>
  <c r="AZ5" i="61"/>
  <c r="AY5" i="61"/>
  <c r="AX5" i="61"/>
  <c r="AW5" i="61"/>
  <c r="AV5" i="61"/>
  <c r="AU5" i="61"/>
  <c r="AT5" i="61"/>
  <c r="AS5" i="61"/>
  <c r="AR5" i="61"/>
  <c r="AQ5" i="61"/>
  <c r="AP5" i="61"/>
  <c r="AO5" i="61"/>
  <c r="AN5" i="61"/>
  <c r="AM5" i="61"/>
  <c r="AL5" i="61"/>
  <c r="AK5" i="61"/>
  <c r="AJ5" i="61"/>
  <c r="AI5" i="61"/>
  <c r="AH5" i="61"/>
  <c r="AG5" i="61"/>
  <c r="AF5" i="61"/>
  <c r="AE5" i="61"/>
  <c r="AD5" i="61"/>
  <c r="AC5" i="61"/>
  <c r="AB5" i="61"/>
  <c r="AA5" i="61"/>
  <c r="Z5" i="61"/>
  <c r="Y5" i="61"/>
  <c r="X5" i="61"/>
  <c r="W5" i="61"/>
  <c r="V5" i="61"/>
  <c r="U5" i="61"/>
  <c r="T5" i="61"/>
  <c r="S5" i="61"/>
  <c r="R5" i="61"/>
  <c r="Q5" i="61"/>
  <c r="P5" i="61"/>
  <c r="O5" i="61"/>
  <c r="N5" i="61"/>
  <c r="M5" i="61"/>
  <c r="L5" i="61"/>
  <c r="K5" i="61"/>
  <c r="J5" i="61"/>
  <c r="I5" i="61"/>
  <c r="H5" i="61"/>
  <c r="G5" i="61"/>
  <c r="F5" i="61"/>
  <c r="E5" i="61"/>
  <c r="D5" i="61"/>
  <c r="B4" i="61"/>
  <c r="BM169" i="2"/>
  <c r="BL169" i="2"/>
  <c r="BH169" i="2"/>
  <c r="CN166" i="2"/>
  <c r="CM166" i="2"/>
  <c r="CL166" i="2"/>
  <c r="CK166" i="2"/>
  <c r="CJ166" i="2"/>
  <c r="CI166" i="2"/>
  <c r="CH166" i="2"/>
  <c r="CG166" i="2"/>
  <c r="CF166" i="2"/>
  <c r="CE166" i="2"/>
  <c r="CD166" i="2"/>
  <c r="CC166" i="2"/>
  <c r="CB166" i="2"/>
  <c r="CA166" i="2"/>
  <c r="BZ166" i="2"/>
  <c r="BY166" i="2"/>
  <c r="BO166" i="2"/>
  <c r="BN166" i="2"/>
  <c r="BM166" i="2"/>
  <c r="BL166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BE153" i="2"/>
  <c r="BD153" i="2"/>
  <c r="BC153" i="2"/>
  <c r="BB153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D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BC142" i="2"/>
  <c r="BC139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BF142" i="2"/>
  <c r="BG142" i="2" s="1"/>
  <c r="BH142" i="2" s="1"/>
  <c r="BI142" i="2" s="1"/>
  <c r="BJ142" i="2" s="1"/>
  <c r="BK142" i="2" s="1"/>
  <c r="BL142" i="2" s="1"/>
  <c r="BM142" i="2" s="1"/>
  <c r="BN142" i="2" s="1"/>
  <c r="BO142" i="2" s="1"/>
  <c r="BP142" i="2" s="1"/>
  <c r="BQ142" i="2" s="1"/>
  <c r="BR142" i="2" s="1"/>
  <c r="BS142" i="2" s="1"/>
  <c r="BT142" i="2" s="1"/>
  <c r="BU142" i="2" s="1"/>
  <c r="BV142" i="2" s="1"/>
  <c r="BW142" i="2" s="1"/>
  <c r="BE139" i="2"/>
  <c r="BE141" i="2" s="1"/>
  <c r="BD139" i="2"/>
  <c r="BD140" i="2" s="1"/>
  <c r="BD141" i="2" s="1"/>
  <c r="BB139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BE92" i="2"/>
  <c r="BD92" i="2"/>
  <c r="BC92" i="2"/>
  <c r="BB92" i="2"/>
  <c r="BA92" i="2"/>
  <c r="AZ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BE89" i="2"/>
  <c r="CM89" i="2" s="1"/>
  <c r="BD89" i="2"/>
  <c r="CL89" i="2" s="1"/>
  <c r="BC89" i="2"/>
  <c r="CK89" i="2" s="1"/>
  <c r="BB89" i="2"/>
  <c r="BA89" i="2"/>
  <c r="AZ89" i="2"/>
  <c r="AY89" i="2"/>
  <c r="CJ89" i="2" s="1"/>
  <c r="AX89" i="2"/>
  <c r="AW89" i="2"/>
  <c r="AV89" i="2"/>
  <c r="AU89" i="2"/>
  <c r="CI89" i="2" s="1"/>
  <c r="AT89" i="2"/>
  <c r="AS89" i="2"/>
  <c r="AR89" i="2"/>
  <c r="AQ89" i="2"/>
  <c r="CH89" i="2" s="1"/>
  <c r="AP89" i="2"/>
  <c r="AO89" i="2"/>
  <c r="AN89" i="2"/>
  <c r="AM89" i="2"/>
  <c r="CG89" i="2" s="1"/>
  <c r="AL89" i="2"/>
  <c r="AK89" i="2"/>
  <c r="AJ89" i="2"/>
  <c r="AI89" i="2"/>
  <c r="CF89" i="2" s="1"/>
  <c r="AH89" i="2"/>
  <c r="AG89" i="2"/>
  <c r="AF89" i="2"/>
  <c r="AE89" i="2"/>
  <c r="CE89" i="2" s="1"/>
  <c r="AD89" i="2"/>
  <c r="AC89" i="2"/>
  <c r="AB89" i="2"/>
  <c r="AA89" i="2"/>
  <c r="CD89" i="2" s="1"/>
  <c r="Z89" i="2"/>
  <c r="Y89" i="2"/>
  <c r="X89" i="2"/>
  <c r="W89" i="2"/>
  <c r="CC89" i="2" s="1"/>
  <c r="V89" i="2"/>
  <c r="U89" i="2"/>
  <c r="T89" i="2"/>
  <c r="S89" i="2"/>
  <c r="CB89" i="2" s="1"/>
  <c r="R89" i="2"/>
  <c r="Q89" i="2"/>
  <c r="P89" i="2"/>
  <c r="O89" i="2"/>
  <c r="CA89" i="2" s="1"/>
  <c r="N89" i="2"/>
  <c r="M89" i="2"/>
  <c r="L89" i="2"/>
  <c r="K89" i="2"/>
  <c r="BZ89" i="2" s="1"/>
  <c r="J89" i="2"/>
  <c r="I89" i="2"/>
  <c r="H89" i="2"/>
  <c r="G89" i="2"/>
  <c r="BY89" i="2" s="1"/>
  <c r="F89" i="2"/>
  <c r="E89" i="2"/>
  <c r="D89" i="2"/>
  <c r="BE87" i="2"/>
  <c r="BD87" i="2"/>
  <c r="BC87" i="2"/>
  <c r="BB87" i="2"/>
  <c r="BA87" i="2"/>
  <c r="AZ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BE86" i="2"/>
  <c r="BE88" i="2" s="1"/>
  <c r="BD86" i="2"/>
  <c r="BC86" i="2"/>
  <c r="BC88" i="2" s="1"/>
  <c r="BB86" i="2"/>
  <c r="BB88" i="2" s="1"/>
  <c r="BA86" i="2"/>
  <c r="BA88" i="2" s="1"/>
  <c r="AZ86" i="2"/>
  <c r="AY86" i="2"/>
  <c r="AY88" i="2" s="1"/>
  <c r="AX86" i="2"/>
  <c r="AX88" i="2" s="1"/>
  <c r="AW86" i="2"/>
  <c r="AW88" i="2" s="1"/>
  <c r="AV86" i="2"/>
  <c r="AU86" i="2"/>
  <c r="AU88" i="2" s="1"/>
  <c r="AT86" i="2"/>
  <c r="AT88" i="2" s="1"/>
  <c r="AS86" i="2"/>
  <c r="AS88" i="2" s="1"/>
  <c r="AR86" i="2"/>
  <c r="AQ86" i="2"/>
  <c r="AQ88" i="2" s="1"/>
  <c r="AP86" i="2"/>
  <c r="AP88" i="2" s="1"/>
  <c r="AO86" i="2"/>
  <c r="AO88" i="2" s="1"/>
  <c r="AN86" i="2"/>
  <c r="AM86" i="2"/>
  <c r="AM88" i="2" s="1"/>
  <c r="AM93" i="2" s="1"/>
  <c r="AL86" i="2"/>
  <c r="AL88" i="2" s="1"/>
  <c r="AK86" i="2"/>
  <c r="AK88" i="2" s="1"/>
  <c r="AJ86" i="2"/>
  <c r="AI86" i="2"/>
  <c r="AI88" i="2" s="1"/>
  <c r="AH86" i="2"/>
  <c r="AH88" i="2" s="1"/>
  <c r="AG86" i="2"/>
  <c r="AG88" i="2" s="1"/>
  <c r="AF86" i="2"/>
  <c r="AE86" i="2"/>
  <c r="AE88" i="2" s="1"/>
  <c r="AD86" i="2"/>
  <c r="AD88" i="2" s="1"/>
  <c r="AC86" i="2"/>
  <c r="AC88" i="2" s="1"/>
  <c r="AB86" i="2"/>
  <c r="AA86" i="2"/>
  <c r="AA88" i="2" s="1"/>
  <c r="Z86" i="2"/>
  <c r="Z88" i="2" s="1"/>
  <c r="Y86" i="2"/>
  <c r="Y88" i="2" s="1"/>
  <c r="X86" i="2"/>
  <c r="W86" i="2"/>
  <c r="W88" i="2" s="1"/>
  <c r="V86" i="2"/>
  <c r="V88" i="2" s="1"/>
  <c r="U86" i="2"/>
  <c r="U88" i="2" s="1"/>
  <c r="T86" i="2"/>
  <c r="S86" i="2"/>
  <c r="S88" i="2" s="1"/>
  <c r="R86" i="2"/>
  <c r="R88" i="2" s="1"/>
  <c r="R93" i="2" s="1"/>
  <c r="Q86" i="2"/>
  <c r="Q88" i="2" s="1"/>
  <c r="P86" i="2"/>
  <c r="O86" i="2"/>
  <c r="O88" i="2" s="1"/>
  <c r="N86" i="2"/>
  <c r="N88" i="2" s="1"/>
  <c r="M86" i="2"/>
  <c r="M88" i="2" s="1"/>
  <c r="L86" i="2"/>
  <c r="K86" i="2"/>
  <c r="K88" i="2" s="1"/>
  <c r="J86" i="2"/>
  <c r="J88" i="2" s="1"/>
  <c r="I86" i="2"/>
  <c r="I88" i="2" s="1"/>
  <c r="H86" i="2"/>
  <c r="G86" i="2"/>
  <c r="G88" i="2" s="1"/>
  <c r="F86" i="2"/>
  <c r="F88" i="2" s="1"/>
  <c r="E86" i="2"/>
  <c r="E88" i="2" s="1"/>
  <c r="D86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H78" i="2"/>
  <c r="CG78" i="2"/>
  <c r="CF78" i="2"/>
  <c r="CE78" i="2"/>
  <c r="CD78" i="2"/>
  <c r="CC78" i="2"/>
  <c r="CB78" i="2"/>
  <c r="CA78" i="2"/>
  <c r="BZ78" i="2"/>
  <c r="BY78" i="2"/>
  <c r="BF78" i="2"/>
  <c r="BE78" i="2"/>
  <c r="BE81" i="2" s="1"/>
  <c r="BD78" i="2"/>
  <c r="BD81" i="2" s="1"/>
  <c r="BC78" i="2"/>
  <c r="BC81" i="2" s="1"/>
  <c r="BB78" i="2"/>
  <c r="BB81" i="2" s="1"/>
  <c r="BA78" i="2"/>
  <c r="BA81" i="2" s="1"/>
  <c r="AZ78" i="2"/>
  <c r="AZ81" i="2" s="1"/>
  <c r="AY78" i="2"/>
  <c r="AY81" i="2" s="1"/>
  <c r="AX78" i="2"/>
  <c r="AX81" i="2" s="1"/>
  <c r="AW78" i="2"/>
  <c r="AW81" i="2" s="1"/>
  <c r="AV78" i="2"/>
  <c r="AV81" i="2" s="1"/>
  <c r="AU78" i="2"/>
  <c r="AU81" i="2" s="1"/>
  <c r="AT78" i="2"/>
  <c r="AT81" i="2" s="1"/>
  <c r="AS78" i="2"/>
  <c r="AS81" i="2" s="1"/>
  <c r="AR78" i="2"/>
  <c r="AR81" i="2" s="1"/>
  <c r="AQ78" i="2"/>
  <c r="AQ81" i="2" s="1"/>
  <c r="AP78" i="2"/>
  <c r="AP81" i="2" s="1"/>
  <c r="AO78" i="2"/>
  <c r="AO81" i="2" s="1"/>
  <c r="AN78" i="2"/>
  <c r="AN81" i="2" s="1"/>
  <c r="AM78" i="2"/>
  <c r="AM81" i="2" s="1"/>
  <c r="AL78" i="2"/>
  <c r="AL81" i="2" s="1"/>
  <c r="AK78" i="2"/>
  <c r="AK81" i="2" s="1"/>
  <c r="AJ78" i="2"/>
  <c r="AJ81" i="2" s="1"/>
  <c r="AI78" i="2"/>
  <c r="AI81" i="2" s="1"/>
  <c r="AH78" i="2"/>
  <c r="AH81" i="2" s="1"/>
  <c r="AG78" i="2"/>
  <c r="AG81" i="2" s="1"/>
  <c r="AF78" i="2"/>
  <c r="AF81" i="2" s="1"/>
  <c r="AE78" i="2"/>
  <c r="AE81" i="2" s="1"/>
  <c r="AD78" i="2"/>
  <c r="AD81" i="2" s="1"/>
  <c r="AC78" i="2"/>
  <c r="AC81" i="2" s="1"/>
  <c r="AB78" i="2"/>
  <c r="AA78" i="2"/>
  <c r="AA81" i="2" s="1"/>
  <c r="Z78" i="2"/>
  <c r="Z81" i="2" s="1"/>
  <c r="Y78" i="2"/>
  <c r="Y81" i="2" s="1"/>
  <c r="X78" i="2"/>
  <c r="X81" i="2" s="1"/>
  <c r="W78" i="2"/>
  <c r="W81" i="2" s="1"/>
  <c r="V78" i="2"/>
  <c r="V81" i="2" s="1"/>
  <c r="U78" i="2"/>
  <c r="U81" i="2" s="1"/>
  <c r="T78" i="2"/>
  <c r="T81" i="2" s="1"/>
  <c r="S78" i="2"/>
  <c r="S81" i="2" s="1"/>
  <c r="R78" i="2"/>
  <c r="R81" i="2" s="1"/>
  <c r="Q78" i="2"/>
  <c r="Q81" i="2" s="1"/>
  <c r="P78" i="2"/>
  <c r="P81" i="2" s="1"/>
  <c r="O78" i="2"/>
  <c r="O81" i="2" s="1"/>
  <c r="N78" i="2"/>
  <c r="N81" i="2" s="1"/>
  <c r="M78" i="2"/>
  <c r="M81" i="2" s="1"/>
  <c r="L78" i="2"/>
  <c r="K78" i="2"/>
  <c r="K81" i="2" s="1"/>
  <c r="J78" i="2"/>
  <c r="J81" i="2" s="1"/>
  <c r="I78" i="2"/>
  <c r="I81" i="2" s="1"/>
  <c r="H78" i="2"/>
  <c r="H81" i="2" s="1"/>
  <c r="G78" i="2"/>
  <c r="G81" i="2" s="1"/>
  <c r="F78" i="2"/>
  <c r="F81" i="2" s="1"/>
  <c r="E78" i="2"/>
  <c r="E81" i="2" s="1"/>
  <c r="D78" i="2"/>
  <c r="D81" i="2" s="1"/>
  <c r="BE73" i="2"/>
  <c r="BD73" i="2"/>
  <c r="BC73" i="2"/>
  <c r="BB73" i="2"/>
  <c r="BA73" i="2"/>
  <c r="AZ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K70" i="2"/>
  <c r="CJ70" i="2"/>
  <c r="CI70" i="2"/>
  <c r="CH70" i="2"/>
  <c r="CG70" i="2"/>
  <c r="CF70" i="2"/>
  <c r="CE70" i="2"/>
  <c r="CD70" i="2"/>
  <c r="CC70" i="2"/>
  <c r="CB70" i="2"/>
  <c r="CA70" i="2"/>
  <c r="BZ70" i="2"/>
  <c r="BY70" i="2"/>
  <c r="CK69" i="2"/>
  <c r="CJ69" i="2"/>
  <c r="CI69" i="2"/>
  <c r="CH69" i="2"/>
  <c r="CG69" i="2"/>
  <c r="CF69" i="2"/>
  <c r="CE69" i="2"/>
  <c r="CD69" i="2"/>
  <c r="CC69" i="2"/>
  <c r="CB69" i="2"/>
  <c r="CA69" i="2"/>
  <c r="BZ69" i="2"/>
  <c r="BY69" i="2"/>
  <c r="CK68" i="2"/>
  <c r="CJ68" i="2"/>
  <c r="CI68" i="2"/>
  <c r="CH68" i="2"/>
  <c r="CG68" i="2"/>
  <c r="CF68" i="2"/>
  <c r="CE68" i="2"/>
  <c r="CD68" i="2"/>
  <c r="CC68" i="2"/>
  <c r="CB68" i="2"/>
  <c r="CA68" i="2"/>
  <c r="BZ68" i="2"/>
  <c r="BY68" i="2"/>
  <c r="BO68" i="2"/>
  <c r="CN68" i="2" s="1"/>
  <c r="BN68" i="2"/>
  <c r="BM68" i="2"/>
  <c r="BL68" i="2"/>
  <c r="CM68" i="2"/>
  <c r="BI68" i="2"/>
  <c r="CL68" i="2"/>
  <c r="BE66" i="2"/>
  <c r="BD66" i="2"/>
  <c r="BC66" i="2"/>
  <c r="BC71" i="2" s="1"/>
  <c r="BB66" i="2"/>
  <c r="BA66" i="2"/>
  <c r="AZ66" i="2"/>
  <c r="AY66" i="2"/>
  <c r="AX66" i="2"/>
  <c r="AW66" i="2"/>
  <c r="AV66" i="2"/>
  <c r="AU66" i="2"/>
  <c r="AT66" i="2"/>
  <c r="AS66" i="2"/>
  <c r="AR66" i="2"/>
  <c r="AQ66" i="2"/>
  <c r="AQ71" i="2" s="1"/>
  <c r="AQ74" i="2" s="1"/>
  <c r="AP66" i="2"/>
  <c r="AO66" i="2"/>
  <c r="AN66" i="2"/>
  <c r="AM66" i="2"/>
  <c r="AM71" i="2" s="1"/>
  <c r="AM74" i="2" s="1"/>
  <c r="AL66" i="2"/>
  <c r="AK66" i="2"/>
  <c r="AJ66" i="2"/>
  <c r="AI66" i="2"/>
  <c r="AH66" i="2"/>
  <c r="AG66" i="2"/>
  <c r="AF66" i="2"/>
  <c r="AE66" i="2"/>
  <c r="AD66" i="2"/>
  <c r="AC66" i="2"/>
  <c r="AB66" i="2"/>
  <c r="AA66" i="2"/>
  <c r="AA71" i="2" s="1"/>
  <c r="AA74" i="2" s="1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K71" i="2" s="1"/>
  <c r="K74" i="2" s="1"/>
  <c r="J66" i="2"/>
  <c r="I66" i="2"/>
  <c r="H66" i="2"/>
  <c r="G66" i="2"/>
  <c r="F66" i="2"/>
  <c r="E66" i="2"/>
  <c r="D66" i="2"/>
  <c r="D71" i="2" s="1"/>
  <c r="CK65" i="2"/>
  <c r="CJ65" i="2"/>
  <c r="CI65" i="2"/>
  <c r="CH65" i="2"/>
  <c r="CG65" i="2"/>
  <c r="CF65" i="2"/>
  <c r="CE65" i="2"/>
  <c r="CD65" i="2"/>
  <c r="CC65" i="2"/>
  <c r="CB65" i="2"/>
  <c r="CA65" i="2"/>
  <c r="BZ65" i="2"/>
  <c r="BY65" i="2"/>
  <c r="CK64" i="2"/>
  <c r="CJ64" i="2"/>
  <c r="CI64" i="2"/>
  <c r="CH64" i="2"/>
  <c r="CG64" i="2"/>
  <c r="CF64" i="2"/>
  <c r="CE64" i="2"/>
  <c r="CD64" i="2"/>
  <c r="CC64" i="2"/>
  <c r="CB64" i="2"/>
  <c r="CA64" i="2"/>
  <c r="BZ64" i="2"/>
  <c r="BY64" i="2"/>
  <c r="CK63" i="2"/>
  <c r="CJ63" i="2"/>
  <c r="CI63" i="2"/>
  <c r="CH63" i="2"/>
  <c r="CG63" i="2"/>
  <c r="CF63" i="2"/>
  <c r="CE63" i="2"/>
  <c r="CD63" i="2"/>
  <c r="CC63" i="2"/>
  <c r="CB63" i="2"/>
  <c r="CA63" i="2"/>
  <c r="BZ63" i="2"/>
  <c r="BY63" i="2"/>
  <c r="BE59" i="2"/>
  <c r="BE54" i="2" s="1"/>
  <c r="BE53" i="2" s="1"/>
  <c r="BD59" i="2"/>
  <c r="BD55" i="2" s="1"/>
  <c r="BC59" i="2"/>
  <c r="BC55" i="2" s="1"/>
  <c r="BB59" i="2"/>
  <c r="BB54" i="2" s="1"/>
  <c r="BB53" i="2" s="1"/>
  <c r="BA59" i="2"/>
  <c r="BA54" i="2" s="1"/>
  <c r="BA53" i="2" s="1"/>
  <c r="AZ59" i="2"/>
  <c r="AZ55" i="2" s="1"/>
  <c r="AY59" i="2"/>
  <c r="AY54" i="2" s="1"/>
  <c r="AY53" i="2" s="1"/>
  <c r="AX59" i="2"/>
  <c r="AX55" i="2" s="1"/>
  <c r="AW59" i="2"/>
  <c r="AW54" i="2" s="1"/>
  <c r="AW53" i="2" s="1"/>
  <c r="AV59" i="2"/>
  <c r="AV55" i="2" s="1"/>
  <c r="AU59" i="2"/>
  <c r="AU55" i="2" s="1"/>
  <c r="AT59" i="2"/>
  <c r="AT54" i="2" s="1"/>
  <c r="AT53" i="2" s="1"/>
  <c r="AS59" i="2"/>
  <c r="AS54" i="2" s="1"/>
  <c r="AS53" i="2" s="1"/>
  <c r="AR59" i="2"/>
  <c r="AR54" i="2" s="1"/>
  <c r="AR53" i="2" s="1"/>
  <c r="AQ59" i="2"/>
  <c r="AQ55" i="2" s="1"/>
  <c r="AP59" i="2"/>
  <c r="AP55" i="2" s="1"/>
  <c r="AO59" i="2"/>
  <c r="AO54" i="2" s="1"/>
  <c r="AO53" i="2" s="1"/>
  <c r="AN59" i="2"/>
  <c r="AN55" i="2" s="1"/>
  <c r="AM59" i="2"/>
  <c r="AM55" i="2" s="1"/>
  <c r="AL59" i="2"/>
  <c r="AL54" i="2" s="1"/>
  <c r="AL53" i="2" s="1"/>
  <c r="AK59" i="2"/>
  <c r="AK54" i="2" s="1"/>
  <c r="AK53" i="2" s="1"/>
  <c r="AJ59" i="2"/>
  <c r="AJ55" i="2" s="1"/>
  <c r="AI59" i="2"/>
  <c r="AI54" i="2" s="1"/>
  <c r="AI53" i="2" s="1"/>
  <c r="AH59" i="2"/>
  <c r="AH55" i="2" s="1"/>
  <c r="AG59" i="2"/>
  <c r="AG54" i="2" s="1"/>
  <c r="AG53" i="2" s="1"/>
  <c r="AF59" i="2"/>
  <c r="AF55" i="2" s="1"/>
  <c r="AE59" i="2"/>
  <c r="AE55" i="2" s="1"/>
  <c r="AD59" i="2"/>
  <c r="AD54" i="2" s="1"/>
  <c r="AD53" i="2" s="1"/>
  <c r="AC59" i="2"/>
  <c r="AC54" i="2" s="1"/>
  <c r="AC53" i="2" s="1"/>
  <c r="AB59" i="2"/>
  <c r="AB55" i="2" s="1"/>
  <c r="AA59" i="2"/>
  <c r="AA54" i="2" s="1"/>
  <c r="AA53" i="2" s="1"/>
  <c r="Z59" i="2"/>
  <c r="Z55" i="2" s="1"/>
  <c r="Y59" i="2"/>
  <c r="Y54" i="2" s="1"/>
  <c r="Y53" i="2" s="1"/>
  <c r="X59" i="2"/>
  <c r="X55" i="2" s="1"/>
  <c r="W59" i="2"/>
  <c r="W55" i="2" s="1"/>
  <c r="V59" i="2"/>
  <c r="V55" i="2" s="1"/>
  <c r="U59" i="2"/>
  <c r="U54" i="2" s="1"/>
  <c r="U53" i="2" s="1"/>
  <c r="T59" i="2"/>
  <c r="T55" i="2" s="1"/>
  <c r="S59" i="2"/>
  <c r="S54" i="2" s="1"/>
  <c r="S53" i="2" s="1"/>
  <c r="R59" i="2"/>
  <c r="R55" i="2" s="1"/>
  <c r="Q59" i="2"/>
  <c r="Q54" i="2" s="1"/>
  <c r="Q53" i="2" s="1"/>
  <c r="P59" i="2"/>
  <c r="P55" i="2" s="1"/>
  <c r="O59" i="2"/>
  <c r="O55" i="2" s="1"/>
  <c r="N59" i="2"/>
  <c r="N55" i="2" s="1"/>
  <c r="M59" i="2"/>
  <c r="M54" i="2" s="1"/>
  <c r="M53" i="2" s="1"/>
  <c r="L59" i="2"/>
  <c r="L55" i="2" s="1"/>
  <c r="K59" i="2"/>
  <c r="K54" i="2" s="1"/>
  <c r="K53" i="2" s="1"/>
  <c r="J59" i="2"/>
  <c r="J55" i="2" s="1"/>
  <c r="I59" i="2"/>
  <c r="I54" i="2" s="1"/>
  <c r="I53" i="2" s="1"/>
  <c r="H59" i="2"/>
  <c r="H55" i="2" s="1"/>
  <c r="G59" i="2"/>
  <c r="G55" i="2" s="1"/>
  <c r="F59" i="2"/>
  <c r="F55" i="2" s="1"/>
  <c r="E59" i="2"/>
  <c r="E54" i="2" s="1"/>
  <c r="E53" i="2" s="1"/>
  <c r="D59" i="2"/>
  <c r="D55" i="2" s="1"/>
  <c r="BE58" i="2"/>
  <c r="BE56" i="2" s="1"/>
  <c r="BD58" i="2"/>
  <c r="BD56" i="2" s="1"/>
  <c r="BC58" i="2"/>
  <c r="BC52" i="2" s="1"/>
  <c r="BB58" i="2"/>
  <c r="BB56" i="2" s="1"/>
  <c r="BA58" i="2"/>
  <c r="BA56" i="2" s="1"/>
  <c r="AZ58" i="2"/>
  <c r="AZ52" i="2" s="1"/>
  <c r="AY58" i="2"/>
  <c r="AY56" i="2" s="1"/>
  <c r="AX58" i="2"/>
  <c r="AX56" i="2" s="1"/>
  <c r="AW58" i="2"/>
  <c r="AW56" i="2" s="1"/>
  <c r="AV58" i="2"/>
  <c r="AV56" i="2" s="1"/>
  <c r="AU58" i="2"/>
  <c r="AU56" i="2" s="1"/>
  <c r="AT58" i="2"/>
  <c r="AT56" i="2" s="1"/>
  <c r="AS58" i="2"/>
  <c r="AS56" i="2" s="1"/>
  <c r="AR58" i="2"/>
  <c r="AR56" i="2" s="1"/>
  <c r="AQ58" i="2"/>
  <c r="AQ56" i="2" s="1"/>
  <c r="AP58" i="2"/>
  <c r="AP56" i="2" s="1"/>
  <c r="AO58" i="2"/>
  <c r="AO56" i="2" s="1"/>
  <c r="AN58" i="2"/>
  <c r="AN56" i="2" s="1"/>
  <c r="AM58" i="2"/>
  <c r="AM56" i="2" s="1"/>
  <c r="AL58" i="2"/>
  <c r="AL56" i="2" s="1"/>
  <c r="AK58" i="2"/>
  <c r="AK56" i="2" s="1"/>
  <c r="AJ58" i="2"/>
  <c r="AJ52" i="2" s="1"/>
  <c r="AI58" i="2"/>
  <c r="AI56" i="2" s="1"/>
  <c r="AH58" i="2"/>
  <c r="AH56" i="2" s="1"/>
  <c r="AG58" i="2"/>
  <c r="AG56" i="2" s="1"/>
  <c r="AF58" i="2"/>
  <c r="AF56" i="2" s="1"/>
  <c r="AE58" i="2"/>
  <c r="AE56" i="2" s="1"/>
  <c r="AD58" i="2"/>
  <c r="AD56" i="2" s="1"/>
  <c r="AC58" i="2"/>
  <c r="AC56" i="2" s="1"/>
  <c r="AB58" i="2"/>
  <c r="AB56" i="2" s="1"/>
  <c r="AA58" i="2"/>
  <c r="AA56" i="2" s="1"/>
  <c r="Z58" i="2"/>
  <c r="Z56" i="2" s="1"/>
  <c r="Y58" i="2"/>
  <c r="Y56" i="2" s="1"/>
  <c r="X58" i="2"/>
  <c r="X52" i="2" s="1"/>
  <c r="W58" i="2"/>
  <c r="W56" i="2" s="1"/>
  <c r="V58" i="2"/>
  <c r="V56" i="2" s="1"/>
  <c r="U58" i="2"/>
  <c r="U56" i="2" s="1"/>
  <c r="T58" i="2"/>
  <c r="T52" i="2" s="1"/>
  <c r="S58" i="2"/>
  <c r="S56" i="2" s="1"/>
  <c r="R58" i="2"/>
  <c r="R52" i="2" s="1"/>
  <c r="Q58" i="2"/>
  <c r="Q56" i="2" s="1"/>
  <c r="P58" i="2"/>
  <c r="P56" i="2" s="1"/>
  <c r="O58" i="2"/>
  <c r="O56" i="2" s="1"/>
  <c r="N58" i="2"/>
  <c r="N56" i="2" s="1"/>
  <c r="M58" i="2"/>
  <c r="M56" i="2" s="1"/>
  <c r="L58" i="2"/>
  <c r="L56" i="2" s="1"/>
  <c r="K58" i="2"/>
  <c r="K56" i="2" s="1"/>
  <c r="J58" i="2"/>
  <c r="J56" i="2" s="1"/>
  <c r="I58" i="2"/>
  <c r="I56" i="2" s="1"/>
  <c r="H58" i="2"/>
  <c r="H52" i="2" s="1"/>
  <c r="G58" i="2"/>
  <c r="G56" i="2" s="1"/>
  <c r="F58" i="2"/>
  <c r="F56" i="2" s="1"/>
  <c r="E58" i="2"/>
  <c r="E56" i="2" s="1"/>
  <c r="D58" i="2"/>
  <c r="D56" i="2" s="1"/>
  <c r="BC56" i="2"/>
  <c r="CN51" i="2"/>
  <c r="CN62" i="2" s="1"/>
  <c r="CK44" i="2"/>
  <c r="CJ44" i="2"/>
  <c r="CI44" i="2"/>
  <c r="CH44" i="2"/>
  <c r="CG44" i="2"/>
  <c r="CF44" i="2"/>
  <c r="CE44" i="2"/>
  <c r="CD44" i="2"/>
  <c r="CC44" i="2"/>
  <c r="CB44" i="2"/>
  <c r="CA44" i="2"/>
  <c r="BZ44" i="2"/>
  <c r="BY44" i="2"/>
  <c r="CK42" i="2"/>
  <c r="CJ42" i="2"/>
  <c r="CJ73" i="2" s="1"/>
  <c r="CI42" i="2"/>
  <c r="CH42" i="2"/>
  <c r="CG42" i="2"/>
  <c r="CF42" i="2"/>
  <c r="CF73" i="2" s="1"/>
  <c r="CE42" i="2"/>
  <c r="CD42" i="2"/>
  <c r="CC42" i="2"/>
  <c r="CB42" i="2"/>
  <c r="CB73" i="2" s="1"/>
  <c r="CA42" i="2"/>
  <c r="BZ42" i="2"/>
  <c r="BY42" i="2"/>
  <c r="CN40" i="2"/>
  <c r="CM40" i="2"/>
  <c r="CL40" i="2"/>
  <c r="CK40" i="2"/>
  <c r="CJ40" i="2"/>
  <c r="CI40" i="2"/>
  <c r="CH40" i="2"/>
  <c r="CG40" i="2"/>
  <c r="CF40" i="2"/>
  <c r="CE40" i="2"/>
  <c r="CD40" i="2"/>
  <c r="CC40" i="2"/>
  <c r="CB40" i="2"/>
  <c r="CA40" i="2"/>
  <c r="BZ40" i="2"/>
  <c r="BY40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CL36" i="2"/>
  <c r="BE33" i="2"/>
  <c r="BE38" i="2" s="1"/>
  <c r="BE46" i="2" s="1"/>
  <c r="BD33" i="2"/>
  <c r="BD38" i="2" s="1"/>
  <c r="BD46" i="2" s="1"/>
  <c r="BC33" i="2"/>
  <c r="BC38" i="2" s="1"/>
  <c r="BC46" i="2" s="1"/>
  <c r="BB33" i="2"/>
  <c r="BB38" i="2" s="1"/>
  <c r="BB46" i="2" s="1"/>
  <c r="BA33" i="2"/>
  <c r="BA38" i="2" s="1"/>
  <c r="BA46" i="2" s="1"/>
  <c r="AZ33" i="2"/>
  <c r="AZ38" i="2" s="1"/>
  <c r="AZ46" i="2" s="1"/>
  <c r="AY33" i="2"/>
  <c r="AY38" i="2" s="1"/>
  <c r="AY46" i="2" s="1"/>
  <c r="AX33" i="2"/>
  <c r="AX38" i="2" s="1"/>
  <c r="AX46" i="2" s="1"/>
  <c r="AW33" i="2"/>
  <c r="AW38" i="2" s="1"/>
  <c r="AW46" i="2" s="1"/>
  <c r="AV33" i="2"/>
  <c r="AV38" i="2" s="1"/>
  <c r="AV46" i="2" s="1"/>
  <c r="AU33" i="2"/>
  <c r="AU38" i="2" s="1"/>
  <c r="AU46" i="2" s="1"/>
  <c r="AT33" i="2"/>
  <c r="AT38" i="2" s="1"/>
  <c r="AT46" i="2" s="1"/>
  <c r="AS33" i="2"/>
  <c r="AS38" i="2" s="1"/>
  <c r="AS46" i="2" s="1"/>
  <c r="AR33" i="2"/>
  <c r="AR38" i="2" s="1"/>
  <c r="AR46" i="2" s="1"/>
  <c r="AQ33" i="2"/>
  <c r="AQ38" i="2" s="1"/>
  <c r="AQ46" i="2" s="1"/>
  <c r="AP33" i="2"/>
  <c r="AP38" i="2" s="1"/>
  <c r="AP46" i="2" s="1"/>
  <c r="AO33" i="2"/>
  <c r="AO38" i="2" s="1"/>
  <c r="AO46" i="2" s="1"/>
  <c r="AN33" i="2"/>
  <c r="AN38" i="2" s="1"/>
  <c r="AN46" i="2" s="1"/>
  <c r="AM33" i="2"/>
  <c r="AM38" i="2" s="1"/>
  <c r="AM46" i="2" s="1"/>
  <c r="AL33" i="2"/>
  <c r="AL38" i="2" s="1"/>
  <c r="AL46" i="2" s="1"/>
  <c r="AK33" i="2"/>
  <c r="AK38" i="2" s="1"/>
  <c r="AK46" i="2" s="1"/>
  <c r="AJ33" i="2"/>
  <c r="AJ38" i="2" s="1"/>
  <c r="AJ46" i="2" s="1"/>
  <c r="AI33" i="2"/>
  <c r="AI38" i="2" s="1"/>
  <c r="AI46" i="2" s="1"/>
  <c r="AH33" i="2"/>
  <c r="AH38" i="2" s="1"/>
  <c r="AH46" i="2" s="1"/>
  <c r="AG33" i="2"/>
  <c r="AG38" i="2" s="1"/>
  <c r="AG46" i="2" s="1"/>
  <c r="AF33" i="2"/>
  <c r="AF38" i="2" s="1"/>
  <c r="AF46" i="2" s="1"/>
  <c r="AE33" i="2"/>
  <c r="AE38" i="2" s="1"/>
  <c r="AE46" i="2" s="1"/>
  <c r="AD33" i="2"/>
  <c r="AD38" i="2" s="1"/>
  <c r="AD46" i="2" s="1"/>
  <c r="AC33" i="2"/>
  <c r="AC38" i="2" s="1"/>
  <c r="AC46" i="2" s="1"/>
  <c r="AB33" i="2"/>
  <c r="AB38" i="2" s="1"/>
  <c r="AB46" i="2" s="1"/>
  <c r="AA33" i="2"/>
  <c r="AA38" i="2" s="1"/>
  <c r="AA46" i="2" s="1"/>
  <c r="Z33" i="2"/>
  <c r="Z38" i="2" s="1"/>
  <c r="Z46" i="2" s="1"/>
  <c r="Y33" i="2"/>
  <c r="Y38" i="2" s="1"/>
  <c r="Y46" i="2" s="1"/>
  <c r="X33" i="2"/>
  <c r="X38" i="2" s="1"/>
  <c r="X46" i="2" s="1"/>
  <c r="W33" i="2"/>
  <c r="W38" i="2" s="1"/>
  <c r="W46" i="2" s="1"/>
  <c r="V33" i="2"/>
  <c r="V38" i="2" s="1"/>
  <c r="V46" i="2" s="1"/>
  <c r="U33" i="2"/>
  <c r="U38" i="2" s="1"/>
  <c r="U46" i="2" s="1"/>
  <c r="T33" i="2"/>
  <c r="T38" i="2" s="1"/>
  <c r="T46" i="2" s="1"/>
  <c r="S33" i="2"/>
  <c r="S38" i="2" s="1"/>
  <c r="S46" i="2" s="1"/>
  <c r="R33" i="2"/>
  <c r="R38" i="2" s="1"/>
  <c r="R46" i="2" s="1"/>
  <c r="Q33" i="2"/>
  <c r="Q38" i="2" s="1"/>
  <c r="Q46" i="2" s="1"/>
  <c r="P33" i="2"/>
  <c r="P38" i="2" s="1"/>
  <c r="P46" i="2" s="1"/>
  <c r="O33" i="2"/>
  <c r="O38" i="2" s="1"/>
  <c r="O46" i="2" s="1"/>
  <c r="N33" i="2"/>
  <c r="N38" i="2" s="1"/>
  <c r="N46" i="2" s="1"/>
  <c r="M33" i="2"/>
  <c r="M38" i="2" s="1"/>
  <c r="M46" i="2" s="1"/>
  <c r="L33" i="2"/>
  <c r="L38" i="2" s="1"/>
  <c r="L46" i="2" s="1"/>
  <c r="K33" i="2"/>
  <c r="K38" i="2" s="1"/>
  <c r="K46" i="2" s="1"/>
  <c r="J33" i="2"/>
  <c r="J38" i="2" s="1"/>
  <c r="J46" i="2" s="1"/>
  <c r="I33" i="2"/>
  <c r="I38" i="2" s="1"/>
  <c r="I46" i="2" s="1"/>
  <c r="H33" i="2"/>
  <c r="H38" i="2" s="1"/>
  <c r="H46" i="2" s="1"/>
  <c r="G33" i="2"/>
  <c r="G38" i="2" s="1"/>
  <c r="G46" i="2" s="1"/>
  <c r="F33" i="2"/>
  <c r="F38" i="2" s="1"/>
  <c r="F46" i="2" s="1"/>
  <c r="E33" i="2"/>
  <c r="E38" i="2" s="1"/>
  <c r="E46" i="2" s="1"/>
  <c r="D33" i="2"/>
  <c r="D38" i="2" s="1"/>
  <c r="D46" i="2" s="1"/>
  <c r="CK32" i="2"/>
  <c r="CK139" i="2" s="1"/>
  <c r="CJ32" i="2"/>
  <c r="CJ139" i="2" s="1"/>
  <c r="CI32" i="2"/>
  <c r="CI139" i="2" s="1"/>
  <c r="CH32" i="2"/>
  <c r="CH139" i="2" s="1"/>
  <c r="CG32" i="2"/>
  <c r="CF32" i="2"/>
  <c r="CF139" i="2" s="1"/>
  <c r="CE32" i="2"/>
  <c r="CE139" i="2" s="1"/>
  <c r="CD32" i="2"/>
  <c r="CD139" i="2" s="1"/>
  <c r="CC32" i="2"/>
  <c r="CC139" i="2" s="1"/>
  <c r="CB32" i="2"/>
  <c r="CB139" i="2" s="1"/>
  <c r="CA32" i="2"/>
  <c r="CA139" i="2" s="1"/>
  <c r="BZ32" i="2"/>
  <c r="BZ139" i="2" s="1"/>
  <c r="BY32" i="2"/>
  <c r="BY139" i="2" s="1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H31" i="2"/>
  <c r="CL30" i="2"/>
  <c r="BH29" i="2"/>
  <c r="CL28" i="2"/>
  <c r="D22" i="2"/>
  <c r="BE18" i="2"/>
  <c r="BF18" i="2" s="1"/>
  <c r="BF23" i="2" s="1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CK17" i="2"/>
  <c r="CK87" i="61" s="1"/>
  <c r="CJ17" i="2"/>
  <c r="CJ87" i="61" s="1"/>
  <c r="CI17" i="2"/>
  <c r="CI87" i="61" s="1"/>
  <c r="CH17" i="2"/>
  <c r="CH87" i="61" s="1"/>
  <c r="CG17" i="2"/>
  <c r="CG87" i="61" s="1"/>
  <c r="CF17" i="2"/>
  <c r="CF87" i="61" s="1"/>
  <c r="CE17" i="2"/>
  <c r="CE87" i="61" s="1"/>
  <c r="CD17" i="2"/>
  <c r="CD87" i="61" s="1"/>
  <c r="CC17" i="2"/>
  <c r="CC87" i="61" s="1"/>
  <c r="CB17" i="2"/>
  <c r="CB87" i="61" s="1"/>
  <c r="CA17" i="2"/>
  <c r="CA87" i="61" s="1"/>
  <c r="BZ17" i="2"/>
  <c r="BZ87" i="61" s="1"/>
  <c r="BY17" i="2"/>
  <c r="BY87" i="61" s="1"/>
  <c r="CL22" i="2"/>
  <c r="CL20" i="2"/>
  <c r="CN89" i="2"/>
  <c r="BE15" i="2"/>
  <c r="BD15" i="2"/>
  <c r="BD23" i="2" s="1"/>
  <c r="BD151" i="2" s="1"/>
  <c r="BC15" i="2"/>
  <c r="BC23" i="2" s="1"/>
  <c r="BC151" i="2" s="1"/>
  <c r="BB15" i="2"/>
  <c r="BB23" i="2" s="1"/>
  <c r="BB83" i="61" s="1"/>
  <c r="BA15" i="2"/>
  <c r="BA23" i="2" s="1"/>
  <c r="BA83" i="61" s="1"/>
  <c r="AZ15" i="2"/>
  <c r="AZ23" i="2" s="1"/>
  <c r="AZ83" i="61" s="1"/>
  <c r="AY15" i="2"/>
  <c r="AY23" i="2" s="1"/>
  <c r="AY83" i="61" s="1"/>
  <c r="AX15" i="2"/>
  <c r="AX23" i="2" s="1"/>
  <c r="AX83" i="61" s="1"/>
  <c r="AW15" i="2"/>
  <c r="AW23" i="2" s="1"/>
  <c r="AW83" i="61" s="1"/>
  <c r="AV15" i="2"/>
  <c r="AV23" i="2" s="1"/>
  <c r="AV83" i="61" s="1"/>
  <c r="AU15" i="2"/>
  <c r="AU23" i="2" s="1"/>
  <c r="AU83" i="61" s="1"/>
  <c r="AT15" i="2"/>
  <c r="AT23" i="2" s="1"/>
  <c r="AT83" i="61" s="1"/>
  <c r="AS15" i="2"/>
  <c r="AS23" i="2" s="1"/>
  <c r="AS83" i="61" s="1"/>
  <c r="AR15" i="2"/>
  <c r="AR23" i="2" s="1"/>
  <c r="AR83" i="61" s="1"/>
  <c r="AQ15" i="2"/>
  <c r="AQ23" i="2" s="1"/>
  <c r="AQ83" i="61" s="1"/>
  <c r="AP15" i="2"/>
  <c r="AP23" i="2" s="1"/>
  <c r="AP83" i="61" s="1"/>
  <c r="AO15" i="2"/>
  <c r="AO23" i="2" s="1"/>
  <c r="AO83" i="61" s="1"/>
  <c r="AN15" i="2"/>
  <c r="AN23" i="2" s="1"/>
  <c r="AN83" i="61" s="1"/>
  <c r="AM15" i="2"/>
  <c r="AM23" i="2" s="1"/>
  <c r="AM83" i="61" s="1"/>
  <c r="AL15" i="2"/>
  <c r="AL23" i="2" s="1"/>
  <c r="AL83" i="61" s="1"/>
  <c r="AK15" i="2"/>
  <c r="AK23" i="2" s="1"/>
  <c r="AK83" i="61" s="1"/>
  <c r="AJ15" i="2"/>
  <c r="AJ23" i="2" s="1"/>
  <c r="AJ83" i="61" s="1"/>
  <c r="AI15" i="2"/>
  <c r="AI23" i="2" s="1"/>
  <c r="AI83" i="61" s="1"/>
  <c r="AH15" i="2"/>
  <c r="AH23" i="2" s="1"/>
  <c r="AH83" i="61" s="1"/>
  <c r="AG15" i="2"/>
  <c r="AG23" i="2" s="1"/>
  <c r="AG83" i="61" s="1"/>
  <c r="AF15" i="2"/>
  <c r="AF23" i="2" s="1"/>
  <c r="AF83" i="61" s="1"/>
  <c r="AE15" i="2"/>
  <c r="AE23" i="2" s="1"/>
  <c r="AE83" i="61" s="1"/>
  <c r="AD15" i="2"/>
  <c r="AD23" i="2" s="1"/>
  <c r="AD83" i="61" s="1"/>
  <c r="AC15" i="2"/>
  <c r="AC23" i="2" s="1"/>
  <c r="AC83" i="61" s="1"/>
  <c r="AB15" i="2"/>
  <c r="AB23" i="2" s="1"/>
  <c r="AB83" i="61" s="1"/>
  <c r="AA15" i="2"/>
  <c r="AA23" i="2" s="1"/>
  <c r="AA83" i="61" s="1"/>
  <c r="Z15" i="2"/>
  <c r="Z23" i="2" s="1"/>
  <c r="Z83" i="61" s="1"/>
  <c r="Y15" i="2"/>
  <c r="Y23" i="2" s="1"/>
  <c r="Y83" i="61" s="1"/>
  <c r="X15" i="2"/>
  <c r="X23" i="2" s="1"/>
  <c r="X83" i="61" s="1"/>
  <c r="W15" i="2"/>
  <c r="W23" i="2" s="1"/>
  <c r="W83" i="61" s="1"/>
  <c r="V15" i="2"/>
  <c r="V23" i="2" s="1"/>
  <c r="V83" i="61" s="1"/>
  <c r="U15" i="2"/>
  <c r="U23" i="2" s="1"/>
  <c r="U83" i="61" s="1"/>
  <c r="T15" i="2"/>
  <c r="T23" i="2" s="1"/>
  <c r="T83" i="61" s="1"/>
  <c r="S15" i="2"/>
  <c r="S23" i="2" s="1"/>
  <c r="S83" i="61" s="1"/>
  <c r="R15" i="2"/>
  <c r="R23" i="2" s="1"/>
  <c r="R83" i="61" s="1"/>
  <c r="Q15" i="2"/>
  <c r="Q23" i="2" s="1"/>
  <c r="Q83" i="61" s="1"/>
  <c r="P15" i="2"/>
  <c r="P23" i="2" s="1"/>
  <c r="P83" i="61" s="1"/>
  <c r="O15" i="2"/>
  <c r="O23" i="2" s="1"/>
  <c r="O83" i="61" s="1"/>
  <c r="N15" i="2"/>
  <c r="N23" i="2" s="1"/>
  <c r="N83" i="61" s="1"/>
  <c r="M15" i="2"/>
  <c r="M23" i="2" s="1"/>
  <c r="M83" i="61" s="1"/>
  <c r="L15" i="2"/>
  <c r="L23" i="2" s="1"/>
  <c r="L83" i="61" s="1"/>
  <c r="K15" i="2"/>
  <c r="K23" i="2" s="1"/>
  <c r="K83" i="61" s="1"/>
  <c r="J15" i="2"/>
  <c r="J23" i="2" s="1"/>
  <c r="J83" i="61" s="1"/>
  <c r="I15" i="2"/>
  <c r="I23" i="2" s="1"/>
  <c r="I83" i="61" s="1"/>
  <c r="H15" i="2"/>
  <c r="H23" i="2" s="1"/>
  <c r="H83" i="61" s="1"/>
  <c r="G15" i="2"/>
  <c r="G23" i="2" s="1"/>
  <c r="G83" i="61" s="1"/>
  <c r="F15" i="2"/>
  <c r="F23" i="2" s="1"/>
  <c r="F83" i="61" s="1"/>
  <c r="E15" i="2"/>
  <c r="E23" i="2" s="1"/>
  <c r="E83" i="61" s="1"/>
  <c r="D15" i="2"/>
  <c r="D23" i="2" s="1"/>
  <c r="D83" i="61" s="1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CK10" i="2"/>
  <c r="CK87" i="2" s="1"/>
  <c r="CJ10" i="2"/>
  <c r="CJ87" i="2" s="1"/>
  <c r="CI10" i="2"/>
  <c r="CI87" i="2" s="1"/>
  <c r="CH10" i="2"/>
  <c r="CH87" i="2" s="1"/>
  <c r="CG10" i="2"/>
  <c r="CG87" i="2" s="1"/>
  <c r="CF10" i="2"/>
  <c r="CF87" i="2" s="1"/>
  <c r="CE10" i="2"/>
  <c r="CE87" i="2" s="1"/>
  <c r="CD10" i="2"/>
  <c r="CD87" i="2" s="1"/>
  <c r="CC10" i="2"/>
  <c r="CC87" i="2" s="1"/>
  <c r="CB10" i="2"/>
  <c r="CB87" i="2" s="1"/>
  <c r="CA10" i="2"/>
  <c r="CA87" i="2" s="1"/>
  <c r="BZ10" i="2"/>
  <c r="BZ87" i="2" s="1"/>
  <c r="BY10" i="2"/>
  <c r="BY87" i="2" s="1"/>
  <c r="CK9" i="2"/>
  <c r="CK86" i="2" s="1"/>
  <c r="CJ9" i="2"/>
  <c r="CJ86" i="2" s="1"/>
  <c r="CI9" i="2"/>
  <c r="CI86" i="2" s="1"/>
  <c r="CH9" i="2"/>
  <c r="CH86" i="2" s="1"/>
  <c r="CG9" i="2"/>
  <c r="CG86" i="2" s="1"/>
  <c r="CF9" i="2"/>
  <c r="CF86" i="2" s="1"/>
  <c r="CE9" i="2"/>
  <c r="CE86" i="2" s="1"/>
  <c r="CD9" i="2"/>
  <c r="CD86" i="2" s="1"/>
  <c r="CC9" i="2"/>
  <c r="CC86" i="2" s="1"/>
  <c r="CB9" i="2"/>
  <c r="CB86" i="2" s="1"/>
  <c r="CA9" i="2"/>
  <c r="CA86" i="2" s="1"/>
  <c r="BZ9" i="2"/>
  <c r="BZ86" i="2" s="1"/>
  <c r="BY9" i="2"/>
  <c r="BY86" i="2" s="1"/>
  <c r="CL14" i="2"/>
  <c r="CM7" i="2"/>
  <c r="CM51" i="2" s="1"/>
  <c r="CM62" i="2" s="1"/>
  <c r="CL7" i="2"/>
  <c r="CL51" i="2" s="1"/>
  <c r="CL62" i="2" s="1"/>
  <c r="CK7" i="2"/>
  <c r="CK51" i="2" s="1"/>
  <c r="CK62" i="2" s="1"/>
  <c r="CJ7" i="2"/>
  <c r="CJ51" i="2" s="1"/>
  <c r="CJ62" i="2" s="1"/>
  <c r="CI7" i="2"/>
  <c r="CI51" i="2" s="1"/>
  <c r="CI62" i="2" s="1"/>
  <c r="CH7" i="2"/>
  <c r="CH51" i="2" s="1"/>
  <c r="CH62" i="2" s="1"/>
  <c r="CG7" i="2"/>
  <c r="CG51" i="2" s="1"/>
  <c r="CG62" i="2" s="1"/>
  <c r="CF7" i="2"/>
  <c r="CF51" i="2" s="1"/>
  <c r="CF62" i="2" s="1"/>
  <c r="CE7" i="2"/>
  <c r="CE51" i="2" s="1"/>
  <c r="CE62" i="2" s="1"/>
  <c r="CD7" i="2"/>
  <c r="CD51" i="2" s="1"/>
  <c r="CD62" i="2" s="1"/>
  <c r="CC7" i="2"/>
  <c r="CC51" i="2" s="1"/>
  <c r="CC62" i="2" s="1"/>
  <c r="CB7" i="2"/>
  <c r="CB51" i="2" s="1"/>
  <c r="CB62" i="2" s="1"/>
  <c r="CA7" i="2"/>
  <c r="CA51" i="2" s="1"/>
  <c r="CA62" i="2" s="1"/>
  <c r="BZ7" i="2"/>
  <c r="BZ51" i="2" s="1"/>
  <c r="BZ62" i="2" s="1"/>
  <c r="BY7" i="2"/>
  <c r="BY51" i="2" s="1"/>
  <c r="BY62" i="2" s="1"/>
  <c r="BO7" i="2"/>
  <c r="BO51" i="2" s="1"/>
  <c r="BO62" i="2" s="1"/>
  <c r="BN7" i="2"/>
  <c r="BN51" i="2" s="1"/>
  <c r="BN62" i="2" s="1"/>
  <c r="BM7" i="2"/>
  <c r="BM51" i="2" s="1"/>
  <c r="BM62" i="2" s="1"/>
  <c r="BL7" i="2"/>
  <c r="BL51" i="2" s="1"/>
  <c r="BL62" i="2" s="1"/>
  <c r="BK7" i="2"/>
  <c r="BK51" i="2" s="1"/>
  <c r="BK62" i="2" s="1"/>
  <c r="BJ7" i="2"/>
  <c r="BJ51" i="2" s="1"/>
  <c r="BJ62" i="2" s="1"/>
  <c r="BI7" i="2"/>
  <c r="BI51" i="2" s="1"/>
  <c r="BI62" i="2" s="1"/>
  <c r="BH7" i="2"/>
  <c r="BH51" i="2" s="1"/>
  <c r="BH62" i="2" s="1"/>
  <c r="BG7" i="2"/>
  <c r="BG51" i="2" s="1"/>
  <c r="BG62" i="2" s="1"/>
  <c r="BG77" i="2" s="1"/>
  <c r="BF7" i="2"/>
  <c r="BE7" i="2"/>
  <c r="BE51" i="2" s="1"/>
  <c r="BE62" i="2" s="1"/>
  <c r="BD7" i="2"/>
  <c r="BD51" i="2" s="1"/>
  <c r="BD62" i="2" s="1"/>
  <c r="BC7" i="2"/>
  <c r="BC51" i="2" s="1"/>
  <c r="BC62" i="2" s="1"/>
  <c r="BB7" i="2"/>
  <c r="BB51" i="2" s="1"/>
  <c r="BB62" i="2" s="1"/>
  <c r="BA7" i="2"/>
  <c r="BA51" i="2" s="1"/>
  <c r="BA62" i="2" s="1"/>
  <c r="AZ7" i="2"/>
  <c r="AZ51" i="2" s="1"/>
  <c r="AZ62" i="2" s="1"/>
  <c r="AY7" i="2"/>
  <c r="AY51" i="2" s="1"/>
  <c r="AY62" i="2" s="1"/>
  <c r="AX7" i="2"/>
  <c r="AX51" i="2" s="1"/>
  <c r="AX62" i="2" s="1"/>
  <c r="AW7" i="2"/>
  <c r="AW51" i="2" s="1"/>
  <c r="AW62" i="2" s="1"/>
  <c r="AV7" i="2"/>
  <c r="AV51" i="2" s="1"/>
  <c r="AV62" i="2" s="1"/>
  <c r="AU7" i="2"/>
  <c r="AU51" i="2" s="1"/>
  <c r="AU62" i="2" s="1"/>
  <c r="AT7" i="2"/>
  <c r="AT51" i="2" s="1"/>
  <c r="AT62" i="2" s="1"/>
  <c r="AS7" i="2"/>
  <c r="AS51" i="2" s="1"/>
  <c r="AS62" i="2" s="1"/>
  <c r="AR7" i="2"/>
  <c r="AR51" i="2" s="1"/>
  <c r="AR62" i="2" s="1"/>
  <c r="AQ7" i="2"/>
  <c r="AQ51" i="2" s="1"/>
  <c r="AQ62" i="2" s="1"/>
  <c r="AP7" i="2"/>
  <c r="AP51" i="2" s="1"/>
  <c r="AP62" i="2" s="1"/>
  <c r="AO7" i="2"/>
  <c r="AO51" i="2" s="1"/>
  <c r="AO62" i="2" s="1"/>
  <c r="AN7" i="2"/>
  <c r="AN51" i="2" s="1"/>
  <c r="AN62" i="2" s="1"/>
  <c r="AM7" i="2"/>
  <c r="AM51" i="2" s="1"/>
  <c r="AM62" i="2" s="1"/>
  <c r="AL7" i="2"/>
  <c r="AL51" i="2" s="1"/>
  <c r="AL62" i="2" s="1"/>
  <c r="AK7" i="2"/>
  <c r="AK51" i="2" s="1"/>
  <c r="AK62" i="2" s="1"/>
  <c r="AJ7" i="2"/>
  <c r="AJ51" i="2" s="1"/>
  <c r="AJ62" i="2" s="1"/>
  <c r="AI7" i="2"/>
  <c r="AI51" i="2" s="1"/>
  <c r="AI62" i="2" s="1"/>
  <c r="AH7" i="2"/>
  <c r="AH51" i="2" s="1"/>
  <c r="AH62" i="2" s="1"/>
  <c r="AG7" i="2"/>
  <c r="AG51" i="2" s="1"/>
  <c r="AG62" i="2" s="1"/>
  <c r="AF7" i="2"/>
  <c r="AF51" i="2" s="1"/>
  <c r="AF62" i="2" s="1"/>
  <c r="AE7" i="2"/>
  <c r="AE51" i="2" s="1"/>
  <c r="AE62" i="2" s="1"/>
  <c r="AD7" i="2"/>
  <c r="AD51" i="2" s="1"/>
  <c r="AD62" i="2" s="1"/>
  <c r="AC7" i="2"/>
  <c r="AC51" i="2" s="1"/>
  <c r="AC62" i="2" s="1"/>
  <c r="AB7" i="2"/>
  <c r="AB51" i="2" s="1"/>
  <c r="AB62" i="2" s="1"/>
  <c r="AA7" i="2"/>
  <c r="AA51" i="2" s="1"/>
  <c r="AA62" i="2" s="1"/>
  <c r="Z7" i="2"/>
  <c r="Z51" i="2" s="1"/>
  <c r="Z62" i="2" s="1"/>
  <c r="Y7" i="2"/>
  <c r="Y51" i="2" s="1"/>
  <c r="Y62" i="2" s="1"/>
  <c r="X7" i="2"/>
  <c r="X51" i="2" s="1"/>
  <c r="X62" i="2" s="1"/>
  <c r="W7" i="2"/>
  <c r="W51" i="2" s="1"/>
  <c r="W62" i="2" s="1"/>
  <c r="V7" i="2"/>
  <c r="V51" i="2" s="1"/>
  <c r="V62" i="2" s="1"/>
  <c r="U7" i="2"/>
  <c r="U51" i="2" s="1"/>
  <c r="U62" i="2" s="1"/>
  <c r="T7" i="2"/>
  <c r="T51" i="2" s="1"/>
  <c r="T62" i="2" s="1"/>
  <c r="S7" i="2"/>
  <c r="S51" i="2" s="1"/>
  <c r="S62" i="2" s="1"/>
  <c r="R7" i="2"/>
  <c r="R51" i="2" s="1"/>
  <c r="R62" i="2" s="1"/>
  <c r="Q7" i="2"/>
  <c r="Q51" i="2" s="1"/>
  <c r="Q62" i="2" s="1"/>
  <c r="P7" i="2"/>
  <c r="P51" i="2" s="1"/>
  <c r="P62" i="2" s="1"/>
  <c r="O7" i="2"/>
  <c r="O51" i="2" s="1"/>
  <c r="O62" i="2" s="1"/>
  <c r="N7" i="2"/>
  <c r="N51" i="2" s="1"/>
  <c r="N62" i="2" s="1"/>
  <c r="M7" i="2"/>
  <c r="M51" i="2" s="1"/>
  <c r="M62" i="2" s="1"/>
  <c r="L7" i="2"/>
  <c r="L51" i="2" s="1"/>
  <c r="L62" i="2" s="1"/>
  <c r="K7" i="2"/>
  <c r="K51" i="2" s="1"/>
  <c r="K62" i="2" s="1"/>
  <c r="J7" i="2"/>
  <c r="J51" i="2" s="1"/>
  <c r="J62" i="2" s="1"/>
  <c r="I7" i="2"/>
  <c r="I51" i="2" s="1"/>
  <c r="I62" i="2" s="1"/>
  <c r="H7" i="2"/>
  <c r="H51" i="2" s="1"/>
  <c r="H62" i="2" s="1"/>
  <c r="G7" i="2"/>
  <c r="G51" i="2" s="1"/>
  <c r="G62" i="2" s="1"/>
  <c r="F7" i="2"/>
  <c r="F51" i="2" s="1"/>
  <c r="F62" i="2" s="1"/>
  <c r="E7" i="2"/>
  <c r="E51" i="2" s="1"/>
  <c r="E62" i="2" s="1"/>
  <c r="D7" i="2"/>
  <c r="D51" i="2" s="1"/>
  <c r="D62" i="2" s="1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B4" i="2"/>
  <c r="Y500" i="63" l="1"/>
  <c r="AG500" i="63"/>
  <c r="AN320" i="63"/>
  <c r="Z500" i="63"/>
  <c r="AF500" i="63"/>
  <c r="AH500" i="63"/>
  <c r="AL500" i="63"/>
  <c r="AV320" i="63"/>
  <c r="AM54" i="2"/>
  <c r="AM53" i="2" s="1"/>
  <c r="AG52" i="2"/>
  <c r="AI55" i="2"/>
  <c r="G54" i="2"/>
  <c r="G53" i="2" s="1"/>
  <c r="BC54" i="2"/>
  <c r="BC53" i="2" s="1"/>
  <c r="AY55" i="2"/>
  <c r="BC140" i="2"/>
  <c r="BC141" i="2" s="1"/>
  <c r="AR320" i="63"/>
  <c r="AR337" i="63"/>
  <c r="AL513" i="63"/>
  <c r="AL526" i="63"/>
  <c r="AL539" i="63"/>
  <c r="M601" i="63"/>
  <c r="M614" i="63"/>
  <c r="M627" i="63"/>
  <c r="AU303" i="63"/>
  <c r="AQ337" i="63"/>
  <c r="AC513" i="63"/>
  <c r="AG526" i="63"/>
  <c r="Y539" i="63"/>
  <c r="Q627" i="63"/>
  <c r="M640" i="63"/>
  <c r="AM412" i="63"/>
  <c r="CA604" i="63"/>
  <c r="CB617" i="63"/>
  <c r="O614" i="63"/>
  <c r="N702" i="63"/>
  <c r="CC412" i="63"/>
  <c r="S601" i="63"/>
  <c r="Y627" i="63"/>
  <c r="I715" i="63"/>
  <c r="L83" i="2"/>
  <c r="AB83" i="2"/>
  <c r="AT140" i="2"/>
  <c r="AT142" i="2" s="1"/>
  <c r="BB140" i="2"/>
  <c r="BB141" i="2" s="1"/>
  <c r="CG139" i="2"/>
  <c r="CG140" i="2" s="1"/>
  <c r="D88" i="2"/>
  <c r="D93" i="2" s="1"/>
  <c r="D94" i="2" s="1"/>
  <c r="H88" i="2"/>
  <c r="I145" i="2" s="1"/>
  <c r="I147" i="2" s="1"/>
  <c r="L88" i="2"/>
  <c r="L90" i="2" s="1"/>
  <c r="P88" i="2"/>
  <c r="Q145" i="2" s="1"/>
  <c r="Q147" i="2" s="1"/>
  <c r="T88" i="2"/>
  <c r="T90" i="2" s="1"/>
  <c r="X88" i="2"/>
  <c r="Y145" i="2" s="1"/>
  <c r="Y147" i="2" s="1"/>
  <c r="AB88" i="2"/>
  <c r="AB93" i="2" s="1"/>
  <c r="AB94" i="2" s="1"/>
  <c r="AF88" i="2"/>
  <c r="AG145" i="2" s="1"/>
  <c r="AG147" i="2" s="1"/>
  <c r="AJ88" i="2"/>
  <c r="AK145" i="2" s="1"/>
  <c r="AK147" i="2" s="1"/>
  <c r="AN88" i="2"/>
  <c r="AO145" i="2" s="1"/>
  <c r="AO147" i="2" s="1"/>
  <c r="AR88" i="2"/>
  <c r="AR90" i="2" s="1"/>
  <c r="AV88" i="2"/>
  <c r="AW145" i="2" s="1"/>
  <c r="AZ88" i="2"/>
  <c r="AZ93" i="2" s="1"/>
  <c r="BD88" i="2"/>
  <c r="BD93" i="2" s="1"/>
  <c r="AO52" i="2"/>
  <c r="O54" i="2"/>
  <c r="O53" i="2" s="1"/>
  <c r="AQ54" i="2"/>
  <c r="AQ53" i="2" s="1"/>
  <c r="K55" i="2"/>
  <c r="Q52" i="2"/>
  <c r="AW52" i="2"/>
  <c r="W54" i="2"/>
  <c r="W53" i="2" s="1"/>
  <c r="AU54" i="2"/>
  <c r="AU53" i="2" s="1"/>
  <c r="S55" i="2"/>
  <c r="Y52" i="2"/>
  <c r="BE52" i="2"/>
  <c r="AE54" i="2"/>
  <c r="AE53" i="2" s="1"/>
  <c r="AA55" i="2"/>
  <c r="AX140" i="2"/>
  <c r="AX141" i="2" s="1"/>
  <c r="BH35" i="63"/>
  <c r="BH24" i="63"/>
  <c r="BH46" i="63"/>
  <c r="AQ303" i="63"/>
  <c r="CE303" i="63"/>
  <c r="AQ320" i="63"/>
  <c r="AU320" i="63"/>
  <c r="CE320" i="63"/>
  <c r="CE337" i="63"/>
  <c r="CD412" i="63"/>
  <c r="Y513" i="63"/>
  <c r="AG513" i="63"/>
  <c r="AC526" i="63"/>
  <c r="AK526" i="63"/>
  <c r="AK539" i="63"/>
  <c r="X627" i="63"/>
  <c r="CB643" i="63"/>
  <c r="E140" i="2"/>
  <c r="E142" i="2" s="1"/>
  <c r="G140" i="2"/>
  <c r="G142" i="2" s="1"/>
  <c r="I140" i="2"/>
  <c r="I142" i="2" s="1"/>
  <c r="K140" i="2"/>
  <c r="K142" i="2" s="1"/>
  <c r="I11" i="61"/>
  <c r="H138" i="1"/>
  <c r="L138" i="1"/>
  <c r="L139" i="1" s="1"/>
  <c r="AV138" i="1"/>
  <c r="AZ92" i="63"/>
  <c r="AZ138" i="1"/>
  <c r="BD138" i="1"/>
  <c r="D138" i="1"/>
  <c r="BZ88" i="2"/>
  <c r="CA145" i="2" s="1"/>
  <c r="CB88" i="2"/>
  <c r="CC145" i="2" s="1"/>
  <c r="CD88" i="2"/>
  <c r="CE145" i="2" s="1"/>
  <c r="CF88" i="2"/>
  <c r="CG145" i="2" s="1"/>
  <c r="CH88" i="2"/>
  <c r="CI145" i="2" s="1"/>
  <c r="CJ88" i="2"/>
  <c r="CK145" i="2" s="1"/>
  <c r="M140" i="2"/>
  <c r="M142" i="2" s="1"/>
  <c r="O140" i="2"/>
  <c r="O142" i="2" s="1"/>
  <c r="BY88" i="2"/>
  <c r="BZ145" i="2" s="1"/>
  <c r="CA88" i="2"/>
  <c r="CA90" i="2" s="1"/>
  <c r="CC88" i="2"/>
  <c r="CD145" i="2" s="1"/>
  <c r="CE88" i="2"/>
  <c r="CE90" i="2" s="1"/>
  <c r="CG88" i="2"/>
  <c r="CH145" i="2" s="1"/>
  <c r="CI88" i="2"/>
  <c r="CI90" i="2" s="1"/>
  <c r="CK88" i="2"/>
  <c r="CL145" i="2" s="1"/>
  <c r="BZ66" i="2"/>
  <c r="BZ71" i="2" s="1"/>
  <c r="CB66" i="2"/>
  <c r="CB71" i="2" s="1"/>
  <c r="CB74" i="2" s="1"/>
  <c r="CD66" i="2"/>
  <c r="CD71" i="2" s="1"/>
  <c r="CF66" i="2"/>
  <c r="CH66" i="2"/>
  <c r="CH71" i="2" s="1"/>
  <c r="CJ66" i="2"/>
  <c r="CJ71" i="2" s="1"/>
  <c r="CJ74" i="2" s="1"/>
  <c r="Q140" i="2"/>
  <c r="Q142" i="2" s="1"/>
  <c r="S140" i="2"/>
  <c r="S142" i="2" s="1"/>
  <c r="U140" i="2"/>
  <c r="U142" i="2" s="1"/>
  <c r="W140" i="2"/>
  <c r="W142" i="2" s="1"/>
  <c r="BB48" i="2"/>
  <c r="CB33" i="2"/>
  <c r="CB38" i="2" s="1"/>
  <c r="CB46" i="2" s="1"/>
  <c r="CA140" i="2"/>
  <c r="CC140" i="2"/>
  <c r="CE140" i="2"/>
  <c r="CI140" i="2"/>
  <c r="CK140" i="2"/>
  <c r="BY66" i="2"/>
  <c r="BY71" i="2" s="1"/>
  <c r="CA66" i="2"/>
  <c r="CC66" i="2"/>
  <c r="CC71" i="2" s="1"/>
  <c r="CE66" i="2"/>
  <c r="CG66" i="2"/>
  <c r="CI66" i="2"/>
  <c r="CK66" i="2"/>
  <c r="CK71" i="2" s="1"/>
  <c r="Y140" i="2"/>
  <c r="Y142" i="2" s="1"/>
  <c r="AA140" i="2"/>
  <c r="AA142" i="2" s="1"/>
  <c r="AC140" i="2"/>
  <c r="AC142" i="2" s="1"/>
  <c r="AE140" i="2"/>
  <c r="AE142" i="2" s="1"/>
  <c r="AG140" i="2"/>
  <c r="AI140" i="2"/>
  <c r="AI142" i="2" s="1"/>
  <c r="AK140" i="2"/>
  <c r="AK142" i="2" s="1"/>
  <c r="BY72" i="61"/>
  <c r="CA72" i="61"/>
  <c r="CC72" i="61"/>
  <c r="CE72" i="61"/>
  <c r="CG72" i="61"/>
  <c r="CI72" i="61"/>
  <c r="CK72" i="61"/>
  <c r="BY182" i="61"/>
  <c r="CA182" i="61"/>
  <c r="CC182" i="61"/>
  <c r="CE182" i="61"/>
  <c r="CG182" i="61"/>
  <c r="CI182" i="61"/>
  <c r="CK182" i="61"/>
  <c r="BZ72" i="61"/>
  <c r="CB72" i="61"/>
  <c r="CD72" i="61"/>
  <c r="CF72" i="61"/>
  <c r="CH72" i="61"/>
  <c r="CJ72" i="61"/>
  <c r="BZ182" i="61"/>
  <c r="CB182" i="61"/>
  <c r="CD182" i="61"/>
  <c r="CF182" i="61"/>
  <c r="CH182" i="61"/>
  <c r="CJ182" i="61"/>
  <c r="M52" i="2"/>
  <c r="U52" i="2"/>
  <c r="AC52" i="2"/>
  <c r="AK52" i="2"/>
  <c r="AS52" i="2"/>
  <c r="BA52" i="2"/>
  <c r="I52" i="2"/>
  <c r="AJ337" i="63"/>
  <c r="AD539" i="63"/>
  <c r="CB634" i="63"/>
  <c r="BD57" i="63"/>
  <c r="AK404" i="63"/>
  <c r="AZ179" i="61"/>
  <c r="AM140" i="2"/>
  <c r="AO140" i="2"/>
  <c r="AO142" i="2" s="1"/>
  <c r="AQ140" i="2"/>
  <c r="AQ142" i="2" s="1"/>
  <c r="AS140" i="2"/>
  <c r="AS142" i="2" s="1"/>
  <c r="AU140" i="2"/>
  <c r="AU141" i="2" s="1"/>
  <c r="AW140" i="2"/>
  <c r="AW141" i="2" s="1"/>
  <c r="E52" i="2"/>
  <c r="AY140" i="2"/>
  <c r="AY141" i="2" s="1"/>
  <c r="BA140" i="2"/>
  <c r="BA141" i="2" s="1"/>
  <c r="F140" i="2"/>
  <c r="J140" i="2"/>
  <c r="N140" i="2"/>
  <c r="R140" i="2"/>
  <c r="V140" i="2"/>
  <c r="Z140" i="2"/>
  <c r="AD140" i="2"/>
  <c r="AH140" i="2"/>
  <c r="AL140" i="2"/>
  <c r="AP140" i="2"/>
  <c r="BC74" i="2"/>
  <c r="F48" i="2"/>
  <c r="N48" i="2"/>
  <c r="V48" i="2"/>
  <c r="AD48" i="2"/>
  <c r="AL48" i="2"/>
  <c r="AT48" i="2"/>
  <c r="J48" i="2"/>
  <c r="R48" i="2"/>
  <c r="Z48" i="2"/>
  <c r="AH48" i="2"/>
  <c r="AP48" i="2"/>
  <c r="AX48" i="2"/>
  <c r="BD83" i="61"/>
  <c r="BF83" i="61"/>
  <c r="BF48" i="2"/>
  <c r="BE23" i="2"/>
  <c r="BE48" i="2" s="1"/>
  <c r="D74" i="2"/>
  <c r="BC83" i="61"/>
  <c r="CC451" i="63"/>
  <c r="CF525" i="63"/>
  <c r="AC539" i="63"/>
  <c r="AG539" i="63"/>
  <c r="X681" i="63"/>
  <c r="AG564" i="63"/>
  <c r="AV303" i="63"/>
  <c r="AJ320" i="63"/>
  <c r="AJ303" i="63"/>
  <c r="AL320" i="63"/>
  <c r="AW167" i="63"/>
  <c r="BG24" i="63"/>
  <c r="BG46" i="63"/>
  <c r="BG13" i="63"/>
  <c r="BG35" i="63"/>
  <c r="BG57" i="63"/>
  <c r="Y167" i="63"/>
  <c r="AC167" i="63"/>
  <c r="AG167" i="63"/>
  <c r="M167" i="63"/>
  <c r="Q167" i="63"/>
  <c r="U167" i="63"/>
  <c r="M103" i="63"/>
  <c r="M10" i="63" s="1"/>
  <c r="G52" i="2"/>
  <c r="AM377" i="63"/>
  <c r="AM395" i="63" s="1"/>
  <c r="AJ451" i="63"/>
  <c r="AV168" i="63"/>
  <c r="AF412" i="63"/>
  <c r="AN425" i="63"/>
  <c r="AM438" i="63"/>
  <c r="BA55" i="63"/>
  <c r="CF521" i="63"/>
  <c r="CG419" i="63"/>
  <c r="AK451" i="63"/>
  <c r="AA569" i="63"/>
  <c r="AT303" i="63"/>
  <c r="AS320" i="63"/>
  <c r="AW320" i="63"/>
  <c r="CH331" i="63"/>
  <c r="AL337" i="63"/>
  <c r="AJ412" i="63"/>
  <c r="AO412" i="63"/>
  <c r="AJ425" i="63"/>
  <c r="AJ438" i="63"/>
  <c r="AO438" i="63"/>
  <c r="AH462" i="63"/>
  <c r="AB500" i="63"/>
  <c r="X526" i="63"/>
  <c r="AA542" i="63"/>
  <c r="AA580" i="63"/>
  <c r="X614" i="63"/>
  <c r="S627" i="63"/>
  <c r="S653" i="63"/>
  <c r="W670" i="63"/>
  <c r="W688" i="63" s="1"/>
  <c r="N715" i="63"/>
  <c r="AQ143" i="63"/>
  <c r="AQ145" i="63" s="1"/>
  <c r="AB143" i="63"/>
  <c r="AB145" i="63" s="1"/>
  <c r="AP303" i="63"/>
  <c r="CF306" i="63"/>
  <c r="AP320" i="63"/>
  <c r="AT320" i="63"/>
  <c r="CD320" i="63"/>
  <c r="AK412" i="63"/>
  <c r="AK425" i="63"/>
  <c r="X500" i="63"/>
  <c r="AJ500" i="63"/>
  <c r="AB513" i="63"/>
  <c r="AJ513" i="63"/>
  <c r="AJ581" i="63"/>
  <c r="O722" i="63"/>
  <c r="BE22" i="63"/>
  <c r="AR168" i="63"/>
  <c r="AL310" i="63"/>
  <c r="AP310" i="63"/>
  <c r="AT310" i="63"/>
  <c r="CH332" i="63"/>
  <c r="AJ327" i="63"/>
  <c r="AN327" i="63"/>
  <c r="AR327" i="63"/>
  <c r="AV327" i="63"/>
  <c r="CF380" i="63"/>
  <c r="CF389" i="63" s="1"/>
  <c r="AQ377" i="63"/>
  <c r="AQ395" i="63" s="1"/>
  <c r="AH412" i="63"/>
  <c r="AN412" i="63"/>
  <c r="AH425" i="63"/>
  <c r="AO425" i="63"/>
  <c r="AH438" i="63"/>
  <c r="AN438" i="63"/>
  <c r="AO451" i="63"/>
  <c r="CF503" i="63"/>
  <c r="X513" i="63"/>
  <c r="AF513" i="63"/>
  <c r="X539" i="63"/>
  <c r="X601" i="63"/>
  <c r="W614" i="63"/>
  <c r="I702" i="63"/>
  <c r="I168" i="63" s="1"/>
  <c r="BG134" i="63"/>
  <c r="BG123" i="63"/>
  <c r="BG148" i="63"/>
  <c r="X54" i="2"/>
  <c r="X53" i="2" s="1"/>
  <c r="AD104" i="63"/>
  <c r="AD21" i="63" s="1"/>
  <c r="AP106" i="63"/>
  <c r="AP43" i="63" s="1"/>
  <c r="X107" i="63"/>
  <c r="X54" i="63" s="1"/>
  <c r="AX105" i="63"/>
  <c r="AX32" i="63" s="1"/>
  <c r="AQ52" i="2"/>
  <c r="I167" i="63"/>
  <c r="AX107" i="63"/>
  <c r="AX54" i="63" s="1"/>
  <c r="V103" i="63"/>
  <c r="V10" i="63" s="1"/>
  <c r="AN104" i="63"/>
  <c r="AN21" i="63" s="1"/>
  <c r="V105" i="63"/>
  <c r="V32" i="63" s="1"/>
  <c r="J107" i="63"/>
  <c r="J54" i="63" s="1"/>
  <c r="AH107" i="63"/>
  <c r="AH54" i="63" s="1"/>
  <c r="AF52" i="2"/>
  <c r="AH54" i="2"/>
  <c r="AH53" i="2" s="1"/>
  <c r="AH103" i="63"/>
  <c r="AH10" i="63" s="1"/>
  <c r="AJ149" i="63"/>
  <c r="AU341" i="63"/>
  <c r="CH344" i="63"/>
  <c r="CC478" i="63"/>
  <c r="CE529" i="63"/>
  <c r="AC563" i="63"/>
  <c r="CC579" i="63"/>
  <c r="AN388" i="63"/>
  <c r="AB581" i="63"/>
  <c r="AR389" i="63"/>
  <c r="AN387" i="63"/>
  <c r="AV387" i="63"/>
  <c r="CG433" i="63"/>
  <c r="AM451" i="63"/>
  <c r="CD529" i="63"/>
  <c r="AC570" i="63"/>
  <c r="W108" i="63"/>
  <c r="W65" i="63" s="1"/>
  <c r="F156" i="63"/>
  <c r="J154" i="63"/>
  <c r="N155" i="63"/>
  <c r="R156" i="63"/>
  <c r="V154" i="63"/>
  <c r="Z156" i="63"/>
  <c r="AD155" i="63"/>
  <c r="AH156" i="63"/>
  <c r="AL154" i="63"/>
  <c r="AP156" i="63"/>
  <c r="AT153" i="63"/>
  <c r="AX108" i="63"/>
  <c r="AX65" i="63" s="1"/>
  <c r="AL103" i="63"/>
  <c r="F104" i="63"/>
  <c r="F21" i="63" s="1"/>
  <c r="R104" i="63"/>
  <c r="R21" i="63" s="1"/>
  <c r="AH104" i="63"/>
  <c r="AT104" i="63"/>
  <c r="AT21" i="63" s="1"/>
  <c r="J105" i="63"/>
  <c r="J32" i="63" s="1"/>
  <c r="Z105" i="63"/>
  <c r="Z32" i="63" s="1"/>
  <c r="AL105" i="63"/>
  <c r="AL32" i="63" s="1"/>
  <c r="F106" i="63"/>
  <c r="F43" i="63" s="1"/>
  <c r="R106" i="63"/>
  <c r="R43" i="63" s="1"/>
  <c r="AH106" i="63"/>
  <c r="AH43" i="63" s="1"/>
  <c r="AT106" i="63"/>
  <c r="AT43" i="63" s="1"/>
  <c r="AL107" i="63"/>
  <c r="Z108" i="63"/>
  <c r="Z65" i="63" s="1"/>
  <c r="AP108" i="63"/>
  <c r="AP65" i="63" s="1"/>
  <c r="J151" i="63"/>
  <c r="F145" i="63"/>
  <c r="V145" i="63"/>
  <c r="AH145" i="63"/>
  <c r="AT145" i="63"/>
  <c r="R149" i="63"/>
  <c r="AL149" i="63"/>
  <c r="N153" i="63"/>
  <c r="N103" i="63"/>
  <c r="N10" i="63" s="1"/>
  <c r="Z103" i="63"/>
  <c r="AP103" i="63"/>
  <c r="V104" i="63"/>
  <c r="V21" i="63" s="1"/>
  <c r="AL104" i="63"/>
  <c r="AL21" i="63" s="1"/>
  <c r="AX104" i="63"/>
  <c r="N105" i="63"/>
  <c r="AD105" i="63"/>
  <c r="AP105" i="63"/>
  <c r="AP32" i="63" s="1"/>
  <c r="J106" i="63"/>
  <c r="J43" i="63" s="1"/>
  <c r="V106" i="63"/>
  <c r="V43" i="63" s="1"/>
  <c r="AL106" i="63"/>
  <c r="AL43" i="63" s="1"/>
  <c r="AX106" i="63"/>
  <c r="AX43" i="63" s="1"/>
  <c r="N107" i="63"/>
  <c r="N54" i="63" s="1"/>
  <c r="Z107" i="63"/>
  <c r="AP107" i="63"/>
  <c r="AD108" i="63"/>
  <c r="AD65" i="63" s="1"/>
  <c r="AT108" i="63"/>
  <c r="AT65" i="63" s="1"/>
  <c r="AD149" i="63"/>
  <c r="AP149" i="63"/>
  <c r="AP150" i="63"/>
  <c r="F103" i="63"/>
  <c r="R103" i="63"/>
  <c r="AD103" i="63"/>
  <c r="J104" i="63"/>
  <c r="J21" i="63" s="1"/>
  <c r="Z104" i="63"/>
  <c r="Z21" i="63" s="1"/>
  <c r="R105" i="63"/>
  <c r="AT105" i="63"/>
  <c r="N106" i="63"/>
  <c r="N43" i="63" s="1"/>
  <c r="Z106" i="63"/>
  <c r="Z43" i="63" s="1"/>
  <c r="F107" i="63"/>
  <c r="R107" i="63"/>
  <c r="R54" i="63" s="1"/>
  <c r="AD107" i="63"/>
  <c r="AT107" i="63"/>
  <c r="AT54" i="63" s="1"/>
  <c r="AH108" i="63"/>
  <c r="AH65" i="63" s="1"/>
  <c r="N145" i="63"/>
  <c r="AD145" i="63"/>
  <c r="AP145" i="63"/>
  <c r="Z145" i="63"/>
  <c r="AH149" i="63"/>
  <c r="F150" i="63"/>
  <c r="AD151" i="63"/>
  <c r="AH154" i="63"/>
  <c r="CA648" i="63"/>
  <c r="T614" i="63"/>
  <c r="T627" i="63"/>
  <c r="T640" i="63"/>
  <c r="P653" i="63"/>
  <c r="X653" i="63"/>
  <c r="P681" i="63"/>
  <c r="CC630" i="63"/>
  <c r="T601" i="63"/>
  <c r="P627" i="63"/>
  <c r="L640" i="63"/>
  <c r="X640" i="63"/>
  <c r="X665" i="63"/>
  <c r="S670" i="63"/>
  <c r="S671" i="63" s="1"/>
  <c r="P601" i="63"/>
  <c r="P614" i="63"/>
  <c r="CC648" i="63"/>
  <c r="P640" i="63"/>
  <c r="S651" i="63"/>
  <c r="T653" i="63"/>
  <c r="CC656" i="63"/>
  <c r="V149" i="63"/>
  <c r="J150" i="63"/>
  <c r="AD150" i="63"/>
  <c r="N151" i="63"/>
  <c r="AH151" i="63"/>
  <c r="AH152" i="63"/>
  <c r="AD153" i="63"/>
  <c r="AP154" i="63"/>
  <c r="F149" i="63"/>
  <c r="Z149" i="63"/>
  <c r="N150" i="63"/>
  <c r="R151" i="63"/>
  <c r="AL151" i="63"/>
  <c r="AL152" i="63"/>
  <c r="F154" i="63"/>
  <c r="Z155" i="63"/>
  <c r="R145" i="63"/>
  <c r="J149" i="63"/>
  <c r="V150" i="63"/>
  <c r="AL150" i="63"/>
  <c r="V151" i="63"/>
  <c r="J152" i="63"/>
  <c r="AP152" i="63"/>
  <c r="AP155" i="63"/>
  <c r="R152" i="63"/>
  <c r="V153" i="63"/>
  <c r="N154" i="63"/>
  <c r="AH155" i="63"/>
  <c r="V156" i="63"/>
  <c r="J155" i="63"/>
  <c r="AD156" i="63"/>
  <c r="N149" i="63"/>
  <c r="R150" i="63"/>
  <c r="AH150" i="63"/>
  <c r="F151" i="63"/>
  <c r="Z151" i="63"/>
  <c r="AP151" i="63"/>
  <c r="AD152" i="63"/>
  <c r="F153" i="63"/>
  <c r="AL153" i="63"/>
  <c r="Z154" i="63"/>
  <c r="R155" i="63"/>
  <c r="J156" i="63"/>
  <c r="AL156" i="63"/>
  <c r="AT152" i="63"/>
  <c r="BF46" i="63"/>
  <c r="BB44" i="63"/>
  <c r="BF57" i="63"/>
  <c r="CH306" i="63"/>
  <c r="CF368" i="63"/>
  <c r="AL375" i="63"/>
  <c r="AJ570" i="63"/>
  <c r="Z584" i="63"/>
  <c r="O710" i="63"/>
  <c r="BD11" i="63"/>
  <c r="BF35" i="63"/>
  <c r="CH323" i="63"/>
  <c r="AP375" i="63"/>
  <c r="AH513" i="63"/>
  <c r="AH526" i="63"/>
  <c r="AF581" i="63"/>
  <c r="AH584" i="63"/>
  <c r="CC613" i="63"/>
  <c r="O627" i="63"/>
  <c r="CB635" i="63"/>
  <c r="O640" i="63"/>
  <c r="W640" i="63"/>
  <c r="CA656" i="63"/>
  <c r="O653" i="63"/>
  <c r="CB656" i="63"/>
  <c r="S143" i="63"/>
  <c r="S145" i="63" s="1"/>
  <c r="BD111" i="63"/>
  <c r="BB22" i="63"/>
  <c r="BF24" i="63"/>
  <c r="BA22" i="63"/>
  <c r="BA33" i="63"/>
  <c r="BD55" i="63"/>
  <c r="AL341" i="63"/>
  <c r="AP341" i="63"/>
  <c r="AT341" i="63"/>
  <c r="AT377" i="63"/>
  <c r="AT395" i="63" s="1"/>
  <c r="CG420" i="63"/>
  <c r="AD513" i="63"/>
  <c r="AD526" i="63"/>
  <c r="Z539" i="63"/>
  <c r="AH539" i="63"/>
  <c r="CD541" i="63"/>
  <c r="CD542" i="63" s="1"/>
  <c r="Z570" i="63"/>
  <c r="AD570" i="63"/>
  <c r="AH570" i="63"/>
  <c r="AL570" i="63"/>
  <c r="Y580" i="63"/>
  <c r="AH579" i="63"/>
  <c r="S614" i="63"/>
  <c r="CC635" i="63"/>
  <c r="W653" i="63"/>
  <c r="BF13" i="63"/>
  <c r="BD24" i="63"/>
  <c r="CG302" i="63"/>
  <c r="CF315" i="63"/>
  <c r="CF372" i="63"/>
  <c r="CF377" i="63" s="1"/>
  <c r="CF395" i="63" s="1"/>
  <c r="CF323" i="63"/>
  <c r="CI336" i="63"/>
  <c r="AN337" i="63"/>
  <c r="AN168" i="63" s="1"/>
  <c r="AM341" i="63"/>
  <c r="AJ358" i="63"/>
  <c r="AN358" i="63"/>
  <c r="AF425" i="63"/>
  <c r="AM425" i="63"/>
  <c r="CC438" i="63"/>
  <c r="AN451" i="63"/>
  <c r="AI468" i="63"/>
  <c r="AI486" i="63" s="1"/>
  <c r="AH478" i="63"/>
  <c r="AO480" i="63"/>
  <c r="AD500" i="63"/>
  <c r="CF508" i="63"/>
  <c r="Z513" i="63"/>
  <c r="Z526" i="63"/>
  <c r="AK564" i="63"/>
  <c r="AD578" i="63"/>
  <c r="AD590" i="63" s="1"/>
  <c r="O601" i="63"/>
  <c r="W601" i="63"/>
  <c r="CC604" i="63"/>
  <c r="W627" i="63"/>
  <c r="CB639" i="63"/>
  <c r="S640" i="63"/>
  <c r="O701" i="63"/>
  <c r="BD138" i="63"/>
  <c r="AT10" i="63"/>
  <c r="E32" i="63"/>
  <c r="AF32" i="63"/>
  <c r="AN43" i="63"/>
  <c r="F152" i="63"/>
  <c r="V152" i="63"/>
  <c r="J153" i="63"/>
  <c r="Z153" i="63"/>
  <c r="AP153" i="63"/>
  <c r="R154" i="63"/>
  <c r="AD154" i="63"/>
  <c r="F155" i="63"/>
  <c r="V155" i="63"/>
  <c r="AL155" i="63"/>
  <c r="N156" i="63"/>
  <c r="AT149" i="63"/>
  <c r="G104" i="63"/>
  <c r="G21" i="63" s="1"/>
  <c r="K104" i="63"/>
  <c r="K21" i="63" s="1"/>
  <c r="O104" i="63"/>
  <c r="O21" i="63" s="1"/>
  <c r="S149" i="63"/>
  <c r="W104" i="63"/>
  <c r="W21" i="63" s="1"/>
  <c r="AA108" i="63"/>
  <c r="AE108" i="63"/>
  <c r="AI108" i="63"/>
  <c r="AM108" i="63"/>
  <c r="AQ108" i="63"/>
  <c r="AU108" i="63"/>
  <c r="AY108" i="63"/>
  <c r="J10" i="63"/>
  <c r="AX10" i="63"/>
  <c r="N21" i="63"/>
  <c r="AP21" i="63"/>
  <c r="F32" i="63"/>
  <c r="AH32" i="63"/>
  <c r="Q43" i="63"/>
  <c r="AD43" i="63"/>
  <c r="V54" i="63"/>
  <c r="D156" i="63"/>
  <c r="H149" i="63"/>
  <c r="L156" i="63"/>
  <c r="P152" i="63"/>
  <c r="T156" i="63"/>
  <c r="X154" i="63"/>
  <c r="AB156" i="63"/>
  <c r="AF154" i="63"/>
  <c r="AJ156" i="63"/>
  <c r="AN154" i="63"/>
  <c r="AR153" i="63"/>
  <c r="AV107" i="63"/>
  <c r="AZ108" i="63"/>
  <c r="AZ109" i="63" s="1"/>
  <c r="AZ111" i="63" s="1"/>
  <c r="X10" i="63"/>
  <c r="M54" i="63"/>
  <c r="BB109" i="63"/>
  <c r="BB111" i="63" s="1"/>
  <c r="N152" i="63"/>
  <c r="D153" i="63"/>
  <c r="R153" i="63"/>
  <c r="AH153" i="63"/>
  <c r="E156" i="63"/>
  <c r="I155" i="63"/>
  <c r="M154" i="63"/>
  <c r="Q153" i="63"/>
  <c r="U156" i="63"/>
  <c r="Y155" i="63"/>
  <c r="AC154" i="63"/>
  <c r="AG153" i="63"/>
  <c r="AK156" i="63"/>
  <c r="AO155" i="63"/>
  <c r="AS106" i="63"/>
  <c r="AW108" i="63"/>
  <c r="BA108" i="63"/>
  <c r="BA109" i="63" s="1"/>
  <c r="BA111" i="63" s="1"/>
  <c r="I21" i="63"/>
  <c r="AT155" i="63"/>
  <c r="BG117" i="61"/>
  <c r="BG77" i="61"/>
  <c r="BG92" i="61" s="1"/>
  <c r="BG100" i="61" s="1"/>
  <c r="AW11" i="61"/>
  <c r="AF103" i="63"/>
  <c r="P104" i="63"/>
  <c r="AV104" i="63"/>
  <c r="H105" i="63"/>
  <c r="AN105" i="63"/>
  <c r="AV106" i="63"/>
  <c r="AF107" i="63"/>
  <c r="AN145" i="63"/>
  <c r="D149" i="63"/>
  <c r="D150" i="63"/>
  <c r="P103" i="63"/>
  <c r="AV103" i="63"/>
  <c r="AF104" i="63"/>
  <c r="X105" i="63"/>
  <c r="AF106" i="63"/>
  <c r="P107" i="63"/>
  <c r="P54" i="63" s="1"/>
  <c r="AF108" i="63"/>
  <c r="AJ152" i="63"/>
  <c r="AJ153" i="63"/>
  <c r="AN103" i="63"/>
  <c r="X104" i="63"/>
  <c r="P105" i="63"/>
  <c r="AV105" i="63"/>
  <c r="X106" i="63"/>
  <c r="AN107" i="63"/>
  <c r="T151" i="63"/>
  <c r="P52" i="2"/>
  <c r="AV52" i="2"/>
  <c r="AP54" i="2"/>
  <c r="AP53" i="2" s="1"/>
  <c r="H103" i="63"/>
  <c r="H104" i="63"/>
  <c r="H21" i="63" s="1"/>
  <c r="H106" i="63"/>
  <c r="P106" i="63"/>
  <c r="H107" i="63"/>
  <c r="AN108" i="63"/>
  <c r="L149" i="63"/>
  <c r="AR149" i="63"/>
  <c r="L150" i="63"/>
  <c r="AR150" i="63"/>
  <c r="L152" i="63"/>
  <c r="AR152" i="63"/>
  <c r="L153" i="63"/>
  <c r="AB154" i="63"/>
  <c r="X156" i="63"/>
  <c r="Z54" i="2"/>
  <c r="Z53" i="2" s="1"/>
  <c r="BB65" i="63"/>
  <c r="L103" i="63"/>
  <c r="L106" i="63"/>
  <c r="L107" i="63"/>
  <c r="L145" i="63"/>
  <c r="X145" i="63"/>
  <c r="AJ145" i="63"/>
  <c r="AB149" i="63"/>
  <c r="AB150" i="63"/>
  <c r="L151" i="63"/>
  <c r="H152" i="63"/>
  <c r="AB152" i="63"/>
  <c r="AB153" i="63"/>
  <c r="AR154" i="63"/>
  <c r="H156" i="63"/>
  <c r="AN156" i="63"/>
  <c r="O52" i="2"/>
  <c r="AI52" i="2"/>
  <c r="AX54" i="2"/>
  <c r="AX53" i="2" s="1"/>
  <c r="T103" i="63"/>
  <c r="AB103" i="63"/>
  <c r="AJ103" i="63"/>
  <c r="AR103" i="63"/>
  <c r="L104" i="63"/>
  <c r="T104" i="63"/>
  <c r="AB104" i="63"/>
  <c r="AJ104" i="63"/>
  <c r="AR104" i="63"/>
  <c r="L105" i="63"/>
  <c r="T105" i="63"/>
  <c r="AB105" i="63"/>
  <c r="AJ105" i="63"/>
  <c r="AR105" i="63"/>
  <c r="T106" i="63"/>
  <c r="AB106" i="63"/>
  <c r="AJ106" i="63"/>
  <c r="AR106" i="63"/>
  <c r="T107" i="63"/>
  <c r="AB107" i="63"/>
  <c r="AJ107" i="63"/>
  <c r="AR107" i="63"/>
  <c r="AV108" i="63"/>
  <c r="T149" i="63"/>
  <c r="T150" i="63"/>
  <c r="AN151" i="63"/>
  <c r="T152" i="63"/>
  <c r="T153" i="63"/>
  <c r="AN153" i="63"/>
  <c r="AJ154" i="63"/>
  <c r="AF156" i="63"/>
  <c r="AO156" i="63"/>
  <c r="BF81" i="2"/>
  <c r="BF83" i="2"/>
  <c r="BF94" i="2"/>
  <c r="AV169" i="2"/>
  <c r="D57" i="61"/>
  <c r="E57" i="61" s="1"/>
  <c r="F57" i="61" s="1"/>
  <c r="G57" i="61" s="1"/>
  <c r="CN126" i="61"/>
  <c r="CO126" i="61" s="1"/>
  <c r="CP126" i="61" s="1"/>
  <c r="I57" i="61"/>
  <c r="BE60" i="61"/>
  <c r="BF60" i="61" s="1"/>
  <c r="BE68" i="61"/>
  <c r="BF68" i="61" s="1"/>
  <c r="AR169" i="2"/>
  <c r="BE34" i="61"/>
  <c r="BF34" i="61" s="1"/>
  <c r="L62" i="61"/>
  <c r="M62" i="61" s="1"/>
  <c r="F147" i="61"/>
  <c r="F179" i="61" s="1"/>
  <c r="F180" i="61" s="1"/>
  <c r="F183" i="61" s="1"/>
  <c r="R179" i="61"/>
  <c r="Q48" i="61"/>
  <c r="V147" i="61"/>
  <c r="V179" i="61" s="1"/>
  <c r="Z147" i="61"/>
  <c r="Z179" i="61" s="1"/>
  <c r="J173" i="61"/>
  <c r="J179" i="61" s="1"/>
  <c r="CN175" i="61"/>
  <c r="CO175" i="61" s="1"/>
  <c r="CP175" i="61" s="1"/>
  <c r="BD57" i="61"/>
  <c r="X169" i="2"/>
  <c r="T147" i="61"/>
  <c r="T179" i="61" s="1"/>
  <c r="X147" i="61"/>
  <c r="X179" i="61" s="1"/>
  <c r="AR147" i="61"/>
  <c r="AR179" i="61" s="1"/>
  <c r="BE140" i="2"/>
  <c r="CN168" i="61"/>
  <c r="CO168" i="61" s="1"/>
  <c r="CP168" i="61" s="1"/>
  <c r="CN172" i="61"/>
  <c r="CO172" i="61" s="1"/>
  <c r="CP172" i="61" s="1"/>
  <c r="AX147" i="61"/>
  <c r="AX179" i="61" s="1"/>
  <c r="K173" i="61"/>
  <c r="K179" i="61" s="1"/>
  <c r="CN123" i="61"/>
  <c r="CO123" i="61" s="1"/>
  <c r="CP123" i="61" s="1"/>
  <c r="CM81" i="61"/>
  <c r="L48" i="61"/>
  <c r="M48" i="61" s="1"/>
  <c r="CN167" i="61"/>
  <c r="CO167" i="61" s="1"/>
  <c r="CP167" i="61" s="1"/>
  <c r="CN169" i="61"/>
  <c r="CO169" i="61" s="1"/>
  <c r="CP169" i="61" s="1"/>
  <c r="W147" i="61"/>
  <c r="W179" i="61" s="1"/>
  <c r="AA147" i="61"/>
  <c r="AA179" i="61" s="1"/>
  <c r="AB169" i="2"/>
  <c r="BI169" i="2"/>
  <c r="CN136" i="61"/>
  <c r="CO136" i="61" s="1"/>
  <c r="CP136" i="61" s="1"/>
  <c r="H48" i="61"/>
  <c r="I48" i="61" s="1"/>
  <c r="P169" i="2"/>
  <c r="AF169" i="2"/>
  <c r="H169" i="2"/>
  <c r="AD179" i="61"/>
  <c r="AH179" i="61"/>
  <c r="AL179" i="61"/>
  <c r="AP179" i="61"/>
  <c r="AT179" i="61"/>
  <c r="BB159" i="61"/>
  <c r="CN81" i="61"/>
  <c r="BO56" i="61"/>
  <c r="AU147" i="61"/>
  <c r="AU179" i="61" s="1"/>
  <c r="BB173" i="61"/>
  <c r="BN169" i="2"/>
  <c r="BD169" i="2"/>
  <c r="I62" i="61"/>
  <c r="J62" i="61" s="1"/>
  <c r="K62" i="61" s="1"/>
  <c r="E88" i="61"/>
  <c r="I88" i="61"/>
  <c r="M88" i="61"/>
  <c r="Q88" i="61"/>
  <c r="U88" i="61"/>
  <c r="Y88" i="61"/>
  <c r="AC88" i="61"/>
  <c r="AG88" i="61"/>
  <c r="AK88" i="61"/>
  <c r="AO88" i="61"/>
  <c r="AS88" i="61"/>
  <c r="AW88" i="61"/>
  <c r="BA88" i="61"/>
  <c r="BE88" i="61"/>
  <c r="P179" i="61"/>
  <c r="AB179" i="61"/>
  <c r="AF179" i="61"/>
  <c r="AJ179" i="61"/>
  <c r="AN179" i="61"/>
  <c r="AW147" i="61"/>
  <c r="AW179" i="61" s="1"/>
  <c r="BE9" i="61"/>
  <c r="BF9" i="61" s="1"/>
  <c r="D169" i="2"/>
  <c r="T169" i="2"/>
  <c r="AJ169" i="2"/>
  <c r="AZ169" i="2"/>
  <c r="CN163" i="61"/>
  <c r="CO163" i="61" s="1"/>
  <c r="CP163" i="61" s="1"/>
  <c r="CN165" i="61"/>
  <c r="CO165" i="61" s="1"/>
  <c r="CP165" i="61" s="1"/>
  <c r="F88" i="61"/>
  <c r="J88" i="61"/>
  <c r="N88" i="61"/>
  <c r="R88" i="61"/>
  <c r="V88" i="61"/>
  <c r="Z88" i="61"/>
  <c r="AD88" i="61"/>
  <c r="AH88" i="61"/>
  <c r="AL88" i="61"/>
  <c r="AP88" i="61"/>
  <c r="AT88" i="61"/>
  <c r="AX88" i="61"/>
  <c r="BB88" i="61"/>
  <c r="D147" i="61"/>
  <c r="D179" i="61" s="1"/>
  <c r="D180" i="61" s="1"/>
  <c r="D183" i="61" s="1"/>
  <c r="I173" i="61"/>
  <c r="I179" i="61" s="1"/>
  <c r="F142" i="2"/>
  <c r="J142" i="2"/>
  <c r="N142" i="2"/>
  <c r="R142" i="2"/>
  <c r="V142" i="2"/>
  <c r="Z142" i="2"/>
  <c r="AD142" i="2"/>
  <c r="AH142" i="2"/>
  <c r="AL142" i="2"/>
  <c r="AP142" i="2"/>
  <c r="T11" i="61"/>
  <c r="T138" i="1" s="1"/>
  <c r="X11" i="61"/>
  <c r="AB11" i="61"/>
  <c r="AF11" i="61"/>
  <c r="AJ11" i="61"/>
  <c r="AN11" i="61"/>
  <c r="AY179" i="61"/>
  <c r="O179" i="61"/>
  <c r="AN169" i="2"/>
  <c r="AR11" i="61"/>
  <c r="BB25" i="61"/>
  <c r="BC25" i="61" s="1"/>
  <c r="CK25" i="61" s="1"/>
  <c r="CK135" i="61" s="1"/>
  <c r="G179" i="61"/>
  <c r="AE179" i="61"/>
  <c r="AI179" i="61"/>
  <c r="AM179" i="61"/>
  <c r="AQ179" i="61"/>
  <c r="P11" i="61"/>
  <c r="BA62" i="61"/>
  <c r="BB62" i="61" s="1"/>
  <c r="BC62" i="61" s="1"/>
  <c r="CK62" i="61" s="1"/>
  <c r="CK172" i="61" s="1"/>
  <c r="Q179" i="61"/>
  <c r="U179" i="61"/>
  <c r="Y179" i="61"/>
  <c r="AC179" i="61"/>
  <c r="AG179" i="61"/>
  <c r="AK179" i="61"/>
  <c r="AO179" i="61"/>
  <c r="AS179" i="61"/>
  <c r="AV179" i="61"/>
  <c r="BC179" i="61"/>
  <c r="BA71" i="63"/>
  <c r="S52" i="2"/>
  <c r="AA52" i="2"/>
  <c r="AB108" i="63"/>
  <c r="AJ108" i="63"/>
  <c r="AR108" i="63"/>
  <c r="AF145" i="63"/>
  <c r="P145" i="63"/>
  <c r="AR145" i="63"/>
  <c r="H150" i="63"/>
  <c r="P150" i="63"/>
  <c r="X150" i="63"/>
  <c r="AF150" i="63"/>
  <c r="AN150" i="63"/>
  <c r="D152" i="63"/>
  <c r="H153" i="63"/>
  <c r="P153" i="63"/>
  <c r="X153" i="63"/>
  <c r="AF153" i="63"/>
  <c r="D154" i="63"/>
  <c r="L154" i="63"/>
  <c r="H155" i="63"/>
  <c r="P155" i="63"/>
  <c r="X155" i="63"/>
  <c r="AF155" i="63"/>
  <c r="AN155" i="63"/>
  <c r="AR156" i="63"/>
  <c r="W52" i="2"/>
  <c r="AE52" i="2"/>
  <c r="AY52" i="2"/>
  <c r="H154" i="63"/>
  <c r="P154" i="63"/>
  <c r="D155" i="63"/>
  <c r="L155" i="63"/>
  <c r="T155" i="63"/>
  <c r="AB155" i="63"/>
  <c r="AJ155" i="63"/>
  <c r="AR155" i="63"/>
  <c r="K52" i="2"/>
  <c r="AM52" i="2"/>
  <c r="AU52" i="2"/>
  <c r="T56" i="2"/>
  <c r="AB151" i="63"/>
  <c r="D145" i="63"/>
  <c r="T145" i="63"/>
  <c r="P149" i="63"/>
  <c r="X149" i="63"/>
  <c r="AF149" i="63"/>
  <c r="AN149" i="63"/>
  <c r="D151" i="63"/>
  <c r="P151" i="63"/>
  <c r="X151" i="63"/>
  <c r="AJ151" i="63"/>
  <c r="AR151" i="63"/>
  <c r="I152" i="63"/>
  <c r="X152" i="63"/>
  <c r="AF152" i="63"/>
  <c r="AN152" i="63"/>
  <c r="AK153" i="63"/>
  <c r="Q154" i="63"/>
  <c r="AS103" i="63"/>
  <c r="AO104" i="63"/>
  <c r="AK105" i="63"/>
  <c r="AW106" i="63"/>
  <c r="AS107" i="63"/>
  <c r="Q108" i="63"/>
  <c r="AK108" i="63"/>
  <c r="AC149" i="63"/>
  <c r="I150" i="63"/>
  <c r="AK150" i="63"/>
  <c r="U151" i="63"/>
  <c r="AO152" i="63"/>
  <c r="E153" i="63"/>
  <c r="AC155" i="63"/>
  <c r="I156" i="63"/>
  <c r="AJ56" i="2"/>
  <c r="E145" i="63"/>
  <c r="U145" i="63"/>
  <c r="AG145" i="63"/>
  <c r="U153" i="63"/>
  <c r="Y156" i="63"/>
  <c r="AC103" i="63"/>
  <c r="Y104" i="63"/>
  <c r="U105" i="63"/>
  <c r="AG106" i="63"/>
  <c r="AC107" i="63"/>
  <c r="M149" i="63"/>
  <c r="U150" i="63"/>
  <c r="Y152" i="63"/>
  <c r="AG154" i="63"/>
  <c r="M155" i="63"/>
  <c r="H56" i="2"/>
  <c r="E103" i="63"/>
  <c r="U103" i="63"/>
  <c r="AK103" i="63"/>
  <c r="Q104" i="63"/>
  <c r="AG104" i="63"/>
  <c r="AW104" i="63"/>
  <c r="M105" i="63"/>
  <c r="AC105" i="63"/>
  <c r="AS105" i="63"/>
  <c r="I106" i="63"/>
  <c r="Y106" i="63"/>
  <c r="AO106" i="63"/>
  <c r="E107" i="63"/>
  <c r="U107" i="63"/>
  <c r="AK107" i="63"/>
  <c r="I108" i="63"/>
  <c r="AC108" i="63"/>
  <c r="AS108" i="63"/>
  <c r="AC145" i="63"/>
  <c r="AO145" i="63"/>
  <c r="E149" i="63"/>
  <c r="U149" i="63"/>
  <c r="AK149" i="63"/>
  <c r="AC150" i="63"/>
  <c r="AK151" i="63"/>
  <c r="Q152" i="63"/>
  <c r="AG152" i="63"/>
  <c r="M153" i="63"/>
  <c r="AC153" i="63"/>
  <c r="I154" i="63"/>
  <c r="Y154" i="63"/>
  <c r="AO154" i="63"/>
  <c r="E155" i="63"/>
  <c r="U155" i="63"/>
  <c r="AK155" i="63"/>
  <c r="Q156" i="63"/>
  <c r="AG156" i="63"/>
  <c r="Q103" i="63"/>
  <c r="AG103" i="63"/>
  <c r="AW103" i="63"/>
  <c r="M104" i="63"/>
  <c r="AC104" i="63"/>
  <c r="AS104" i="63"/>
  <c r="I105" i="63"/>
  <c r="Y105" i="63"/>
  <c r="AO105" i="63"/>
  <c r="E106" i="63"/>
  <c r="U106" i="63"/>
  <c r="AK106" i="63"/>
  <c r="Q107" i="63"/>
  <c r="AG107" i="63"/>
  <c r="AW107" i="63"/>
  <c r="M108" i="63"/>
  <c r="Y108" i="63"/>
  <c r="AO108" i="63"/>
  <c r="I145" i="63"/>
  <c r="Y145" i="63"/>
  <c r="AK145" i="63"/>
  <c r="Q149" i="63"/>
  <c r="AG149" i="63"/>
  <c r="Y150" i="63"/>
  <c r="AO150" i="63"/>
  <c r="E151" i="63"/>
  <c r="Y151" i="63"/>
  <c r="AG151" i="63"/>
  <c r="M152" i="63"/>
  <c r="AC152" i="63"/>
  <c r="I153" i="63"/>
  <c r="Y153" i="63"/>
  <c r="AO153" i="63"/>
  <c r="E154" i="63"/>
  <c r="U154" i="63"/>
  <c r="AK154" i="63"/>
  <c r="Q155" i="63"/>
  <c r="AG155" i="63"/>
  <c r="M156" i="63"/>
  <c r="AC156" i="63"/>
  <c r="BD54" i="2"/>
  <c r="I103" i="63"/>
  <c r="Y103" i="63"/>
  <c r="AO103" i="63"/>
  <c r="E104" i="63"/>
  <c r="U104" i="63"/>
  <c r="AK104" i="63"/>
  <c r="Q105" i="63"/>
  <c r="AG105" i="63"/>
  <c r="AW105" i="63"/>
  <c r="M106" i="63"/>
  <c r="AC106" i="63"/>
  <c r="I107" i="63"/>
  <c r="Y107" i="63"/>
  <c r="AO107" i="63"/>
  <c r="E108" i="63"/>
  <c r="U108" i="63"/>
  <c r="AG108" i="63"/>
  <c r="M150" i="63"/>
  <c r="Q145" i="63"/>
  <c r="I149" i="63"/>
  <c r="Y149" i="63"/>
  <c r="AO149" i="63"/>
  <c r="E150" i="63"/>
  <c r="Q150" i="63"/>
  <c r="AG150" i="63"/>
  <c r="I151" i="63"/>
  <c r="Q151" i="63"/>
  <c r="AC151" i="63"/>
  <c r="AO151" i="63"/>
  <c r="E152" i="63"/>
  <c r="U152" i="63"/>
  <c r="AK152" i="63"/>
  <c r="L52" i="2"/>
  <c r="AB52" i="2"/>
  <c r="AR52" i="2"/>
  <c r="F54" i="2"/>
  <c r="F53" i="2" s="1"/>
  <c r="N54" i="2"/>
  <c r="N53" i="2" s="1"/>
  <c r="V54" i="2"/>
  <c r="V53" i="2" s="1"/>
  <c r="AD55" i="2"/>
  <c r="AL55" i="2"/>
  <c r="AT55" i="2"/>
  <c r="BB55" i="2"/>
  <c r="X56" i="2"/>
  <c r="AZ56" i="2"/>
  <c r="Z167" i="63"/>
  <c r="AD167" i="63"/>
  <c r="AH167" i="63"/>
  <c r="AN52" i="2"/>
  <c r="BD52" i="2"/>
  <c r="G103" i="63"/>
  <c r="K103" i="63"/>
  <c r="O103" i="63"/>
  <c r="S103" i="63"/>
  <c r="W103" i="63"/>
  <c r="AA103" i="63"/>
  <c r="AE103" i="63"/>
  <c r="AI103" i="63"/>
  <c r="AM103" i="63"/>
  <c r="AQ103" i="63"/>
  <c r="AU103" i="63"/>
  <c r="AY103" i="63"/>
  <c r="G107" i="63"/>
  <c r="K107" i="63"/>
  <c r="O107" i="63"/>
  <c r="S107" i="63"/>
  <c r="W107" i="63"/>
  <c r="AA107" i="63"/>
  <c r="AE107" i="63"/>
  <c r="AI107" i="63"/>
  <c r="AM107" i="63"/>
  <c r="AQ107" i="63"/>
  <c r="AU107" i="63"/>
  <c r="AY107" i="63"/>
  <c r="D52" i="2"/>
  <c r="J54" i="2"/>
  <c r="J53" i="2" s="1"/>
  <c r="R54" i="2"/>
  <c r="R53" i="2" s="1"/>
  <c r="BL21" i="2"/>
  <c r="BM21" i="2" s="1"/>
  <c r="BN21" i="2" s="1"/>
  <c r="BO21" i="2" s="1"/>
  <c r="BP21" i="2" s="1"/>
  <c r="BQ21" i="2" s="1"/>
  <c r="BR21" i="2" s="1"/>
  <c r="BS21" i="2" s="1"/>
  <c r="BT21" i="2" s="1"/>
  <c r="BU21" i="2" s="1"/>
  <c r="BV21" i="2" s="1"/>
  <c r="BW21" i="2" s="1"/>
  <c r="CP21" i="2" s="1"/>
  <c r="H83" i="2"/>
  <c r="P83" i="2"/>
  <c r="AF83" i="2"/>
  <c r="AV83" i="2"/>
  <c r="AB54" i="2"/>
  <c r="AB53" i="2" s="1"/>
  <c r="AR55" i="2"/>
  <c r="R56" i="2"/>
  <c r="O167" i="63"/>
  <c r="S167" i="63"/>
  <c r="W167" i="63"/>
  <c r="AQ149" i="63"/>
  <c r="D83" i="2"/>
  <c r="T83" i="2"/>
  <c r="AN83" i="2"/>
  <c r="BD83" i="2"/>
  <c r="F52" i="2"/>
  <c r="J52" i="2"/>
  <c r="N52" i="2"/>
  <c r="V52" i="2"/>
  <c r="Z52" i="2"/>
  <c r="AD52" i="2"/>
  <c r="AH52" i="2"/>
  <c r="AL52" i="2"/>
  <c r="AP52" i="2"/>
  <c r="AT52" i="2"/>
  <c r="AX52" i="2"/>
  <c r="BB52" i="2"/>
  <c r="L54" i="2"/>
  <c r="L53" i="2" s="1"/>
  <c r="I12" i="61"/>
  <c r="J12" i="61" s="1"/>
  <c r="K12" i="61" s="1"/>
  <c r="BZ12" i="61" s="1"/>
  <c r="BZ122" i="61" s="1"/>
  <c r="O108" i="63"/>
  <c r="X83" i="2"/>
  <c r="AJ83" i="2"/>
  <c r="AZ83" i="2"/>
  <c r="H54" i="2"/>
  <c r="H53" i="2" s="1"/>
  <c r="AN54" i="2"/>
  <c r="AN53" i="2" s="1"/>
  <c r="AR83" i="2"/>
  <c r="AQ167" i="63"/>
  <c r="G108" i="63"/>
  <c r="G152" i="63"/>
  <c r="G156" i="63"/>
  <c r="K153" i="63"/>
  <c r="O149" i="63"/>
  <c r="S151" i="63"/>
  <c r="S155" i="63"/>
  <c r="AA151" i="63"/>
  <c r="AA155" i="63"/>
  <c r="AI152" i="63"/>
  <c r="AI156" i="63"/>
  <c r="AM152" i="63"/>
  <c r="AM156" i="63"/>
  <c r="AQ152" i="63"/>
  <c r="AQ156" i="63"/>
  <c r="G149" i="63"/>
  <c r="K149" i="63"/>
  <c r="BF51" i="2"/>
  <c r="BF62" i="2" s="1"/>
  <c r="BE29" i="61"/>
  <c r="BF29" i="61" s="1"/>
  <c r="BE30" i="61"/>
  <c r="BF30" i="61" s="1"/>
  <c r="V34" i="61"/>
  <c r="BE48" i="61"/>
  <c r="BF48" i="61" s="1"/>
  <c r="BE62" i="61"/>
  <c r="BF62" i="61" s="1"/>
  <c r="BE28" i="61"/>
  <c r="BF28" i="61" s="1"/>
  <c r="BE35" i="61"/>
  <c r="BF35" i="61" s="1"/>
  <c r="BE36" i="61"/>
  <c r="BF36" i="61" s="1"/>
  <c r="BE47" i="61"/>
  <c r="BF47" i="61" s="1"/>
  <c r="BE56" i="61"/>
  <c r="BF56" i="61" s="1"/>
  <c r="Y58" i="61"/>
  <c r="Z58" i="61" s="1"/>
  <c r="AA58" i="61" s="1"/>
  <c r="CD58" i="61" s="1"/>
  <c r="CD168" i="61" s="1"/>
  <c r="AS58" i="61"/>
  <c r="AT58" i="61" s="1"/>
  <c r="BD179" i="61"/>
  <c r="D37" i="61"/>
  <c r="D110" i="61" s="1"/>
  <c r="D111" i="61" s="1"/>
  <c r="BD92" i="63"/>
  <c r="BE13" i="61"/>
  <c r="BF13" i="61" s="1"/>
  <c r="BE31" i="61"/>
  <c r="BF31" i="61" s="1"/>
  <c r="BE32" i="61"/>
  <c r="BF32" i="61" s="1"/>
  <c r="AR49" i="61"/>
  <c r="BD49" i="61"/>
  <c r="BE46" i="61"/>
  <c r="BF46" i="61" s="1"/>
  <c r="BE58" i="61"/>
  <c r="BF58" i="61" s="1"/>
  <c r="BE61" i="61"/>
  <c r="AG62" i="61"/>
  <c r="AH62" i="61" s="1"/>
  <c r="BE65" i="61"/>
  <c r="BF65" i="61" s="1"/>
  <c r="BA179" i="61"/>
  <c r="BE12" i="61"/>
  <c r="BE14" i="61"/>
  <c r="BF14" i="61" s="1"/>
  <c r="BE33" i="61"/>
  <c r="BF33" i="61" s="1"/>
  <c r="BB35" i="61"/>
  <c r="BC35" i="61" s="1"/>
  <c r="CK35" i="61" s="1"/>
  <c r="CK145" i="61" s="1"/>
  <c r="BE41" i="61"/>
  <c r="BF41" i="61" s="1"/>
  <c r="BE42" i="61"/>
  <c r="BF42" i="61" s="1"/>
  <c r="BE43" i="61"/>
  <c r="BF43" i="61" s="1"/>
  <c r="BE44" i="61"/>
  <c r="BF44" i="61" s="1"/>
  <c r="BE45" i="61"/>
  <c r="BF45" i="61" s="1"/>
  <c r="I58" i="61"/>
  <c r="AO58" i="61"/>
  <c r="AP58" i="61" s="1"/>
  <c r="AQ58" i="61" s="1"/>
  <c r="CH58" i="61" s="1"/>
  <c r="CH168" i="61" s="1"/>
  <c r="BE59" i="61"/>
  <c r="BF59" i="61" s="1"/>
  <c r="R62" i="61"/>
  <c r="S62" i="61" s="1"/>
  <c r="AX62" i="61"/>
  <c r="AY62" i="61" s="1"/>
  <c r="CN127" i="61"/>
  <c r="CO127" i="61" s="1"/>
  <c r="CP127" i="61" s="1"/>
  <c r="CN129" i="61"/>
  <c r="CO129" i="61" s="1"/>
  <c r="CP129" i="61" s="1"/>
  <c r="CN132" i="61"/>
  <c r="CO132" i="61" s="1"/>
  <c r="CP132" i="61" s="1"/>
  <c r="R31" i="61"/>
  <c r="S31" i="61" s="1"/>
  <c r="CB31" i="61" s="1"/>
  <c r="CB141" i="61" s="1"/>
  <c r="AO30" i="61"/>
  <c r="AP30" i="61" s="1"/>
  <c r="AQ30" i="61" s="1"/>
  <c r="CH30" i="61" s="1"/>
  <c r="CH140" i="61" s="1"/>
  <c r="E31" i="61"/>
  <c r="CN164" i="61"/>
  <c r="CO164" i="61" s="1"/>
  <c r="CP164" i="61" s="1"/>
  <c r="BG139" i="2"/>
  <c r="N28" i="61"/>
  <c r="O28" i="61" s="1"/>
  <c r="CA28" i="61" s="1"/>
  <c r="CA138" i="61" s="1"/>
  <c r="AX28" i="61"/>
  <c r="M29" i="61"/>
  <c r="AT29" i="61"/>
  <c r="AK31" i="61"/>
  <c r="AL31" i="61" s="1"/>
  <c r="AM31" i="61" s="1"/>
  <c r="CG31" i="61" s="1"/>
  <c r="CG141" i="61" s="1"/>
  <c r="I33" i="61"/>
  <c r="J33" i="61" s="1"/>
  <c r="K33" i="61" s="1"/>
  <c r="BZ33" i="61" s="1"/>
  <c r="BZ143" i="61" s="1"/>
  <c r="BF55" i="63"/>
  <c r="BE55" i="63"/>
  <c r="BU56" i="63" s="1"/>
  <c r="BE46" i="63"/>
  <c r="BF44" i="63"/>
  <c r="BV45" i="63" s="1"/>
  <c r="BF33" i="63"/>
  <c r="BE35" i="63"/>
  <c r="BE33" i="63"/>
  <c r="BF22" i="63"/>
  <c r="BE111" i="63"/>
  <c r="BE141" i="63"/>
  <c r="BE137" i="63"/>
  <c r="BE139" i="63"/>
  <c r="BE135" i="63"/>
  <c r="BE138" i="63"/>
  <c r="BE140" i="63"/>
  <c r="BE136" i="63"/>
  <c r="BE142" i="63"/>
  <c r="BF11" i="63"/>
  <c r="CN124" i="61"/>
  <c r="CO124" i="61" s="1"/>
  <c r="CP124" i="61" s="1"/>
  <c r="CN131" i="61"/>
  <c r="CO131" i="61" s="1"/>
  <c r="CP131" i="61" s="1"/>
  <c r="W62" i="61"/>
  <c r="CC62" i="61" s="1"/>
  <c r="CC172" i="61" s="1"/>
  <c r="G62" i="61"/>
  <c r="BY62" i="61" s="1"/>
  <c r="BY172" i="61" s="1"/>
  <c r="J34" i="61"/>
  <c r="K34" i="61" s="1"/>
  <c r="BZ34" i="61" s="1"/>
  <c r="BZ144" i="61" s="1"/>
  <c r="F47" i="61"/>
  <c r="G47" i="61" s="1"/>
  <c r="BY47" i="61" s="1"/>
  <c r="BY157" i="61" s="1"/>
  <c r="AL62" i="61"/>
  <c r="AM62" i="61" s="1"/>
  <c r="CN128" i="61"/>
  <c r="CO128" i="61" s="1"/>
  <c r="CP128" i="61" s="1"/>
  <c r="CN133" i="61"/>
  <c r="CO133" i="61" s="1"/>
  <c r="CP133" i="61" s="1"/>
  <c r="AP33" i="61"/>
  <c r="AQ33" i="61" s="1"/>
  <c r="CH33" i="61" s="1"/>
  <c r="CH143" i="61" s="1"/>
  <c r="CF105" i="61"/>
  <c r="CG105" i="61"/>
  <c r="CH105" i="61"/>
  <c r="CI105" i="61"/>
  <c r="CJ105" i="61"/>
  <c r="CK105" i="61"/>
  <c r="CN125" i="61"/>
  <c r="CO125" i="61" s="1"/>
  <c r="CP125" i="61" s="1"/>
  <c r="CN130" i="61"/>
  <c r="CO130" i="61" s="1"/>
  <c r="CP130" i="61" s="1"/>
  <c r="J30" i="61"/>
  <c r="AH32" i="61"/>
  <c r="BB60" i="61"/>
  <c r="BC60" i="61" s="1"/>
  <c r="CK60" i="61" s="1"/>
  <c r="CK170" i="61" s="1"/>
  <c r="X49" i="61"/>
  <c r="AF49" i="61"/>
  <c r="Q41" i="61"/>
  <c r="R41" i="61" s="1"/>
  <c r="S41" i="61" s="1"/>
  <c r="CB41" i="61" s="1"/>
  <c r="AS12" i="61"/>
  <c r="AT12" i="61" s="1"/>
  <c r="AW12" i="61"/>
  <c r="AX12" i="61" s="1"/>
  <c r="BE15" i="61"/>
  <c r="BF15" i="61" s="1"/>
  <c r="I28" i="61"/>
  <c r="J28" i="61" s="1"/>
  <c r="AG28" i="61"/>
  <c r="AH28" i="61" s="1"/>
  <c r="AI28" i="61" s="1"/>
  <c r="AS28" i="61"/>
  <c r="AT28" i="61" s="1"/>
  <c r="I29" i="61"/>
  <c r="J29" i="61" s="1"/>
  <c r="AO29" i="61"/>
  <c r="AP29" i="61" s="1"/>
  <c r="E30" i="61"/>
  <c r="F30" i="61" s="1"/>
  <c r="AK30" i="61"/>
  <c r="AL30" i="61" s="1"/>
  <c r="AM30" i="61" s="1"/>
  <c r="CG30" i="61" s="1"/>
  <c r="CG140" i="61" s="1"/>
  <c r="AG31" i="61"/>
  <c r="AH31" i="61" s="1"/>
  <c r="AI31" i="61" s="1"/>
  <c r="CF31" i="61" s="1"/>
  <c r="CF141" i="61" s="1"/>
  <c r="AC32" i="61"/>
  <c r="AD32" i="61" s="1"/>
  <c r="AC33" i="61"/>
  <c r="AD33" i="61" s="1"/>
  <c r="AE33" i="61" s="1"/>
  <c r="CE33" i="61" s="1"/>
  <c r="CE143" i="61" s="1"/>
  <c r="E34" i="61"/>
  <c r="F34" i="61" s="1"/>
  <c r="AO34" i="61"/>
  <c r="AP34" i="61" s="1"/>
  <c r="AK35" i="61"/>
  <c r="AL35" i="61" s="1"/>
  <c r="M40" i="61"/>
  <c r="T49" i="61"/>
  <c r="Y40" i="61"/>
  <c r="Z40" i="61" s="1"/>
  <c r="AG40" i="61"/>
  <c r="AH40" i="61" s="1"/>
  <c r="AH78" i="61" s="1"/>
  <c r="AH80" i="61" s="1"/>
  <c r="AS40" i="61"/>
  <c r="AZ49" i="61"/>
  <c r="BE40" i="61"/>
  <c r="BF40" i="61" s="1"/>
  <c r="I41" i="61"/>
  <c r="J41" i="61" s="1"/>
  <c r="AG41" i="61"/>
  <c r="AH41" i="61" s="1"/>
  <c r="AS41" i="61"/>
  <c r="AT41" i="61" s="1"/>
  <c r="AU41" i="61" s="1"/>
  <c r="AX58" i="61"/>
  <c r="AY58" i="61" s="1"/>
  <c r="CJ58" i="61" s="1"/>
  <c r="CJ168" i="61" s="1"/>
  <c r="BB17" i="61"/>
  <c r="CL18" i="61"/>
  <c r="CL128" i="61" s="1"/>
  <c r="AC28" i="61"/>
  <c r="AD28" i="61" s="1"/>
  <c r="AO28" i="61"/>
  <c r="AP28" i="61" s="1"/>
  <c r="AQ28" i="61" s="1"/>
  <c r="CH28" i="61" s="1"/>
  <c r="AC29" i="61"/>
  <c r="AD29" i="61" s="1"/>
  <c r="AE29" i="61" s="1"/>
  <c r="CE29" i="61" s="1"/>
  <c r="CE139" i="61" s="1"/>
  <c r="J40" i="61"/>
  <c r="J103" i="61" s="1"/>
  <c r="R40" i="61"/>
  <c r="S40" i="61" s="1"/>
  <c r="S78" i="61" s="1"/>
  <c r="S80" i="61" s="1"/>
  <c r="P49" i="61"/>
  <c r="U40" i="61"/>
  <c r="AB49" i="61"/>
  <c r="AP40" i="61"/>
  <c r="AP78" i="61" s="1"/>
  <c r="AP80" i="61" s="1"/>
  <c r="AN49" i="61"/>
  <c r="AX40" i="61"/>
  <c r="AY40" i="61" s="1"/>
  <c r="AY78" i="61" s="1"/>
  <c r="AY80" i="61" s="1"/>
  <c r="AV49" i="61"/>
  <c r="BA40" i="61"/>
  <c r="BB40" i="61" s="1"/>
  <c r="BB78" i="61" s="1"/>
  <c r="BB80" i="61" s="1"/>
  <c r="E41" i="61"/>
  <c r="N41" i="61"/>
  <c r="O41" i="61" s="1"/>
  <c r="CA41" i="61" s="1"/>
  <c r="U41" i="61"/>
  <c r="V41" i="61" s="1"/>
  <c r="AH58" i="61"/>
  <c r="AI58" i="61" s="1"/>
  <c r="CF58" i="61" s="1"/>
  <c r="CF168" i="61" s="1"/>
  <c r="F40" i="61"/>
  <c r="G40" i="61" s="1"/>
  <c r="D49" i="61"/>
  <c r="AL40" i="61"/>
  <c r="AM40" i="61" s="1"/>
  <c r="AM103" i="61" s="1"/>
  <c r="AJ49" i="61"/>
  <c r="AC41" i="61"/>
  <c r="AD41" i="61" s="1"/>
  <c r="BA41" i="61"/>
  <c r="BB41" i="61" s="1"/>
  <c r="R58" i="61"/>
  <c r="S58" i="61" s="1"/>
  <c r="CB58" i="61" s="1"/>
  <c r="CB168" i="61" s="1"/>
  <c r="O58" i="61"/>
  <c r="CA58" i="61" s="1"/>
  <c r="CA168" i="61" s="1"/>
  <c r="AE58" i="61"/>
  <c r="CE58" i="61" s="1"/>
  <c r="CE168" i="61" s="1"/>
  <c r="Z62" i="61"/>
  <c r="AA62" i="61" s="1"/>
  <c r="AP62" i="61"/>
  <c r="AQ62" i="61" s="1"/>
  <c r="AC43" i="61"/>
  <c r="AD43" i="61" s="1"/>
  <c r="AE43" i="61" s="1"/>
  <c r="AD45" i="61"/>
  <c r="AE45" i="61" s="1"/>
  <c r="CE45" i="61" s="1"/>
  <c r="CE155" i="61" s="1"/>
  <c r="AG45" i="61"/>
  <c r="AH45" i="61" s="1"/>
  <c r="AI45" i="61" s="1"/>
  <c r="CF45" i="61" s="1"/>
  <c r="CF155" i="61" s="1"/>
  <c r="AP45" i="61"/>
  <c r="BB45" i="61"/>
  <c r="BC45" i="61" s="1"/>
  <c r="CK45" i="61" s="1"/>
  <c r="CK155" i="61" s="1"/>
  <c r="I47" i="61"/>
  <c r="J47" i="61" s="1"/>
  <c r="Q47" i="61"/>
  <c r="R47" i="61" s="1"/>
  <c r="AC47" i="61"/>
  <c r="AD47" i="61" s="1"/>
  <c r="AE47" i="61" s="1"/>
  <c r="CE47" i="61" s="1"/>
  <c r="CE157" i="61" s="1"/>
  <c r="AO47" i="61"/>
  <c r="AP47" i="61" s="1"/>
  <c r="AQ47" i="61" s="1"/>
  <c r="CH47" i="61" s="1"/>
  <c r="CH157" i="61" s="1"/>
  <c r="AW47" i="61"/>
  <c r="AX47" i="61" s="1"/>
  <c r="AY47" i="61" s="1"/>
  <c r="CJ47" i="61" s="1"/>
  <c r="CJ157" i="61" s="1"/>
  <c r="AW56" i="61"/>
  <c r="AX56" i="61" s="1"/>
  <c r="K68" i="61"/>
  <c r="BZ68" i="61" s="1"/>
  <c r="BZ178" i="61" s="1"/>
  <c r="AA68" i="61"/>
  <c r="CD68" i="61" s="1"/>
  <c r="CD178" i="61" s="1"/>
  <c r="AQ68" i="61"/>
  <c r="CH68" i="61" s="1"/>
  <c r="CH178" i="61" s="1"/>
  <c r="S147" i="61"/>
  <c r="S179" i="61" s="1"/>
  <c r="AO41" i="61"/>
  <c r="AP41" i="61" s="1"/>
  <c r="AQ41" i="61" s="1"/>
  <c r="E43" i="61"/>
  <c r="F43" i="61" s="1"/>
  <c r="Q43" i="61"/>
  <c r="R43" i="61" s="1"/>
  <c r="S43" i="61" s="1"/>
  <c r="CB43" i="61" s="1"/>
  <c r="CB153" i="61" s="1"/>
  <c r="Y43" i="61"/>
  <c r="Z43" i="61" s="1"/>
  <c r="AK43" i="61"/>
  <c r="AL43" i="61" s="1"/>
  <c r="AM43" i="61" s="1"/>
  <c r="CG43" i="61" s="1"/>
  <c r="CG153" i="61" s="1"/>
  <c r="AW43" i="61"/>
  <c r="AX43" i="61" s="1"/>
  <c r="AY43" i="61" s="1"/>
  <c r="CJ43" i="61" s="1"/>
  <c r="CJ153" i="61" s="1"/>
  <c r="I45" i="61"/>
  <c r="J45" i="61" s="1"/>
  <c r="U45" i="61"/>
  <c r="V45" i="61" s="1"/>
  <c r="AK47" i="61"/>
  <c r="AL47" i="61" s="1"/>
  <c r="AM47" i="61" s="1"/>
  <c r="AT47" i="61"/>
  <c r="AU47" i="61" s="1"/>
  <c r="CI47" i="61" s="1"/>
  <c r="CI157" i="61" s="1"/>
  <c r="E58" i="61"/>
  <c r="U58" i="61"/>
  <c r="AK58" i="61"/>
  <c r="BA58" i="61"/>
  <c r="AO60" i="61"/>
  <c r="AS60" i="61"/>
  <c r="AT60" i="61" s="1"/>
  <c r="AW60" i="61"/>
  <c r="AC62" i="61"/>
  <c r="AS62" i="61"/>
  <c r="Z41" i="61"/>
  <c r="AA41" i="61" s="1"/>
  <c r="AK41" i="61"/>
  <c r="AW41" i="61"/>
  <c r="AX41" i="61" s="1"/>
  <c r="AY41" i="61" s="1"/>
  <c r="J43" i="61"/>
  <c r="K43" i="61" s="1"/>
  <c r="BZ43" i="61" s="1"/>
  <c r="BZ153" i="61" s="1"/>
  <c r="M43" i="61"/>
  <c r="V43" i="61"/>
  <c r="W43" i="61" s="1"/>
  <c r="CC43" i="61" s="1"/>
  <c r="CC153" i="61" s="1"/>
  <c r="AH43" i="61"/>
  <c r="AI43" i="61" s="1"/>
  <c r="CF43" i="61" s="1"/>
  <c r="CF153" i="61" s="1"/>
  <c r="AP43" i="61"/>
  <c r="AQ43" i="61" s="1"/>
  <c r="CH43" i="61" s="1"/>
  <c r="CH153" i="61" s="1"/>
  <c r="AS43" i="61"/>
  <c r="AT43" i="61" s="1"/>
  <c r="BB43" i="61"/>
  <c r="BC43" i="61" s="1"/>
  <c r="CK43" i="61" s="1"/>
  <c r="CK153" i="61" s="1"/>
  <c r="F45" i="61"/>
  <c r="G45" i="61" s="1"/>
  <c r="BY45" i="61" s="1"/>
  <c r="BY155" i="61" s="1"/>
  <c r="N45" i="61"/>
  <c r="O45" i="61" s="1"/>
  <c r="CA45" i="61" s="1"/>
  <c r="CA155" i="61" s="1"/>
  <c r="Q45" i="61"/>
  <c r="R45" i="61" s="1"/>
  <c r="Z45" i="61"/>
  <c r="AL45" i="61"/>
  <c r="AT45" i="61"/>
  <c r="AU45" i="61" s="1"/>
  <c r="CI45" i="61" s="1"/>
  <c r="CI155" i="61" s="1"/>
  <c r="AW45" i="61"/>
  <c r="M47" i="61"/>
  <c r="N47" i="61" s="1"/>
  <c r="O47" i="61" s="1"/>
  <c r="V47" i="61"/>
  <c r="W47" i="61" s="1"/>
  <c r="Y47" i="61"/>
  <c r="Z47" i="61" s="1"/>
  <c r="AA47" i="61" s="1"/>
  <c r="CD47" i="61" s="1"/>
  <c r="CD157" i="61" s="1"/>
  <c r="AG47" i="61"/>
  <c r="BB47" i="61"/>
  <c r="BC47" i="61" s="1"/>
  <c r="CK47" i="61" s="1"/>
  <c r="CK157" i="61" s="1"/>
  <c r="AO165" i="63"/>
  <c r="AO167" i="63" s="1"/>
  <c r="AO404" i="63"/>
  <c r="AS165" i="63"/>
  <c r="AS167" i="63" s="1"/>
  <c r="AS404" i="63"/>
  <c r="CE478" i="63"/>
  <c r="CE425" i="63"/>
  <c r="CE412" i="63"/>
  <c r="CC469" i="63"/>
  <c r="CC468" i="63"/>
  <c r="CC486" i="63" s="1"/>
  <c r="AE165" i="63"/>
  <c r="AE167" i="63" s="1"/>
  <c r="AE526" i="63"/>
  <c r="AE500" i="63"/>
  <c r="AI165" i="63"/>
  <c r="AI167" i="63" s="1"/>
  <c r="AI526" i="63"/>
  <c r="AI500" i="63"/>
  <c r="Y570" i="63"/>
  <c r="Y587" i="63"/>
  <c r="AG570" i="63"/>
  <c r="AG587" i="63"/>
  <c r="AK570" i="63"/>
  <c r="AK587" i="63"/>
  <c r="AE578" i="63"/>
  <c r="AE580" i="63"/>
  <c r="AI578" i="63"/>
  <c r="AI590" i="63" s="1"/>
  <c r="AI580" i="63"/>
  <c r="N165" i="63"/>
  <c r="N167" i="63" s="1"/>
  <c r="N614" i="63"/>
  <c r="N627" i="63"/>
  <c r="N601" i="63"/>
  <c r="R165" i="63"/>
  <c r="R167" i="63" s="1"/>
  <c r="R640" i="63"/>
  <c r="R614" i="63"/>
  <c r="R627" i="63"/>
  <c r="V165" i="63"/>
  <c r="V167" i="63" s="1"/>
  <c r="V653" i="63"/>
  <c r="V601" i="63"/>
  <c r="V640" i="63"/>
  <c r="V627" i="63"/>
  <c r="V614" i="63"/>
  <c r="Z685" i="63"/>
  <c r="Z653" i="63"/>
  <c r="Z601" i="63"/>
  <c r="Z640" i="63"/>
  <c r="Z627" i="63"/>
  <c r="V671" i="63"/>
  <c r="Z671" i="63"/>
  <c r="Z688" i="63"/>
  <c r="M679" i="63"/>
  <c r="M691" i="63" s="1"/>
  <c r="M680" i="63"/>
  <c r="Q682" i="63"/>
  <c r="U682" i="63"/>
  <c r="Y682" i="63"/>
  <c r="N681" i="63"/>
  <c r="S693" i="63"/>
  <c r="S685" i="63"/>
  <c r="T693" i="63"/>
  <c r="CH315" i="63"/>
  <c r="AO337" i="63"/>
  <c r="CH349" i="63"/>
  <c r="AK358" i="63"/>
  <c r="AO358" i="63"/>
  <c r="AL165" i="63"/>
  <c r="AL167" i="63" s="1"/>
  <c r="AL392" i="63"/>
  <c r="CE451" i="63"/>
  <c r="AJ463" i="63"/>
  <c r="AI478" i="63"/>
  <c r="AI479" i="63"/>
  <c r="AM478" i="63"/>
  <c r="CF562" i="63"/>
  <c r="CF513" i="63" s="1"/>
  <c r="CB604" i="63"/>
  <c r="Z614" i="63"/>
  <c r="N640" i="63"/>
  <c r="V688" i="63"/>
  <c r="AM310" i="63"/>
  <c r="AQ310" i="63"/>
  <c r="AU310" i="63"/>
  <c r="CI309" i="63"/>
  <c r="AL327" i="63"/>
  <c r="AP327" i="63"/>
  <c r="AT327" i="63"/>
  <c r="AQ341" i="63"/>
  <c r="CI340" i="63"/>
  <c r="AL358" i="63"/>
  <c r="AP358" i="63"/>
  <c r="AU165" i="63"/>
  <c r="AU167" i="63" s="1"/>
  <c r="AU404" i="63"/>
  <c r="CE392" i="63"/>
  <c r="AJ392" i="63"/>
  <c r="AW404" i="63"/>
  <c r="CE438" i="63"/>
  <c r="CD534" i="63"/>
  <c r="CC584" i="63"/>
  <c r="CC526" i="63"/>
  <c r="CC539" i="63"/>
  <c r="CC552" i="63"/>
  <c r="CC500" i="63"/>
  <c r="AI569" i="63"/>
  <c r="AI570" i="63" s="1"/>
  <c r="AE592" i="63"/>
  <c r="CE583" i="63"/>
  <c r="AC587" i="63"/>
  <c r="AF592" i="63"/>
  <c r="CC600" i="63"/>
  <c r="CA630" i="63"/>
  <c r="CC643" i="63"/>
  <c r="R671" i="63"/>
  <c r="R681" i="63"/>
  <c r="AO303" i="63"/>
  <c r="AS303" i="63"/>
  <c r="AS168" i="63" s="1"/>
  <c r="AW303" i="63"/>
  <c r="AJ310" i="63"/>
  <c r="AN310" i="63"/>
  <c r="AR310" i="63"/>
  <c r="AV310" i="63"/>
  <c r="AM327" i="63"/>
  <c r="AQ327" i="63"/>
  <c r="AU327" i="63"/>
  <c r="CI326" i="63"/>
  <c r="AW337" i="63"/>
  <c r="AJ341" i="63"/>
  <c r="AN341" i="63"/>
  <c r="AR341" i="63"/>
  <c r="AV341" i="63"/>
  <c r="AM358" i="63"/>
  <c r="AR387" i="63"/>
  <c r="AR392" i="63"/>
  <c r="CD377" i="63"/>
  <c r="CD395" i="63" s="1"/>
  <c r="CD375" i="63"/>
  <c r="AJ375" i="63"/>
  <c r="AP389" i="63"/>
  <c r="AT386" i="63"/>
  <c r="AT398" i="63" s="1"/>
  <c r="AT389" i="63"/>
  <c r="AP386" i="63"/>
  <c r="AP398" i="63" s="1"/>
  <c r="CE483" i="63"/>
  <c r="R601" i="63"/>
  <c r="CC622" i="63"/>
  <c r="CE389" i="63"/>
  <c r="AV388" i="63"/>
  <c r="CF441" i="63"/>
  <c r="CF454" i="63"/>
  <c r="AN463" i="63"/>
  <c r="CF465" i="63"/>
  <c r="CG465" i="63"/>
  <c r="CG468" i="63" s="1"/>
  <c r="CG486" i="63" s="1"/>
  <c r="AF478" i="63"/>
  <c r="AK479" i="63"/>
  <c r="AO479" i="63"/>
  <c r="CD480" i="63"/>
  <c r="AI477" i="63"/>
  <c r="AI489" i="63" s="1"/>
  <c r="AM477" i="63"/>
  <c r="AM489" i="63" s="1"/>
  <c r="AP480" i="63"/>
  <c r="CE512" i="63"/>
  <c r="CE520" i="63"/>
  <c r="CE533" i="63"/>
  <c r="CE542" i="63"/>
  <c r="CF546" i="63"/>
  <c r="AK563" i="63"/>
  <c r="AH564" i="63"/>
  <c r="AL579" i="63"/>
  <c r="AD581" i="63"/>
  <c r="AL581" i="63"/>
  <c r="AC584" i="63"/>
  <c r="AK584" i="63"/>
  <c r="CC608" i="63"/>
  <c r="CC621" i="63"/>
  <c r="CC626" i="63"/>
  <c r="CC660" i="63"/>
  <c r="P664" i="63"/>
  <c r="CB667" i="63"/>
  <c r="CB670" i="63" s="1"/>
  <c r="CB688" i="63" s="1"/>
  <c r="N680" i="63"/>
  <c r="R680" i="63"/>
  <c r="V680" i="63"/>
  <c r="Z680" i="63"/>
  <c r="V679" i="63"/>
  <c r="V691" i="63" s="1"/>
  <c r="V681" i="63"/>
  <c r="W694" i="63"/>
  <c r="AJ387" i="63"/>
  <c r="AN389" i="63"/>
  <c r="AV389" i="63"/>
  <c r="CF415" i="63"/>
  <c r="CF428" i="63"/>
  <c r="CG441" i="63"/>
  <c r="AK463" i="63"/>
  <c r="CE469" i="63"/>
  <c r="AG469" i="63"/>
  <c r="AK478" i="63"/>
  <c r="AO478" i="63"/>
  <c r="AK480" i="63"/>
  <c r="AK483" i="63"/>
  <c r="CE499" i="63"/>
  <c r="CD503" i="63"/>
  <c r="CE507" i="63"/>
  <c r="CF512" i="63"/>
  <c r="CE516" i="63"/>
  <c r="CF534" i="63"/>
  <c r="CF542" i="63"/>
  <c r="AC564" i="63"/>
  <c r="X579" i="63"/>
  <c r="AD584" i="63"/>
  <c r="CA643" i="63"/>
  <c r="CB648" i="63"/>
  <c r="CB661" i="63"/>
  <c r="S665" i="63"/>
  <c r="CC667" i="63"/>
  <c r="CC670" i="63" s="1"/>
  <c r="CC688" i="63" s="1"/>
  <c r="T681" i="63"/>
  <c r="N679" i="63"/>
  <c r="N691" i="63" s="1"/>
  <c r="Z681" i="63"/>
  <c r="O685" i="63"/>
  <c r="O725" i="63"/>
  <c r="CA725" i="63" s="1"/>
  <c r="K713" i="63"/>
  <c r="I747" i="63"/>
  <c r="AK387" i="63"/>
  <c r="AT388" i="63"/>
  <c r="CG428" i="63"/>
  <c r="AM463" i="63"/>
  <c r="CD463" i="63"/>
  <c r="AH479" i="63"/>
  <c r="CF473" i="63"/>
  <c r="AL480" i="63"/>
  <c r="CD508" i="63"/>
  <c r="CF516" i="63"/>
  <c r="CF538" i="63"/>
  <c r="AL563" i="63"/>
  <c r="AD564" i="63"/>
  <c r="AL564" i="63"/>
  <c r="AD579" i="63"/>
  <c r="AH581" i="63"/>
  <c r="AE593" i="63"/>
  <c r="X584" i="63"/>
  <c r="AG584" i="63"/>
  <c r="AI593" i="63"/>
  <c r="CA609" i="63"/>
  <c r="CC617" i="63"/>
  <c r="CB630" i="63"/>
  <c r="CA661" i="63"/>
  <c r="W665" i="63"/>
  <c r="L680" i="63"/>
  <c r="P682" i="63"/>
  <c r="T682" i="63"/>
  <c r="X682" i="63"/>
  <c r="R679" i="63"/>
  <c r="R691" i="63" s="1"/>
  <c r="Z679" i="63"/>
  <c r="Z691" i="63" s="1"/>
  <c r="S694" i="63"/>
  <c r="P693" i="63"/>
  <c r="BZ712" i="63"/>
  <c r="I742" i="63"/>
  <c r="N742" i="63"/>
  <c r="AS351" i="63"/>
  <c r="AS356" i="63" s="1"/>
  <c r="AS358" i="63" s="1"/>
  <c r="AW351" i="63"/>
  <c r="AW356" i="63" s="1"/>
  <c r="AW358" i="63" s="1"/>
  <c r="BY86" i="63"/>
  <c r="L81" i="2"/>
  <c r="AM94" i="2"/>
  <c r="AT351" i="63"/>
  <c r="AT361" i="63" s="1"/>
  <c r="AY317" i="63"/>
  <c r="AZ317" i="63" s="1"/>
  <c r="CC86" i="63"/>
  <c r="AV92" i="63"/>
  <c r="AQ351" i="63"/>
  <c r="AQ366" i="63" s="1"/>
  <c r="AJ167" i="63"/>
  <c r="G106" i="63"/>
  <c r="K106" i="63"/>
  <c r="O106" i="63"/>
  <c r="S106" i="63"/>
  <c r="W106" i="63"/>
  <c r="AA106" i="63"/>
  <c r="AE106" i="63"/>
  <c r="AI106" i="63"/>
  <c r="AM106" i="63"/>
  <c r="AQ106" i="63"/>
  <c r="AU106" i="63"/>
  <c r="AY106" i="63"/>
  <c r="G153" i="63"/>
  <c r="K154" i="63"/>
  <c r="O152" i="63"/>
  <c r="O156" i="63"/>
  <c r="S152" i="63"/>
  <c r="S156" i="63"/>
  <c r="W152" i="63"/>
  <c r="W156" i="63"/>
  <c r="AA152" i="63"/>
  <c r="AA156" i="63"/>
  <c r="AE152" i="63"/>
  <c r="AE156" i="63"/>
  <c r="AI153" i="63"/>
  <c r="AQ153" i="63"/>
  <c r="AI149" i="63"/>
  <c r="AE151" i="63"/>
  <c r="AT150" i="63"/>
  <c r="AT154" i="63"/>
  <c r="D54" i="2"/>
  <c r="D53" i="2" s="1"/>
  <c r="T54" i="2"/>
  <c r="AJ54" i="2"/>
  <c r="AJ53" i="2" s="1"/>
  <c r="AZ54" i="2"/>
  <c r="AZ53" i="2" s="1"/>
  <c r="AB81" i="2"/>
  <c r="F83" i="2"/>
  <c r="J83" i="2"/>
  <c r="N83" i="2"/>
  <c r="R83" i="2"/>
  <c r="V83" i="2"/>
  <c r="Z83" i="2"/>
  <c r="AD83" i="2"/>
  <c r="AH83" i="2"/>
  <c r="AL83" i="2"/>
  <c r="AP83" i="2"/>
  <c r="AT83" i="2"/>
  <c r="AX83" i="2"/>
  <c r="BB83" i="2"/>
  <c r="AG142" i="2"/>
  <c r="AO9" i="61"/>
  <c r="AP9" i="61" s="1"/>
  <c r="BZ86" i="63"/>
  <c r="CA86" i="63"/>
  <c r="CB86" i="63"/>
  <c r="CD86" i="63"/>
  <c r="CE86" i="63"/>
  <c r="CF86" i="63"/>
  <c r="CG86" i="63"/>
  <c r="AU351" i="63"/>
  <c r="AU356" i="63" s="1"/>
  <c r="AU358" i="63" s="1"/>
  <c r="AQ404" i="63"/>
  <c r="X167" i="63"/>
  <c r="G105" i="63"/>
  <c r="K105" i="63"/>
  <c r="O105" i="63"/>
  <c r="S105" i="63"/>
  <c r="W105" i="63"/>
  <c r="AA105" i="63"/>
  <c r="AE105" i="63"/>
  <c r="AI105" i="63"/>
  <c r="AM105" i="63"/>
  <c r="AQ105" i="63"/>
  <c r="AU105" i="63"/>
  <c r="AY105" i="63"/>
  <c r="K108" i="63"/>
  <c r="S108" i="63"/>
  <c r="O151" i="63"/>
  <c r="G150" i="63"/>
  <c r="G154" i="63"/>
  <c r="K150" i="63"/>
  <c r="K155" i="63"/>
  <c r="S153" i="63"/>
  <c r="W149" i="63"/>
  <c r="AA153" i="63"/>
  <c r="AI154" i="63"/>
  <c r="AM150" i="63"/>
  <c r="AM154" i="63"/>
  <c r="AQ150" i="63"/>
  <c r="AQ154" i="63"/>
  <c r="AA149" i="63"/>
  <c r="AT151" i="63"/>
  <c r="P54" i="2"/>
  <c r="P53" i="2" s="1"/>
  <c r="AF54" i="2"/>
  <c r="AF53" i="2" s="1"/>
  <c r="AV54" i="2"/>
  <c r="AV53" i="2" s="1"/>
  <c r="G83" i="2"/>
  <c r="K83" i="2"/>
  <c r="O83" i="2"/>
  <c r="S83" i="2"/>
  <c r="W83" i="2"/>
  <c r="AA83" i="2"/>
  <c r="AE83" i="2"/>
  <c r="AI83" i="2"/>
  <c r="AM83" i="2"/>
  <c r="AQ83" i="2"/>
  <c r="AU83" i="2"/>
  <c r="AY83" i="2"/>
  <c r="BC83" i="2"/>
  <c r="R94" i="2"/>
  <c r="Z9" i="61"/>
  <c r="AA9" i="61" s="1"/>
  <c r="AR351" i="63"/>
  <c r="AV351" i="63"/>
  <c r="AV361" i="63" s="1"/>
  <c r="CK86" i="63"/>
  <c r="L167" i="63"/>
  <c r="P167" i="63"/>
  <c r="T167" i="63"/>
  <c r="S104" i="63"/>
  <c r="AA104" i="63"/>
  <c r="AE104" i="63"/>
  <c r="AI104" i="63"/>
  <c r="AM104" i="63"/>
  <c r="AQ104" i="63"/>
  <c r="AU104" i="63"/>
  <c r="AY104" i="63"/>
  <c r="G151" i="63"/>
  <c r="G155" i="63"/>
  <c r="K152" i="63"/>
  <c r="K156" i="63"/>
  <c r="O154" i="63"/>
  <c r="S150" i="63"/>
  <c r="S154" i="63"/>
  <c r="W150" i="63"/>
  <c r="W154" i="63"/>
  <c r="AA150" i="63"/>
  <c r="AA154" i="63"/>
  <c r="AE150" i="63"/>
  <c r="AE154" i="63"/>
  <c r="AI150" i="63"/>
  <c r="AI155" i="63"/>
  <c r="AQ151" i="63"/>
  <c r="AQ155" i="63"/>
  <c r="E123" i="63"/>
  <c r="E102" i="63"/>
  <c r="I123" i="63"/>
  <c r="I102" i="63"/>
  <c r="M148" i="63"/>
  <c r="M123" i="63"/>
  <c r="M134" i="63"/>
  <c r="M102" i="63"/>
  <c r="Q148" i="63"/>
  <c r="Q134" i="63"/>
  <c r="Q123" i="63"/>
  <c r="Q102" i="63"/>
  <c r="U134" i="63"/>
  <c r="U148" i="63"/>
  <c r="U123" i="63"/>
  <c r="U102" i="63"/>
  <c r="Y148" i="63"/>
  <c r="Y134" i="63"/>
  <c r="Y123" i="63"/>
  <c r="Y102" i="63"/>
  <c r="AC148" i="63"/>
  <c r="AC123" i="63"/>
  <c r="AC102" i="63"/>
  <c r="AC134" i="63"/>
  <c r="AG148" i="63"/>
  <c r="AG134" i="63"/>
  <c r="AG123" i="63"/>
  <c r="AG102" i="63"/>
  <c r="AK148" i="63"/>
  <c r="AK134" i="63"/>
  <c r="AK123" i="63"/>
  <c r="AK102" i="63"/>
  <c r="AO148" i="63"/>
  <c r="AO134" i="63"/>
  <c r="AO123" i="63"/>
  <c r="AO102" i="63"/>
  <c r="AS134" i="63"/>
  <c r="AS148" i="63"/>
  <c r="AS123" i="63"/>
  <c r="AS102" i="63"/>
  <c r="AW134" i="63"/>
  <c r="AW148" i="63"/>
  <c r="AW123" i="63"/>
  <c r="AW102" i="63"/>
  <c r="BA148" i="63"/>
  <c r="BA134" i="63"/>
  <c r="BA123" i="63"/>
  <c r="BA102" i="63"/>
  <c r="BE134" i="63"/>
  <c r="BE148" i="63"/>
  <c r="BE123" i="63"/>
  <c r="BE102" i="63"/>
  <c r="BI148" i="63"/>
  <c r="BI134" i="63"/>
  <c r="BI123" i="63"/>
  <c r="BI102" i="63"/>
  <c r="BM134" i="63"/>
  <c r="BM148" i="63"/>
  <c r="BM123" i="63"/>
  <c r="BM102" i="63"/>
  <c r="CK10" i="63"/>
  <c r="BD13" i="63"/>
  <c r="CA148" i="63"/>
  <c r="CA134" i="63"/>
  <c r="CA102" i="63"/>
  <c r="CA123" i="63"/>
  <c r="CE148" i="63"/>
  <c r="CE102" i="63"/>
  <c r="CE134" i="63"/>
  <c r="CE123" i="63"/>
  <c r="CI148" i="63"/>
  <c r="CI134" i="63"/>
  <c r="CI102" i="63"/>
  <c r="CI123" i="63"/>
  <c r="CM148" i="63"/>
  <c r="CM102" i="63"/>
  <c r="CM134" i="63"/>
  <c r="CM123" i="63"/>
  <c r="BB11" i="63"/>
  <c r="CL10" i="63"/>
  <c r="G123" i="63"/>
  <c r="G102" i="63"/>
  <c r="K123" i="63"/>
  <c r="K102" i="63"/>
  <c r="O148" i="63"/>
  <c r="O134" i="63"/>
  <c r="O123" i="63"/>
  <c r="O102" i="63"/>
  <c r="S148" i="63"/>
  <c r="S134" i="63"/>
  <c r="S123" i="63"/>
  <c r="S102" i="63"/>
  <c r="W148" i="63"/>
  <c r="W134" i="63"/>
  <c r="W123" i="63"/>
  <c r="W102" i="63"/>
  <c r="AA148" i="63"/>
  <c r="AA134" i="63"/>
  <c r="AA123" i="63"/>
  <c r="AA102" i="63"/>
  <c r="AE148" i="63"/>
  <c r="AE134" i="63"/>
  <c r="AE123" i="63"/>
  <c r="AE102" i="63"/>
  <c r="AI148" i="63"/>
  <c r="AI123" i="63"/>
  <c r="AI134" i="63"/>
  <c r="AI102" i="63"/>
  <c r="AM148" i="63"/>
  <c r="AM134" i="63"/>
  <c r="AM123" i="63"/>
  <c r="AM102" i="63"/>
  <c r="AQ148" i="63"/>
  <c r="AQ123" i="63"/>
  <c r="AQ134" i="63"/>
  <c r="AQ102" i="63"/>
  <c r="AU148" i="63"/>
  <c r="AU134" i="63"/>
  <c r="AU123" i="63"/>
  <c r="AU102" i="63"/>
  <c r="AY134" i="63"/>
  <c r="AY148" i="63"/>
  <c r="AY123" i="63"/>
  <c r="AY102" i="63"/>
  <c r="BC134" i="63"/>
  <c r="BC148" i="63"/>
  <c r="BC123" i="63"/>
  <c r="BC102" i="63"/>
  <c r="BG102" i="63"/>
  <c r="BK148" i="63"/>
  <c r="BK134" i="63"/>
  <c r="BK123" i="63"/>
  <c r="BK102" i="63"/>
  <c r="BO134" i="63"/>
  <c r="BO148" i="63"/>
  <c r="BO123" i="63"/>
  <c r="BO102" i="63"/>
  <c r="BY102" i="63"/>
  <c r="BY123" i="63"/>
  <c r="CC148" i="63"/>
  <c r="CC102" i="63"/>
  <c r="CC134" i="63"/>
  <c r="CC123" i="63"/>
  <c r="CG148" i="63"/>
  <c r="CG102" i="63"/>
  <c r="CG134" i="63"/>
  <c r="CG123" i="63"/>
  <c r="CK148" i="63"/>
  <c r="CK102" i="63"/>
  <c r="CK134" i="63"/>
  <c r="CK123" i="63"/>
  <c r="F102" i="63"/>
  <c r="F123" i="63"/>
  <c r="J102" i="63"/>
  <c r="J123" i="63"/>
  <c r="N148" i="63"/>
  <c r="N134" i="63"/>
  <c r="N102" i="63"/>
  <c r="N123" i="63"/>
  <c r="R148" i="63"/>
  <c r="R102" i="63"/>
  <c r="R134" i="63"/>
  <c r="R123" i="63"/>
  <c r="V148" i="63"/>
  <c r="V134" i="63"/>
  <c r="V102" i="63"/>
  <c r="V123" i="63"/>
  <c r="Z148" i="63"/>
  <c r="Z102" i="63"/>
  <c r="Z134" i="63"/>
  <c r="Z123" i="63"/>
  <c r="AD148" i="63"/>
  <c r="AD134" i="63"/>
  <c r="AD102" i="63"/>
  <c r="AD123" i="63"/>
  <c r="AH102" i="63"/>
  <c r="AH148" i="63"/>
  <c r="AH134" i="63"/>
  <c r="AH123" i="63"/>
  <c r="AL148" i="63"/>
  <c r="AL134" i="63"/>
  <c r="AL102" i="63"/>
  <c r="AL123" i="63"/>
  <c r="AP134" i="63"/>
  <c r="AP102" i="63"/>
  <c r="AP148" i="63"/>
  <c r="AP123" i="63"/>
  <c r="AT148" i="63"/>
  <c r="AT102" i="63"/>
  <c r="AT134" i="63"/>
  <c r="AT123" i="63"/>
  <c r="AX148" i="63"/>
  <c r="AX102" i="63"/>
  <c r="AX123" i="63"/>
  <c r="AX134" i="63"/>
  <c r="BB102" i="63"/>
  <c r="BB148" i="63"/>
  <c r="BB134" i="63"/>
  <c r="BB123" i="63"/>
  <c r="BF148" i="63"/>
  <c r="BF102" i="63"/>
  <c r="BF134" i="63"/>
  <c r="BF123" i="63"/>
  <c r="BJ148" i="63"/>
  <c r="BJ102" i="63"/>
  <c r="BJ134" i="63"/>
  <c r="BJ123" i="63"/>
  <c r="BN148" i="63"/>
  <c r="BN102" i="63"/>
  <c r="BN123" i="63"/>
  <c r="BN134" i="63"/>
  <c r="BZ123" i="63"/>
  <c r="BZ102" i="63"/>
  <c r="CD148" i="63"/>
  <c r="CD134" i="63"/>
  <c r="CD123" i="63"/>
  <c r="CD102" i="63"/>
  <c r="CH134" i="63"/>
  <c r="CH148" i="63"/>
  <c r="CH123" i="63"/>
  <c r="CH102" i="63"/>
  <c r="CL148" i="63"/>
  <c r="CL134" i="63"/>
  <c r="CL123" i="63"/>
  <c r="CL102" i="63"/>
  <c r="BA11" i="63"/>
  <c r="BE13" i="63"/>
  <c r="BE11" i="63"/>
  <c r="BU12" i="63" s="1"/>
  <c r="BC33" i="63"/>
  <c r="BC55" i="63"/>
  <c r="D76" i="63"/>
  <c r="AZ76" i="63"/>
  <c r="BA44" i="63"/>
  <c r="BD76" i="63"/>
  <c r="BH79" i="63" s="1"/>
  <c r="BE44" i="63"/>
  <c r="BU45" i="63" s="1"/>
  <c r="BD44" i="63"/>
  <c r="D102" i="63"/>
  <c r="D123" i="63"/>
  <c r="H102" i="63"/>
  <c r="H123" i="63"/>
  <c r="L148" i="63"/>
  <c r="L134" i="63"/>
  <c r="L102" i="63"/>
  <c r="L123" i="63"/>
  <c r="P148" i="63"/>
  <c r="P134" i="63"/>
  <c r="P102" i="63"/>
  <c r="P123" i="63"/>
  <c r="T148" i="63"/>
  <c r="T134" i="63"/>
  <c r="T102" i="63"/>
  <c r="T123" i="63"/>
  <c r="X148" i="63"/>
  <c r="X102" i="63"/>
  <c r="X134" i="63"/>
  <c r="X123" i="63"/>
  <c r="AB148" i="63"/>
  <c r="AB134" i="63"/>
  <c r="AB102" i="63"/>
  <c r="AB123" i="63"/>
  <c r="AF134" i="63"/>
  <c r="AF148" i="63"/>
  <c r="AF102" i="63"/>
  <c r="AF123" i="63"/>
  <c r="AJ148" i="63"/>
  <c r="AJ134" i="63"/>
  <c r="AJ102" i="63"/>
  <c r="AJ123" i="63"/>
  <c r="AN148" i="63"/>
  <c r="AN102" i="63"/>
  <c r="AN134" i="63"/>
  <c r="AN123" i="63"/>
  <c r="AR148" i="63"/>
  <c r="AR134" i="63"/>
  <c r="AR102" i="63"/>
  <c r="AR123" i="63"/>
  <c r="AV148" i="63"/>
  <c r="AV134" i="63"/>
  <c r="AV102" i="63"/>
  <c r="AV123" i="63"/>
  <c r="AZ148" i="63"/>
  <c r="AZ134" i="63"/>
  <c r="AZ102" i="63"/>
  <c r="AZ123" i="63"/>
  <c r="BD148" i="63"/>
  <c r="BD134" i="63"/>
  <c r="BD102" i="63"/>
  <c r="BD123" i="63"/>
  <c r="BH148" i="63"/>
  <c r="BH134" i="63"/>
  <c r="BH102" i="63"/>
  <c r="BH123" i="63"/>
  <c r="BL148" i="63"/>
  <c r="BL134" i="63"/>
  <c r="BL102" i="63"/>
  <c r="BL123" i="63"/>
  <c r="CB134" i="63"/>
  <c r="CB123" i="63"/>
  <c r="CB148" i="63"/>
  <c r="CB102" i="63"/>
  <c r="CF134" i="63"/>
  <c r="CF148" i="63"/>
  <c r="CF123" i="63"/>
  <c r="CF102" i="63"/>
  <c r="CJ134" i="63"/>
  <c r="CJ148" i="63"/>
  <c r="CJ123" i="63"/>
  <c r="CJ102" i="63"/>
  <c r="BC11" i="63"/>
  <c r="BE24" i="63"/>
  <c r="BC22" i="63"/>
  <c r="CL32" i="63"/>
  <c r="CK43" i="63"/>
  <c r="BB55" i="63"/>
  <c r="BE57" i="63"/>
  <c r="BD46" i="63"/>
  <c r="BE71" i="63"/>
  <c r="BD22" i="63"/>
  <c r="BD33" i="63"/>
  <c r="BD35" i="63"/>
  <c r="BC76" i="63"/>
  <c r="CK54" i="63"/>
  <c r="CK21" i="63"/>
  <c r="CK32" i="63"/>
  <c r="BB33" i="63"/>
  <c r="BA76" i="63"/>
  <c r="BE76" i="63"/>
  <c r="BI79" i="63" s="1"/>
  <c r="BC44" i="63"/>
  <c r="CH86" i="63"/>
  <c r="CJ86" i="63"/>
  <c r="CI86" i="63"/>
  <c r="D96" i="63"/>
  <c r="CI306" i="63"/>
  <c r="CG323" i="63"/>
  <c r="CG344" i="63"/>
  <c r="AX317" i="63"/>
  <c r="AX351" i="63"/>
  <c r="AY334" i="63"/>
  <c r="AX300" i="63"/>
  <c r="AX334" i="63"/>
  <c r="BB128" i="63"/>
  <c r="BB126" i="63"/>
  <c r="BB127" i="63"/>
  <c r="BB125" i="63"/>
  <c r="BB124" i="63"/>
  <c r="BB351" i="63"/>
  <c r="BB317" i="63"/>
  <c r="BB300" i="63"/>
  <c r="BB334" i="63"/>
  <c r="CI302" i="63"/>
  <c r="CI315" i="63"/>
  <c r="AK327" i="63"/>
  <c r="AO327" i="63"/>
  <c r="AS327" i="63"/>
  <c r="AW327" i="63"/>
  <c r="CG332" i="63"/>
  <c r="CG336" i="63"/>
  <c r="AY300" i="63"/>
  <c r="CG306" i="63"/>
  <c r="CI323" i="63"/>
  <c r="AK341" i="63"/>
  <c r="AO341" i="63"/>
  <c r="CI339" i="63"/>
  <c r="AS341" i="63"/>
  <c r="AW341" i="63"/>
  <c r="CI344" i="63"/>
  <c r="AY351" i="63"/>
  <c r="AS378" i="63"/>
  <c r="AS395" i="63"/>
  <c r="AW395" i="63"/>
  <c r="AW378" i="63"/>
  <c r="AN486" i="63"/>
  <c r="AN469" i="63"/>
  <c r="AZ128" i="63"/>
  <c r="AZ125" i="63"/>
  <c r="AZ126" i="63"/>
  <c r="AZ124" i="63"/>
  <c r="AZ127" i="63"/>
  <c r="BD127" i="63"/>
  <c r="BD124" i="63"/>
  <c r="BD126" i="63"/>
  <c r="BD125" i="63"/>
  <c r="BD128" i="63"/>
  <c r="AL90" i="63"/>
  <c r="CI308" i="63"/>
  <c r="AS310" i="63"/>
  <c r="CG315" i="63"/>
  <c r="CI319" i="63"/>
  <c r="CI332" i="63"/>
  <c r="BA127" i="63"/>
  <c r="BA125" i="63"/>
  <c r="BA126" i="63"/>
  <c r="BA124" i="63"/>
  <c r="BA128" i="63"/>
  <c r="BE128" i="63"/>
  <c r="BE125" i="63"/>
  <c r="BE126" i="63"/>
  <c r="BE124" i="63"/>
  <c r="BE127" i="63"/>
  <c r="CI314" i="63"/>
  <c r="CH319" i="63"/>
  <c r="CF331" i="63"/>
  <c r="CH336" i="63"/>
  <c r="AP337" i="63"/>
  <c r="CG349" i="63"/>
  <c r="CH348" i="63"/>
  <c r="AN369" i="63"/>
  <c r="AV369" i="63"/>
  <c r="AN370" i="63"/>
  <c r="AV370" i="63"/>
  <c r="CD354" i="63"/>
  <c r="AJ395" i="63"/>
  <c r="AJ378" i="63"/>
  <c r="CH372" i="63"/>
  <c r="AV395" i="63"/>
  <c r="AV378" i="63"/>
  <c r="CI372" i="63"/>
  <c r="AK377" i="63"/>
  <c r="AM378" i="63"/>
  <c r="CH380" i="63"/>
  <c r="CG380" i="63"/>
  <c r="CF386" i="63"/>
  <c r="CD392" i="63"/>
  <c r="AL398" i="63"/>
  <c r="CG415" i="63"/>
  <c r="CF420" i="63"/>
  <c r="CF419" i="63"/>
  <c r="CG445" i="63"/>
  <c r="CF446" i="63"/>
  <c r="CF445" i="63"/>
  <c r="CG459" i="63"/>
  <c r="CG450" i="63"/>
  <c r="CG454" i="63"/>
  <c r="AI469" i="63"/>
  <c r="AM486" i="63"/>
  <c r="AM469" i="63"/>
  <c r="CI357" i="63"/>
  <c r="AM165" i="63"/>
  <c r="AM167" i="63" s="1"/>
  <c r="AM303" i="63"/>
  <c r="AM369" i="63"/>
  <c r="AM337" i="63"/>
  <c r="AM320" i="63"/>
  <c r="AP165" i="63"/>
  <c r="AP167" i="63" s="1"/>
  <c r="AP404" i="63"/>
  <c r="AT165" i="63"/>
  <c r="AT167" i="63" s="1"/>
  <c r="AT404" i="63"/>
  <c r="AP369" i="63"/>
  <c r="AP370" i="63"/>
  <c r="AK386" i="63"/>
  <c r="AK388" i="63"/>
  <c r="AO389" i="63"/>
  <c r="AO387" i="63"/>
  <c r="AO388" i="63"/>
  <c r="AO386" i="63"/>
  <c r="AS389" i="63"/>
  <c r="AS387" i="63"/>
  <c r="AS388" i="63"/>
  <c r="AS386" i="63"/>
  <c r="AW389" i="63"/>
  <c r="AW387" i="63"/>
  <c r="AW388" i="63"/>
  <c r="AW386" i="63"/>
  <c r="CI380" i="63"/>
  <c r="AM387" i="63"/>
  <c r="AP387" i="63"/>
  <c r="AM392" i="63"/>
  <c r="CG411" i="63"/>
  <c r="CF433" i="63"/>
  <c r="CF432" i="63"/>
  <c r="AL483" i="63"/>
  <c r="AL462" i="63"/>
  <c r="AL463" i="63"/>
  <c r="AP483" i="63"/>
  <c r="AP462" i="63"/>
  <c r="AP463" i="63"/>
  <c r="CF468" i="63"/>
  <c r="CF486" i="63" s="1"/>
  <c r="CD469" i="63"/>
  <c r="CD468" i="63"/>
  <c r="CD486" i="63" s="1"/>
  <c r="BC126" i="63"/>
  <c r="BC124" i="63"/>
  <c r="BC128" i="63"/>
  <c r="BC127" i="63"/>
  <c r="BC125" i="63"/>
  <c r="CH302" i="63"/>
  <c r="CF332" i="63"/>
  <c r="CI349" i="63"/>
  <c r="AL369" i="63"/>
  <c r="AR369" i="63"/>
  <c r="AR370" i="63"/>
  <c r="AL395" i="63"/>
  <c r="AL378" i="63"/>
  <c r="AP395" i="63"/>
  <c r="AP378" i="63"/>
  <c r="CE375" i="63"/>
  <c r="CE378" i="63"/>
  <c r="AO377" i="63"/>
  <c r="CD378" i="63"/>
  <c r="AL388" i="63"/>
  <c r="AP388" i="63"/>
  <c r="CD387" i="63"/>
  <c r="AQ392" i="63"/>
  <c r="AR400" i="63"/>
  <c r="AT392" i="63"/>
  <c r="CD398" i="63"/>
  <c r="AQ400" i="63"/>
  <c r="AL412" i="63"/>
  <c r="AP412" i="63"/>
  <c r="CG424" i="63"/>
  <c r="CG432" i="63"/>
  <c r="AM462" i="63"/>
  <c r="CD451" i="63"/>
  <c r="CD438" i="63"/>
  <c r="CD483" i="63"/>
  <c r="AF468" i="63"/>
  <c r="AK469" i="63"/>
  <c r="AK165" i="63"/>
  <c r="AK167" i="63" s="1"/>
  <c r="AK369" i="63"/>
  <c r="AK337" i="63"/>
  <c r="AK320" i="63"/>
  <c r="AK392" i="63"/>
  <c r="AK303" i="63"/>
  <c r="AN165" i="63"/>
  <c r="AN167" i="63" s="1"/>
  <c r="AN404" i="63"/>
  <c r="AR165" i="63"/>
  <c r="AR167" i="63" s="1"/>
  <c r="AR404" i="63"/>
  <c r="CI368" i="63"/>
  <c r="CI303" i="63" s="1"/>
  <c r="AV165" i="63"/>
  <c r="AV167" i="63" s="1"/>
  <c r="AV404" i="63"/>
  <c r="AT369" i="63"/>
  <c r="AT370" i="63"/>
  <c r="CH368" i="63"/>
  <c r="CG372" i="63"/>
  <c r="AM375" i="63"/>
  <c r="CF375" i="63"/>
  <c r="AM388" i="63"/>
  <c r="AM386" i="63"/>
  <c r="AQ388" i="63"/>
  <c r="AQ386" i="63"/>
  <c r="AQ398" i="63" s="1"/>
  <c r="AQ389" i="63"/>
  <c r="AQ387" i="63"/>
  <c r="AU388" i="63"/>
  <c r="AU386" i="63"/>
  <c r="AU389" i="63"/>
  <c r="AU387" i="63"/>
  <c r="CE387" i="63"/>
  <c r="CE386" i="63"/>
  <c r="AT387" i="63"/>
  <c r="AR388" i="63"/>
  <c r="CH391" i="63"/>
  <c r="CI400" i="63" s="1"/>
  <c r="AN392" i="63"/>
  <c r="AV392" i="63"/>
  <c r="AR398" i="63"/>
  <c r="AQ401" i="63"/>
  <c r="AU401" i="63"/>
  <c r="AM404" i="63"/>
  <c r="AL425" i="63"/>
  <c r="AP425" i="63"/>
  <c r="CG446" i="63"/>
  <c r="CG437" i="63"/>
  <c r="AL451" i="63"/>
  <c r="AP451" i="63"/>
  <c r="CG458" i="63"/>
  <c r="CF459" i="63"/>
  <c r="CF458" i="63"/>
  <c r="AG478" i="63"/>
  <c r="AG462" i="63"/>
  <c r="AG438" i="63"/>
  <c r="AG425" i="63"/>
  <c r="AG412" i="63"/>
  <c r="CF461" i="63"/>
  <c r="AG483" i="63"/>
  <c r="AH486" i="63"/>
  <c r="AH469" i="63"/>
  <c r="AL486" i="63"/>
  <c r="AL469" i="63"/>
  <c r="AP486" i="63"/>
  <c r="AP469" i="63"/>
  <c r="AJ468" i="63"/>
  <c r="AO469" i="63"/>
  <c r="CH314" i="63"/>
  <c r="CI325" i="63"/>
  <c r="CG331" i="63"/>
  <c r="CI348" i="63"/>
  <c r="AQ369" i="63"/>
  <c r="AU369" i="63"/>
  <c r="AQ370" i="63"/>
  <c r="AU370" i="63"/>
  <c r="CG368" i="63"/>
  <c r="CG320" i="63" s="1"/>
  <c r="CE370" i="63"/>
  <c r="AQ375" i="63"/>
  <c r="AR375" i="63" s="1"/>
  <c r="AN377" i="63"/>
  <c r="CG391" i="63"/>
  <c r="AO392" i="63"/>
  <c r="AS392" i="63"/>
  <c r="AW392" i="63"/>
  <c r="AN400" i="63"/>
  <c r="AL404" i="63"/>
  <c r="AI412" i="63"/>
  <c r="AI425" i="63"/>
  <c r="AI438" i="63"/>
  <c r="AI462" i="63"/>
  <c r="AJ462" i="63"/>
  <c r="AN462" i="63"/>
  <c r="AO463" i="63"/>
  <c r="CE463" i="63"/>
  <c r="CG473" i="63"/>
  <c r="AH477" i="63"/>
  <c r="AH489" i="63" s="1"/>
  <c r="AJ477" i="63"/>
  <c r="AJ489" i="63" s="1"/>
  <c r="AN477" i="63"/>
  <c r="AN489" i="63" s="1"/>
  <c r="AL479" i="63"/>
  <c r="AP479" i="63"/>
  <c r="AM480" i="63"/>
  <c r="CC477" i="63"/>
  <c r="CC489" i="63" s="1"/>
  <c r="AF477" i="63"/>
  <c r="AF489" i="63" s="1"/>
  <c r="CG492" i="63"/>
  <c r="CF500" i="63"/>
  <c r="CE508" i="63"/>
  <c r="CF507" i="63"/>
  <c r="CD516" i="63"/>
  <c r="CF520" i="63"/>
  <c r="CD521" i="63"/>
  <c r="CE525" i="63"/>
  <c r="CF529" i="63"/>
  <c r="CE546" i="63"/>
  <c r="CE547" i="63"/>
  <c r="AB165" i="63"/>
  <c r="AB167" i="63" s="1"/>
  <c r="AB584" i="63"/>
  <c r="AB564" i="63"/>
  <c r="AB539" i="63"/>
  <c r="AB168" i="63" s="1"/>
  <c r="CE562" i="63"/>
  <c r="CE500" i="63" s="1"/>
  <c r="AB563" i="63"/>
  <c r="AF165" i="63"/>
  <c r="AF167" i="63" s="1"/>
  <c r="AF584" i="63"/>
  <c r="AF564" i="63"/>
  <c r="AF539" i="63"/>
  <c r="AF563" i="63"/>
  <c r="AJ584" i="63"/>
  <c r="AJ564" i="63"/>
  <c r="AJ539" i="63"/>
  <c r="AJ563" i="63"/>
  <c r="AJ552" i="63"/>
  <c r="AG563" i="63"/>
  <c r="AE569" i="63"/>
  <c r="AE570" i="63" s="1"/>
  <c r="AB579" i="63"/>
  <c r="AF579" i="63"/>
  <c r="AJ579" i="63"/>
  <c r="CE572" i="63"/>
  <c r="AE590" i="63"/>
  <c r="N688" i="63"/>
  <c r="N671" i="63"/>
  <c r="AK462" i="63"/>
  <c r="AO462" i="63"/>
  <c r="CF471" i="63"/>
  <c r="AG479" i="63"/>
  <c r="AL478" i="63"/>
  <c r="AP478" i="63"/>
  <c r="AM479" i="63"/>
  <c r="AJ480" i="63"/>
  <c r="AN480" i="63"/>
  <c r="CD477" i="63"/>
  <c r="CD489" i="63" s="1"/>
  <c r="CD478" i="63"/>
  <c r="CF483" i="63"/>
  <c r="AI483" i="63"/>
  <c r="Z168" i="63"/>
  <c r="CE521" i="63"/>
  <c r="CF533" i="63"/>
  <c r="CC587" i="63"/>
  <c r="CC570" i="63"/>
  <c r="AA587" i="63"/>
  <c r="AA570" i="63"/>
  <c r="Y578" i="63"/>
  <c r="Y590" i="63" s="1"/>
  <c r="Y579" i="63"/>
  <c r="AC580" i="63"/>
  <c r="AC581" i="63"/>
  <c r="AD580" i="63"/>
  <c r="AC579" i="63"/>
  <c r="AG580" i="63"/>
  <c r="AG581" i="63"/>
  <c r="AH580" i="63"/>
  <c r="AG579" i="63"/>
  <c r="AK580" i="63"/>
  <c r="AK581" i="63"/>
  <c r="AL580" i="63"/>
  <c r="AK579" i="63"/>
  <c r="AG578" i="63"/>
  <c r="AG590" i="63" s="1"/>
  <c r="AB592" i="63"/>
  <c r="AA592" i="63"/>
  <c r="AA584" i="63"/>
  <c r="CD583" i="63"/>
  <c r="CF589" i="63"/>
  <c r="O688" i="63"/>
  <c r="O671" i="63"/>
  <c r="CF314" i="63"/>
  <c r="CI331" i="63"/>
  <c r="CG348" i="63"/>
  <c r="AO369" i="63"/>
  <c r="AS369" i="63"/>
  <c r="AW369" i="63"/>
  <c r="AO370" i="63"/>
  <c r="AS370" i="63"/>
  <c r="AW370" i="63"/>
  <c r="AL387" i="63"/>
  <c r="AU392" i="63"/>
  <c r="AJ404" i="63"/>
  <c r="CG461" i="63"/>
  <c r="CG471" i="63"/>
  <c r="AJ479" i="63"/>
  <c r="AN479" i="63"/>
  <c r="CE480" i="63"/>
  <c r="CF499" i="63"/>
  <c r="AA500" i="63"/>
  <c r="AB569" i="63"/>
  <c r="CE566" i="63"/>
  <c r="CF566" i="63"/>
  <c r="CF569" i="63" s="1"/>
  <c r="AF569" i="63"/>
  <c r="CD566" i="63"/>
  <c r="X570" i="63"/>
  <c r="Z580" i="63"/>
  <c r="AA578" i="63"/>
  <c r="AA590" i="63" s="1"/>
  <c r="AK578" i="63"/>
  <c r="AK590" i="63" s="1"/>
  <c r="CB609" i="63"/>
  <c r="CB600" i="63"/>
  <c r="CB608" i="63"/>
  <c r="CA622" i="63"/>
  <c r="CB613" i="63"/>
  <c r="CA617" i="63"/>
  <c r="L688" i="63"/>
  <c r="L671" i="63"/>
  <c r="T688" i="63"/>
  <c r="T671" i="63"/>
  <c r="X688" i="63"/>
  <c r="X671" i="63"/>
  <c r="AJ478" i="63"/>
  <c r="AN478" i="63"/>
  <c r="CD538" i="63"/>
  <c r="CE538" i="63"/>
  <c r="CD547" i="63"/>
  <c r="CD546" i="63"/>
  <c r="AA165" i="63"/>
  <c r="AA167" i="63" s="1"/>
  <c r="AA539" i="63"/>
  <c r="AA513" i="63"/>
  <c r="AA563" i="63"/>
  <c r="CD572" i="63"/>
  <c r="AA579" i="63"/>
  <c r="AB578" i="63"/>
  <c r="AB590" i="63" s="1"/>
  <c r="AF578" i="63"/>
  <c r="AF590" i="63" s="1"/>
  <c r="AJ578" i="63"/>
  <c r="AJ590" i="63" s="1"/>
  <c r="AE581" i="63"/>
  <c r="AI581" i="63"/>
  <c r="CC578" i="63"/>
  <c r="CC590" i="63" s="1"/>
  <c r="Y584" i="63"/>
  <c r="CC609" i="63"/>
  <c r="Q614" i="63"/>
  <c r="U614" i="63"/>
  <c r="Y614" i="63"/>
  <c r="CB622" i="63"/>
  <c r="L627" i="63"/>
  <c r="CC634" i="63"/>
  <c r="CA635" i="63"/>
  <c r="CC639" i="63"/>
  <c r="CB647" i="63"/>
  <c r="CB652" i="63"/>
  <c r="N653" i="63"/>
  <c r="CC661" i="63"/>
  <c r="Q664" i="63"/>
  <c r="U664" i="63"/>
  <c r="Y664" i="63"/>
  <c r="R665" i="63"/>
  <c r="V665" i="63"/>
  <c r="Z665" i="63"/>
  <c r="P670" i="63"/>
  <c r="M671" i="63"/>
  <c r="Q671" i="63"/>
  <c r="U671" i="63"/>
  <c r="Y671" i="63"/>
  <c r="O679" i="63"/>
  <c r="O691" i="63" s="1"/>
  <c r="M681" i="63"/>
  <c r="S679" i="63"/>
  <c r="S691" i="63" s="1"/>
  <c r="W679" i="63"/>
  <c r="W691" i="63" s="1"/>
  <c r="P680" i="63"/>
  <c r="T680" i="63"/>
  <c r="X680" i="63"/>
  <c r="Q681" i="63"/>
  <c r="U681" i="63"/>
  <c r="Y681" i="63"/>
  <c r="R682" i="63"/>
  <c r="V682" i="63"/>
  <c r="Z682" i="63"/>
  <c r="N685" i="63"/>
  <c r="R685" i="63"/>
  <c r="V685" i="63"/>
  <c r="O693" i="63"/>
  <c r="W693" i="63"/>
  <c r="CA699" i="63"/>
  <c r="L700" i="63"/>
  <c r="O735" i="63"/>
  <c r="CA735" i="63" s="1"/>
  <c r="O723" i="63"/>
  <c r="CA720" i="63"/>
  <c r="L747" i="63"/>
  <c r="L727" i="63"/>
  <c r="L715" i="63"/>
  <c r="M726" i="63"/>
  <c r="I741" i="63"/>
  <c r="I753" i="63" s="1"/>
  <c r="J743" i="63"/>
  <c r="O756" i="63"/>
  <c r="K755" i="63"/>
  <c r="M747" i="63"/>
  <c r="CC647" i="63"/>
  <c r="CC652" i="63"/>
  <c r="CB660" i="63"/>
  <c r="M664" i="63"/>
  <c r="R664" i="63"/>
  <c r="V664" i="63"/>
  <c r="Z664" i="63"/>
  <c r="CA663" i="63"/>
  <c r="CA614" i="63" s="1"/>
  <c r="CA667" i="63"/>
  <c r="CA673" i="63"/>
  <c r="Q680" i="63"/>
  <c r="U680" i="63"/>
  <c r="Y680" i="63"/>
  <c r="S682" i="63"/>
  <c r="W682" i="63"/>
  <c r="W685" i="63"/>
  <c r="X693" i="63"/>
  <c r="K710" i="63"/>
  <c r="J165" i="63"/>
  <c r="J167" i="63" s="1"/>
  <c r="J726" i="63"/>
  <c r="M742" i="63"/>
  <c r="M741" i="63"/>
  <c r="M753" i="63" s="1"/>
  <c r="AE513" i="63"/>
  <c r="AI513" i="63"/>
  <c r="Y526" i="63"/>
  <c r="Y168" i="63" s="1"/>
  <c r="CE534" i="63"/>
  <c r="AE539" i="63"/>
  <c r="AI539" i="63"/>
  <c r="CF547" i="63"/>
  <c r="AL552" i="63"/>
  <c r="Y563" i="63"/>
  <c r="AD563" i="63"/>
  <c r="AH563" i="63"/>
  <c r="AE564" i="63"/>
  <c r="AI564" i="63"/>
  <c r="CF572" i="63"/>
  <c r="AE579" i="63"/>
  <c r="AI579" i="63"/>
  <c r="AB580" i="63"/>
  <c r="AF580" i="63"/>
  <c r="AJ580" i="63"/>
  <c r="CF583" i="63"/>
  <c r="AE584" i="63"/>
  <c r="AI584" i="63"/>
  <c r="CE586" i="63"/>
  <c r="Z587" i="63"/>
  <c r="AD587" i="63"/>
  <c r="AH587" i="63"/>
  <c r="AL587" i="63"/>
  <c r="AI592" i="63"/>
  <c r="L601" i="63"/>
  <c r="CB621" i="63"/>
  <c r="CB626" i="63"/>
  <c r="Q640" i="63"/>
  <c r="U640" i="63"/>
  <c r="Y640" i="63"/>
  <c r="L653" i="63"/>
  <c r="N664" i="63"/>
  <c r="S664" i="63"/>
  <c r="W664" i="63"/>
  <c r="P665" i="63"/>
  <c r="T665" i="63"/>
  <c r="CB663" i="63"/>
  <c r="CB673" i="63"/>
  <c r="O681" i="63"/>
  <c r="Q679" i="63"/>
  <c r="Q691" i="63" s="1"/>
  <c r="U679" i="63"/>
  <c r="U691" i="63" s="1"/>
  <c r="Y679" i="63"/>
  <c r="Y691" i="63" s="1"/>
  <c r="S681" i="63"/>
  <c r="W681" i="63"/>
  <c r="L685" i="63"/>
  <c r="P685" i="63"/>
  <c r="T685" i="63"/>
  <c r="M702" i="63"/>
  <c r="K708" i="63"/>
  <c r="BZ707" i="63"/>
  <c r="O713" i="63"/>
  <c r="O714" i="63"/>
  <c r="K725" i="63"/>
  <c r="N727" i="63"/>
  <c r="M727" i="63"/>
  <c r="N743" i="63"/>
  <c r="J742" i="63"/>
  <c r="N744" i="63" s="1"/>
  <c r="N741" i="63"/>
  <c r="N753" i="63" s="1"/>
  <c r="M743" i="63"/>
  <c r="H742" i="63"/>
  <c r="J747" i="63"/>
  <c r="CB143" i="63"/>
  <c r="Z563" i="63"/>
  <c r="AE563" i="63"/>
  <c r="AI563" i="63"/>
  <c r="CD562" i="63"/>
  <c r="CD539" i="63" s="1"/>
  <c r="Z579" i="63"/>
  <c r="CF586" i="63"/>
  <c r="M168" i="63"/>
  <c r="Q601" i="63"/>
  <c r="U601" i="63"/>
  <c r="Y601" i="63"/>
  <c r="L614" i="63"/>
  <c r="Q653" i="63"/>
  <c r="U653" i="63"/>
  <c r="Y653" i="63"/>
  <c r="O664" i="63"/>
  <c r="T664" i="63"/>
  <c r="X664" i="63"/>
  <c r="Q665" i="63"/>
  <c r="U665" i="63"/>
  <c r="Y665" i="63"/>
  <c r="CC663" i="63"/>
  <c r="CC614" i="63" s="1"/>
  <c r="CC673" i="63"/>
  <c r="O680" i="63"/>
  <c r="S680" i="63"/>
  <c r="W680" i="63"/>
  <c r="M685" i="63"/>
  <c r="Q685" i="63"/>
  <c r="U685" i="63"/>
  <c r="BZ699" i="63"/>
  <c r="K700" i="63"/>
  <c r="J702" i="63"/>
  <c r="J168" i="63" s="1"/>
  <c r="O709" i="63"/>
  <c r="O708" i="63"/>
  <c r="CA712" i="63"/>
  <c r="K735" i="63"/>
  <c r="K723" i="63"/>
  <c r="L721" i="63"/>
  <c r="BZ720" i="63"/>
  <c r="K721" i="63"/>
  <c r="H165" i="63"/>
  <c r="H167" i="63" s="1"/>
  <c r="H747" i="63"/>
  <c r="H715" i="63"/>
  <c r="H168" i="63" s="1"/>
  <c r="I726" i="63"/>
  <c r="I743" i="63"/>
  <c r="BC138" i="63"/>
  <c r="BC140" i="63"/>
  <c r="BC136" i="63"/>
  <c r="BC142" i="63"/>
  <c r="BC139" i="63"/>
  <c r="BC111" i="63"/>
  <c r="BC135" i="63"/>
  <c r="BC141" i="63"/>
  <c r="BC137" i="63"/>
  <c r="F130" i="63"/>
  <c r="F108" i="63"/>
  <c r="J130" i="63"/>
  <c r="J108" i="63"/>
  <c r="N130" i="63"/>
  <c r="N108" i="63"/>
  <c r="R130" i="63"/>
  <c r="R108" i="63"/>
  <c r="V130" i="63"/>
  <c r="V108" i="63"/>
  <c r="H130" i="63"/>
  <c r="H108" i="63"/>
  <c r="L130" i="63"/>
  <c r="L108" i="63"/>
  <c r="P130" i="63"/>
  <c r="P108" i="63"/>
  <c r="T130" i="63"/>
  <c r="T108" i="63"/>
  <c r="X130" i="63"/>
  <c r="X108" i="63"/>
  <c r="L742" i="63"/>
  <c r="L741" i="63"/>
  <c r="L753" i="63" s="1"/>
  <c r="CD138" i="63"/>
  <c r="CF140" i="63"/>
  <c r="CD142" i="63"/>
  <c r="G143" i="63"/>
  <c r="G145" i="63" s="1"/>
  <c r="O155" i="63"/>
  <c r="CA141" i="63"/>
  <c r="AA143" i="63"/>
  <c r="AA145" i="63" s="1"/>
  <c r="AE143" i="63"/>
  <c r="AE145" i="63" s="1"/>
  <c r="CE135" i="63"/>
  <c r="AE153" i="63"/>
  <c r="CE139" i="63"/>
  <c r="AM143" i="63"/>
  <c r="AM145" i="63" s="1"/>
  <c r="CG135" i="63"/>
  <c r="AM153" i="63"/>
  <c r="CG139" i="63"/>
  <c r="AE149" i="63"/>
  <c r="AM149" i="63"/>
  <c r="H151" i="63"/>
  <c r="K137" i="63"/>
  <c r="K143" i="63" s="1"/>
  <c r="K145" i="63" s="1"/>
  <c r="M151" i="63"/>
  <c r="CA137" i="63"/>
  <c r="W151" i="63"/>
  <c r="CC137" i="63"/>
  <c r="W155" i="63"/>
  <c r="CC141" i="63"/>
  <c r="AS143" i="63"/>
  <c r="AS145" i="63" s="1"/>
  <c r="BA143" i="63"/>
  <c r="BA156" i="63" s="1"/>
  <c r="N726" i="63"/>
  <c r="BD142" i="63"/>
  <c r="BD139" i="63"/>
  <c r="BD135" i="63"/>
  <c r="BD141" i="63"/>
  <c r="BD137" i="63"/>
  <c r="BD136" i="63"/>
  <c r="CD136" i="63"/>
  <c r="CF138" i="63"/>
  <c r="BZ140" i="63"/>
  <c r="CD140" i="63"/>
  <c r="CF142" i="63"/>
  <c r="O153" i="63"/>
  <c r="CA139" i="63"/>
  <c r="AE155" i="63"/>
  <c r="CE141" i="63"/>
  <c r="AM151" i="63"/>
  <c r="CG137" i="63"/>
  <c r="AM155" i="63"/>
  <c r="CG141" i="63"/>
  <c r="H143" i="63"/>
  <c r="H145" i="63" s="1"/>
  <c r="AF151" i="63"/>
  <c r="AI137" i="63"/>
  <c r="AI151" i="63" s="1"/>
  <c r="CA135" i="63"/>
  <c r="W143" i="63"/>
  <c r="W145" i="63" s="1"/>
  <c r="CC135" i="63"/>
  <c r="W153" i="63"/>
  <c r="CC139" i="63"/>
  <c r="J143" i="63"/>
  <c r="J145" i="63" s="1"/>
  <c r="AZ154" i="63"/>
  <c r="AZ152" i="63"/>
  <c r="AZ150" i="63"/>
  <c r="AZ155" i="63"/>
  <c r="AZ153" i="63"/>
  <c r="AZ151" i="63"/>
  <c r="AZ149" i="63"/>
  <c r="AZ145" i="63"/>
  <c r="CH143" i="63"/>
  <c r="M143" i="63"/>
  <c r="M145" i="63" s="1"/>
  <c r="O136" i="63"/>
  <c r="AZ156" i="63"/>
  <c r="I96" i="61"/>
  <c r="I93" i="61"/>
  <c r="J11" i="61"/>
  <c r="J138" i="1" s="1"/>
  <c r="J139" i="1" s="1"/>
  <c r="AW96" i="61"/>
  <c r="AX11" i="61"/>
  <c r="AL9" i="61"/>
  <c r="AM9" i="61" s="1"/>
  <c r="J19" i="61"/>
  <c r="D117" i="61"/>
  <c r="D77" i="61"/>
  <c r="D92" i="61" s="1"/>
  <c r="D100" i="61" s="1"/>
  <c r="H117" i="61"/>
  <c r="H77" i="61"/>
  <c r="H92" i="61" s="1"/>
  <c r="H100" i="61" s="1"/>
  <c r="L117" i="61"/>
  <c r="L77" i="61"/>
  <c r="L92" i="61" s="1"/>
  <c r="L100" i="61" s="1"/>
  <c r="P117" i="61"/>
  <c r="P77" i="61"/>
  <c r="P92" i="61" s="1"/>
  <c r="P100" i="61" s="1"/>
  <c r="T117" i="61"/>
  <c r="T77" i="61"/>
  <c r="T92" i="61" s="1"/>
  <c r="T100" i="61" s="1"/>
  <c r="X117" i="61"/>
  <c r="X77" i="61"/>
  <c r="X92" i="61" s="1"/>
  <c r="X100" i="61" s="1"/>
  <c r="AB117" i="61"/>
  <c r="AB77" i="61"/>
  <c r="AB92" i="61" s="1"/>
  <c r="AB100" i="61" s="1"/>
  <c r="AF117" i="61"/>
  <c r="AF77" i="61"/>
  <c r="AF92" i="61" s="1"/>
  <c r="AF100" i="61" s="1"/>
  <c r="AJ117" i="61"/>
  <c r="AJ77" i="61"/>
  <c r="AJ92" i="61" s="1"/>
  <c r="AJ100" i="61" s="1"/>
  <c r="AN117" i="61"/>
  <c r="AN77" i="61"/>
  <c r="AN92" i="61" s="1"/>
  <c r="AN100" i="61" s="1"/>
  <c r="AR117" i="61"/>
  <c r="AR77" i="61"/>
  <c r="AR92" i="61" s="1"/>
  <c r="AR100" i="61" s="1"/>
  <c r="AV117" i="61"/>
  <c r="AV77" i="61"/>
  <c r="AV92" i="61" s="1"/>
  <c r="AV100" i="61" s="1"/>
  <c r="AZ117" i="61"/>
  <c r="AZ77" i="61"/>
  <c r="AZ92" i="61" s="1"/>
  <c r="AZ100" i="61" s="1"/>
  <c r="BD117" i="61"/>
  <c r="BD77" i="61"/>
  <c r="BD92" i="61" s="1"/>
  <c r="BD100" i="61" s="1"/>
  <c r="BH117" i="61"/>
  <c r="BH77" i="61"/>
  <c r="BH92" i="61" s="1"/>
  <c r="BH100" i="61" s="1"/>
  <c r="BL117" i="61"/>
  <c r="BL77" i="61"/>
  <c r="BL92" i="61" s="1"/>
  <c r="BL100" i="61" s="1"/>
  <c r="BY117" i="61"/>
  <c r="BY77" i="61"/>
  <c r="BY92" i="61" s="1"/>
  <c r="BY100" i="61" s="1"/>
  <c r="CC117" i="61"/>
  <c r="CC77" i="61"/>
  <c r="CC92" i="61" s="1"/>
  <c r="CC100" i="61" s="1"/>
  <c r="CG117" i="61"/>
  <c r="CG77" i="61"/>
  <c r="CG92" i="61" s="1"/>
  <c r="CG100" i="61" s="1"/>
  <c r="CK117" i="61"/>
  <c r="CK77" i="61"/>
  <c r="CK92" i="61" s="1"/>
  <c r="CK100" i="61" s="1"/>
  <c r="E9" i="61"/>
  <c r="J9" i="61"/>
  <c r="K9" i="61" s="1"/>
  <c r="U9" i="61"/>
  <c r="BA9" i="61"/>
  <c r="E11" i="61"/>
  <c r="E138" i="1" s="1"/>
  <c r="E139" i="1" s="1"/>
  <c r="E14" i="61"/>
  <c r="F14" i="61" s="1"/>
  <c r="F17" i="61"/>
  <c r="G17" i="61" s="1"/>
  <c r="BY17" i="61" s="1"/>
  <c r="BY127" i="61" s="1"/>
  <c r="F20" i="61"/>
  <c r="G20" i="61" s="1"/>
  <c r="E22" i="61"/>
  <c r="F22" i="61" s="1"/>
  <c r="G24" i="61"/>
  <c r="BY24" i="61" s="1"/>
  <c r="BY134" i="61" s="1"/>
  <c r="M11" i="61"/>
  <c r="M138" i="1" s="1"/>
  <c r="M139" i="1" s="1"/>
  <c r="M19" i="61"/>
  <c r="N19" i="61" s="1"/>
  <c r="V12" i="61"/>
  <c r="W12" i="61" s="1"/>
  <c r="U14" i="61"/>
  <c r="V14" i="61" s="1"/>
  <c r="V17" i="61"/>
  <c r="U19" i="61"/>
  <c r="V19" i="61" s="1"/>
  <c r="U22" i="61"/>
  <c r="V22" i="61" s="1"/>
  <c r="V25" i="61"/>
  <c r="W25" i="61" s="1"/>
  <c r="Z12" i="61"/>
  <c r="AA12" i="61" s="1"/>
  <c r="CD12" i="61" s="1"/>
  <c r="CD122" i="61" s="1"/>
  <c r="Z20" i="61"/>
  <c r="AA20" i="61" s="1"/>
  <c r="Y22" i="61"/>
  <c r="Z22" i="61" s="1"/>
  <c r="AC11" i="61"/>
  <c r="AC138" i="1" s="1"/>
  <c r="AC139" i="1" s="1"/>
  <c r="AC19" i="61"/>
  <c r="AD19" i="61" s="1"/>
  <c r="AK14" i="61"/>
  <c r="AM16" i="61"/>
  <c r="CG16" i="61" s="1"/>
  <c r="CG126" i="61" s="1"/>
  <c r="AL17" i="61"/>
  <c r="AM17" i="61" s="1"/>
  <c r="AK22" i="61"/>
  <c r="AL22" i="61" s="1"/>
  <c r="AP12" i="61"/>
  <c r="AQ12" i="61" s="1"/>
  <c r="CH12" i="61" s="1"/>
  <c r="CH122" i="61" s="1"/>
  <c r="AS19" i="61"/>
  <c r="AT19" i="61" s="1"/>
  <c r="AW18" i="61"/>
  <c r="AX18" i="61" s="1"/>
  <c r="AY18" i="61" s="1"/>
  <c r="AX22" i="61"/>
  <c r="AY22" i="61" s="1"/>
  <c r="CJ22" i="61" s="1"/>
  <c r="CJ132" i="61" s="1"/>
  <c r="AW26" i="61"/>
  <c r="BB14" i="61"/>
  <c r="BC14" i="61" s="1"/>
  <c r="BC16" i="61"/>
  <c r="CK16" i="61" s="1"/>
  <c r="CK126" i="61" s="1"/>
  <c r="BA18" i="61"/>
  <c r="BB18" i="61" s="1"/>
  <c r="BB22" i="61"/>
  <c r="BC22" i="61" s="1"/>
  <c r="CK22" i="61" s="1"/>
  <c r="CK132" i="61" s="1"/>
  <c r="BA26" i="61"/>
  <c r="CM12" i="61"/>
  <c r="CM122" i="61" s="1"/>
  <c r="BL122" i="61"/>
  <c r="BM122" i="61" s="1"/>
  <c r="BN122" i="61" s="1"/>
  <c r="BO122" i="61" s="1"/>
  <c r="CN12" i="61"/>
  <c r="F28" i="61"/>
  <c r="E117" i="61"/>
  <c r="E77" i="61"/>
  <c r="E92" i="61" s="1"/>
  <c r="E100" i="61" s="1"/>
  <c r="I117" i="61"/>
  <c r="I77" i="61"/>
  <c r="I92" i="61" s="1"/>
  <c r="I100" i="61" s="1"/>
  <c r="M117" i="61"/>
  <c r="M77" i="61"/>
  <c r="M92" i="61" s="1"/>
  <c r="M100" i="61" s="1"/>
  <c r="Q117" i="61"/>
  <c r="Q77" i="61"/>
  <c r="Q92" i="61" s="1"/>
  <c r="Q100" i="61" s="1"/>
  <c r="U117" i="61"/>
  <c r="U77" i="61"/>
  <c r="U92" i="61" s="1"/>
  <c r="U100" i="61" s="1"/>
  <c r="Y117" i="61"/>
  <c r="Y77" i="61"/>
  <c r="Y92" i="61" s="1"/>
  <c r="Y100" i="61" s="1"/>
  <c r="AC117" i="61"/>
  <c r="AC77" i="61"/>
  <c r="AC92" i="61" s="1"/>
  <c r="AC100" i="61" s="1"/>
  <c r="AG117" i="61"/>
  <c r="AG77" i="61"/>
  <c r="AG92" i="61" s="1"/>
  <c r="AG100" i="61" s="1"/>
  <c r="AK117" i="61"/>
  <c r="AK77" i="61"/>
  <c r="AK92" i="61" s="1"/>
  <c r="AK100" i="61" s="1"/>
  <c r="AO117" i="61"/>
  <c r="AO77" i="61"/>
  <c r="AO92" i="61" s="1"/>
  <c r="AO100" i="61" s="1"/>
  <c r="AS117" i="61"/>
  <c r="AS77" i="61"/>
  <c r="AS92" i="61" s="1"/>
  <c r="AS100" i="61" s="1"/>
  <c r="AW117" i="61"/>
  <c r="AW77" i="61"/>
  <c r="AW92" i="61" s="1"/>
  <c r="AW100" i="61" s="1"/>
  <c r="BA117" i="61"/>
  <c r="BA77" i="61"/>
  <c r="BA92" i="61" s="1"/>
  <c r="BA100" i="61" s="1"/>
  <c r="BE117" i="61"/>
  <c r="BE77" i="61"/>
  <c r="BE92" i="61" s="1"/>
  <c r="BE100" i="61" s="1"/>
  <c r="BI117" i="61"/>
  <c r="BI77" i="61"/>
  <c r="BI92" i="61" s="1"/>
  <c r="BI100" i="61" s="1"/>
  <c r="BM117" i="61"/>
  <c r="BM77" i="61"/>
  <c r="BM92" i="61" s="1"/>
  <c r="BM100" i="61" s="1"/>
  <c r="BZ117" i="61"/>
  <c r="BZ77" i="61"/>
  <c r="BZ92" i="61" s="1"/>
  <c r="BZ100" i="61" s="1"/>
  <c r="CD117" i="61"/>
  <c r="CD77" i="61"/>
  <c r="CD92" i="61" s="1"/>
  <c r="CD100" i="61" s="1"/>
  <c r="CH117" i="61"/>
  <c r="CH77" i="61"/>
  <c r="CH92" i="61" s="1"/>
  <c r="CH100" i="61" s="1"/>
  <c r="CL117" i="61"/>
  <c r="CL77" i="61"/>
  <c r="CL92" i="61" s="1"/>
  <c r="CL100" i="61" s="1"/>
  <c r="L37" i="61"/>
  <c r="L108" i="61" s="1"/>
  <c r="AB37" i="61"/>
  <c r="AB108" i="61" s="1"/>
  <c r="E13" i="61"/>
  <c r="F13" i="61" s="1"/>
  <c r="E21" i="61"/>
  <c r="F21" i="61" s="1"/>
  <c r="M13" i="61"/>
  <c r="M81" i="61" s="1"/>
  <c r="M21" i="61"/>
  <c r="N21" i="61" s="1"/>
  <c r="Q13" i="61"/>
  <c r="Q21" i="61"/>
  <c r="R21" i="61" s="1"/>
  <c r="U13" i="61"/>
  <c r="V13" i="61" s="1"/>
  <c r="W13" i="61" s="1"/>
  <c r="U21" i="61"/>
  <c r="V21" i="61" s="1"/>
  <c r="Y13" i="61"/>
  <c r="Z13" i="61" s="1"/>
  <c r="Z81" i="61" s="1"/>
  <c r="Y21" i="61"/>
  <c r="Z21" i="61" s="1"/>
  <c r="AC13" i="61"/>
  <c r="AD13" i="61" s="1"/>
  <c r="AC21" i="61"/>
  <c r="AD21" i="61" s="1"/>
  <c r="AG13" i="61"/>
  <c r="AG21" i="61"/>
  <c r="AH21" i="61" s="1"/>
  <c r="AK13" i="61"/>
  <c r="AL13" i="61" s="1"/>
  <c r="AM13" i="61" s="1"/>
  <c r="AK21" i="61"/>
  <c r="AS13" i="61"/>
  <c r="AT13" i="61" s="1"/>
  <c r="AS21" i="61"/>
  <c r="AW13" i="61"/>
  <c r="AZ96" i="61"/>
  <c r="AZ93" i="61"/>
  <c r="BB24" i="61"/>
  <c r="BD96" i="61"/>
  <c r="BD93" i="61"/>
  <c r="CL26" i="61"/>
  <c r="CL136" i="61" s="1"/>
  <c r="V29" i="61"/>
  <c r="W29" i="61" s="1"/>
  <c r="BB29" i="61"/>
  <c r="AH30" i="61"/>
  <c r="AI30" i="61" s="1"/>
  <c r="N31" i="61"/>
  <c r="O31" i="61" s="1"/>
  <c r="CA31" i="61" s="1"/>
  <c r="CA141" i="61" s="1"/>
  <c r="AT31" i="61"/>
  <c r="AU31" i="61" s="1"/>
  <c r="CI31" i="61" s="1"/>
  <c r="CI141" i="61" s="1"/>
  <c r="Z32" i="61"/>
  <c r="AA32" i="61" s="1"/>
  <c r="F33" i="61"/>
  <c r="AL33" i="61"/>
  <c r="AM33" i="61" s="1"/>
  <c r="CG33" i="61" s="1"/>
  <c r="CG143" i="61" s="1"/>
  <c r="R34" i="61"/>
  <c r="M52" i="61"/>
  <c r="N52" i="61" s="1"/>
  <c r="L63" i="61"/>
  <c r="AC52" i="61"/>
  <c r="AD52" i="61" s="1"/>
  <c r="AE52" i="61" s="1"/>
  <c r="AB63" i="61"/>
  <c r="AS52" i="61"/>
  <c r="AR63" i="61"/>
  <c r="F117" i="61"/>
  <c r="F77" i="61"/>
  <c r="F92" i="61" s="1"/>
  <c r="F100" i="61" s="1"/>
  <c r="J117" i="61"/>
  <c r="J77" i="61"/>
  <c r="J92" i="61" s="1"/>
  <c r="J100" i="61" s="1"/>
  <c r="N117" i="61"/>
  <c r="N77" i="61"/>
  <c r="N92" i="61" s="1"/>
  <c r="N100" i="61" s="1"/>
  <c r="R117" i="61"/>
  <c r="R77" i="61"/>
  <c r="R92" i="61" s="1"/>
  <c r="R100" i="61" s="1"/>
  <c r="V117" i="61"/>
  <c r="V77" i="61"/>
  <c r="V92" i="61" s="1"/>
  <c r="V100" i="61" s="1"/>
  <c r="Z117" i="61"/>
  <c r="Z77" i="61"/>
  <c r="Z92" i="61" s="1"/>
  <c r="Z100" i="61" s="1"/>
  <c r="AD117" i="61"/>
  <c r="AD77" i="61"/>
  <c r="AD92" i="61" s="1"/>
  <c r="AD100" i="61" s="1"/>
  <c r="AH117" i="61"/>
  <c r="AH77" i="61"/>
  <c r="AH92" i="61" s="1"/>
  <c r="AH100" i="61" s="1"/>
  <c r="AL117" i="61"/>
  <c r="AL77" i="61"/>
  <c r="AL92" i="61" s="1"/>
  <c r="AL100" i="61" s="1"/>
  <c r="AP117" i="61"/>
  <c r="AP77" i="61"/>
  <c r="AP92" i="61" s="1"/>
  <c r="AP100" i="61" s="1"/>
  <c r="AT117" i="61"/>
  <c r="AT77" i="61"/>
  <c r="AT92" i="61" s="1"/>
  <c r="AT100" i="61" s="1"/>
  <c r="AX117" i="61"/>
  <c r="AX77" i="61"/>
  <c r="AX92" i="61" s="1"/>
  <c r="AX100" i="61" s="1"/>
  <c r="BB117" i="61"/>
  <c r="BB77" i="61"/>
  <c r="BB92" i="61" s="1"/>
  <c r="BB100" i="61" s="1"/>
  <c r="BF77" i="61"/>
  <c r="BF92" i="61" s="1"/>
  <c r="BF100" i="61" s="1"/>
  <c r="BJ117" i="61"/>
  <c r="BJ77" i="61"/>
  <c r="BJ92" i="61" s="1"/>
  <c r="BJ100" i="61" s="1"/>
  <c r="BN117" i="61"/>
  <c r="BN77" i="61"/>
  <c r="BN92" i="61" s="1"/>
  <c r="BN100" i="61" s="1"/>
  <c r="H37" i="61"/>
  <c r="M9" i="61"/>
  <c r="N9" i="61" s="1"/>
  <c r="R9" i="61"/>
  <c r="S9" i="61" s="1"/>
  <c r="AC9" i="61"/>
  <c r="AD9" i="61" s="1"/>
  <c r="AH9" i="61"/>
  <c r="AS9" i="61"/>
  <c r="AT9" i="61" s="1"/>
  <c r="AX9" i="61"/>
  <c r="AY9" i="61" s="1"/>
  <c r="BD37" i="61"/>
  <c r="BD108" i="61" s="1"/>
  <c r="G12" i="61"/>
  <c r="BY12" i="61" s="1"/>
  <c r="BY122" i="61" s="1"/>
  <c r="E15" i="61"/>
  <c r="F15" i="61" s="1"/>
  <c r="F16" i="61"/>
  <c r="E18" i="61"/>
  <c r="F18" i="61" s="1"/>
  <c r="E23" i="61"/>
  <c r="E26" i="61"/>
  <c r="F26" i="61" s="1"/>
  <c r="G26" i="61" s="1"/>
  <c r="J13" i="61"/>
  <c r="K13" i="61" s="1"/>
  <c r="I15" i="61"/>
  <c r="J15" i="61" s="1"/>
  <c r="J16" i="61"/>
  <c r="K16" i="61" s="1"/>
  <c r="I18" i="61"/>
  <c r="J18" i="61" s="1"/>
  <c r="J21" i="61"/>
  <c r="K21" i="61" s="1"/>
  <c r="I23" i="61"/>
  <c r="J23" i="61" s="1"/>
  <c r="J24" i="61"/>
  <c r="K24" i="61" s="1"/>
  <c r="I26" i="61"/>
  <c r="J26" i="61" s="1"/>
  <c r="M15" i="61"/>
  <c r="N15" i="61" s="1"/>
  <c r="N16" i="61"/>
  <c r="O16" i="61" s="1"/>
  <c r="M18" i="61"/>
  <c r="M23" i="61"/>
  <c r="N23" i="61" s="1"/>
  <c r="N24" i="61"/>
  <c r="M26" i="61"/>
  <c r="Q15" i="61"/>
  <c r="R15" i="61" s="1"/>
  <c r="Q18" i="61"/>
  <c r="Q23" i="61"/>
  <c r="Q26" i="61"/>
  <c r="U15" i="61"/>
  <c r="V16" i="61"/>
  <c r="W16" i="61" s="1"/>
  <c r="CC16" i="61" s="1"/>
  <c r="CC126" i="61" s="1"/>
  <c r="U18" i="61"/>
  <c r="W20" i="61"/>
  <c r="CC20" i="61" s="1"/>
  <c r="CC130" i="61" s="1"/>
  <c r="U23" i="61"/>
  <c r="V23" i="61" s="1"/>
  <c r="V24" i="61"/>
  <c r="U26" i="61"/>
  <c r="V26" i="61" s="1"/>
  <c r="Y15" i="61"/>
  <c r="Z15" i="61" s="1"/>
  <c r="Z16" i="61"/>
  <c r="Y18" i="61"/>
  <c r="Z18" i="61" s="1"/>
  <c r="Y23" i="61"/>
  <c r="Z23" i="61" s="1"/>
  <c r="Z24" i="61"/>
  <c r="AA24" i="61" s="1"/>
  <c r="Y26" i="61"/>
  <c r="AC15" i="61"/>
  <c r="AD15" i="61" s="1"/>
  <c r="AE15" i="61" s="1"/>
  <c r="AD16" i="61"/>
  <c r="AE16" i="61" s="1"/>
  <c r="AC18" i="61"/>
  <c r="AC23" i="61"/>
  <c r="AD23" i="61" s="1"/>
  <c r="AD24" i="61"/>
  <c r="AE24" i="61" s="1"/>
  <c r="AC26" i="61"/>
  <c r="AG15" i="61"/>
  <c r="AH15" i="61" s="1"/>
  <c r="AG18" i="61"/>
  <c r="AG23" i="61"/>
  <c r="AH23" i="61" s="1"/>
  <c r="AG26" i="61"/>
  <c r="AM12" i="61"/>
  <c r="CG12" i="61" s="1"/>
  <c r="CG122" i="61" s="1"/>
  <c r="AK15" i="61"/>
  <c r="AL15" i="61" s="1"/>
  <c r="AM15" i="61" s="1"/>
  <c r="AK18" i="61"/>
  <c r="AM20" i="61"/>
  <c r="CG20" i="61" s="1"/>
  <c r="CG130" i="61" s="1"/>
  <c r="AK23" i="61"/>
  <c r="AL24" i="61"/>
  <c r="AM24" i="61" s="1"/>
  <c r="AK26" i="61"/>
  <c r="AP13" i="61"/>
  <c r="AQ13" i="61" s="1"/>
  <c r="AO15" i="61"/>
  <c r="AP16" i="61"/>
  <c r="AQ16" i="61" s="1"/>
  <c r="AO18" i="61"/>
  <c r="AP18" i="61" s="1"/>
  <c r="AP21" i="61"/>
  <c r="AQ21" i="61" s="1"/>
  <c r="CH21" i="61" s="1"/>
  <c r="CH131" i="61" s="1"/>
  <c r="AO23" i="61"/>
  <c r="AP24" i="61"/>
  <c r="AQ24" i="61" s="1"/>
  <c r="AO26" i="61"/>
  <c r="AP26" i="61" s="1"/>
  <c r="AS15" i="61"/>
  <c r="AT16" i="61"/>
  <c r="AU16" i="61" s="1"/>
  <c r="AS18" i="61"/>
  <c r="AS23" i="61"/>
  <c r="AT23" i="61" s="1"/>
  <c r="AT24" i="61"/>
  <c r="AU24" i="61" s="1"/>
  <c r="AS26" i="61"/>
  <c r="AT26" i="61" s="1"/>
  <c r="AW15" i="61"/>
  <c r="AX15" i="61" s="1"/>
  <c r="AW17" i="61"/>
  <c r="AX17" i="61" s="1"/>
  <c r="AW19" i="61"/>
  <c r="AX19" i="61" s="1"/>
  <c r="AW23" i="61"/>
  <c r="AX23" i="61" s="1"/>
  <c r="AW25" i="61"/>
  <c r="AX25" i="61" s="1"/>
  <c r="BA11" i="61"/>
  <c r="BA15" i="61"/>
  <c r="BB15" i="61" s="1"/>
  <c r="BA19" i="61"/>
  <c r="BB20" i="61"/>
  <c r="BC20" i="61" s="1"/>
  <c r="BA23" i="61"/>
  <c r="BB23" i="61" s="1"/>
  <c r="BE11" i="61"/>
  <c r="CL19" i="61"/>
  <c r="Z28" i="61"/>
  <c r="AA28" i="61" s="1"/>
  <c r="AL28" i="61"/>
  <c r="AV37" i="61"/>
  <c r="AV108" i="61" s="1"/>
  <c r="S103" i="61"/>
  <c r="AY103" i="61"/>
  <c r="G43" i="61"/>
  <c r="BY43" i="61" s="1"/>
  <c r="BY153" i="61" s="1"/>
  <c r="AQ45" i="61"/>
  <c r="CH45" i="61" s="1"/>
  <c r="CH155" i="61" s="1"/>
  <c r="F48" i="61"/>
  <c r="G48" i="61" s="1"/>
  <c r="V48" i="61"/>
  <c r="W48" i="61" s="1"/>
  <c r="CC48" i="61" s="1"/>
  <c r="CC158" i="61" s="1"/>
  <c r="AD48" i="61"/>
  <c r="AL48" i="61"/>
  <c r="AM48" i="61" s="1"/>
  <c r="AT48" i="61"/>
  <c r="AU48" i="61" s="1"/>
  <c r="CI48" i="61" s="1"/>
  <c r="CI158" i="61" s="1"/>
  <c r="BB48" i="61"/>
  <c r="G117" i="61"/>
  <c r="G77" i="61"/>
  <c r="G92" i="61" s="1"/>
  <c r="G100" i="61" s="1"/>
  <c r="K117" i="61"/>
  <c r="K77" i="61"/>
  <c r="K92" i="61" s="1"/>
  <c r="K100" i="61" s="1"/>
  <c r="O117" i="61"/>
  <c r="O77" i="61"/>
  <c r="O92" i="61" s="1"/>
  <c r="O100" i="61" s="1"/>
  <c r="S117" i="61"/>
  <c r="S77" i="61"/>
  <c r="S92" i="61" s="1"/>
  <c r="S100" i="61" s="1"/>
  <c r="W117" i="61"/>
  <c r="W77" i="61"/>
  <c r="W92" i="61" s="1"/>
  <c r="W100" i="61" s="1"/>
  <c r="AA117" i="61"/>
  <c r="AA77" i="61"/>
  <c r="AA92" i="61" s="1"/>
  <c r="AA100" i="61" s="1"/>
  <c r="AE117" i="61"/>
  <c r="AE77" i="61"/>
  <c r="AE92" i="61" s="1"/>
  <c r="AE100" i="61" s="1"/>
  <c r="AI117" i="61"/>
  <c r="AI77" i="61"/>
  <c r="AI92" i="61" s="1"/>
  <c r="AI100" i="61" s="1"/>
  <c r="AM117" i="61"/>
  <c r="AM77" i="61"/>
  <c r="AM92" i="61" s="1"/>
  <c r="AM100" i="61" s="1"/>
  <c r="AQ117" i="61"/>
  <c r="AQ77" i="61"/>
  <c r="AQ92" i="61" s="1"/>
  <c r="AQ100" i="61" s="1"/>
  <c r="AU117" i="61"/>
  <c r="AU77" i="61"/>
  <c r="AU92" i="61" s="1"/>
  <c r="AU100" i="61" s="1"/>
  <c r="AY117" i="61"/>
  <c r="AY77" i="61"/>
  <c r="AY92" i="61" s="1"/>
  <c r="AY100" i="61" s="1"/>
  <c r="BC117" i="61"/>
  <c r="BC77" i="61"/>
  <c r="BC92" i="61" s="1"/>
  <c r="BC100" i="61" s="1"/>
  <c r="BK117" i="61"/>
  <c r="BK77" i="61"/>
  <c r="BK92" i="61" s="1"/>
  <c r="BK100" i="61" s="1"/>
  <c r="BO117" i="61"/>
  <c r="BO77" i="61"/>
  <c r="BO92" i="61" s="1"/>
  <c r="BO100" i="61" s="1"/>
  <c r="CB117" i="61"/>
  <c r="CB77" i="61"/>
  <c r="CB92" i="61" s="1"/>
  <c r="CB100" i="61" s="1"/>
  <c r="CF117" i="61"/>
  <c r="CF77" i="61"/>
  <c r="CF92" i="61" s="1"/>
  <c r="CF100" i="61" s="1"/>
  <c r="CJ117" i="61"/>
  <c r="CJ77" i="61"/>
  <c r="CJ92" i="61" s="1"/>
  <c r="CJ100" i="61" s="1"/>
  <c r="AZ37" i="61"/>
  <c r="AZ108" i="61" s="1"/>
  <c r="D96" i="61"/>
  <c r="D93" i="61"/>
  <c r="G19" i="61"/>
  <c r="BY19" i="61" s="1"/>
  <c r="BY129" i="61" s="1"/>
  <c r="E25" i="61"/>
  <c r="F25" i="61" s="1"/>
  <c r="H96" i="61"/>
  <c r="H93" i="61"/>
  <c r="K11" i="61"/>
  <c r="J14" i="61"/>
  <c r="I17" i="61"/>
  <c r="J17" i="61" s="1"/>
  <c r="K19" i="61"/>
  <c r="BZ20" i="61"/>
  <c r="BZ130" i="61" s="1"/>
  <c r="J22" i="61"/>
  <c r="K22" i="61" s="1"/>
  <c r="I25" i="61"/>
  <c r="L96" i="61"/>
  <c r="L93" i="61"/>
  <c r="O12" i="61"/>
  <c r="CA12" i="61" s="1"/>
  <c r="CA122" i="61" s="1"/>
  <c r="N14" i="61"/>
  <c r="O14" i="61" s="1"/>
  <c r="CA14" i="61" s="1"/>
  <c r="CA124" i="61" s="1"/>
  <c r="M17" i="61"/>
  <c r="O20" i="61"/>
  <c r="CA20" i="61" s="1"/>
  <c r="CA130" i="61" s="1"/>
  <c r="N22" i="61"/>
  <c r="O22" i="61" s="1"/>
  <c r="CA22" i="61" s="1"/>
  <c r="CA132" i="61" s="1"/>
  <c r="M25" i="61"/>
  <c r="N25" i="61" s="1"/>
  <c r="R14" i="61"/>
  <c r="Q17" i="61"/>
  <c r="R17" i="61" s="1"/>
  <c r="S19" i="61"/>
  <c r="CB19" i="61" s="1"/>
  <c r="CB129" i="61" s="1"/>
  <c r="R22" i="61"/>
  <c r="S22" i="61" s="1"/>
  <c r="Q25" i="61"/>
  <c r="R25" i="61" s="1"/>
  <c r="S25" i="61" s="1"/>
  <c r="Z14" i="61"/>
  <c r="AA14" i="61" s="1"/>
  <c r="Y17" i="61"/>
  <c r="Z17" i="61" s="1"/>
  <c r="AA17" i="61" s="1"/>
  <c r="AA19" i="61"/>
  <c r="CD19" i="61" s="1"/>
  <c r="CD129" i="61" s="1"/>
  <c r="Y25" i="61"/>
  <c r="Z25" i="61" s="1"/>
  <c r="AA25" i="61" s="1"/>
  <c r="AB96" i="61"/>
  <c r="AB93" i="61"/>
  <c r="AE12" i="61"/>
  <c r="CE12" i="61" s="1"/>
  <c r="CE122" i="61" s="1"/>
  <c r="AD14" i="61"/>
  <c r="AC17" i="61"/>
  <c r="AD17" i="61" s="1"/>
  <c r="AE17" i="61" s="1"/>
  <c r="AE20" i="61"/>
  <c r="CE20" i="61" s="1"/>
  <c r="CE130" i="61" s="1"/>
  <c r="AD22" i="61"/>
  <c r="AE22" i="61" s="1"/>
  <c r="AC25" i="61"/>
  <c r="AF93" i="61"/>
  <c r="AH14" i="61"/>
  <c r="AI14" i="61" s="1"/>
  <c r="CF14" i="61" s="1"/>
  <c r="CF124" i="61" s="1"/>
  <c r="AG17" i="61"/>
  <c r="AI19" i="61"/>
  <c r="CF19" i="61" s="1"/>
  <c r="AH22" i="61"/>
  <c r="AG25" i="61"/>
  <c r="AH25" i="61" s="1"/>
  <c r="AM19" i="61"/>
  <c r="CG19" i="61" s="1"/>
  <c r="AK25" i="61"/>
  <c r="AP14" i="61"/>
  <c r="AQ14" i="61" s="1"/>
  <c r="CH14" i="61" s="1"/>
  <c r="CH124" i="61" s="1"/>
  <c r="AO17" i="61"/>
  <c r="AP17" i="61" s="1"/>
  <c r="AQ19" i="61"/>
  <c r="CH19" i="61" s="1"/>
  <c r="CH20" i="61"/>
  <c r="CH130" i="61" s="1"/>
  <c r="AP22" i="61"/>
  <c r="AQ22" i="61" s="1"/>
  <c r="CH22" i="61" s="1"/>
  <c r="CH132" i="61" s="1"/>
  <c r="AO25" i="61"/>
  <c r="AP25" i="61" s="1"/>
  <c r="AR96" i="61"/>
  <c r="AT14" i="61"/>
  <c r="AU14" i="61" s="1"/>
  <c r="AS17" i="61"/>
  <c r="AT17" i="61" s="1"/>
  <c r="AU17" i="61" s="1"/>
  <c r="AU20" i="61"/>
  <c r="CI20" i="61" s="1"/>
  <c r="CI130" i="61" s="1"/>
  <c r="AT22" i="61"/>
  <c r="AS25" i="61"/>
  <c r="AT25" i="61" s="1"/>
  <c r="AV96" i="61"/>
  <c r="AV93" i="61"/>
  <c r="AX14" i="61"/>
  <c r="AY14" i="61" s="1"/>
  <c r="CJ14" i="61" s="1"/>
  <c r="CJ124" i="61" s="1"/>
  <c r="AW21" i="61"/>
  <c r="AX21" i="61" s="1"/>
  <c r="BA13" i="61"/>
  <c r="BB13" i="61" s="1"/>
  <c r="BA21" i="61"/>
  <c r="BB21" i="61" s="1"/>
  <c r="CL17" i="61"/>
  <c r="CL127" i="61" s="1"/>
  <c r="BC17" i="61"/>
  <c r="CK17" i="61" s="1"/>
  <c r="CK127" i="61" s="1"/>
  <c r="V28" i="61"/>
  <c r="W28" i="61" s="1"/>
  <c r="F29" i="61"/>
  <c r="G29" i="61" s="1"/>
  <c r="AL29" i="61"/>
  <c r="AM29" i="61" s="1"/>
  <c r="CG29" i="61" s="1"/>
  <c r="CG139" i="61" s="1"/>
  <c r="R30" i="61"/>
  <c r="S30" i="61" s="1"/>
  <c r="CB30" i="61" s="1"/>
  <c r="CB140" i="61" s="1"/>
  <c r="AX30" i="61"/>
  <c r="AY30" i="61" s="1"/>
  <c r="CJ30" i="61" s="1"/>
  <c r="CJ140" i="61" s="1"/>
  <c r="AD31" i="61"/>
  <c r="AE31" i="61" s="1"/>
  <c r="J32" i="61"/>
  <c r="K32" i="61" s="1"/>
  <c r="AP32" i="61"/>
  <c r="AQ32" i="61" s="1"/>
  <c r="V33" i="61"/>
  <c r="BB33" i="61"/>
  <c r="I36" i="61"/>
  <c r="Y36" i="61"/>
  <c r="AO36" i="61"/>
  <c r="AM78" i="61"/>
  <c r="AM80" i="61" s="1"/>
  <c r="F42" i="61"/>
  <c r="N42" i="61"/>
  <c r="O42" i="61" s="1"/>
  <c r="CA42" i="61" s="1"/>
  <c r="CA152" i="61" s="1"/>
  <c r="V42" i="61"/>
  <c r="W42" i="61" s="1"/>
  <c r="AD42" i="61"/>
  <c r="AE42" i="61" s="1"/>
  <c r="CE42" i="61" s="1"/>
  <c r="CE152" i="61" s="1"/>
  <c r="AL42" i="61"/>
  <c r="AT42" i="61"/>
  <c r="AU42" i="61" s="1"/>
  <c r="CI42" i="61" s="1"/>
  <c r="CI152" i="61" s="1"/>
  <c r="BB42" i="61"/>
  <c r="BC42" i="61" s="1"/>
  <c r="J44" i="61"/>
  <c r="K44" i="61" s="1"/>
  <c r="R44" i="61"/>
  <c r="S44" i="61" s="1"/>
  <c r="CB44" i="61" s="1"/>
  <c r="CB154" i="61" s="1"/>
  <c r="Z44" i="61"/>
  <c r="AH44" i="61"/>
  <c r="AI44" i="61" s="1"/>
  <c r="AP44" i="61"/>
  <c r="AQ44" i="61" s="1"/>
  <c r="AX44" i="61"/>
  <c r="AY44" i="61" s="1"/>
  <c r="P63" i="61"/>
  <c r="Q52" i="61"/>
  <c r="AF63" i="61"/>
  <c r="AG52" i="61"/>
  <c r="AH52" i="61" s="1"/>
  <c r="AV63" i="61"/>
  <c r="AW52" i="61"/>
  <c r="BC12" i="61"/>
  <c r="CK12" i="61" s="1"/>
  <c r="CK122" i="61" s="1"/>
  <c r="S28" i="61"/>
  <c r="CB28" i="61" s="1"/>
  <c r="CB138" i="61" s="1"/>
  <c r="CF28" i="61"/>
  <c r="AY28" i="61"/>
  <c r="CJ28" i="61" s="1"/>
  <c r="BB28" i="61"/>
  <c r="BC28" i="61" s="1"/>
  <c r="R29" i="61"/>
  <c r="AH29" i="61"/>
  <c r="AU29" i="61"/>
  <c r="CI29" i="61" s="1"/>
  <c r="CI139" i="61" s="1"/>
  <c r="AX29" i="61"/>
  <c r="K30" i="61"/>
  <c r="BZ30" i="61" s="1"/>
  <c r="BZ140" i="61" s="1"/>
  <c r="N30" i="61"/>
  <c r="AA30" i="61"/>
  <c r="CD30" i="61" s="1"/>
  <c r="CD140" i="61" s="1"/>
  <c r="AD30" i="61"/>
  <c r="AE30" i="61" s="1"/>
  <c r="AT30" i="61"/>
  <c r="J31" i="61"/>
  <c r="W31" i="61"/>
  <c r="CC31" i="61" s="1"/>
  <c r="CC141" i="61" s="1"/>
  <c r="Z31" i="61"/>
  <c r="AA31" i="61" s="1"/>
  <c r="AP31" i="61"/>
  <c r="AQ31" i="61" s="1"/>
  <c r="BC31" i="61"/>
  <c r="CK31" i="61" s="1"/>
  <c r="CK141" i="61" s="1"/>
  <c r="F32" i="61"/>
  <c r="G32" i="61" s="1"/>
  <c r="BY32" i="61" s="1"/>
  <c r="BY142" i="61" s="1"/>
  <c r="S32" i="61"/>
  <c r="CB32" i="61" s="1"/>
  <c r="CB142" i="61" s="1"/>
  <c r="V32" i="61"/>
  <c r="AI32" i="61"/>
  <c r="CF32" i="61" s="1"/>
  <c r="CF142" i="61" s="1"/>
  <c r="AL32" i="61"/>
  <c r="AY32" i="61"/>
  <c r="CJ32" i="61" s="1"/>
  <c r="CJ142" i="61" s="1"/>
  <c r="BB32" i="61"/>
  <c r="BC32" i="61" s="1"/>
  <c r="O33" i="61"/>
  <c r="CA33" i="61" s="1"/>
  <c r="CA143" i="61" s="1"/>
  <c r="R33" i="61"/>
  <c r="S33" i="61" s="1"/>
  <c r="AH33" i="61"/>
  <c r="AI33" i="61" s="1"/>
  <c r="AU33" i="61"/>
  <c r="CI33" i="61" s="1"/>
  <c r="CI143" i="61" s="1"/>
  <c r="AX33" i="61"/>
  <c r="AY33" i="61" s="1"/>
  <c r="N34" i="61"/>
  <c r="O34" i="61" s="1"/>
  <c r="CA34" i="61" s="1"/>
  <c r="CA144" i="61" s="1"/>
  <c r="AG34" i="61"/>
  <c r="AH34" i="61" s="1"/>
  <c r="AW34" i="61"/>
  <c r="AX34" i="61" s="1"/>
  <c r="M35" i="61"/>
  <c r="AC35" i="61"/>
  <c r="AS35" i="61"/>
  <c r="N36" i="61"/>
  <c r="O36" i="61" s="1"/>
  <c r="R36" i="61"/>
  <c r="S36" i="61" s="1"/>
  <c r="CB36" i="61" s="1"/>
  <c r="CB146" i="61" s="1"/>
  <c r="AD36" i="61"/>
  <c r="AH36" i="61"/>
  <c r="AI36" i="61" s="1"/>
  <c r="AT36" i="61"/>
  <c r="AU36" i="61" s="1"/>
  <c r="AX36" i="61"/>
  <c r="AY36" i="61" s="1"/>
  <c r="CJ36" i="61" s="1"/>
  <c r="CJ146" i="61" s="1"/>
  <c r="J78" i="61"/>
  <c r="J80" i="61" s="1"/>
  <c r="K40" i="61"/>
  <c r="BZ40" i="61" s="1"/>
  <c r="AP103" i="61"/>
  <c r="AA45" i="61"/>
  <c r="CD45" i="61" s="1"/>
  <c r="CD155" i="61" s="1"/>
  <c r="AM45" i="61"/>
  <c r="CG45" i="61" s="1"/>
  <c r="CG155" i="61" s="1"/>
  <c r="I54" i="61"/>
  <c r="J54" i="61" s="1"/>
  <c r="Y54" i="61"/>
  <c r="Z54" i="61" s="1"/>
  <c r="AO54" i="61"/>
  <c r="AP54" i="61" s="1"/>
  <c r="BE54" i="61"/>
  <c r="BF54" i="61" s="1"/>
  <c r="AT56" i="61"/>
  <c r="AU56" i="61" s="1"/>
  <c r="CI56" i="61" s="1"/>
  <c r="CI166" i="61" s="1"/>
  <c r="AE28" i="61"/>
  <c r="CE28" i="61" s="1"/>
  <c r="AA29" i="61"/>
  <c r="CD29" i="61" s="1"/>
  <c r="CD139" i="61" s="1"/>
  <c r="AQ29" i="61"/>
  <c r="CH29" i="61" s="1"/>
  <c r="CH139" i="61" s="1"/>
  <c r="G30" i="61"/>
  <c r="W30" i="61"/>
  <c r="CC30" i="61" s="1"/>
  <c r="CC140" i="61" s="1"/>
  <c r="BC30" i="61"/>
  <c r="CK30" i="61" s="1"/>
  <c r="CK140" i="61" s="1"/>
  <c r="AY31" i="61"/>
  <c r="CJ31" i="61" s="1"/>
  <c r="CJ141" i="61" s="1"/>
  <c r="O32" i="61"/>
  <c r="CA32" i="61" s="1"/>
  <c r="CA142" i="61" s="1"/>
  <c r="AU32" i="61"/>
  <c r="CI32" i="61" s="1"/>
  <c r="CI142" i="61" s="1"/>
  <c r="AA33" i="61"/>
  <c r="CD33" i="61" s="1"/>
  <c r="CD143" i="61" s="1"/>
  <c r="W34" i="61"/>
  <c r="CC34" i="61" s="1"/>
  <c r="CC144" i="61" s="1"/>
  <c r="AL34" i="61"/>
  <c r="AM34" i="61" s="1"/>
  <c r="BB34" i="61"/>
  <c r="BC34" i="61" s="1"/>
  <c r="R35" i="61"/>
  <c r="S35" i="61" s="1"/>
  <c r="AH35" i="61"/>
  <c r="AI35" i="61" s="1"/>
  <c r="CF35" i="61" s="1"/>
  <c r="CF145" i="61" s="1"/>
  <c r="AX35" i="61"/>
  <c r="AY35" i="61" s="1"/>
  <c r="Q49" i="61"/>
  <c r="AI41" i="61"/>
  <c r="J46" i="61"/>
  <c r="K46" i="61" s="1"/>
  <c r="BZ46" i="61" s="1"/>
  <c r="BZ156" i="61" s="1"/>
  <c r="R46" i="61"/>
  <c r="S46" i="61" s="1"/>
  <c r="CB46" i="61" s="1"/>
  <c r="CB156" i="61" s="1"/>
  <c r="Z46" i="61"/>
  <c r="AH46" i="61"/>
  <c r="AI46" i="61" s="1"/>
  <c r="AP46" i="61"/>
  <c r="AX46" i="61"/>
  <c r="M54" i="61"/>
  <c r="N54" i="61" s="1"/>
  <c r="O54" i="61" s="1"/>
  <c r="AC54" i="61"/>
  <c r="AS54" i="61"/>
  <c r="AT54" i="61" s="1"/>
  <c r="AU54" i="61" s="1"/>
  <c r="S12" i="61"/>
  <c r="CB12" i="61" s="1"/>
  <c r="CB122" i="61" s="1"/>
  <c r="S16" i="61"/>
  <c r="CB16" i="61" s="1"/>
  <c r="CB126" i="61" s="1"/>
  <c r="S20" i="61"/>
  <c r="CB20" i="61" s="1"/>
  <c r="CB130" i="61" s="1"/>
  <c r="S24" i="61"/>
  <c r="CB24" i="61" s="1"/>
  <c r="CB134" i="61" s="1"/>
  <c r="AI12" i="61"/>
  <c r="CF12" i="61" s="1"/>
  <c r="CF122" i="61" s="1"/>
  <c r="AI16" i="61"/>
  <c r="CF16" i="61" s="1"/>
  <c r="CF126" i="61" s="1"/>
  <c r="AI20" i="61"/>
  <c r="CF20" i="61" s="1"/>
  <c r="CF130" i="61" s="1"/>
  <c r="AI24" i="61"/>
  <c r="CF24" i="61" s="1"/>
  <c r="CF134" i="61" s="1"/>
  <c r="AY16" i="61"/>
  <c r="CJ16" i="61" s="1"/>
  <c r="CJ126" i="61" s="1"/>
  <c r="AY20" i="61"/>
  <c r="CJ20" i="61" s="1"/>
  <c r="CJ130" i="61" s="1"/>
  <c r="AY24" i="61"/>
  <c r="CJ24" i="61" s="1"/>
  <c r="CJ134" i="61" s="1"/>
  <c r="I49" i="61"/>
  <c r="AO49" i="61"/>
  <c r="J81" i="61"/>
  <c r="CD41" i="61"/>
  <c r="CH41" i="61"/>
  <c r="F44" i="61"/>
  <c r="G44" i="61" s="1"/>
  <c r="N44" i="61"/>
  <c r="O44" i="61" s="1"/>
  <c r="V44" i="61"/>
  <c r="AD44" i="61"/>
  <c r="AE44" i="61" s="1"/>
  <c r="CE44" i="61" s="1"/>
  <c r="CE154" i="61" s="1"/>
  <c r="AL44" i="61"/>
  <c r="AM44" i="61" s="1"/>
  <c r="AT44" i="61"/>
  <c r="AU44" i="61" s="1"/>
  <c r="BB44" i="61"/>
  <c r="CC47" i="61"/>
  <c r="CC157" i="61" s="1"/>
  <c r="CG47" i="61"/>
  <c r="CG157" i="61" s="1"/>
  <c r="J48" i="61"/>
  <c r="K48" i="61" s="1"/>
  <c r="R48" i="61"/>
  <c r="Z48" i="61"/>
  <c r="AA48" i="61" s="1"/>
  <c r="CD48" i="61" s="1"/>
  <c r="CD158" i="61" s="1"/>
  <c r="AH48" i="61"/>
  <c r="AI48" i="61" s="1"/>
  <c r="AP48" i="61"/>
  <c r="AQ48" i="61" s="1"/>
  <c r="AX48" i="61"/>
  <c r="AY48" i="61" s="1"/>
  <c r="D63" i="61"/>
  <c r="E52" i="61"/>
  <c r="F52" i="61" s="1"/>
  <c r="T63" i="61"/>
  <c r="U52" i="61"/>
  <c r="V52" i="61" s="1"/>
  <c r="AJ63" i="61"/>
  <c r="AK52" i="61"/>
  <c r="AL52" i="61" s="1"/>
  <c r="AZ63" i="61"/>
  <c r="BA52" i="61"/>
  <c r="BB52" i="61" s="1"/>
  <c r="Q54" i="61"/>
  <c r="R54" i="61" s="1"/>
  <c r="AG54" i="61"/>
  <c r="AH54" i="61" s="1"/>
  <c r="AW54" i="61"/>
  <c r="AX54" i="61" s="1"/>
  <c r="F56" i="61"/>
  <c r="G56" i="61" s="1"/>
  <c r="CA117" i="61"/>
  <c r="CA77" i="61"/>
  <c r="CA92" i="61" s="1"/>
  <c r="CA100" i="61" s="1"/>
  <c r="CE117" i="61"/>
  <c r="CE77" i="61"/>
  <c r="CE92" i="61" s="1"/>
  <c r="CE100" i="61" s="1"/>
  <c r="CI117" i="61"/>
  <c r="CI77" i="61"/>
  <c r="CI92" i="61" s="1"/>
  <c r="CI100" i="61" s="1"/>
  <c r="CM117" i="61"/>
  <c r="CM77" i="61"/>
  <c r="CM92" i="61" s="1"/>
  <c r="CM100" i="61" s="1"/>
  <c r="AA34" i="61"/>
  <c r="CD34" i="61" s="1"/>
  <c r="CD144" i="61" s="1"/>
  <c r="AC34" i="61"/>
  <c r="AS34" i="61"/>
  <c r="G35" i="61"/>
  <c r="BY35" i="61" s="1"/>
  <c r="BY145" i="61" s="1"/>
  <c r="I35" i="61"/>
  <c r="W35" i="61"/>
  <c r="CC35" i="61" s="1"/>
  <c r="CC145" i="61" s="1"/>
  <c r="Y35" i="61"/>
  <c r="AO35" i="61"/>
  <c r="E36" i="61"/>
  <c r="U36" i="61"/>
  <c r="AK36" i="61"/>
  <c r="BA36" i="61"/>
  <c r="AH103" i="61"/>
  <c r="AX103" i="61"/>
  <c r="AX78" i="61"/>
  <c r="AX80" i="61" s="1"/>
  <c r="J42" i="61"/>
  <c r="K42" i="61" s="1"/>
  <c r="R42" i="61"/>
  <c r="Z42" i="61"/>
  <c r="AH42" i="61"/>
  <c r="AI42" i="61" s="1"/>
  <c r="AP42" i="61"/>
  <c r="AQ42" i="61" s="1"/>
  <c r="AX42" i="61"/>
  <c r="F46" i="61"/>
  <c r="G46" i="61" s="1"/>
  <c r="N46" i="61"/>
  <c r="O46" i="61" s="1"/>
  <c r="V46" i="61"/>
  <c r="AD46" i="61"/>
  <c r="AE46" i="61" s="1"/>
  <c r="CE46" i="61" s="1"/>
  <c r="CE156" i="61" s="1"/>
  <c r="AL46" i="61"/>
  <c r="AM46" i="61" s="1"/>
  <c r="AT46" i="61"/>
  <c r="AU46" i="61" s="1"/>
  <c r="CI46" i="61" s="1"/>
  <c r="CI156" i="61" s="1"/>
  <c r="BB46" i="61"/>
  <c r="I52" i="61"/>
  <c r="J52" i="61" s="1"/>
  <c r="K52" i="61" s="1"/>
  <c r="H63" i="61"/>
  <c r="Y52" i="61"/>
  <c r="Z52" i="61" s="1"/>
  <c r="X63" i="61"/>
  <c r="AO52" i="61"/>
  <c r="AN63" i="61"/>
  <c r="BE52" i="61"/>
  <c r="BF52" i="61" s="1"/>
  <c r="BD63" i="61"/>
  <c r="E54" i="61"/>
  <c r="U54" i="61"/>
  <c r="AK54" i="61"/>
  <c r="AL54" i="61" s="1"/>
  <c r="AM54" i="61" s="1"/>
  <c r="BA54" i="61"/>
  <c r="N40" i="61"/>
  <c r="AD40" i="61"/>
  <c r="AT40" i="61"/>
  <c r="CM151" i="61"/>
  <c r="CN151" i="61" s="1"/>
  <c r="CO151" i="61" s="1"/>
  <c r="CP151" i="61" s="1"/>
  <c r="CN152" i="61"/>
  <c r="CO152" i="61" s="1"/>
  <c r="CP152" i="61" s="1"/>
  <c r="CN153" i="61"/>
  <c r="CO153" i="61" s="1"/>
  <c r="CP153" i="61" s="1"/>
  <c r="CN154" i="61"/>
  <c r="CO154" i="61" s="1"/>
  <c r="CP154" i="61" s="1"/>
  <c r="CN155" i="61"/>
  <c r="CO155" i="61" s="1"/>
  <c r="CP155" i="61" s="1"/>
  <c r="CN156" i="61"/>
  <c r="CO156" i="61" s="1"/>
  <c r="CP156" i="61" s="1"/>
  <c r="CN157" i="61"/>
  <c r="CO157" i="61" s="1"/>
  <c r="CP157" i="61" s="1"/>
  <c r="CN158" i="61"/>
  <c r="CO158" i="61" s="1"/>
  <c r="CP158" i="61" s="1"/>
  <c r="E53" i="61"/>
  <c r="I53" i="61"/>
  <c r="J53" i="61" s="1"/>
  <c r="M53" i="61"/>
  <c r="N53" i="61" s="1"/>
  <c r="Q53" i="61"/>
  <c r="R53" i="61" s="1"/>
  <c r="U53" i="61"/>
  <c r="Y53" i="61"/>
  <c r="Z53" i="61" s="1"/>
  <c r="AC53" i="61"/>
  <c r="AD53" i="61" s="1"/>
  <c r="AG53" i="61"/>
  <c r="AH53" i="61" s="1"/>
  <c r="AK53" i="61"/>
  <c r="AO53" i="61"/>
  <c r="AP53" i="61" s="1"/>
  <c r="AS53" i="61"/>
  <c r="AT53" i="61" s="1"/>
  <c r="AW53" i="61"/>
  <c r="AX53" i="61" s="1"/>
  <c r="BA53" i="61"/>
  <c r="BE53" i="61"/>
  <c r="BF53" i="61" s="1"/>
  <c r="E55" i="61"/>
  <c r="I55" i="61"/>
  <c r="J55" i="61" s="1"/>
  <c r="M55" i="61"/>
  <c r="N55" i="61" s="1"/>
  <c r="Q55" i="61"/>
  <c r="R55" i="61" s="1"/>
  <c r="U55" i="61"/>
  <c r="Y55" i="61"/>
  <c r="Z55" i="61" s="1"/>
  <c r="AC55" i="61"/>
  <c r="AD55" i="61" s="1"/>
  <c r="AG55" i="61"/>
  <c r="AH55" i="61" s="1"/>
  <c r="AK55" i="61"/>
  <c r="AO55" i="61"/>
  <c r="AP55" i="61" s="1"/>
  <c r="AS55" i="61"/>
  <c r="AT55" i="61" s="1"/>
  <c r="AW55" i="61"/>
  <c r="AX55" i="61" s="1"/>
  <c r="BA55" i="61"/>
  <c r="BE55" i="61"/>
  <c r="BF55" i="61" s="1"/>
  <c r="CJ62" i="61"/>
  <c r="CJ172" i="61" s="1"/>
  <c r="AQ56" i="61"/>
  <c r="CH56" i="61" s="1"/>
  <c r="CH166" i="61" s="1"/>
  <c r="BJ127" i="1"/>
  <c r="V57" i="61"/>
  <c r="W57" i="61" s="1"/>
  <c r="AL57" i="61"/>
  <c r="BB57" i="61"/>
  <c r="BC57" i="61" s="1"/>
  <c r="R59" i="61"/>
  <c r="S59" i="61" s="1"/>
  <c r="CB59" i="61" s="1"/>
  <c r="CB169" i="61" s="1"/>
  <c r="AH59" i="61"/>
  <c r="AI59" i="61" s="1"/>
  <c r="AX59" i="61"/>
  <c r="E61" i="61"/>
  <c r="U61" i="61"/>
  <c r="V61" i="61" s="1"/>
  <c r="W61" i="61" s="1"/>
  <c r="AK61" i="61"/>
  <c r="BA61" i="61"/>
  <c r="R68" i="61"/>
  <c r="S68" i="61" s="1"/>
  <c r="AH68" i="61"/>
  <c r="AI68" i="61" s="1"/>
  <c r="AX68" i="61"/>
  <c r="AY68" i="61" s="1"/>
  <c r="I61" i="61"/>
  <c r="J61" i="61" s="1"/>
  <c r="K61" i="61" s="1"/>
  <c r="Y61" i="61"/>
  <c r="Z61" i="61" s="1"/>
  <c r="AO61" i="61"/>
  <c r="D103" i="61"/>
  <c r="D78" i="61"/>
  <c r="D80" i="61" s="1"/>
  <c r="H103" i="61"/>
  <c r="H78" i="61"/>
  <c r="H80" i="61" s="1"/>
  <c r="L103" i="61"/>
  <c r="L78" i="61"/>
  <c r="L80" i="61" s="1"/>
  <c r="P103" i="61"/>
  <c r="P78" i="61"/>
  <c r="P80" i="61" s="1"/>
  <c r="T103" i="61"/>
  <c r="T78" i="61"/>
  <c r="T80" i="61" s="1"/>
  <c r="X103" i="61"/>
  <c r="X78" i="61"/>
  <c r="X80" i="61" s="1"/>
  <c r="AB103" i="61"/>
  <c r="AB78" i="61"/>
  <c r="AB80" i="61" s="1"/>
  <c r="AF103" i="61"/>
  <c r="AF78" i="61"/>
  <c r="AF80" i="61" s="1"/>
  <c r="AJ103" i="61"/>
  <c r="AJ78" i="61"/>
  <c r="AJ80" i="61" s="1"/>
  <c r="AN103" i="61"/>
  <c r="AN78" i="61"/>
  <c r="AN80" i="61" s="1"/>
  <c r="AR103" i="61"/>
  <c r="AR78" i="61"/>
  <c r="AR80" i="61" s="1"/>
  <c r="AV103" i="61"/>
  <c r="AV78" i="61"/>
  <c r="AV80" i="61" s="1"/>
  <c r="AZ103" i="61"/>
  <c r="AZ78" i="61"/>
  <c r="AZ80" i="61" s="1"/>
  <c r="BD103" i="61"/>
  <c r="BD78" i="61"/>
  <c r="BD80" i="61" s="1"/>
  <c r="D81" i="61"/>
  <c r="H81" i="61"/>
  <c r="L81" i="61"/>
  <c r="P81" i="61"/>
  <c r="T81" i="61"/>
  <c r="X81" i="61"/>
  <c r="AB81" i="61"/>
  <c r="AF81" i="61"/>
  <c r="AJ81" i="61"/>
  <c r="AN81" i="61"/>
  <c r="AR81" i="61"/>
  <c r="AV81" i="61"/>
  <c r="AZ81" i="61"/>
  <c r="BD81" i="61"/>
  <c r="J56" i="61"/>
  <c r="K56" i="61" s="1"/>
  <c r="N56" i="61"/>
  <c r="R56" i="61"/>
  <c r="V56" i="61"/>
  <c r="Z56" i="61"/>
  <c r="AA56" i="61" s="1"/>
  <c r="CD56" i="61" s="1"/>
  <c r="CD166" i="61" s="1"/>
  <c r="AD56" i="61"/>
  <c r="AE56" i="61" s="1"/>
  <c r="CE56" i="61" s="1"/>
  <c r="CE166" i="61" s="1"/>
  <c r="AH56" i="61"/>
  <c r="AL56" i="61"/>
  <c r="AM56" i="61" s="1"/>
  <c r="AY56" i="61"/>
  <c r="CJ56" i="61" s="1"/>
  <c r="CJ166" i="61" s="1"/>
  <c r="BA56" i="61"/>
  <c r="N57" i="61"/>
  <c r="O57" i="61" s="1"/>
  <c r="Q57" i="61"/>
  <c r="R57" i="61" s="1"/>
  <c r="AD57" i="61"/>
  <c r="AE57" i="61" s="1"/>
  <c r="AG57" i="61"/>
  <c r="AT57" i="61"/>
  <c r="AW57" i="61"/>
  <c r="AX57" i="61" s="1"/>
  <c r="AY57" i="61" s="1"/>
  <c r="J59" i="61"/>
  <c r="K59" i="61" s="1"/>
  <c r="M59" i="61"/>
  <c r="N59" i="61" s="1"/>
  <c r="O59" i="61" s="1"/>
  <c r="Z59" i="61"/>
  <c r="AA59" i="61" s="1"/>
  <c r="AC59" i="61"/>
  <c r="AD59" i="61" s="1"/>
  <c r="AP59" i="61"/>
  <c r="AS59" i="61"/>
  <c r="AT59" i="61" s="1"/>
  <c r="AU59" i="61" s="1"/>
  <c r="F60" i="61"/>
  <c r="J60" i="61"/>
  <c r="K60" i="61" s="1"/>
  <c r="N60" i="61"/>
  <c r="O60" i="61" s="1"/>
  <c r="CA60" i="61" s="1"/>
  <c r="CA170" i="61" s="1"/>
  <c r="R60" i="61"/>
  <c r="S60" i="61" s="1"/>
  <c r="V60" i="61"/>
  <c r="Z60" i="61"/>
  <c r="AD60" i="61"/>
  <c r="AE60" i="61" s="1"/>
  <c r="CE60" i="61" s="1"/>
  <c r="CE170" i="61" s="1"/>
  <c r="AH60" i="61"/>
  <c r="AL60" i="61"/>
  <c r="M61" i="61"/>
  <c r="N61" i="61" s="1"/>
  <c r="O61" i="61" s="1"/>
  <c r="AC61" i="61"/>
  <c r="AS61" i="61"/>
  <c r="AT61" i="61" s="1"/>
  <c r="AU61" i="61" s="1"/>
  <c r="F68" i="61"/>
  <c r="G68" i="61" s="1"/>
  <c r="N68" i="61"/>
  <c r="O68" i="61" s="1"/>
  <c r="V68" i="61"/>
  <c r="W68" i="61" s="1"/>
  <c r="AD68" i="61"/>
  <c r="AL68" i="61"/>
  <c r="AM68" i="61" s="1"/>
  <c r="AT68" i="61"/>
  <c r="AU68" i="61" s="1"/>
  <c r="BB68" i="61"/>
  <c r="BC68" i="61" s="1"/>
  <c r="E103" i="61"/>
  <c r="E78" i="61"/>
  <c r="E80" i="61" s="1"/>
  <c r="I103" i="61"/>
  <c r="I78" i="61"/>
  <c r="I80" i="61" s="1"/>
  <c r="M103" i="61"/>
  <c r="M78" i="61"/>
  <c r="M80" i="61" s="1"/>
  <c r="Q103" i="61"/>
  <c r="Q78" i="61"/>
  <c r="Q80" i="61" s="1"/>
  <c r="U103" i="61"/>
  <c r="U78" i="61"/>
  <c r="U80" i="61" s="1"/>
  <c r="Y103" i="61"/>
  <c r="Y78" i="61"/>
  <c r="Y80" i="61" s="1"/>
  <c r="AC103" i="61"/>
  <c r="AC78" i="61"/>
  <c r="AC80" i="61" s="1"/>
  <c r="AK103" i="61"/>
  <c r="AK78" i="61"/>
  <c r="AK80" i="61" s="1"/>
  <c r="AO103" i="61"/>
  <c r="AO78" i="61"/>
  <c r="AO80" i="61" s="1"/>
  <c r="AS103" i="61"/>
  <c r="AS78" i="61"/>
  <c r="AW78" i="61"/>
  <c r="AW103" i="61"/>
  <c r="BA103" i="61"/>
  <c r="BE103" i="61"/>
  <c r="BE78" i="61"/>
  <c r="BE80" i="61" s="1"/>
  <c r="AO81" i="61"/>
  <c r="BE81" i="61"/>
  <c r="CN162" i="61"/>
  <c r="CO162" i="61" s="1"/>
  <c r="CP162" i="61" s="1"/>
  <c r="J57" i="61"/>
  <c r="Z57" i="61"/>
  <c r="AA57" i="61" s="1"/>
  <c r="AP57" i="61"/>
  <c r="AQ57" i="61" s="1"/>
  <c r="CH57" i="61" s="1"/>
  <c r="CH167" i="61" s="1"/>
  <c r="F59" i="61"/>
  <c r="G59" i="61" s="1"/>
  <c r="V59" i="61"/>
  <c r="AL59" i="61"/>
  <c r="BB59" i="61"/>
  <c r="BC59" i="61" s="1"/>
  <c r="Q61" i="61"/>
  <c r="R61" i="61" s="1"/>
  <c r="AG61" i="61"/>
  <c r="AW61" i="61"/>
  <c r="AX61" i="61" s="1"/>
  <c r="AY61" i="61" s="1"/>
  <c r="F65" i="61"/>
  <c r="G65" i="61" s="1"/>
  <c r="J65" i="61"/>
  <c r="N65" i="61"/>
  <c r="V65" i="61"/>
  <c r="W65" i="61" s="1"/>
  <c r="CC65" i="61" s="1"/>
  <c r="CC175" i="61" s="1"/>
  <c r="Z65" i="61"/>
  <c r="AD65" i="61"/>
  <c r="AE65" i="61" s="1"/>
  <c r="CE65" i="61" s="1"/>
  <c r="CE175" i="61" s="1"/>
  <c r="AL65" i="61"/>
  <c r="AM65" i="61" s="1"/>
  <c r="AP65" i="61"/>
  <c r="AQ65" i="61" s="1"/>
  <c r="CH65" i="61" s="1"/>
  <c r="CH175" i="61" s="1"/>
  <c r="AT65" i="61"/>
  <c r="AU65" i="61" s="1"/>
  <c r="BB65" i="61"/>
  <c r="BC65" i="61" s="1"/>
  <c r="CK65" i="61" s="1"/>
  <c r="CK175" i="61" s="1"/>
  <c r="BY67" i="61"/>
  <c r="BY85" i="61"/>
  <c r="BY88" i="61" s="1"/>
  <c r="CC85" i="61"/>
  <c r="CC88" i="61" s="1"/>
  <c r="CG85" i="61"/>
  <c r="CG88" i="61" s="1"/>
  <c r="CK85" i="61"/>
  <c r="CK88" i="61" s="1"/>
  <c r="D88" i="61"/>
  <c r="H88" i="61"/>
  <c r="L88" i="61"/>
  <c r="P88" i="61"/>
  <c r="T88" i="61"/>
  <c r="X88" i="61"/>
  <c r="AB88" i="61"/>
  <c r="AF88" i="61"/>
  <c r="AJ88" i="61"/>
  <c r="AN88" i="61"/>
  <c r="AR88" i="61"/>
  <c r="AV88" i="61"/>
  <c r="AZ88" i="61"/>
  <c r="BD88" i="61"/>
  <c r="BZ85" i="61"/>
  <c r="BZ88" i="61" s="1"/>
  <c r="CD85" i="61"/>
  <c r="CD88" i="61" s="1"/>
  <c r="CH85" i="61"/>
  <c r="CH88" i="61" s="1"/>
  <c r="CA85" i="61"/>
  <c r="CA88" i="61" s="1"/>
  <c r="CE85" i="61"/>
  <c r="CE88" i="61" s="1"/>
  <c r="CI85" i="61"/>
  <c r="CI88" i="61" s="1"/>
  <c r="Q65" i="61"/>
  <c r="R65" i="61" s="1"/>
  <c r="AG65" i="61"/>
  <c r="AH65" i="61" s="1"/>
  <c r="AW65" i="61"/>
  <c r="CB85" i="61"/>
  <c r="CB88" i="61" s="1"/>
  <c r="CF85" i="61"/>
  <c r="CF88" i="61" s="1"/>
  <c r="CJ85" i="61"/>
  <c r="CJ88" i="61" s="1"/>
  <c r="G88" i="61"/>
  <c r="K88" i="61"/>
  <c r="O88" i="61"/>
  <c r="S88" i="61"/>
  <c r="W88" i="61"/>
  <c r="AA88" i="61"/>
  <c r="AE88" i="61"/>
  <c r="AI88" i="61"/>
  <c r="AM88" i="61"/>
  <c r="AQ88" i="61"/>
  <c r="AU88" i="61"/>
  <c r="AY88" i="61"/>
  <c r="BC88" i="61"/>
  <c r="BY105" i="61"/>
  <c r="BZ105" i="61"/>
  <c r="CA105" i="61"/>
  <c r="CB105" i="61"/>
  <c r="CC105" i="61"/>
  <c r="CD105" i="61"/>
  <c r="CE105" i="61"/>
  <c r="E147" i="61"/>
  <c r="E179" i="61" s="1"/>
  <c r="E180" i="61" s="1"/>
  <c r="E183" i="61" s="1"/>
  <c r="BN166" i="61"/>
  <c r="BO166" i="61" s="1"/>
  <c r="H179" i="61"/>
  <c r="L179" i="61"/>
  <c r="BM173" i="61"/>
  <c r="BN162" i="61"/>
  <c r="M179" i="61"/>
  <c r="BE147" i="61"/>
  <c r="BE179" i="61" s="1"/>
  <c r="N179" i="61"/>
  <c r="BL173" i="61"/>
  <c r="G177" i="61"/>
  <c r="F98" i="2"/>
  <c r="F77" i="2"/>
  <c r="D98" i="2"/>
  <c r="D77" i="2"/>
  <c r="H98" i="2"/>
  <c r="H77" i="2"/>
  <c r="L98" i="2"/>
  <c r="L77" i="2"/>
  <c r="P98" i="2"/>
  <c r="P77" i="2"/>
  <c r="T98" i="2"/>
  <c r="T77" i="2"/>
  <c r="X98" i="2"/>
  <c r="X77" i="2"/>
  <c r="AB98" i="2"/>
  <c r="AB77" i="2"/>
  <c r="AF98" i="2"/>
  <c r="AF77" i="2"/>
  <c r="AJ98" i="2"/>
  <c r="AJ77" i="2"/>
  <c r="AN98" i="2"/>
  <c r="AN77" i="2"/>
  <c r="AR98" i="2"/>
  <c r="AR77" i="2"/>
  <c r="AV98" i="2"/>
  <c r="AV77" i="2"/>
  <c r="G151" i="2"/>
  <c r="K151" i="2"/>
  <c r="O151" i="2"/>
  <c r="S151" i="2"/>
  <c r="W151" i="2"/>
  <c r="AA151" i="2"/>
  <c r="AE151" i="2"/>
  <c r="AI151" i="2"/>
  <c r="AM151" i="2"/>
  <c r="AQ151" i="2"/>
  <c r="AU151" i="2"/>
  <c r="D151" i="2"/>
  <c r="H151" i="2"/>
  <c r="L151" i="2"/>
  <c r="P151" i="2"/>
  <c r="T151" i="2"/>
  <c r="X151" i="2"/>
  <c r="AB151" i="2"/>
  <c r="AF151" i="2"/>
  <c r="AJ151" i="2"/>
  <c r="AN151" i="2"/>
  <c r="AR151" i="2"/>
  <c r="AV151" i="2"/>
  <c r="AZ151" i="2"/>
  <c r="G48" i="2"/>
  <c r="K48" i="2"/>
  <c r="O48" i="2"/>
  <c r="S48" i="2"/>
  <c r="W48" i="2"/>
  <c r="AA48" i="2"/>
  <c r="AE48" i="2"/>
  <c r="AI48" i="2"/>
  <c r="AM48" i="2"/>
  <c r="AQ48" i="2"/>
  <c r="AU48" i="2"/>
  <c r="AY48" i="2"/>
  <c r="BC48" i="2"/>
  <c r="N98" i="2"/>
  <c r="N77" i="2"/>
  <c r="V98" i="2"/>
  <c r="V77" i="2"/>
  <c r="Z98" i="2"/>
  <c r="Z77" i="2"/>
  <c r="AL98" i="2"/>
  <c r="AL77" i="2"/>
  <c r="AT98" i="2"/>
  <c r="AT77" i="2"/>
  <c r="BB98" i="2"/>
  <c r="BB77" i="2"/>
  <c r="BJ98" i="2"/>
  <c r="BJ77" i="2"/>
  <c r="CA98" i="2"/>
  <c r="CA77" i="2"/>
  <c r="CM98" i="2"/>
  <c r="CM77" i="2"/>
  <c r="J98" i="2"/>
  <c r="J77" i="2"/>
  <c r="R77" i="2"/>
  <c r="R98" i="2"/>
  <c r="AD98" i="2"/>
  <c r="AD77" i="2"/>
  <c r="AH98" i="2"/>
  <c r="AH77" i="2"/>
  <c r="AP77" i="2"/>
  <c r="AP98" i="2"/>
  <c r="AX77" i="2"/>
  <c r="AX98" i="2"/>
  <c r="BN98" i="2"/>
  <c r="BN77" i="2"/>
  <c r="CE98" i="2"/>
  <c r="CE77" i="2"/>
  <c r="CI98" i="2"/>
  <c r="CI77" i="2"/>
  <c r="CL10" i="2"/>
  <c r="CL87" i="2" s="1"/>
  <c r="BH87" i="2"/>
  <c r="BH88" i="2" s="1"/>
  <c r="BL37" i="2"/>
  <c r="BM37" i="2" s="1"/>
  <c r="BN37" i="2" s="1"/>
  <c r="BO37" i="2" s="1"/>
  <c r="CM37" i="2"/>
  <c r="G98" i="2"/>
  <c r="G77" i="2"/>
  <c r="K98" i="2"/>
  <c r="K77" i="2"/>
  <c r="O98" i="2"/>
  <c r="O77" i="2"/>
  <c r="S98" i="2"/>
  <c r="S77" i="2"/>
  <c r="W98" i="2"/>
  <c r="W77" i="2"/>
  <c r="AA98" i="2"/>
  <c r="AA77" i="2"/>
  <c r="AE98" i="2"/>
  <c r="AE77" i="2"/>
  <c r="AI98" i="2"/>
  <c r="AI77" i="2"/>
  <c r="AM98" i="2"/>
  <c r="AM77" i="2"/>
  <c r="AQ98" i="2"/>
  <c r="AQ77" i="2"/>
  <c r="AU98" i="2"/>
  <c r="AU77" i="2"/>
  <c r="AY98" i="2"/>
  <c r="AY77" i="2"/>
  <c r="BC98" i="2"/>
  <c r="BC77" i="2"/>
  <c r="BG98" i="2"/>
  <c r="BK98" i="2"/>
  <c r="BK77" i="2"/>
  <c r="BO98" i="2"/>
  <c r="BO77" i="2"/>
  <c r="CB98" i="2"/>
  <c r="CB77" i="2"/>
  <c r="CF98" i="2"/>
  <c r="CF77" i="2"/>
  <c r="CJ98" i="2"/>
  <c r="CJ77" i="2"/>
  <c r="AY151" i="2"/>
  <c r="CL18" i="2"/>
  <c r="CM27" i="2"/>
  <c r="BL27" i="2"/>
  <c r="CM29" i="2"/>
  <c r="BL29" i="2"/>
  <c r="CM31" i="2"/>
  <c r="BL31" i="2"/>
  <c r="BM31" i="2" s="1"/>
  <c r="BN31" i="2" s="1"/>
  <c r="BO31" i="2" s="1"/>
  <c r="CB90" i="2"/>
  <c r="CF15" i="2"/>
  <c r="CF23" i="2" s="1"/>
  <c r="CF83" i="61" s="1"/>
  <c r="CJ15" i="2"/>
  <c r="CJ23" i="2" s="1"/>
  <c r="CJ83" i="61" s="1"/>
  <c r="I151" i="2"/>
  <c r="Q151" i="2"/>
  <c r="Y151" i="2"/>
  <c r="AG151" i="2"/>
  <c r="AO151" i="2"/>
  <c r="AW151" i="2"/>
  <c r="BA151" i="2"/>
  <c r="CF33" i="2"/>
  <c r="CF38" i="2" s="1"/>
  <c r="CF46" i="2" s="1"/>
  <c r="CF92" i="2"/>
  <c r="BY90" i="2"/>
  <c r="CC90" i="2"/>
  <c r="CG90" i="2"/>
  <c r="BY15" i="2"/>
  <c r="BY23" i="2" s="1"/>
  <c r="BY83" i="61" s="1"/>
  <c r="CC15" i="2"/>
  <c r="CC23" i="2" s="1"/>
  <c r="CC83" i="61" s="1"/>
  <c r="CG15" i="2"/>
  <c r="CG23" i="2" s="1"/>
  <c r="CG83" i="61" s="1"/>
  <c r="CK15" i="2"/>
  <c r="CK23" i="2" s="1"/>
  <c r="CK83" i="61" s="1"/>
  <c r="F151" i="2"/>
  <c r="J151" i="2"/>
  <c r="N151" i="2"/>
  <c r="R151" i="2"/>
  <c r="V151" i="2"/>
  <c r="Z151" i="2"/>
  <c r="AD151" i="2"/>
  <c r="AH151" i="2"/>
  <c r="AL151" i="2"/>
  <c r="AP151" i="2"/>
  <c r="AT151" i="2"/>
  <c r="AX151" i="2"/>
  <c r="BB151" i="2"/>
  <c r="BH28" i="2"/>
  <c r="BZ140" i="2"/>
  <c r="CD140" i="2"/>
  <c r="BY33" i="2"/>
  <c r="BY38" i="2" s="1"/>
  <c r="BY46" i="2" s="1"/>
  <c r="CC33" i="2"/>
  <c r="CC38" i="2" s="1"/>
  <c r="CC46" i="2" s="1"/>
  <c r="CG33" i="2"/>
  <c r="CG38" i="2" s="1"/>
  <c r="CG46" i="2" s="1"/>
  <c r="CK33" i="2"/>
  <c r="CK38" i="2" s="1"/>
  <c r="CK46" i="2" s="1"/>
  <c r="D48" i="2"/>
  <c r="H48" i="2"/>
  <c r="L48" i="2"/>
  <c r="P48" i="2"/>
  <c r="T48" i="2"/>
  <c r="X48" i="2"/>
  <c r="AB48" i="2"/>
  <c r="AF48" i="2"/>
  <c r="AJ48" i="2"/>
  <c r="AN48" i="2"/>
  <c r="AR48" i="2"/>
  <c r="AV48" i="2"/>
  <c r="AZ48" i="2"/>
  <c r="BD48" i="2"/>
  <c r="BY92" i="2"/>
  <c r="CC92" i="2"/>
  <c r="CG92" i="2"/>
  <c r="CK92" i="2"/>
  <c r="BY82" i="2"/>
  <c r="BY83" i="2" s="1"/>
  <c r="BY81" i="2"/>
  <c r="BY73" i="2"/>
  <c r="CC82" i="2"/>
  <c r="CC83" i="2" s="1"/>
  <c r="CC81" i="2"/>
  <c r="CC73" i="2"/>
  <c r="CG73" i="2"/>
  <c r="CG82" i="2"/>
  <c r="CG83" i="2" s="1"/>
  <c r="CG81" i="2"/>
  <c r="CK82" i="2"/>
  <c r="CK73" i="2"/>
  <c r="BD98" i="2"/>
  <c r="BD77" i="2"/>
  <c r="BL98" i="2"/>
  <c r="BL77" i="2"/>
  <c r="CK98" i="2"/>
  <c r="CK77" i="2"/>
  <c r="CD90" i="2"/>
  <c r="CD15" i="2"/>
  <c r="CD23" i="2" s="1"/>
  <c r="CD83" i="61" s="1"/>
  <c r="CL31" i="2"/>
  <c r="CL32" i="2"/>
  <c r="BZ33" i="2"/>
  <c r="BZ38" i="2" s="1"/>
  <c r="BZ46" i="2" s="1"/>
  <c r="CD33" i="2"/>
  <c r="CD38" i="2" s="1"/>
  <c r="CD46" i="2" s="1"/>
  <c r="CD48" i="2" s="1"/>
  <c r="CH33" i="2"/>
  <c r="CH38" i="2" s="1"/>
  <c r="CH46" i="2" s="1"/>
  <c r="E48" i="2"/>
  <c r="I48" i="2"/>
  <c r="M48" i="2"/>
  <c r="Q48" i="2"/>
  <c r="Y48" i="2"/>
  <c r="AC48" i="2"/>
  <c r="AG48" i="2"/>
  <c r="AK48" i="2"/>
  <c r="AO48" i="2"/>
  <c r="AS48" i="2"/>
  <c r="AW48" i="2"/>
  <c r="BA48" i="2"/>
  <c r="BZ92" i="2"/>
  <c r="CD92" i="2"/>
  <c r="CH92" i="2"/>
  <c r="CL35" i="2"/>
  <c r="CL37" i="2"/>
  <c r="BZ82" i="2"/>
  <c r="BZ83" i="2" s="1"/>
  <c r="BZ81" i="2"/>
  <c r="BZ73" i="2"/>
  <c r="CD82" i="2"/>
  <c r="CD83" i="2" s="1"/>
  <c r="CD81" i="2"/>
  <c r="CD73" i="2"/>
  <c r="CH82" i="2"/>
  <c r="CH83" i="2" s="1"/>
  <c r="CH81" i="2"/>
  <c r="CH73" i="2"/>
  <c r="CF71" i="2"/>
  <c r="CF74" i="2" s="1"/>
  <c r="AZ98" i="2"/>
  <c r="AZ77" i="2"/>
  <c r="BH98" i="2"/>
  <c r="BH77" i="2"/>
  <c r="BY98" i="2"/>
  <c r="BY77" i="2"/>
  <c r="CC98" i="2"/>
  <c r="CC77" i="2"/>
  <c r="CG77" i="2"/>
  <c r="CG98" i="2"/>
  <c r="BZ90" i="2"/>
  <c r="BZ15" i="2"/>
  <c r="BZ23" i="2" s="1"/>
  <c r="BZ83" i="61" s="1"/>
  <c r="CH15" i="2"/>
  <c r="CH23" i="2" s="1"/>
  <c r="CH83" i="61" s="1"/>
  <c r="CL19" i="2"/>
  <c r="CL21" i="2"/>
  <c r="CL27" i="2"/>
  <c r="CL29" i="2"/>
  <c r="U48" i="2"/>
  <c r="E98" i="2"/>
  <c r="E77" i="2"/>
  <c r="I98" i="2"/>
  <c r="I77" i="2"/>
  <c r="M98" i="2"/>
  <c r="M77" i="2"/>
  <c r="Q98" i="2"/>
  <c r="Q77" i="2"/>
  <c r="U98" i="2"/>
  <c r="U77" i="2"/>
  <c r="Y98" i="2"/>
  <c r="Y77" i="2"/>
  <c r="AC77" i="2"/>
  <c r="AC98" i="2"/>
  <c r="AG98" i="2"/>
  <c r="AG77" i="2"/>
  <c r="AK98" i="2"/>
  <c r="AK77" i="2"/>
  <c r="AO98" i="2"/>
  <c r="AO77" i="2"/>
  <c r="AS98" i="2"/>
  <c r="AS77" i="2"/>
  <c r="AW98" i="2"/>
  <c r="AW77" i="2"/>
  <c r="BA98" i="2"/>
  <c r="BA77" i="2"/>
  <c r="BE98" i="2"/>
  <c r="BE77" i="2"/>
  <c r="BI77" i="2"/>
  <c r="BI98" i="2"/>
  <c r="BM98" i="2"/>
  <c r="BM77" i="2"/>
  <c r="BZ98" i="2"/>
  <c r="BZ77" i="2"/>
  <c r="CD98" i="2"/>
  <c r="CD77" i="2"/>
  <c r="CH98" i="2"/>
  <c r="CH77" i="2"/>
  <c r="CL98" i="2"/>
  <c r="CL77" i="2"/>
  <c r="CF145" i="2"/>
  <c r="CA15" i="2"/>
  <c r="CA23" i="2" s="1"/>
  <c r="CA83" i="61" s="1"/>
  <c r="CE15" i="2"/>
  <c r="CE23" i="2" s="1"/>
  <c r="CE83" i="61" s="1"/>
  <c r="CI15" i="2"/>
  <c r="CI23" i="2" s="1"/>
  <c r="CI83" i="61" s="1"/>
  <c r="BF139" i="2"/>
  <c r="CB140" i="2"/>
  <c r="CF140" i="2"/>
  <c r="CJ140" i="2"/>
  <c r="CA33" i="2"/>
  <c r="CA38" i="2" s="1"/>
  <c r="CA46" i="2" s="1"/>
  <c r="CE33" i="2"/>
  <c r="CE38" i="2" s="1"/>
  <c r="CE46" i="2" s="1"/>
  <c r="CI33" i="2"/>
  <c r="CI38" i="2" s="1"/>
  <c r="CI46" i="2" s="1"/>
  <c r="CA92" i="2"/>
  <c r="CE92" i="2"/>
  <c r="CI92" i="2"/>
  <c r="CN98" i="2"/>
  <c r="CN77" i="2"/>
  <c r="CB15" i="2"/>
  <c r="CB23" i="2" s="1"/>
  <c r="E151" i="2"/>
  <c r="M151" i="2"/>
  <c r="U151" i="2"/>
  <c r="AC151" i="2"/>
  <c r="AK151" i="2"/>
  <c r="AS151" i="2"/>
  <c r="CJ33" i="2"/>
  <c r="CJ38" i="2" s="1"/>
  <c r="CJ46" i="2" s="1"/>
  <c r="CB92" i="2"/>
  <c r="CJ92" i="2"/>
  <c r="CG71" i="2"/>
  <c r="CL63" i="2"/>
  <c r="CL65" i="2"/>
  <c r="O71" i="2"/>
  <c r="O74" i="2" s="1"/>
  <c r="AE71" i="2"/>
  <c r="AE74" i="2" s="1"/>
  <c r="AU71" i="2"/>
  <c r="AU74" i="2" s="1"/>
  <c r="D90" i="2"/>
  <c r="AJ93" i="2"/>
  <c r="AJ94" i="2" s="1"/>
  <c r="AV90" i="2"/>
  <c r="AZ90" i="2"/>
  <c r="BE145" i="2"/>
  <c r="AS145" i="2"/>
  <c r="AS147" i="2" s="1"/>
  <c r="CA82" i="2"/>
  <c r="CA83" i="2" s="1"/>
  <c r="CA81" i="2"/>
  <c r="CA73" i="2"/>
  <c r="CE82" i="2"/>
  <c r="CE83" i="2" s="1"/>
  <c r="CE81" i="2"/>
  <c r="CE73" i="2"/>
  <c r="CI82" i="2"/>
  <c r="CI73" i="2"/>
  <c r="CA71" i="2"/>
  <c r="CE71" i="2"/>
  <c r="CI71" i="2"/>
  <c r="CL70" i="2"/>
  <c r="S71" i="2"/>
  <c r="S74" i="2" s="1"/>
  <c r="AI71" i="2"/>
  <c r="AI74" i="2" s="1"/>
  <c r="AY71" i="2"/>
  <c r="AY74" i="2" s="1"/>
  <c r="CB82" i="2"/>
  <c r="CB83" i="2" s="1"/>
  <c r="CB81" i="2"/>
  <c r="CF82" i="2"/>
  <c r="CF83" i="2" s="1"/>
  <c r="CF81" i="2"/>
  <c r="CJ82" i="2"/>
  <c r="E55" i="2"/>
  <c r="I55" i="2"/>
  <c r="M55" i="2"/>
  <c r="Q55" i="2"/>
  <c r="U55" i="2"/>
  <c r="Y55" i="2"/>
  <c r="AC55" i="2"/>
  <c r="AG55" i="2"/>
  <c r="AK55" i="2"/>
  <c r="AO55" i="2"/>
  <c r="AS55" i="2"/>
  <c r="AW55" i="2"/>
  <c r="BA55" i="2"/>
  <c r="BE55" i="2"/>
  <c r="G71" i="2"/>
  <c r="G74" i="2" s="1"/>
  <c r="W71" i="2"/>
  <c r="W74" i="2" s="1"/>
  <c r="G145" i="2"/>
  <c r="G147" i="2" s="1"/>
  <c r="F93" i="2"/>
  <c r="F94" i="2" s="1"/>
  <c r="F90" i="2"/>
  <c r="K145" i="2"/>
  <c r="K147" i="2" s="1"/>
  <c r="J93" i="2"/>
  <c r="J94" i="2" s="1"/>
  <c r="J90" i="2"/>
  <c r="O145" i="2"/>
  <c r="O147" i="2" s="1"/>
  <c r="N90" i="2"/>
  <c r="N93" i="2"/>
  <c r="N94" i="2" s="1"/>
  <c r="S145" i="2"/>
  <c r="S147" i="2" s="1"/>
  <c r="R90" i="2"/>
  <c r="W145" i="2"/>
  <c r="W147" i="2" s="1"/>
  <c r="V93" i="2"/>
  <c r="V94" i="2" s="1"/>
  <c r="V90" i="2"/>
  <c r="AA145" i="2"/>
  <c r="AA147" i="2" s="1"/>
  <c r="Z93" i="2"/>
  <c r="Z94" i="2" s="1"/>
  <c r="Z90" i="2"/>
  <c r="AE145" i="2"/>
  <c r="AE147" i="2" s="1"/>
  <c r="AD90" i="2"/>
  <c r="AD93" i="2"/>
  <c r="AD94" i="2" s="1"/>
  <c r="AI145" i="2"/>
  <c r="AI147" i="2" s="1"/>
  <c r="AH90" i="2"/>
  <c r="AH93" i="2"/>
  <c r="AH94" i="2" s="1"/>
  <c r="AM145" i="2"/>
  <c r="AM147" i="2" s="1"/>
  <c r="AL93" i="2"/>
  <c r="AL94" i="2" s="1"/>
  <c r="AL90" i="2"/>
  <c r="AP93" i="2"/>
  <c r="AP94" i="2" s="1"/>
  <c r="AP90" i="2"/>
  <c r="AQ145" i="2"/>
  <c r="AQ147" i="2" s="1"/>
  <c r="AU145" i="2"/>
  <c r="AT90" i="2"/>
  <c r="AT93" i="2"/>
  <c r="AT94" i="2" s="1"/>
  <c r="AY145" i="2"/>
  <c r="AX90" i="2"/>
  <c r="AX93" i="2"/>
  <c r="AX94" i="2" s="1"/>
  <c r="BC145" i="2"/>
  <c r="BB93" i="2"/>
  <c r="BB90" i="2"/>
  <c r="H71" i="2"/>
  <c r="H74" i="2" s="1"/>
  <c r="L71" i="2"/>
  <c r="L74" i="2" s="1"/>
  <c r="P71" i="2"/>
  <c r="P74" i="2" s="1"/>
  <c r="T71" i="2"/>
  <c r="T74" i="2" s="1"/>
  <c r="X71" i="2"/>
  <c r="X74" i="2" s="1"/>
  <c r="AB71" i="2"/>
  <c r="AB74" i="2" s="1"/>
  <c r="AF71" i="2"/>
  <c r="AF74" i="2" s="1"/>
  <c r="AJ71" i="2"/>
  <c r="AJ74" i="2" s="1"/>
  <c r="AN71" i="2"/>
  <c r="AN74" i="2" s="1"/>
  <c r="AR71" i="2"/>
  <c r="AR74" i="2" s="1"/>
  <c r="AV71" i="2"/>
  <c r="AV74" i="2" s="1"/>
  <c r="AZ71" i="2"/>
  <c r="AZ74" i="2" s="1"/>
  <c r="BD71" i="2"/>
  <c r="BD74" i="2" s="1"/>
  <c r="H145" i="2"/>
  <c r="H147" i="2" s="1"/>
  <c r="G90" i="2"/>
  <c r="L145" i="2"/>
  <c r="L147" i="2" s="1"/>
  <c r="K93" i="2"/>
  <c r="K94" i="2" s="1"/>
  <c r="K90" i="2"/>
  <c r="P145" i="2"/>
  <c r="P147" i="2" s="1"/>
  <c r="O90" i="2"/>
  <c r="O93" i="2"/>
  <c r="O94" i="2" s="1"/>
  <c r="T145" i="2"/>
  <c r="T147" i="2" s="1"/>
  <c r="S90" i="2"/>
  <c r="S93" i="2"/>
  <c r="S94" i="2" s="1"/>
  <c r="X145" i="2"/>
  <c r="X147" i="2" s="1"/>
  <c r="W90" i="2"/>
  <c r="AB145" i="2"/>
  <c r="AB147" i="2" s="1"/>
  <c r="AA93" i="2"/>
  <c r="AA94" i="2" s="1"/>
  <c r="AA90" i="2"/>
  <c r="AF145" i="2"/>
  <c r="AF147" i="2" s="1"/>
  <c r="AE90" i="2"/>
  <c r="AE93" i="2"/>
  <c r="AE94" i="2" s="1"/>
  <c r="AJ145" i="2"/>
  <c r="AJ147" i="2" s="1"/>
  <c r="AI90" i="2"/>
  <c r="AI93" i="2"/>
  <c r="AI94" i="2" s="1"/>
  <c r="AN145" i="2"/>
  <c r="AN147" i="2" s="1"/>
  <c r="AM90" i="2"/>
  <c r="AR145" i="2"/>
  <c r="AR147" i="2" s="1"/>
  <c r="AQ93" i="2"/>
  <c r="AQ94" i="2" s="1"/>
  <c r="AQ90" i="2"/>
  <c r="AV145" i="2"/>
  <c r="AU90" i="2"/>
  <c r="AU93" i="2"/>
  <c r="AU94" i="2" s="1"/>
  <c r="AZ145" i="2"/>
  <c r="AY90" i="2"/>
  <c r="AY93" i="2"/>
  <c r="AY94" i="2" s="1"/>
  <c r="BD145" i="2"/>
  <c r="BC90" i="2"/>
  <c r="W93" i="2"/>
  <c r="W94" i="2" s="1"/>
  <c r="E71" i="2"/>
  <c r="E74" i="2" s="1"/>
  <c r="I71" i="2"/>
  <c r="I74" i="2" s="1"/>
  <c r="M71" i="2"/>
  <c r="M74" i="2" s="1"/>
  <c r="Q71" i="2"/>
  <c r="Q74" i="2" s="1"/>
  <c r="U71" i="2"/>
  <c r="U74" i="2" s="1"/>
  <c r="Y71" i="2"/>
  <c r="Y74" i="2" s="1"/>
  <c r="AC71" i="2"/>
  <c r="AC74" i="2" s="1"/>
  <c r="AG71" i="2"/>
  <c r="AG74" i="2" s="1"/>
  <c r="AK71" i="2"/>
  <c r="AK74" i="2" s="1"/>
  <c r="AO71" i="2"/>
  <c r="AO74" i="2" s="1"/>
  <c r="AS71" i="2"/>
  <c r="AS74" i="2" s="1"/>
  <c r="AW71" i="2"/>
  <c r="AW74" i="2" s="1"/>
  <c r="BA71" i="2"/>
  <c r="BA74" i="2" s="1"/>
  <c r="BE71" i="2"/>
  <c r="BE74" i="2" s="1"/>
  <c r="G93" i="2"/>
  <c r="G94" i="2" s="1"/>
  <c r="F71" i="2"/>
  <c r="F74" i="2" s="1"/>
  <c r="J71" i="2"/>
  <c r="J74" i="2" s="1"/>
  <c r="N71" i="2"/>
  <c r="N74" i="2" s="1"/>
  <c r="R71" i="2"/>
  <c r="R74" i="2" s="1"/>
  <c r="V71" i="2"/>
  <c r="V74" i="2" s="1"/>
  <c r="Z71" i="2"/>
  <c r="Z74" i="2" s="1"/>
  <c r="AD71" i="2"/>
  <c r="AD74" i="2" s="1"/>
  <c r="AH71" i="2"/>
  <c r="AH74" i="2" s="1"/>
  <c r="AL71" i="2"/>
  <c r="AL74" i="2" s="1"/>
  <c r="AP71" i="2"/>
  <c r="AP74" i="2" s="1"/>
  <c r="AT71" i="2"/>
  <c r="AT74" i="2" s="1"/>
  <c r="AX71" i="2"/>
  <c r="AX74" i="2" s="1"/>
  <c r="BB71" i="2"/>
  <c r="BB74" i="2" s="1"/>
  <c r="E83" i="2"/>
  <c r="I83" i="2"/>
  <c r="M83" i="2"/>
  <c r="Q83" i="2"/>
  <c r="U83" i="2"/>
  <c r="Y83" i="2"/>
  <c r="AC83" i="2"/>
  <c r="AG83" i="2"/>
  <c r="AK83" i="2"/>
  <c r="AO83" i="2"/>
  <c r="AS83" i="2"/>
  <c r="AW83" i="2"/>
  <c r="BA83" i="2"/>
  <c r="BE83" i="2"/>
  <c r="F145" i="2"/>
  <c r="F147" i="2" s="1"/>
  <c r="E93" i="2"/>
  <c r="E94" i="2" s="1"/>
  <c r="E90" i="2"/>
  <c r="J145" i="2"/>
  <c r="J147" i="2" s="1"/>
  <c r="I93" i="2"/>
  <c r="I94" i="2" s="1"/>
  <c r="I90" i="2"/>
  <c r="N145" i="2"/>
  <c r="N147" i="2" s="1"/>
  <c r="M93" i="2"/>
  <c r="M94" i="2" s="1"/>
  <c r="M90" i="2"/>
  <c r="R145" i="2"/>
  <c r="R147" i="2" s="1"/>
  <c r="Q93" i="2"/>
  <c r="Q94" i="2" s="1"/>
  <c r="Q90" i="2"/>
  <c r="V145" i="2"/>
  <c r="V147" i="2" s="1"/>
  <c r="U93" i="2"/>
  <c r="U94" i="2" s="1"/>
  <c r="U90" i="2"/>
  <c r="Z145" i="2"/>
  <c r="Z147" i="2" s="1"/>
  <c r="Y93" i="2"/>
  <c r="Y94" i="2" s="1"/>
  <c r="Y90" i="2"/>
  <c r="AD145" i="2"/>
  <c r="AD147" i="2" s="1"/>
  <c r="AC93" i="2"/>
  <c r="AC94" i="2" s="1"/>
  <c r="AC90" i="2"/>
  <c r="AH145" i="2"/>
  <c r="AH147" i="2" s="1"/>
  <c r="AG93" i="2"/>
  <c r="AG94" i="2" s="1"/>
  <c r="AG90" i="2"/>
  <c r="AL145" i="2"/>
  <c r="AL147" i="2" s="1"/>
  <c r="AK93" i="2"/>
  <c r="AK94" i="2" s="1"/>
  <c r="AK90" i="2"/>
  <c r="AP145" i="2"/>
  <c r="AP147" i="2" s="1"/>
  <c r="AO93" i="2"/>
  <c r="AO94" i="2" s="1"/>
  <c r="AO90" i="2"/>
  <c r="AT145" i="2"/>
  <c r="AT147" i="2" s="1"/>
  <c r="AU147" i="2" s="1"/>
  <c r="AV147" i="2" s="1"/>
  <c r="AW147" i="2" s="1"/>
  <c r="AX147" i="2" s="1"/>
  <c r="AY147" i="2" s="1"/>
  <c r="AZ147" i="2" s="1"/>
  <c r="BA147" i="2" s="1"/>
  <c r="BB147" i="2" s="1"/>
  <c r="BC147" i="2" s="1"/>
  <c r="BD147" i="2" s="1"/>
  <c r="BE147" i="2" s="1"/>
  <c r="BF147" i="2" s="1"/>
  <c r="BG147" i="2" s="1"/>
  <c r="BH147" i="2" s="1"/>
  <c r="BI147" i="2" s="1"/>
  <c r="BJ147" i="2" s="1"/>
  <c r="BK147" i="2" s="1"/>
  <c r="BL147" i="2" s="1"/>
  <c r="BM147" i="2" s="1"/>
  <c r="BN147" i="2" s="1"/>
  <c r="BO147" i="2" s="1"/>
  <c r="BP147" i="2" s="1"/>
  <c r="BQ147" i="2" s="1"/>
  <c r="BR147" i="2" s="1"/>
  <c r="BS147" i="2" s="1"/>
  <c r="BT147" i="2" s="1"/>
  <c r="BU147" i="2" s="1"/>
  <c r="BV147" i="2" s="1"/>
  <c r="BW147" i="2" s="1"/>
  <c r="AS93" i="2"/>
  <c r="AS94" i="2" s="1"/>
  <c r="AS90" i="2"/>
  <c r="AX145" i="2"/>
  <c r="AW93" i="2"/>
  <c r="AW94" i="2" s="1"/>
  <c r="AW90" i="2"/>
  <c r="BB145" i="2"/>
  <c r="BA93" i="2"/>
  <c r="BA90" i="2"/>
  <c r="BF145" i="2"/>
  <c r="BE93" i="2"/>
  <c r="BE90" i="2"/>
  <c r="BC93" i="2"/>
  <c r="H140" i="2"/>
  <c r="H142" i="2" s="1"/>
  <c r="L140" i="2"/>
  <c r="L142" i="2" s="1"/>
  <c r="P140" i="2"/>
  <c r="P142" i="2" s="1"/>
  <c r="T140" i="2"/>
  <c r="T142" i="2" s="1"/>
  <c r="X140" i="2"/>
  <c r="X142" i="2" s="1"/>
  <c r="AB140" i="2"/>
  <c r="AB142" i="2" s="1"/>
  <c r="AF140" i="2"/>
  <c r="AF142" i="2" s="1"/>
  <c r="AJ140" i="2"/>
  <c r="AJ142" i="2" s="1"/>
  <c r="AN140" i="2"/>
  <c r="AN142" i="2" s="1"/>
  <c r="AR140" i="2"/>
  <c r="AR142" i="2" s="1"/>
  <c r="AV140" i="2"/>
  <c r="AV141" i="2" s="1"/>
  <c r="AZ140" i="2"/>
  <c r="AZ141" i="2" s="1"/>
  <c r="AM142" i="2"/>
  <c r="T53" i="2" l="1"/>
  <c r="BK57" i="2"/>
  <c r="BZ723" i="63"/>
  <c r="O715" i="63"/>
  <c r="S688" i="63"/>
  <c r="CF539" i="63"/>
  <c r="CF552" i="63"/>
  <c r="CH351" i="63"/>
  <c r="CH366" i="63" s="1"/>
  <c r="O702" i="63"/>
  <c r="CF526" i="63"/>
  <c r="BV23" i="63"/>
  <c r="BU34" i="63"/>
  <c r="X168" i="63"/>
  <c r="BW45" i="63"/>
  <c r="BW34" i="63"/>
  <c r="V168" i="63"/>
  <c r="BW23" i="63"/>
  <c r="BW12" i="63"/>
  <c r="BW56" i="63"/>
  <c r="BV12" i="63"/>
  <c r="BV34" i="63"/>
  <c r="BV56" i="63"/>
  <c r="W671" i="63"/>
  <c r="CF378" i="63"/>
  <c r="BU23" i="63"/>
  <c r="AC168" i="63"/>
  <c r="T93" i="2"/>
  <c r="T94" i="2" s="1"/>
  <c r="AC145" i="2"/>
  <c r="AC147" i="2" s="1"/>
  <c r="CB48" i="2"/>
  <c r="CH90" i="2"/>
  <c r="CK90" i="2"/>
  <c r="CF48" i="2"/>
  <c r="AL168" i="63"/>
  <c r="AU168" i="63"/>
  <c r="BB179" i="61"/>
  <c r="BD90" i="2"/>
  <c r="AN93" i="2"/>
  <c r="AN94" i="2" s="1"/>
  <c r="X93" i="2"/>
  <c r="X94" i="2" s="1"/>
  <c r="H93" i="2"/>
  <c r="H94" i="2" s="1"/>
  <c r="AN90" i="2"/>
  <c r="X90" i="2"/>
  <c r="H90" i="2"/>
  <c r="L93" i="2"/>
  <c r="L94" i="2" s="1"/>
  <c r="U145" i="2"/>
  <c r="U147" i="2" s="1"/>
  <c r="BA145" i="2"/>
  <c r="BA146" i="2" s="1"/>
  <c r="E145" i="2"/>
  <c r="E147" i="2" s="1"/>
  <c r="AB90" i="2"/>
  <c r="M145" i="2"/>
  <c r="M147" i="2" s="1"/>
  <c r="AR93" i="2"/>
  <c r="AR94" i="2" s="1"/>
  <c r="AJ90" i="2"/>
  <c r="CI105" i="63"/>
  <c r="M744" i="63"/>
  <c r="AF168" i="63"/>
  <c r="CF387" i="63"/>
  <c r="AQ378" i="63"/>
  <c r="AG168" i="63"/>
  <c r="AQ168" i="63"/>
  <c r="S168" i="63"/>
  <c r="BB142" i="63"/>
  <c r="O747" i="63"/>
  <c r="O726" i="63"/>
  <c r="CF570" i="63"/>
  <c r="AT378" i="63"/>
  <c r="CF165" i="63"/>
  <c r="AI587" i="63"/>
  <c r="AP168" i="63"/>
  <c r="CI341" i="63"/>
  <c r="BB13" i="63"/>
  <c r="BB140" i="63"/>
  <c r="AV93" i="2"/>
  <c r="AV94" i="2" s="1"/>
  <c r="AF90" i="2"/>
  <c r="P90" i="2"/>
  <c r="CF93" i="2"/>
  <c r="CF94" i="2" s="1"/>
  <c r="CJ145" i="2"/>
  <c r="CH140" i="2"/>
  <c r="AF93" i="2"/>
  <c r="AF94" i="2" s="1"/>
  <c r="P93" i="2"/>
  <c r="P94" i="2" s="1"/>
  <c r="CB145" i="2"/>
  <c r="CJ90" i="2"/>
  <c r="BE47" i="63"/>
  <c r="AH168" i="63"/>
  <c r="BZ11" i="61"/>
  <c r="BR138" i="1" s="1"/>
  <c r="K138" i="1"/>
  <c r="K139" i="1" s="1"/>
  <c r="BF11" i="61"/>
  <c r="BE138" i="1"/>
  <c r="BE139" i="1" s="1"/>
  <c r="AX92" i="63"/>
  <c r="AX138" i="1"/>
  <c r="AX139" i="1" s="1"/>
  <c r="P37" i="61"/>
  <c r="P108" i="61" s="1"/>
  <c r="P138" i="1"/>
  <c r="AR92" i="63"/>
  <c r="AR138" i="1"/>
  <c r="AR139" i="1" s="1"/>
  <c r="AO11" i="61"/>
  <c r="AN138" i="1"/>
  <c r="AG11" i="61"/>
  <c r="AF138" i="1"/>
  <c r="Y11" i="61"/>
  <c r="X138" i="1"/>
  <c r="AW92" i="63"/>
  <c r="AW138" i="1"/>
  <c r="AW139" i="1" s="1"/>
  <c r="D139" i="1"/>
  <c r="AZ139" i="1"/>
  <c r="AV139" i="1"/>
  <c r="H139" i="1"/>
  <c r="BA92" i="63"/>
  <c r="BA138" i="1"/>
  <c r="BA139" i="1" s="1"/>
  <c r="AK11" i="61"/>
  <c r="AJ138" i="1"/>
  <c r="AB138" i="1"/>
  <c r="AB139" i="1" s="1"/>
  <c r="T139" i="1"/>
  <c r="BD139" i="1"/>
  <c r="I138" i="1"/>
  <c r="I139" i="1" s="1"/>
  <c r="CJ48" i="2"/>
  <c r="CF90" i="2"/>
  <c r="CI48" i="2"/>
  <c r="BG140" i="2"/>
  <c r="BG141" i="2" s="1"/>
  <c r="CG48" i="2"/>
  <c r="BY48" i="2"/>
  <c r="CA93" i="2"/>
  <c r="CA94" i="2" s="1"/>
  <c r="CE74" i="2"/>
  <c r="CJ93" i="2"/>
  <c r="CE93" i="2"/>
  <c r="CE94" i="2" s="1"/>
  <c r="CH93" i="2"/>
  <c r="CH94" i="2" s="1"/>
  <c r="BZ93" i="2"/>
  <c r="BZ94" i="2" s="1"/>
  <c r="CK74" i="2"/>
  <c r="CG93" i="2"/>
  <c r="CG94" i="2" s="1"/>
  <c r="CI93" i="2"/>
  <c r="CE48" i="2"/>
  <c r="CD93" i="2"/>
  <c r="CD94" i="2" s="1"/>
  <c r="CK93" i="2"/>
  <c r="CC93" i="2"/>
  <c r="CC94" i="2" s="1"/>
  <c r="CK48" i="2"/>
  <c r="BY93" i="2"/>
  <c r="BY94" i="2" s="1"/>
  <c r="CB93" i="2"/>
  <c r="CB94" i="2" s="1"/>
  <c r="CB83" i="61"/>
  <c r="CC107" i="63"/>
  <c r="CB103" i="63"/>
  <c r="V157" i="63"/>
  <c r="V163" i="63" s="1"/>
  <c r="U11" i="61"/>
  <c r="AJ37" i="61"/>
  <c r="AJ108" i="61" s="1"/>
  <c r="AT352" i="63"/>
  <c r="BD53" i="2"/>
  <c r="AP157" i="63"/>
  <c r="AP163" i="63" s="1"/>
  <c r="AH109" i="63"/>
  <c r="AH111" i="63" s="1"/>
  <c r="BH90" i="2"/>
  <c r="BH93" i="2"/>
  <c r="CN37" i="2"/>
  <c r="BP37" i="2"/>
  <c r="BQ37" i="2" s="1"/>
  <c r="BR37" i="2" s="1"/>
  <c r="BS37" i="2" s="1"/>
  <c r="CN31" i="2"/>
  <c r="BP31" i="2"/>
  <c r="BQ31" i="2" s="1"/>
  <c r="BR31" i="2" s="1"/>
  <c r="BS31" i="2" s="1"/>
  <c r="AV356" i="63"/>
  <c r="AV358" i="63" s="1"/>
  <c r="F33" i="63"/>
  <c r="AU12" i="61"/>
  <c r="CI12" i="61" s="1"/>
  <c r="CI122" i="61" s="1"/>
  <c r="AS11" i="61"/>
  <c r="BR92" i="63"/>
  <c r="BG43" i="61"/>
  <c r="BG62" i="61"/>
  <c r="BG36" i="61"/>
  <c r="BG31" i="61"/>
  <c r="BG46" i="61"/>
  <c r="CN21" i="2"/>
  <c r="CO21" i="2"/>
  <c r="BE151" i="2"/>
  <c r="BE83" i="61"/>
  <c r="AO168" i="63"/>
  <c r="CH103" i="63"/>
  <c r="AJ168" i="63"/>
  <c r="CD103" i="63"/>
  <c r="CF103" i="63"/>
  <c r="CI386" i="63"/>
  <c r="CI398" i="63" s="1"/>
  <c r="AX46" i="63"/>
  <c r="AL35" i="63"/>
  <c r="BB135" i="63"/>
  <c r="BB141" i="63"/>
  <c r="AN109" i="63"/>
  <c r="AN111" i="63" s="1"/>
  <c r="CI310" i="63"/>
  <c r="AV366" i="63"/>
  <c r="CI327" i="63"/>
  <c r="AQ356" i="63"/>
  <c r="AQ358" i="63" s="1"/>
  <c r="AW361" i="63"/>
  <c r="AX361" i="63" s="1"/>
  <c r="AX360" i="63" s="1"/>
  <c r="CJ360" i="63" s="1"/>
  <c r="BB136" i="63"/>
  <c r="AD109" i="63"/>
  <c r="AD111" i="63" s="1"/>
  <c r="CA104" i="63"/>
  <c r="AJ109" i="63"/>
  <c r="AJ111" i="63" s="1"/>
  <c r="AF109" i="63"/>
  <c r="AF111" i="63" s="1"/>
  <c r="BG79" i="63"/>
  <c r="BB35" i="63"/>
  <c r="AR93" i="61"/>
  <c r="AR94" i="61" s="1"/>
  <c r="AR37" i="61"/>
  <c r="AR108" i="61" s="1"/>
  <c r="AW93" i="61"/>
  <c r="AW94" i="61" s="1"/>
  <c r="H157" i="63"/>
  <c r="H163" i="63" s="1"/>
  <c r="BB138" i="63"/>
  <c r="BB139" i="63"/>
  <c r="BB137" i="63"/>
  <c r="AT356" i="63"/>
  <c r="AT358" i="63" s="1"/>
  <c r="AQ361" i="63"/>
  <c r="AW353" i="63"/>
  <c r="AS361" i="63"/>
  <c r="AX13" i="63"/>
  <c r="AU353" i="63"/>
  <c r="BB46" i="63"/>
  <c r="AP24" i="63"/>
  <c r="BG54" i="61"/>
  <c r="BG56" i="61"/>
  <c r="AY23" i="61"/>
  <c r="BG52" i="61"/>
  <c r="BG48" i="61"/>
  <c r="BG41" i="61"/>
  <c r="BG29" i="61"/>
  <c r="BG53" i="61"/>
  <c r="BG44" i="61"/>
  <c r="BG34" i="61"/>
  <c r="BG13" i="61"/>
  <c r="BG60" i="61"/>
  <c r="CL60" i="61" s="1"/>
  <c r="CL170" i="61" s="1"/>
  <c r="BG47" i="61"/>
  <c r="BG35" i="61"/>
  <c r="BG15" i="61"/>
  <c r="BG42" i="61"/>
  <c r="BG32" i="61"/>
  <c r="BG55" i="61"/>
  <c r="BG65" i="61"/>
  <c r="BG58" i="61"/>
  <c r="BG45" i="61"/>
  <c r="BG33" i="61"/>
  <c r="BG68" i="61"/>
  <c r="CL68" i="61" s="1"/>
  <c r="CL178" i="61" s="1"/>
  <c r="BG59" i="61"/>
  <c r="BG40" i="61"/>
  <c r="BG30" i="61"/>
  <c r="BG14" i="61"/>
  <c r="AX109" i="63"/>
  <c r="AX135" i="63" s="1"/>
  <c r="BG9" i="61"/>
  <c r="BG11" i="61"/>
  <c r="AW168" i="63"/>
  <c r="E157" i="63"/>
  <c r="E163" i="63" s="1"/>
  <c r="AC157" i="63"/>
  <c r="AC163" i="63" s="1"/>
  <c r="AR109" i="63"/>
  <c r="AR111" i="63" s="1"/>
  <c r="AD24" i="63"/>
  <c r="Z157" i="63"/>
  <c r="Z163" i="63" s="1"/>
  <c r="Z109" i="63"/>
  <c r="Z111" i="63" s="1"/>
  <c r="CG463" i="63"/>
  <c r="AT168" i="63"/>
  <c r="AL68" i="63"/>
  <c r="R46" i="63"/>
  <c r="BB57" i="63"/>
  <c r="AP109" i="63"/>
  <c r="AP111" i="63" s="1"/>
  <c r="AP35" i="63"/>
  <c r="CI108" i="63"/>
  <c r="AU361" i="63"/>
  <c r="J35" i="63"/>
  <c r="V57" i="63"/>
  <c r="AU366" i="63"/>
  <c r="AY353" i="63"/>
  <c r="N11" i="63"/>
  <c r="AR352" i="63"/>
  <c r="AL46" i="63"/>
  <c r="AB109" i="63"/>
  <c r="AB111" i="63" s="1"/>
  <c r="AH157" i="63"/>
  <c r="AH163" i="63" s="1"/>
  <c r="AL157" i="63"/>
  <c r="AL163" i="63" s="1"/>
  <c r="AN157" i="63"/>
  <c r="AN163" i="63" s="1"/>
  <c r="CA105" i="63"/>
  <c r="BZ103" i="63"/>
  <c r="AJ157" i="63"/>
  <c r="AJ163" i="63" s="1"/>
  <c r="J157" i="63"/>
  <c r="J163" i="63" s="1"/>
  <c r="AD157" i="63"/>
  <c r="AD163" i="63" s="1"/>
  <c r="R157" i="63"/>
  <c r="R163" i="63" s="1"/>
  <c r="AL109" i="63"/>
  <c r="AL111" i="63" s="1"/>
  <c r="F157" i="63"/>
  <c r="F163" i="63" s="1"/>
  <c r="CC105" i="63"/>
  <c r="CE108" i="63"/>
  <c r="N157" i="63"/>
  <c r="N163" i="63" s="1"/>
  <c r="N57" i="63"/>
  <c r="R57" i="63"/>
  <c r="N55" i="63"/>
  <c r="N46" i="63"/>
  <c r="J46" i="63"/>
  <c r="AT46" i="63"/>
  <c r="AP46" i="63"/>
  <c r="AX57" i="63"/>
  <c r="AT24" i="63"/>
  <c r="CG103" i="63"/>
  <c r="CK65" i="63"/>
  <c r="AT366" i="63"/>
  <c r="AS366" i="63"/>
  <c r="BB76" i="63"/>
  <c r="BF79" i="63" s="1"/>
  <c r="Z46" i="63"/>
  <c r="AT109" i="63"/>
  <c r="AT111" i="63" s="1"/>
  <c r="R44" i="63"/>
  <c r="V46" i="63"/>
  <c r="AD46" i="63"/>
  <c r="AX21" i="63"/>
  <c r="AF96" i="61"/>
  <c r="AF97" i="61" s="1"/>
  <c r="AU352" i="63"/>
  <c r="AV353" i="63"/>
  <c r="N13" i="63"/>
  <c r="AH68" i="63"/>
  <c r="Z35" i="63"/>
  <c r="AD68" i="63"/>
  <c r="AR356" i="63"/>
  <c r="AR358" i="63" s="1"/>
  <c r="AH46" i="63"/>
  <c r="AD54" i="63"/>
  <c r="R10" i="63"/>
  <c r="Z54" i="63"/>
  <c r="N32" i="63"/>
  <c r="AP10" i="63"/>
  <c r="AL54" i="63"/>
  <c r="AH21" i="63"/>
  <c r="F10" i="63"/>
  <c r="Z10" i="63"/>
  <c r="F54" i="63"/>
  <c r="AT32" i="63"/>
  <c r="R32" i="63"/>
  <c r="AD10" i="63"/>
  <c r="AP54" i="63"/>
  <c r="AD32" i="63"/>
  <c r="AL10" i="63"/>
  <c r="R168" i="63"/>
  <c r="N168" i="63"/>
  <c r="O168" i="63"/>
  <c r="T168" i="63"/>
  <c r="P168" i="63"/>
  <c r="CB671" i="63"/>
  <c r="W168" i="63"/>
  <c r="CF587" i="63"/>
  <c r="CF392" i="63"/>
  <c r="CF337" i="63"/>
  <c r="CF320" i="63"/>
  <c r="CF370" i="63"/>
  <c r="CF303" i="63"/>
  <c r="AD168" i="63"/>
  <c r="CF137" i="63"/>
  <c r="CF143" i="63" s="1"/>
  <c r="AI143" i="63"/>
  <c r="AI145" i="63" s="1"/>
  <c r="L744" i="63"/>
  <c r="H109" i="63"/>
  <c r="H111" i="63" s="1"/>
  <c r="S65" i="63"/>
  <c r="W68" i="63" s="1"/>
  <c r="AQ32" i="63"/>
  <c r="AA32" i="63"/>
  <c r="K32" i="63"/>
  <c r="AM43" i="63"/>
  <c r="W43" i="63"/>
  <c r="G43" i="63"/>
  <c r="AY54" i="63"/>
  <c r="BC57" i="63" s="1"/>
  <c r="AI54" i="63"/>
  <c r="S54" i="63"/>
  <c r="AY10" i="63"/>
  <c r="AZ11" i="63" s="1"/>
  <c r="BT12" i="63" s="1"/>
  <c r="AI10" i="63"/>
  <c r="S10" i="63"/>
  <c r="AO54" i="63"/>
  <c r="M43" i="63"/>
  <c r="AK21" i="63"/>
  <c r="AL22" i="63" s="1"/>
  <c r="Y10" i="63"/>
  <c r="M65" i="63"/>
  <c r="AK43" i="63"/>
  <c r="Y32" i="63"/>
  <c r="M21" i="63"/>
  <c r="AC65" i="63"/>
  <c r="E54" i="63"/>
  <c r="AS32" i="63"/>
  <c r="AG21" i="63"/>
  <c r="E10" i="63"/>
  <c r="Y21" i="63"/>
  <c r="AK65" i="63"/>
  <c r="AK32" i="63"/>
  <c r="AL33" i="63" s="1"/>
  <c r="AB65" i="63"/>
  <c r="AV65" i="63"/>
  <c r="T54" i="63"/>
  <c r="T43" i="63"/>
  <c r="T32" i="63"/>
  <c r="AB21" i="63"/>
  <c r="AJ10" i="63"/>
  <c r="AJ11" i="63" s="1"/>
  <c r="L10" i="63"/>
  <c r="AN65" i="63"/>
  <c r="BZ104" i="63"/>
  <c r="AV32" i="63"/>
  <c r="AF43" i="63"/>
  <c r="P10" i="63"/>
  <c r="AN32" i="63"/>
  <c r="AF10" i="63"/>
  <c r="AU65" i="63"/>
  <c r="AE65" i="63"/>
  <c r="V65" i="63"/>
  <c r="V76" i="63" s="1"/>
  <c r="N65" i="63"/>
  <c r="F65" i="63"/>
  <c r="K65" i="63"/>
  <c r="AM32" i="63"/>
  <c r="AM33" i="63" s="1"/>
  <c r="W32" i="63"/>
  <c r="W33" i="63" s="1"/>
  <c r="G32" i="63"/>
  <c r="G33" i="63" s="1"/>
  <c r="AY43" i="63"/>
  <c r="AI43" i="63"/>
  <c r="S43" i="63"/>
  <c r="G65" i="63"/>
  <c r="O65" i="63"/>
  <c r="AU54" i="63"/>
  <c r="AE54" i="63"/>
  <c r="O54" i="63"/>
  <c r="AU10" i="63"/>
  <c r="AE10" i="63"/>
  <c r="O10" i="63"/>
  <c r="AG65" i="63"/>
  <c r="Y54" i="63"/>
  <c r="AW32" i="63"/>
  <c r="AX33" i="63" s="1"/>
  <c r="U21" i="63"/>
  <c r="I10" i="63"/>
  <c r="J11" i="63" s="1"/>
  <c r="AW54" i="63"/>
  <c r="U43" i="63"/>
  <c r="U46" i="63" s="1"/>
  <c r="I32" i="63"/>
  <c r="J33" i="63" s="1"/>
  <c r="AW10" i="63"/>
  <c r="AX11" i="63" s="1"/>
  <c r="Q157" i="63"/>
  <c r="Q163" i="63" s="1"/>
  <c r="I65" i="63"/>
  <c r="AO43" i="63"/>
  <c r="AO44" i="63" s="1"/>
  <c r="AC32" i="63"/>
  <c r="Q21" i="63"/>
  <c r="AC54" i="63"/>
  <c r="AC10" i="63"/>
  <c r="Q65" i="63"/>
  <c r="AO21" i="63"/>
  <c r="AR54" i="63"/>
  <c r="AR43" i="63"/>
  <c r="AR32" i="63"/>
  <c r="L32" i="63"/>
  <c r="T21" i="63"/>
  <c r="AB10" i="63"/>
  <c r="H54" i="63"/>
  <c r="H10" i="63"/>
  <c r="P32" i="63"/>
  <c r="X32" i="63"/>
  <c r="X33" i="63" s="1"/>
  <c r="H32" i="63"/>
  <c r="AS43" i="63"/>
  <c r="AY65" i="63"/>
  <c r="AI65" i="63"/>
  <c r="AY32" i="63"/>
  <c r="AI32" i="63"/>
  <c r="S32" i="63"/>
  <c r="AU43" i="63"/>
  <c r="AE43" i="63"/>
  <c r="O43" i="63"/>
  <c r="AQ54" i="63"/>
  <c r="AA54" i="63"/>
  <c r="AE57" i="63" s="1"/>
  <c r="K54" i="63"/>
  <c r="O57" i="63" s="1"/>
  <c r="AQ10" i="63"/>
  <c r="AA10" i="63"/>
  <c r="K10" i="63"/>
  <c r="K11" i="63" s="1"/>
  <c r="U65" i="63"/>
  <c r="I54" i="63"/>
  <c r="AG32" i="63"/>
  <c r="E21" i="63"/>
  <c r="AO65" i="63"/>
  <c r="AG54" i="63"/>
  <c r="E43" i="63"/>
  <c r="BY43" i="63" s="1"/>
  <c r="AS21" i="63"/>
  <c r="AG10" i="63"/>
  <c r="AK54" i="63"/>
  <c r="Y43" i="63"/>
  <c r="M32" i="63"/>
  <c r="AK10" i="63"/>
  <c r="AG43" i="63"/>
  <c r="AS54" i="63"/>
  <c r="AS10" i="63"/>
  <c r="AR65" i="63"/>
  <c r="AJ54" i="63"/>
  <c r="AJ43" i="63"/>
  <c r="AJ32" i="63"/>
  <c r="AJ35" i="63" s="1"/>
  <c r="AR21" i="63"/>
  <c r="L21" i="63"/>
  <c r="T10" i="63"/>
  <c r="L54" i="63"/>
  <c r="M55" i="63" s="1"/>
  <c r="P43" i="63"/>
  <c r="AN54" i="63"/>
  <c r="AN57" i="63" s="1"/>
  <c r="X21" i="63"/>
  <c r="AF65" i="63"/>
  <c r="AF21" i="63"/>
  <c r="AF54" i="63"/>
  <c r="AV21" i="63"/>
  <c r="AW65" i="63"/>
  <c r="AM65" i="63"/>
  <c r="R65" i="63"/>
  <c r="J65" i="63"/>
  <c r="CG104" i="63"/>
  <c r="AU32" i="63"/>
  <c r="AE32" i="63"/>
  <c r="O32" i="63"/>
  <c r="AQ43" i="63"/>
  <c r="AA43" i="63"/>
  <c r="K43" i="63"/>
  <c r="AM54" i="63"/>
  <c r="W54" i="63"/>
  <c r="G54" i="63"/>
  <c r="AM10" i="63"/>
  <c r="W10" i="63"/>
  <c r="G10" i="63"/>
  <c r="E65" i="63"/>
  <c r="AC43" i="63"/>
  <c r="Q32" i="63"/>
  <c r="AO10" i="63"/>
  <c r="Y65" i="63"/>
  <c r="Q54" i="63"/>
  <c r="Q55" i="63" s="1"/>
  <c r="AO32" i="63"/>
  <c r="AC21" i="63"/>
  <c r="Q10" i="63"/>
  <c r="AS65" i="63"/>
  <c r="U54" i="63"/>
  <c r="I43" i="63"/>
  <c r="AW21" i="63"/>
  <c r="U10" i="63"/>
  <c r="U32" i="63"/>
  <c r="AW43" i="63"/>
  <c r="AJ65" i="63"/>
  <c r="AB54" i="63"/>
  <c r="AB43" i="63"/>
  <c r="AB32" i="63"/>
  <c r="AJ21" i="63"/>
  <c r="AN24" i="63" s="1"/>
  <c r="AR10" i="63"/>
  <c r="L43" i="63"/>
  <c r="H43" i="63"/>
  <c r="X43" i="63"/>
  <c r="AN10" i="63"/>
  <c r="AV10" i="63"/>
  <c r="AV43" i="63"/>
  <c r="AV44" i="63" s="1"/>
  <c r="P21" i="63"/>
  <c r="AV54" i="63"/>
  <c r="AQ65" i="63"/>
  <c r="AA65" i="63"/>
  <c r="AA157" i="63"/>
  <c r="AA163" i="63" s="1"/>
  <c r="CF107" i="63"/>
  <c r="AV109" i="63"/>
  <c r="AV135" i="63" s="1"/>
  <c r="CF104" i="63"/>
  <c r="AS109" i="63"/>
  <c r="AS111" i="63" s="1"/>
  <c r="CH108" i="63"/>
  <c r="CB107" i="63"/>
  <c r="I157" i="63"/>
  <c r="I163" i="63" s="1"/>
  <c r="D157" i="63"/>
  <c r="D163" i="63" s="1"/>
  <c r="P157" i="63"/>
  <c r="P163" i="63" s="1"/>
  <c r="L157" i="63"/>
  <c r="L163" i="63" s="1"/>
  <c r="CE104" i="63"/>
  <c r="M109" i="63"/>
  <c r="M111" i="63" s="1"/>
  <c r="N48" i="61"/>
  <c r="O48" i="61" s="1"/>
  <c r="CA48" i="61" s="1"/>
  <c r="CA158" i="61" s="1"/>
  <c r="M49" i="61"/>
  <c r="L49" i="61"/>
  <c r="L69" i="61" s="1"/>
  <c r="T157" i="63"/>
  <c r="T163" i="63" s="1"/>
  <c r="AB157" i="63"/>
  <c r="AB163" i="63" s="1"/>
  <c r="AR157" i="63"/>
  <c r="AR163" i="63" s="1"/>
  <c r="T96" i="61"/>
  <c r="T37" i="61"/>
  <c r="T108" i="61" s="1"/>
  <c r="AL11" i="61"/>
  <c r="AF157" i="63"/>
  <c r="AF163" i="63" s="1"/>
  <c r="CC104" i="63"/>
  <c r="CI103" i="63"/>
  <c r="CE103" i="63"/>
  <c r="CA103" i="63"/>
  <c r="AR361" i="63"/>
  <c r="AW366" i="63"/>
  <c r="AY322" i="63"/>
  <c r="CG107" i="63"/>
  <c r="AJ93" i="61"/>
  <c r="P93" i="61"/>
  <c r="P94" i="61" s="1"/>
  <c r="AK96" i="61"/>
  <c r="M157" i="63"/>
  <c r="M163" i="63" s="1"/>
  <c r="CI104" i="63"/>
  <c r="P109" i="63"/>
  <c r="P111" i="63" s="1"/>
  <c r="CE105" i="63"/>
  <c r="AG109" i="63"/>
  <c r="AG111" i="63" s="1"/>
  <c r="CI351" i="63"/>
  <c r="CI361" i="63" s="1"/>
  <c r="AR366" i="63"/>
  <c r="AW352" i="63"/>
  <c r="AS352" i="63"/>
  <c r="AJ92" i="63"/>
  <c r="AJ96" i="61"/>
  <c r="T93" i="61"/>
  <c r="CC103" i="63"/>
  <c r="AO109" i="63"/>
  <c r="AO111" i="63" s="1"/>
  <c r="CA107" i="63"/>
  <c r="S157" i="63"/>
  <c r="S163" i="63" s="1"/>
  <c r="X157" i="63"/>
  <c r="X163" i="63" s="1"/>
  <c r="CG105" i="63"/>
  <c r="CH104" i="63"/>
  <c r="CF108" i="63"/>
  <c r="AK157" i="63"/>
  <c r="AK163" i="63" s="1"/>
  <c r="CB104" i="63"/>
  <c r="I109" i="63"/>
  <c r="I111" i="63" s="1"/>
  <c r="CE107" i="63"/>
  <c r="AC109" i="63"/>
  <c r="AC111" i="63" s="1"/>
  <c r="CI107" i="63"/>
  <c r="U157" i="63"/>
  <c r="U163" i="63" s="1"/>
  <c r="AG157" i="63"/>
  <c r="AG163" i="63" s="1"/>
  <c r="AO157" i="63"/>
  <c r="AO163" i="63" s="1"/>
  <c r="CL34" i="61"/>
  <c r="CL144" i="61" s="1"/>
  <c r="BF49" i="61"/>
  <c r="BF12" i="61"/>
  <c r="BF37" i="61" s="1"/>
  <c r="BF108" i="61" s="1"/>
  <c r="AA55" i="61"/>
  <c r="CD55" i="61" s="1"/>
  <c r="CD165" i="61" s="1"/>
  <c r="E49" i="61"/>
  <c r="BE57" i="61"/>
  <c r="BF57" i="61" s="1"/>
  <c r="BF61" i="61"/>
  <c r="F103" i="61"/>
  <c r="K29" i="61"/>
  <c r="BZ29" i="61" s="1"/>
  <c r="BZ139" i="61" s="1"/>
  <c r="CB62" i="61"/>
  <c r="CB172" i="61" s="1"/>
  <c r="AQ34" i="61"/>
  <c r="CH34" i="61" s="1"/>
  <c r="CH144" i="61" s="1"/>
  <c r="F78" i="61"/>
  <c r="F80" i="61" s="1"/>
  <c r="X93" i="61"/>
  <c r="X94" i="61" s="1"/>
  <c r="AK49" i="61"/>
  <c r="AQ53" i="61"/>
  <c r="CH53" i="61" s="1"/>
  <c r="CH163" i="61" s="1"/>
  <c r="AN37" i="61"/>
  <c r="P96" i="61"/>
  <c r="CJ40" i="61"/>
  <c r="AO93" i="61"/>
  <c r="AO94" i="61" s="1"/>
  <c r="AU55" i="61"/>
  <c r="H49" i="61"/>
  <c r="K55" i="61"/>
  <c r="BZ55" i="61" s="1"/>
  <c r="BZ165" i="61" s="1"/>
  <c r="AF37" i="61"/>
  <c r="AH11" i="61"/>
  <c r="AH138" i="1" s="1"/>
  <c r="AH139" i="1" s="1"/>
  <c r="BO63" i="61"/>
  <c r="BO169" i="2"/>
  <c r="AA40" i="61"/>
  <c r="CD40" i="61" s="1"/>
  <c r="CD150" i="61" s="1"/>
  <c r="AG93" i="61"/>
  <c r="AG94" i="61" s="1"/>
  <c r="CN56" i="61"/>
  <c r="BF78" i="61"/>
  <c r="BF80" i="61" s="1"/>
  <c r="AQ55" i="61"/>
  <c r="CH55" i="61" s="1"/>
  <c r="CH165" i="61" s="1"/>
  <c r="U81" i="61"/>
  <c r="K53" i="61"/>
  <c r="AP81" i="61"/>
  <c r="AY12" i="61"/>
  <c r="CJ12" i="61" s="1"/>
  <c r="CJ122" i="61" s="1"/>
  <c r="AS49" i="61"/>
  <c r="AN96" i="61"/>
  <c r="U49" i="61"/>
  <c r="D69" i="61"/>
  <c r="D70" i="61" s="1"/>
  <c r="D73" i="61" s="1"/>
  <c r="Y49" i="61"/>
  <c r="K47" i="61"/>
  <c r="BZ47" i="61" s="1"/>
  <c r="BZ157" i="61" s="1"/>
  <c r="G34" i="61"/>
  <c r="BY34" i="61" s="1"/>
  <c r="BY144" i="61" s="1"/>
  <c r="AU28" i="61"/>
  <c r="CI28" i="61" s="1"/>
  <c r="CI138" i="61" s="1"/>
  <c r="CJ23" i="61"/>
  <c r="CJ133" i="61" s="1"/>
  <c r="AP11" i="61"/>
  <c r="Z11" i="61"/>
  <c r="AN92" i="63"/>
  <c r="Q11" i="61"/>
  <c r="X37" i="61"/>
  <c r="X69" i="61" s="1"/>
  <c r="Y93" i="61"/>
  <c r="Y94" i="61" s="1"/>
  <c r="G180" i="61"/>
  <c r="H177" i="61" s="1"/>
  <c r="H180" i="61" s="1"/>
  <c r="H183" i="61" s="1"/>
  <c r="AA53" i="61"/>
  <c r="CD53" i="61" s="1"/>
  <c r="CD163" i="61" s="1"/>
  <c r="BE49" i="61"/>
  <c r="AN93" i="61"/>
  <c r="X96" i="61"/>
  <c r="AO96" i="61"/>
  <c r="CG62" i="61"/>
  <c r="CG172" i="61" s="1"/>
  <c r="BC47" i="63"/>
  <c r="BA58" i="63"/>
  <c r="BD25" i="63"/>
  <c r="BA69" i="63"/>
  <c r="BD47" i="63"/>
  <c r="AY319" i="63"/>
  <c r="Y109" i="63"/>
  <c r="Y111" i="63" s="1"/>
  <c r="AK109" i="63"/>
  <c r="AK111" i="63" s="1"/>
  <c r="E109" i="63"/>
  <c r="E111" i="63" s="1"/>
  <c r="CG108" i="63"/>
  <c r="BZ107" i="63"/>
  <c r="U109" i="63"/>
  <c r="U111" i="63" s="1"/>
  <c r="AW109" i="63"/>
  <c r="CH107" i="63"/>
  <c r="CD107" i="63"/>
  <c r="Y157" i="63"/>
  <c r="Y163" i="63" s="1"/>
  <c r="Q109" i="63"/>
  <c r="Q111" i="63" s="1"/>
  <c r="BF98" i="2"/>
  <c r="BF77" i="2"/>
  <c r="CA106" i="63"/>
  <c r="BZ105" i="63"/>
  <c r="AI62" i="61"/>
  <c r="CF62" i="61" s="1"/>
  <c r="CF172" i="61" s="1"/>
  <c r="CL36" i="61"/>
  <c r="CL146" i="61" s="1"/>
  <c r="CL52" i="61"/>
  <c r="CL162" i="61" s="1"/>
  <c r="AU53" i="61"/>
  <c r="CI53" i="61" s="1"/>
  <c r="CI163" i="61" s="1"/>
  <c r="O53" i="61"/>
  <c r="CA53" i="61" s="1"/>
  <c r="CA163" i="61" s="1"/>
  <c r="CL13" i="61"/>
  <c r="CL123" i="61" s="1"/>
  <c r="CL35" i="61"/>
  <c r="CL145" i="61" s="1"/>
  <c r="AU58" i="61"/>
  <c r="CI58" i="61" s="1"/>
  <c r="CI168" i="61" s="1"/>
  <c r="CL59" i="61"/>
  <c r="CL169" i="61" s="1"/>
  <c r="CL53" i="61"/>
  <c r="CL44" i="61"/>
  <c r="CL154" i="61" s="1"/>
  <c r="CL42" i="61"/>
  <c r="CL152" i="61" s="1"/>
  <c r="CL14" i="61"/>
  <c r="CL124" i="61" s="1"/>
  <c r="J58" i="61"/>
  <c r="K58" i="61" s="1"/>
  <c r="BZ58" i="61" s="1"/>
  <c r="BZ168" i="61" s="1"/>
  <c r="CL47" i="61"/>
  <c r="CL157" i="61" s="1"/>
  <c r="CL62" i="61"/>
  <c r="CL172" i="61" s="1"/>
  <c r="AE53" i="61"/>
  <c r="CE53" i="61" s="1"/>
  <c r="CE163" i="61" s="1"/>
  <c r="CL55" i="61"/>
  <c r="CL165" i="61" s="1"/>
  <c r="CL32" i="61"/>
  <c r="CL142" i="61" s="1"/>
  <c r="CL15" i="61"/>
  <c r="CL125" i="61" s="1"/>
  <c r="CL45" i="61"/>
  <c r="CL155" i="61" s="1"/>
  <c r="CL43" i="61"/>
  <c r="CL153" i="61" s="1"/>
  <c r="BF81" i="61"/>
  <c r="CL65" i="61"/>
  <c r="CL175" i="61" s="1"/>
  <c r="CL46" i="61"/>
  <c r="CL156" i="61" s="1"/>
  <c r="CL58" i="61"/>
  <c r="CL168" i="61" s="1"/>
  <c r="CL54" i="61"/>
  <c r="CL164" i="61" s="1"/>
  <c r="CL48" i="61"/>
  <c r="CL158" i="61" s="1"/>
  <c r="G103" i="61"/>
  <c r="G78" i="61"/>
  <c r="G80" i="61" s="1"/>
  <c r="BY40" i="61"/>
  <c r="BY78" i="61" s="1"/>
  <c r="CM21" i="2"/>
  <c r="BA81" i="61"/>
  <c r="AC81" i="61"/>
  <c r="AG103" i="61"/>
  <c r="CB40" i="61"/>
  <c r="CB150" i="61" s="1"/>
  <c r="R78" i="61"/>
  <c r="R80" i="61" s="1"/>
  <c r="BB103" i="61"/>
  <c r="AL103" i="61"/>
  <c r="CG103" i="61" s="1"/>
  <c r="AW49" i="61"/>
  <c r="AQ40" i="61"/>
  <c r="CH40" i="61" s="1"/>
  <c r="K45" i="61"/>
  <c r="BZ45" i="61" s="1"/>
  <c r="BZ155" i="61" s="1"/>
  <c r="CL33" i="61"/>
  <c r="CL143" i="61" s="1"/>
  <c r="N29" i="61"/>
  <c r="O29" i="61" s="1"/>
  <c r="AW81" i="61"/>
  <c r="BA78" i="61"/>
  <c r="BA49" i="61"/>
  <c r="R103" i="61"/>
  <c r="CB103" i="61" s="1"/>
  <c r="AC49" i="61"/>
  <c r="F31" i="61"/>
  <c r="G31" i="61" s="1"/>
  <c r="BY31" i="61" s="1"/>
  <c r="BY141" i="61" s="1"/>
  <c r="AK81" i="61"/>
  <c r="I81" i="61"/>
  <c r="AG78" i="61"/>
  <c r="AG80" i="61" s="1"/>
  <c r="CG40" i="61"/>
  <c r="CE43" i="61"/>
  <c r="CE153" i="61" s="1"/>
  <c r="AM35" i="61"/>
  <c r="CG35" i="61" s="1"/>
  <c r="CG145" i="61" s="1"/>
  <c r="AL78" i="61"/>
  <c r="AL80" i="61" s="1"/>
  <c r="AE32" i="61"/>
  <c r="CE32" i="61" s="1"/>
  <c r="CE142" i="61" s="1"/>
  <c r="AA44" i="61"/>
  <c r="CD44" i="61" s="1"/>
  <c r="CD154" i="61" s="1"/>
  <c r="V81" i="61"/>
  <c r="BE14" i="63"/>
  <c r="BE165" i="63"/>
  <c r="BE167" i="63" s="1"/>
  <c r="BF77" i="63"/>
  <c r="BE143" i="63"/>
  <c r="BE145" i="63" s="1"/>
  <c r="AU13" i="61"/>
  <c r="CI13" i="61" s="1"/>
  <c r="CI123" i="61" s="1"/>
  <c r="AT81" i="61"/>
  <c r="AS81" i="61"/>
  <c r="BC41" i="61"/>
  <c r="CK41" i="61" s="1"/>
  <c r="CK151" i="61" s="1"/>
  <c r="BB81" i="61"/>
  <c r="Y81" i="61"/>
  <c r="BB61" i="61"/>
  <c r="BC61" i="61" s="1"/>
  <c r="CK61" i="61" s="1"/>
  <c r="CK171" i="61" s="1"/>
  <c r="F54" i="61"/>
  <c r="G54" i="61" s="1"/>
  <c r="BY54" i="61" s="1"/>
  <c r="BY164" i="61" s="1"/>
  <c r="CI44" i="61"/>
  <c r="CI154" i="61" s="1"/>
  <c r="AI23" i="61"/>
  <c r="CF23" i="61" s="1"/>
  <c r="CF133" i="61" s="1"/>
  <c r="CC29" i="61"/>
  <c r="CC139" i="61" s="1"/>
  <c r="CI24" i="61"/>
  <c r="CI134" i="61" s="1"/>
  <c r="CD24" i="61"/>
  <c r="CD134" i="61" s="1"/>
  <c r="S61" i="61"/>
  <c r="AP61" i="61"/>
  <c r="AQ61" i="61" s="1"/>
  <c r="S21" i="61"/>
  <c r="CB21" i="61" s="1"/>
  <c r="CB131" i="61" s="1"/>
  <c r="AU60" i="61"/>
  <c r="CI60" i="61" s="1"/>
  <c r="CI170" i="61" s="1"/>
  <c r="CJ138" i="61"/>
  <c r="AP15" i="61"/>
  <c r="AQ15" i="61" s="1"/>
  <c r="CJ57" i="61"/>
  <c r="CJ167" i="61" s="1"/>
  <c r="CF68" i="61"/>
  <c r="CF178" i="61" s="1"/>
  <c r="S53" i="61"/>
  <c r="CB53" i="61" s="1"/>
  <c r="CB163" i="61" s="1"/>
  <c r="AA46" i="61"/>
  <c r="CD46" i="61" s="1"/>
  <c r="CD156" i="61" s="1"/>
  <c r="CB35" i="61"/>
  <c r="CB145" i="61" s="1"/>
  <c r="CG34" i="61"/>
  <c r="CG144" i="61" s="1"/>
  <c r="CE138" i="61"/>
  <c r="W14" i="61"/>
  <c r="CC14" i="61" s="1"/>
  <c r="CC124" i="61" s="1"/>
  <c r="AE48" i="61"/>
  <c r="CE48" i="61" s="1"/>
  <c r="CE158" i="61" s="1"/>
  <c r="AI15" i="61"/>
  <c r="CF15" i="61" s="1"/>
  <c r="CF125" i="61" s="1"/>
  <c r="AT21" i="61"/>
  <c r="AU21" i="61" s="1"/>
  <c r="G28" i="61"/>
  <c r="BY28" i="61" s="1"/>
  <c r="BY138" i="61" s="1"/>
  <c r="BY30" i="61"/>
  <c r="BY140" i="61" s="1"/>
  <c r="AT15" i="61"/>
  <c r="AU15" i="61" s="1"/>
  <c r="AL23" i="61"/>
  <c r="AM23" i="61" s="1"/>
  <c r="CG23" i="61" s="1"/>
  <c r="CG133" i="61" s="1"/>
  <c r="AL21" i="61"/>
  <c r="AM21" i="61" s="1"/>
  <c r="CA47" i="61"/>
  <c r="CA157" i="61" s="1"/>
  <c r="Z103" i="61"/>
  <c r="Z78" i="61"/>
  <c r="Z80" i="61" s="1"/>
  <c r="BB56" i="61"/>
  <c r="BC56" i="61" s="1"/>
  <c r="CK56" i="61" s="1"/>
  <c r="CK166" i="61" s="1"/>
  <c r="O55" i="61"/>
  <c r="CA55" i="61" s="1"/>
  <c r="CA165" i="61" s="1"/>
  <c r="CA46" i="61"/>
  <c r="CA156" i="61" s="1"/>
  <c r="Z49" i="61"/>
  <c r="AY54" i="61"/>
  <c r="CJ54" i="61" s="1"/>
  <c r="CJ164" i="61" s="1"/>
  <c r="S54" i="61"/>
  <c r="CB54" i="61" s="1"/>
  <c r="CB164" i="61" s="1"/>
  <c r="CA44" i="61"/>
  <c r="CA154" i="61" s="1"/>
  <c r="CI41" i="61"/>
  <c r="CI151" i="61" s="1"/>
  <c r="CI54" i="61"/>
  <c r="CI164" i="61" s="1"/>
  <c r="AD54" i="61"/>
  <c r="AE54" i="61" s="1"/>
  <c r="CE54" i="61" s="1"/>
  <c r="CE164" i="61" s="1"/>
  <c r="CI36" i="61"/>
  <c r="CI146" i="61" s="1"/>
  <c r="AE36" i="61"/>
  <c r="CE36" i="61" s="1"/>
  <c r="CE146" i="61" s="1"/>
  <c r="AD25" i="61"/>
  <c r="CB22" i="61"/>
  <c r="CB132" i="61" s="1"/>
  <c r="BC48" i="61"/>
  <c r="CK48" i="61" s="1"/>
  <c r="CK158" i="61" s="1"/>
  <c r="S34" i="61"/>
  <c r="CB34" i="61" s="1"/>
  <c r="CB144" i="61" s="1"/>
  <c r="AD81" i="61"/>
  <c r="AE41" i="61"/>
  <c r="CE41" i="61" s="1"/>
  <c r="CE151" i="61" s="1"/>
  <c r="J49" i="61"/>
  <c r="AI40" i="61"/>
  <c r="CF40" i="61" s="1"/>
  <c r="K28" i="61"/>
  <c r="BZ28" i="61" s="1"/>
  <c r="BZ138" i="61" s="1"/>
  <c r="CG65" i="61"/>
  <c r="CG175" i="61" s="1"/>
  <c r="AM59" i="61"/>
  <c r="CG59" i="61" s="1"/>
  <c r="CG169" i="61" s="1"/>
  <c r="AE68" i="61"/>
  <c r="CE68" i="61" s="1"/>
  <c r="CE178" i="61" s="1"/>
  <c r="CJ68" i="61"/>
  <c r="CJ178" i="61" s="1"/>
  <c r="S55" i="61"/>
  <c r="CB55" i="61" s="1"/>
  <c r="CB165" i="61" s="1"/>
  <c r="BZ52" i="61"/>
  <c r="BZ162" i="61" s="1"/>
  <c r="BZ42" i="61"/>
  <c r="BZ152" i="61" s="1"/>
  <c r="AI54" i="61"/>
  <c r="CF54" i="61" s="1"/>
  <c r="CF164" i="61" s="1"/>
  <c r="AY53" i="61"/>
  <c r="CJ53" i="61" s="1"/>
  <c r="CJ163" i="61" s="1"/>
  <c r="BZ48" i="61"/>
  <c r="BZ158" i="61" s="1"/>
  <c r="CA54" i="61"/>
  <c r="CA164" i="61" s="1"/>
  <c r="AQ46" i="61"/>
  <c r="CH46" i="61" s="1"/>
  <c r="CH156" i="61" s="1"/>
  <c r="CF36" i="61"/>
  <c r="CF146" i="61" s="1"/>
  <c r="CA36" i="61"/>
  <c r="CA146" i="61" s="1"/>
  <c r="CF33" i="61"/>
  <c r="CF143" i="61" s="1"/>
  <c r="CF138" i="61"/>
  <c r="Z36" i="61"/>
  <c r="AA36" i="61" s="1"/>
  <c r="AP23" i="61"/>
  <c r="AQ23" i="61" s="1"/>
  <c r="CH23" i="61" s="1"/>
  <c r="CH133" i="61" s="1"/>
  <c r="K14" i="61"/>
  <c r="BZ14" i="61" s="1"/>
  <c r="BZ124" i="61" s="1"/>
  <c r="CL129" i="61"/>
  <c r="AW37" i="61"/>
  <c r="AX13" i="61"/>
  <c r="N26" i="61"/>
  <c r="O26" i="61" s="1"/>
  <c r="CA26" i="61" s="1"/>
  <c r="CA136" i="61" s="1"/>
  <c r="CK14" i="61"/>
  <c r="CK124" i="61" s="1"/>
  <c r="W45" i="61"/>
  <c r="CC45" i="61" s="1"/>
  <c r="CC155" i="61" s="1"/>
  <c r="CH138" i="61"/>
  <c r="BZ62" i="61"/>
  <c r="BZ172" i="61" s="1"/>
  <c r="BC13" i="61"/>
  <c r="AY11" i="61"/>
  <c r="CG129" i="61"/>
  <c r="AY19" i="61"/>
  <c r="CJ19" i="61" s="1"/>
  <c r="AQ81" i="61"/>
  <c r="K23" i="61"/>
  <c r="BZ23" i="61" s="1"/>
  <c r="BZ133" i="61" s="1"/>
  <c r="K15" i="61"/>
  <c r="BZ15" i="61" s="1"/>
  <c r="BZ125" i="61" s="1"/>
  <c r="G15" i="61"/>
  <c r="BY15" i="61" s="1"/>
  <c r="BY125" i="61" s="1"/>
  <c r="AU9" i="61"/>
  <c r="CI9" i="61" s="1"/>
  <c r="CI119" i="61" s="1"/>
  <c r="AK37" i="61"/>
  <c r="AD26" i="61"/>
  <c r="AE26" i="61" s="1"/>
  <c r="AA21" i="61"/>
  <c r="CD21" i="61" s="1"/>
  <c r="CD131" i="61" s="1"/>
  <c r="O21" i="61"/>
  <c r="CA21" i="61" s="1"/>
  <c r="CA131" i="61" s="1"/>
  <c r="G21" i="61"/>
  <c r="BY21" i="61" s="1"/>
  <c r="BY131" i="61" s="1"/>
  <c r="G22" i="61"/>
  <c r="CG9" i="61"/>
  <c r="CG119" i="61" s="1"/>
  <c r="S47" i="61"/>
  <c r="CB47" i="61" s="1"/>
  <c r="CB157" i="61" s="1"/>
  <c r="CH62" i="61"/>
  <c r="CH172" i="61" s="1"/>
  <c r="AP60" i="61"/>
  <c r="AQ60" i="61" s="1"/>
  <c r="CH60" i="61" s="1"/>
  <c r="CH170" i="61" s="1"/>
  <c r="AP36" i="61"/>
  <c r="AQ36" i="61" s="1"/>
  <c r="AU30" i="61"/>
  <c r="CI30" i="61" s="1"/>
  <c r="CF129" i="61"/>
  <c r="BZ22" i="61"/>
  <c r="BZ132" i="61" s="1"/>
  <c r="CK20" i="61"/>
  <c r="CK130" i="61" s="1"/>
  <c r="CE24" i="61"/>
  <c r="CE134" i="61" s="1"/>
  <c r="O23" i="61"/>
  <c r="CA23" i="61" s="1"/>
  <c r="CA133" i="61" s="1"/>
  <c r="BZ21" i="61"/>
  <c r="BZ131" i="61" s="1"/>
  <c r="AE21" i="61"/>
  <c r="CE21" i="61" s="1"/>
  <c r="CE131" i="61" s="1"/>
  <c r="O15" i="61"/>
  <c r="CA15" i="61" s="1"/>
  <c r="CA125" i="61" s="1"/>
  <c r="BY20" i="61"/>
  <c r="BY130" i="61" s="1"/>
  <c r="AA43" i="61"/>
  <c r="CD43" i="61" s="1"/>
  <c r="CD153" i="61" s="1"/>
  <c r="N43" i="61"/>
  <c r="O43" i="61" s="1"/>
  <c r="AL41" i="61"/>
  <c r="AM41" i="61" s="1"/>
  <c r="AM81" i="61" s="1"/>
  <c r="AT62" i="61"/>
  <c r="AU62" i="61" s="1"/>
  <c r="AL58" i="61"/>
  <c r="AM58" i="61" s="1"/>
  <c r="CG58" i="61" s="1"/>
  <c r="CG168" i="61" s="1"/>
  <c r="AX60" i="61"/>
  <c r="AY60" i="61" s="1"/>
  <c r="W41" i="61"/>
  <c r="CC41" i="61" s="1"/>
  <c r="CC151" i="61" s="1"/>
  <c r="BC40" i="61"/>
  <c r="F41" i="61"/>
  <c r="F49" i="61" s="1"/>
  <c r="V40" i="61"/>
  <c r="W40" i="61" s="1"/>
  <c r="V58" i="61"/>
  <c r="W58" i="61" s="1"/>
  <c r="CC58" i="61" s="1"/>
  <c r="CC168" i="61" s="1"/>
  <c r="K41" i="61"/>
  <c r="BZ41" i="61" s="1"/>
  <c r="BZ151" i="61" s="1"/>
  <c r="R52" i="61"/>
  <c r="S52" i="61" s="1"/>
  <c r="CH44" i="61"/>
  <c r="CH154" i="61" s="1"/>
  <c r="J36" i="61"/>
  <c r="K36" i="61" s="1"/>
  <c r="BZ36" i="61" s="1"/>
  <c r="BZ146" i="61" s="1"/>
  <c r="O30" i="61"/>
  <c r="CA30" i="61" s="1"/>
  <c r="CA140" i="61" s="1"/>
  <c r="BC21" i="61"/>
  <c r="CK21" i="61" s="1"/>
  <c r="CK131" i="61" s="1"/>
  <c r="AY21" i="61"/>
  <c r="CJ21" i="61" s="1"/>
  <c r="CJ131" i="61" s="1"/>
  <c r="CH129" i="61"/>
  <c r="W19" i="61"/>
  <c r="CC19" i="61" s="1"/>
  <c r="CC129" i="61" s="1"/>
  <c r="I37" i="61"/>
  <c r="I110" i="61" s="1"/>
  <c r="I111" i="61" s="1"/>
  <c r="AY17" i="61"/>
  <c r="CJ17" i="61" s="1"/>
  <c r="CJ127" i="61" s="1"/>
  <c r="CI16" i="61"/>
  <c r="CI126" i="61" s="1"/>
  <c r="CH16" i="61"/>
  <c r="CH126" i="61" s="1"/>
  <c r="CG24" i="61"/>
  <c r="CG134" i="61" s="1"/>
  <c r="AE23" i="61"/>
  <c r="CE23" i="61" s="1"/>
  <c r="CE133" i="61" s="1"/>
  <c r="AA23" i="61"/>
  <c r="CD23" i="61" s="1"/>
  <c r="CD133" i="61" s="1"/>
  <c r="AA15" i="61"/>
  <c r="CD15" i="61" s="1"/>
  <c r="CD125" i="61" s="1"/>
  <c r="W23" i="61"/>
  <c r="CC23" i="61" s="1"/>
  <c r="CC133" i="61" s="1"/>
  <c r="AI21" i="61"/>
  <c r="CF21" i="61" s="1"/>
  <c r="CF131" i="61" s="1"/>
  <c r="W22" i="61"/>
  <c r="CC22" i="61" s="1"/>
  <c r="CC132" i="61" s="1"/>
  <c r="CC12" i="61"/>
  <c r="CC122" i="61" s="1"/>
  <c r="BZ19" i="61"/>
  <c r="BZ129" i="61" s="1"/>
  <c r="S45" i="61"/>
  <c r="CB45" i="61" s="1"/>
  <c r="CB155" i="61" s="1"/>
  <c r="AU43" i="61"/>
  <c r="CI43" i="61" s="1"/>
  <c r="CI153" i="61" s="1"/>
  <c r="AH47" i="61"/>
  <c r="AI47" i="61" s="1"/>
  <c r="AX45" i="61"/>
  <c r="AY45" i="61" s="1"/>
  <c r="CD62" i="61"/>
  <c r="CD172" i="61" s="1"/>
  <c r="BB58" i="61"/>
  <c r="BC58" i="61" s="1"/>
  <c r="CK58" i="61" s="1"/>
  <c r="CK168" i="61" s="1"/>
  <c r="N62" i="61"/>
  <c r="O62" i="61" s="1"/>
  <c r="F58" i="61"/>
  <c r="G58" i="61" s="1"/>
  <c r="BY58" i="61" s="1"/>
  <c r="BY168" i="61" s="1"/>
  <c r="AG49" i="61"/>
  <c r="AD62" i="61"/>
  <c r="AE62" i="61" s="1"/>
  <c r="CL25" i="61"/>
  <c r="CL135" i="61" s="1"/>
  <c r="BM29" i="2"/>
  <c r="BL34" i="61"/>
  <c r="BM27" i="2"/>
  <c r="BL32" i="61"/>
  <c r="BL142" i="61" s="1"/>
  <c r="CL92" i="2"/>
  <c r="AI168" i="63"/>
  <c r="AE168" i="63"/>
  <c r="BZ710" i="63"/>
  <c r="CA640" i="63"/>
  <c r="AE587" i="63"/>
  <c r="AM168" i="63"/>
  <c r="G157" i="63"/>
  <c r="G163" i="63" s="1"/>
  <c r="CE106" i="63"/>
  <c r="AQ157" i="63"/>
  <c r="AQ163" i="63" s="1"/>
  <c r="CI106" i="63"/>
  <c r="CF106" i="63"/>
  <c r="CB106" i="63"/>
  <c r="W157" i="63"/>
  <c r="W163" i="63" s="1"/>
  <c r="AI157" i="63"/>
  <c r="AI163" i="63" s="1"/>
  <c r="CD105" i="63"/>
  <c r="CC106" i="63"/>
  <c r="AT157" i="63"/>
  <c r="G109" i="63"/>
  <c r="G111" i="63" s="1"/>
  <c r="O109" i="63"/>
  <c r="O111" i="63" s="1"/>
  <c r="CG106" i="63"/>
  <c r="AQ9" i="61"/>
  <c r="CH9" i="61" s="1"/>
  <c r="CH119" i="61" s="1"/>
  <c r="BZ9" i="61"/>
  <c r="BZ119" i="61" s="1"/>
  <c r="AM157" i="63"/>
  <c r="AM163" i="63" s="1"/>
  <c r="CH106" i="63"/>
  <c r="CH105" i="63"/>
  <c r="AY109" i="63"/>
  <c r="AY21" i="63"/>
  <c r="AI109" i="63"/>
  <c r="AI111" i="63" s="1"/>
  <c r="AI21" i="63"/>
  <c r="AV352" i="63"/>
  <c r="BB11" i="61"/>
  <c r="AI9" i="61"/>
  <c r="CF9" i="61" s="1"/>
  <c r="CF119" i="61" s="1"/>
  <c r="AU109" i="63"/>
  <c r="AU21" i="63"/>
  <c r="AE109" i="63"/>
  <c r="AE111" i="63" s="1"/>
  <c r="AE21" i="63"/>
  <c r="CF105" i="63"/>
  <c r="CB105" i="63"/>
  <c r="AQ109" i="63"/>
  <c r="AQ111" i="63" s="1"/>
  <c r="AQ21" i="63"/>
  <c r="AA109" i="63"/>
  <c r="AA111" i="63" s="1"/>
  <c r="AA21" i="63"/>
  <c r="CD106" i="63"/>
  <c r="BZ21" i="63"/>
  <c r="BE37" i="61"/>
  <c r="BE92" i="63"/>
  <c r="BZ106" i="63"/>
  <c r="AM109" i="63"/>
  <c r="AM111" i="63" s="1"/>
  <c r="AM21" i="63"/>
  <c r="S109" i="63"/>
  <c r="S111" i="63" s="1"/>
  <c r="S21" i="63"/>
  <c r="CD104" i="63"/>
  <c r="W109" i="63"/>
  <c r="W111" i="63" s="1"/>
  <c r="K109" i="63"/>
  <c r="K111" i="63" s="1"/>
  <c r="O150" i="63"/>
  <c r="O157" i="63" s="1"/>
  <c r="O163" i="63" s="1"/>
  <c r="CA136" i="63"/>
  <c r="CA143" i="63" s="1"/>
  <c r="O143" i="63"/>
  <c r="O145" i="63" s="1"/>
  <c r="CA741" i="63"/>
  <c r="CA742" i="63"/>
  <c r="CC108" i="63"/>
  <c r="T65" i="63"/>
  <c r="CA108" i="63"/>
  <c r="L65" i="63"/>
  <c r="T109" i="63"/>
  <c r="T111" i="63" s="1"/>
  <c r="K742" i="63"/>
  <c r="K743" i="63"/>
  <c r="K741" i="63"/>
  <c r="K753" i="63" s="1"/>
  <c r="K165" i="63"/>
  <c r="K167" i="63" s="1"/>
  <c r="K726" i="63"/>
  <c r="K747" i="63"/>
  <c r="L726" i="63"/>
  <c r="K715" i="63"/>
  <c r="CB682" i="63"/>
  <c r="CB679" i="63"/>
  <c r="CB691" i="63" s="1"/>
  <c r="CB680" i="63"/>
  <c r="CF579" i="63"/>
  <c r="CF578" i="63"/>
  <c r="CF590" i="63" s="1"/>
  <c r="CF581" i="63"/>
  <c r="R109" i="63"/>
  <c r="R111" i="63" s="1"/>
  <c r="CA670" i="63"/>
  <c r="CA688" i="63" s="1"/>
  <c r="CA671" i="63"/>
  <c r="CA702" i="63"/>
  <c r="CA701" i="63"/>
  <c r="CE570" i="63"/>
  <c r="CE569" i="63"/>
  <c r="CE587" i="63" s="1"/>
  <c r="CG477" i="63"/>
  <c r="CG489" i="63" s="1"/>
  <c r="CG478" i="63"/>
  <c r="CG480" i="63"/>
  <c r="CE165" i="63"/>
  <c r="CE564" i="63"/>
  <c r="CE513" i="63"/>
  <c r="CE552" i="63"/>
  <c r="CE539" i="63"/>
  <c r="AS375" i="63"/>
  <c r="AR374" i="63"/>
  <c r="CG378" i="63"/>
  <c r="CG377" i="63"/>
  <c r="CG395" i="63" s="1"/>
  <c r="AF486" i="63"/>
  <c r="AF469" i="63"/>
  <c r="CI387" i="63"/>
  <c r="CI389" i="63"/>
  <c r="CF398" i="63"/>
  <c r="AK378" i="63"/>
  <c r="AK395" i="63"/>
  <c r="CG375" i="63"/>
  <c r="BB353" i="63"/>
  <c r="BB360" i="63"/>
  <c r="CK351" i="63"/>
  <c r="AY343" i="63"/>
  <c r="AY368" i="63"/>
  <c r="AZ334" i="63"/>
  <c r="AY336" i="63"/>
  <c r="CL54" i="63"/>
  <c r="BE36" i="63"/>
  <c r="AZ165" i="63"/>
  <c r="AZ167" i="63" s="1"/>
  <c r="AZ69" i="63"/>
  <c r="AZ58" i="63"/>
  <c r="AZ157" i="63"/>
  <c r="CC143" i="63"/>
  <c r="CD143" i="63"/>
  <c r="BD143" i="63"/>
  <c r="BD145" i="63" s="1"/>
  <c r="BA152" i="63"/>
  <c r="BA154" i="63"/>
  <c r="BA150" i="63"/>
  <c r="BA151" i="63"/>
  <c r="BA145" i="63"/>
  <c r="BA149" i="63"/>
  <c r="BA155" i="63"/>
  <c r="BA153" i="63"/>
  <c r="K151" i="63"/>
  <c r="K157" i="63" s="1"/>
  <c r="K163" i="63" s="1"/>
  <c r="BZ137" i="63"/>
  <c r="CG143" i="63"/>
  <c r="CE143" i="63"/>
  <c r="CA714" i="63"/>
  <c r="CA715" i="63"/>
  <c r="CC682" i="63"/>
  <c r="CC679" i="63"/>
  <c r="CC691" i="63" s="1"/>
  <c r="CC680" i="63"/>
  <c r="CB165" i="63"/>
  <c r="CB614" i="63"/>
  <c r="CB685" i="63"/>
  <c r="CB640" i="63"/>
  <c r="CB665" i="63"/>
  <c r="CC640" i="63"/>
  <c r="L168" i="63"/>
  <c r="N109" i="63"/>
  <c r="N111" i="63" s="1"/>
  <c r="CA165" i="63"/>
  <c r="CA627" i="63"/>
  <c r="CA685" i="63"/>
  <c r="CA653" i="63"/>
  <c r="CA601" i="63"/>
  <c r="CA747" i="63"/>
  <c r="O743" i="63"/>
  <c r="O741" i="63"/>
  <c r="O753" i="63" s="1"/>
  <c r="O742" i="63"/>
  <c r="O744" i="63" s="1"/>
  <c r="CA709" i="63"/>
  <c r="CD570" i="63"/>
  <c r="CD569" i="63"/>
  <c r="CD587" i="63" s="1"/>
  <c r="AB587" i="63"/>
  <c r="AB570" i="63"/>
  <c r="CF564" i="63"/>
  <c r="CF478" i="63"/>
  <c r="CF480" i="63"/>
  <c r="CF477" i="63"/>
  <c r="CF489" i="63" s="1"/>
  <c r="CE584" i="63"/>
  <c r="CH401" i="63"/>
  <c r="CH392" i="63"/>
  <c r="CE398" i="63"/>
  <c r="AU398" i="63"/>
  <c r="CH165" i="63"/>
  <c r="CH370" i="63"/>
  <c r="CH337" i="63"/>
  <c r="CH303" i="63"/>
  <c r="CH320" i="63"/>
  <c r="AM398" i="63"/>
  <c r="CG483" i="63"/>
  <c r="CG469" i="63"/>
  <c r="CG412" i="63"/>
  <c r="AW398" i="63"/>
  <c r="AS398" i="63"/>
  <c r="AO398" i="63"/>
  <c r="CG386" i="63"/>
  <c r="CG387" i="63"/>
  <c r="CG389" i="63"/>
  <c r="CI378" i="63"/>
  <c r="CH377" i="63"/>
  <c r="CH395" i="63" s="1"/>
  <c r="CH378" i="63"/>
  <c r="AZ130" i="63"/>
  <c r="CH375" i="63"/>
  <c r="BB336" i="63"/>
  <c r="BC334" i="63"/>
  <c r="BB368" i="63"/>
  <c r="BB343" i="63"/>
  <c r="BB130" i="63"/>
  <c r="AX353" i="63"/>
  <c r="BE77" i="63"/>
  <c r="BE79" i="63"/>
  <c r="BC165" i="63"/>
  <c r="BC167" i="63" s="1"/>
  <c r="BC69" i="63"/>
  <c r="BC36" i="63"/>
  <c r="BC25" i="63"/>
  <c r="BE69" i="63"/>
  <c r="BE58" i="63"/>
  <c r="AZ322" i="63"/>
  <c r="AZ319" i="63"/>
  <c r="BA317" i="63"/>
  <c r="CL43" i="63"/>
  <c r="CL13" i="63"/>
  <c r="AZ47" i="63"/>
  <c r="BD36" i="63"/>
  <c r="AE157" i="63"/>
  <c r="AE163" i="63" s="1"/>
  <c r="CD108" i="63"/>
  <c r="X65" i="63"/>
  <c r="CB108" i="63"/>
  <c r="P65" i="63"/>
  <c r="BZ108" i="63"/>
  <c r="H65" i="63"/>
  <c r="BC143" i="63"/>
  <c r="BC145" i="63" s="1"/>
  <c r="X109" i="63"/>
  <c r="X111" i="63" s="1"/>
  <c r="CC165" i="63"/>
  <c r="CC685" i="63"/>
  <c r="CC653" i="63"/>
  <c r="CC601" i="63"/>
  <c r="CC665" i="63"/>
  <c r="CC627" i="63"/>
  <c r="U168" i="63"/>
  <c r="CF593" i="63"/>
  <c r="CF584" i="63"/>
  <c r="J109" i="63"/>
  <c r="J111" i="63" s="1"/>
  <c r="K702" i="63"/>
  <c r="K168" i="63" s="1"/>
  <c r="CB627" i="63"/>
  <c r="CD581" i="63"/>
  <c r="CD579" i="63"/>
  <c r="CD578" i="63"/>
  <c r="CD590" i="63" s="1"/>
  <c r="CC671" i="63"/>
  <c r="CA710" i="63"/>
  <c r="CB601" i="63"/>
  <c r="AF587" i="63"/>
  <c r="AF570" i="63"/>
  <c r="AA168" i="63"/>
  <c r="CD584" i="63"/>
  <c r="CD593" i="63"/>
  <c r="CE593" i="63"/>
  <c r="CE526" i="63"/>
  <c r="CG392" i="63"/>
  <c r="CG401" i="63"/>
  <c r="AJ486" i="63"/>
  <c r="AJ469" i="63"/>
  <c r="CF463" i="63"/>
  <c r="CF438" i="63"/>
  <c r="CF425" i="63"/>
  <c r="CF451" i="63"/>
  <c r="CF412" i="63"/>
  <c r="CG438" i="63"/>
  <c r="CI165" i="63"/>
  <c r="CI370" i="63"/>
  <c r="AO395" i="63"/>
  <c r="AO378" i="63"/>
  <c r="BC130" i="63"/>
  <c r="AK398" i="63"/>
  <c r="CG451" i="63"/>
  <c r="CH389" i="63"/>
  <c r="CH311" i="63"/>
  <c r="CH386" i="63"/>
  <c r="CH387" i="63"/>
  <c r="BE130" i="63"/>
  <c r="CI320" i="63"/>
  <c r="AM90" i="63"/>
  <c r="BD130" i="63"/>
  <c r="BB305" i="63"/>
  <c r="BB302" i="63"/>
  <c r="BC300" i="63"/>
  <c r="AX336" i="63"/>
  <c r="CJ334" i="63"/>
  <c r="AX368" i="63"/>
  <c r="AX343" i="63"/>
  <c r="AX322" i="63"/>
  <c r="AX319" i="63"/>
  <c r="CJ317" i="63"/>
  <c r="BA165" i="63"/>
  <c r="BA167" i="63" s="1"/>
  <c r="BA77" i="63"/>
  <c r="BA36" i="63"/>
  <c r="BA25" i="63"/>
  <c r="BD165" i="63"/>
  <c r="BD167" i="63" s="1"/>
  <c r="BD69" i="63"/>
  <c r="BD79" i="63"/>
  <c r="BD77" i="63"/>
  <c r="BD58" i="63"/>
  <c r="BC58" i="63"/>
  <c r="BD14" i="63"/>
  <c r="AZ36" i="63"/>
  <c r="AZ25" i="63"/>
  <c r="L743" i="63"/>
  <c r="L109" i="63"/>
  <c r="L111" i="63" s="1"/>
  <c r="BZ735" i="63"/>
  <c r="Q168" i="63"/>
  <c r="CD165" i="63"/>
  <c r="CD564" i="63"/>
  <c r="CD552" i="63"/>
  <c r="CD526" i="63"/>
  <c r="CD500" i="63"/>
  <c r="CB653" i="63"/>
  <c r="V109" i="63"/>
  <c r="V111" i="63" s="1"/>
  <c r="F109" i="63"/>
  <c r="F111" i="63" s="1"/>
  <c r="CA680" i="63"/>
  <c r="CA679" i="63"/>
  <c r="CA691" i="63" s="1"/>
  <c r="CA722" i="63"/>
  <c r="CA723" i="63"/>
  <c r="P688" i="63"/>
  <c r="P671" i="63"/>
  <c r="O727" i="63"/>
  <c r="CD513" i="63"/>
  <c r="BZ725" i="63"/>
  <c r="CE581" i="63"/>
  <c r="CE579" i="63"/>
  <c r="CE578" i="63"/>
  <c r="CE590" i="63" s="1"/>
  <c r="AN395" i="63"/>
  <c r="AN378" i="63"/>
  <c r="CG165" i="63"/>
  <c r="CG370" i="63"/>
  <c r="CG354" i="63"/>
  <c r="AK168" i="63"/>
  <c r="CG425" i="63"/>
  <c r="CF469" i="63"/>
  <c r="CI392" i="63"/>
  <c r="BA130" i="63"/>
  <c r="CI337" i="63"/>
  <c r="CG303" i="63"/>
  <c r="CJ351" i="63"/>
  <c r="AZ300" i="63"/>
  <c r="AY302" i="63"/>
  <c r="AY305" i="63"/>
  <c r="CG337" i="63"/>
  <c r="BB322" i="63"/>
  <c r="BB319" i="63"/>
  <c r="BC317" i="63"/>
  <c r="AX305" i="63"/>
  <c r="AX302" i="63"/>
  <c r="CJ300" i="63"/>
  <c r="CH354" i="63"/>
  <c r="CH361" i="63"/>
  <c r="BA47" i="63"/>
  <c r="CL35" i="63"/>
  <c r="BE25" i="63"/>
  <c r="BC14" i="63"/>
  <c r="BA14" i="63"/>
  <c r="AZ14" i="63"/>
  <c r="S57" i="61"/>
  <c r="CB57" i="61" s="1"/>
  <c r="CB167" i="61" s="1"/>
  <c r="AY34" i="61"/>
  <c r="CJ34" i="61" s="1"/>
  <c r="CJ144" i="61" s="1"/>
  <c r="CB151" i="61"/>
  <c r="CD78" i="61"/>
  <c r="CE15" i="61"/>
  <c r="CE125" i="61" s="1"/>
  <c r="G18" i="61"/>
  <c r="BY18" i="61" s="1"/>
  <c r="BY128" i="61" s="1"/>
  <c r="CJ18" i="61"/>
  <c r="CJ128" i="61" s="1"/>
  <c r="CG15" i="61"/>
  <c r="CG125" i="61" s="1"/>
  <c r="AI34" i="61"/>
  <c r="CF34" i="61" s="1"/>
  <c r="CF144" i="61" s="1"/>
  <c r="CG13" i="61"/>
  <c r="CG123" i="61" s="1"/>
  <c r="W26" i="61"/>
  <c r="CC26" i="61" s="1"/>
  <c r="CC136" i="61" s="1"/>
  <c r="CC13" i="61"/>
  <c r="CC123" i="61" s="1"/>
  <c r="CB9" i="61"/>
  <c r="CB119" i="61" s="1"/>
  <c r="AE59" i="61"/>
  <c r="CE59" i="61" s="1"/>
  <c r="CE169" i="61" s="1"/>
  <c r="AI25" i="61"/>
  <c r="CF25" i="61" s="1"/>
  <c r="CF135" i="61" s="1"/>
  <c r="Z63" i="61"/>
  <c r="Z169" i="2"/>
  <c r="AH169" i="2"/>
  <c r="AU25" i="61"/>
  <c r="CI25" i="61" s="1"/>
  <c r="CI135" i="61" s="1"/>
  <c r="S17" i="61"/>
  <c r="CB17" i="61" s="1"/>
  <c r="CB127" i="61" s="1"/>
  <c r="K17" i="61"/>
  <c r="BZ17" i="61" s="1"/>
  <c r="BZ127" i="61" s="1"/>
  <c r="F53" i="61"/>
  <c r="BN173" i="61"/>
  <c r="BO162" i="61"/>
  <c r="BO173" i="61" s="1"/>
  <c r="CI65" i="61"/>
  <c r="CI175" i="61" s="1"/>
  <c r="AX65" i="61"/>
  <c r="CJ61" i="61"/>
  <c r="CJ171" i="61" s="1"/>
  <c r="AH61" i="61"/>
  <c r="AI61" i="61" s="1"/>
  <c r="CF61" i="61" s="1"/>
  <c r="CK59" i="61"/>
  <c r="CK169" i="61" s="1"/>
  <c r="CA59" i="61"/>
  <c r="CA169" i="61" s="1"/>
  <c r="AG81" i="61"/>
  <c r="Q81" i="61"/>
  <c r="CK68" i="61"/>
  <c r="CK178" i="61" s="1"/>
  <c r="CG68" i="61"/>
  <c r="CG178" i="61" s="1"/>
  <c r="CC68" i="61"/>
  <c r="CC178" i="61" s="1"/>
  <c r="BY68" i="61"/>
  <c r="BY178" i="61" s="1"/>
  <c r="CI61" i="61"/>
  <c r="CI171" i="61" s="1"/>
  <c r="AD61" i="61"/>
  <c r="AE61" i="61" s="1"/>
  <c r="CE61" i="61" s="1"/>
  <c r="CD59" i="61"/>
  <c r="CD169" i="61" s="1"/>
  <c r="CA57" i="61"/>
  <c r="CA167" i="61" s="1"/>
  <c r="BZ60" i="61"/>
  <c r="BZ170" i="61" s="1"/>
  <c r="BZ56" i="61"/>
  <c r="BZ166" i="61" s="1"/>
  <c r="CJ103" i="61"/>
  <c r="AA61" i="61"/>
  <c r="CD61" i="61" s="1"/>
  <c r="K65" i="61"/>
  <c r="BZ65" i="61" s="1"/>
  <c r="BZ175" i="61" s="1"/>
  <c r="CC61" i="61"/>
  <c r="F61" i="61"/>
  <c r="G61" i="61" s="1"/>
  <c r="BY61" i="61" s="1"/>
  <c r="CK57" i="61"/>
  <c r="CK167" i="61" s="1"/>
  <c r="BJ169" i="2"/>
  <c r="CF59" i="61"/>
  <c r="CF169" i="61" s="1"/>
  <c r="N103" i="61"/>
  <c r="N78" i="61"/>
  <c r="N80" i="61" s="1"/>
  <c r="O40" i="61"/>
  <c r="CA40" i="61" s="1"/>
  <c r="AI55" i="61"/>
  <c r="CF55" i="61" s="1"/>
  <c r="CF165" i="61" s="1"/>
  <c r="CG54" i="61"/>
  <c r="CG164" i="61" s="1"/>
  <c r="V54" i="61"/>
  <c r="W54" i="61" s="1"/>
  <c r="CC54" i="61" s="1"/>
  <c r="CC164" i="61" s="1"/>
  <c r="AA52" i="61"/>
  <c r="BC46" i="61"/>
  <c r="CK46" i="61" s="1"/>
  <c r="CK156" i="61" s="1"/>
  <c r="CG46" i="61"/>
  <c r="CG156" i="61" s="1"/>
  <c r="W46" i="61"/>
  <c r="CC46" i="61" s="1"/>
  <c r="CC156" i="61" s="1"/>
  <c r="BY46" i="61"/>
  <c r="BY156" i="61" s="1"/>
  <c r="AY42" i="61"/>
  <c r="CF42" i="61"/>
  <c r="CF152" i="61" s="1"/>
  <c r="AA42" i="61"/>
  <c r="CD42" i="61" s="1"/>
  <c r="CD152" i="61" s="1"/>
  <c r="R49" i="61"/>
  <c r="BB36" i="61"/>
  <c r="BC36" i="61" s="1"/>
  <c r="V36" i="61"/>
  <c r="W36" i="61" s="1"/>
  <c r="AP35" i="61"/>
  <c r="AQ35" i="61" s="1"/>
  <c r="J35" i="61"/>
  <c r="K35" i="61" s="1"/>
  <c r="BZ35" i="61" s="1"/>
  <c r="BZ145" i="61" s="1"/>
  <c r="AT34" i="61"/>
  <c r="AM60" i="61"/>
  <c r="CG60" i="61" s="1"/>
  <c r="CG170" i="61" s="1"/>
  <c r="G60" i="61"/>
  <c r="BY60" i="61" s="1"/>
  <c r="BY170" i="61" s="1"/>
  <c r="CD57" i="61"/>
  <c r="CD167" i="61" s="1"/>
  <c r="O56" i="61"/>
  <c r="CA56" i="61" s="1"/>
  <c r="CA166" i="61" s="1"/>
  <c r="BA63" i="61"/>
  <c r="BA169" i="2"/>
  <c r="AK63" i="61"/>
  <c r="AK169" i="2"/>
  <c r="U63" i="61"/>
  <c r="U169" i="2"/>
  <c r="E63" i="61"/>
  <c r="E169" i="2"/>
  <c r="CF48" i="61"/>
  <c r="CF158" i="61" s="1"/>
  <c r="BC44" i="61"/>
  <c r="CK44" i="61" s="1"/>
  <c r="CG44" i="61"/>
  <c r="CG154" i="61" s="1"/>
  <c r="W44" i="61"/>
  <c r="CC44" i="61" s="1"/>
  <c r="CC154" i="61" s="1"/>
  <c r="BY44" i="61"/>
  <c r="BY154" i="61" s="1"/>
  <c r="CH151" i="61"/>
  <c r="BB49" i="61"/>
  <c r="CI55" i="61"/>
  <c r="CI165" i="61" s="1"/>
  <c r="AQ54" i="61"/>
  <c r="CH54" i="61" s="1"/>
  <c r="CH164" i="61" s="1"/>
  <c r="AA54" i="61"/>
  <c r="CD54" i="61" s="1"/>
  <c r="CD164" i="61" s="1"/>
  <c r="K54" i="61"/>
  <c r="BZ54" i="61" s="1"/>
  <c r="BZ164" i="61" s="1"/>
  <c r="K103" i="61"/>
  <c r="BZ103" i="61" s="1"/>
  <c r="K78" i="61"/>
  <c r="K80" i="61" s="1"/>
  <c r="CH31" i="61"/>
  <c r="CH141" i="61" s="1"/>
  <c r="O65" i="61"/>
  <c r="CA65" i="61" s="1"/>
  <c r="CA175" i="61" s="1"/>
  <c r="AI56" i="61"/>
  <c r="CF56" i="61" s="1"/>
  <c r="CF166" i="61" s="1"/>
  <c r="AI52" i="61"/>
  <c r="CJ44" i="61"/>
  <c r="CJ154" i="61" s="1"/>
  <c r="CK42" i="61"/>
  <c r="CK152" i="61" s="1"/>
  <c r="AM42" i="61"/>
  <c r="CG42" i="61" s="1"/>
  <c r="CG152" i="61" s="1"/>
  <c r="CC42" i="61"/>
  <c r="CC152" i="61" s="1"/>
  <c r="G42" i="61"/>
  <c r="CJ33" i="61"/>
  <c r="CJ143" i="61" s="1"/>
  <c r="CB33" i="61"/>
  <c r="CB143" i="61" s="1"/>
  <c r="AI29" i="61"/>
  <c r="CF29" i="61" s="1"/>
  <c r="CF139" i="61" s="1"/>
  <c r="W33" i="61"/>
  <c r="CC33" i="61" s="1"/>
  <c r="CC143" i="61" s="1"/>
  <c r="CC28" i="61"/>
  <c r="CC138" i="61" s="1"/>
  <c r="W17" i="61"/>
  <c r="CC17" i="61" s="1"/>
  <c r="CC127" i="61" s="1"/>
  <c r="CC25" i="61"/>
  <c r="CC135" i="61" s="1"/>
  <c r="CD14" i="61"/>
  <c r="CD124" i="61" s="1"/>
  <c r="BB19" i="61"/>
  <c r="AV97" i="61"/>
  <c r="AV94" i="61"/>
  <c r="AU22" i="61"/>
  <c r="CI22" i="61" s="1"/>
  <c r="CI132" i="61" s="1"/>
  <c r="CI17" i="61"/>
  <c r="CI127" i="61" s="1"/>
  <c r="CI14" i="61"/>
  <c r="CI124" i="61" s="1"/>
  <c r="AR97" i="61"/>
  <c r="AI22" i="61"/>
  <c r="CF22" i="61" s="1"/>
  <c r="CF132" i="61" s="1"/>
  <c r="CE22" i="61"/>
  <c r="CE132" i="61" s="1"/>
  <c r="AE14" i="61"/>
  <c r="CE14" i="61" s="1"/>
  <c r="CE124" i="61" s="1"/>
  <c r="CD25" i="61"/>
  <c r="CD135" i="61" s="1"/>
  <c r="AA22" i="61"/>
  <c r="CD22" i="61" s="1"/>
  <c r="CD132" i="61" s="1"/>
  <c r="CD17" i="61"/>
  <c r="CD127" i="61" s="1"/>
  <c r="CB25" i="61"/>
  <c r="CB135" i="61" s="1"/>
  <c r="S14" i="61"/>
  <c r="CB14" i="61" s="1"/>
  <c r="CB124" i="61" s="1"/>
  <c r="O25" i="61"/>
  <c r="CA25" i="61" s="1"/>
  <c r="CA135" i="61" s="1"/>
  <c r="H97" i="61"/>
  <c r="H94" i="61"/>
  <c r="F23" i="61"/>
  <c r="G23" i="61" s="1"/>
  <c r="BY23" i="61" s="1"/>
  <c r="BY133" i="61" s="1"/>
  <c r="AO37" i="61"/>
  <c r="AO108" i="61" s="1"/>
  <c r="Y37" i="61"/>
  <c r="Y108" i="61" s="1"/>
  <c r="CG48" i="61"/>
  <c r="CG158" i="61" s="1"/>
  <c r="BY48" i="61"/>
  <c r="BY158" i="61" s="1"/>
  <c r="AM28" i="61"/>
  <c r="CG28" i="61" s="1"/>
  <c r="BA96" i="61"/>
  <c r="BA93" i="61"/>
  <c r="AH13" i="61"/>
  <c r="AH81" i="61" s="1"/>
  <c r="AC37" i="61"/>
  <c r="AC108" i="61" s="1"/>
  <c r="M37" i="61"/>
  <c r="M108" i="61" s="1"/>
  <c r="M63" i="61"/>
  <c r="M169" i="2"/>
  <c r="G33" i="61"/>
  <c r="BY33" i="61" s="1"/>
  <c r="BY143" i="61" s="1"/>
  <c r="CF30" i="61"/>
  <c r="CF140" i="61" s="1"/>
  <c r="AY15" i="61"/>
  <c r="CJ15" i="61" s="1"/>
  <c r="CJ125" i="61" s="1"/>
  <c r="S15" i="61"/>
  <c r="CB15" i="61" s="1"/>
  <c r="CB125" i="61" s="1"/>
  <c r="CH13" i="61"/>
  <c r="CH123" i="61" s="1"/>
  <c r="AU26" i="61"/>
  <c r="CI26" i="61" s="1"/>
  <c r="CI136" i="61" s="1"/>
  <c r="AT18" i="61"/>
  <c r="AQ26" i="61"/>
  <c r="CH26" i="61" s="1"/>
  <c r="CH136" i="61" s="1"/>
  <c r="AL18" i="61"/>
  <c r="AM18" i="61" s="1"/>
  <c r="AH26" i="61"/>
  <c r="AI26" i="61" s="1"/>
  <c r="CE16" i="61"/>
  <c r="CE126" i="61" s="1"/>
  <c r="AE13" i="61"/>
  <c r="CE13" i="61" s="1"/>
  <c r="CE123" i="61" s="1"/>
  <c r="Z26" i="61"/>
  <c r="AA26" i="61" s="1"/>
  <c r="CD26" i="61" s="1"/>
  <c r="CD136" i="61" s="1"/>
  <c r="AA16" i="61"/>
  <c r="CD16" i="61" s="1"/>
  <c r="CD126" i="61" s="1"/>
  <c r="V18" i="61"/>
  <c r="W18" i="61" s="1"/>
  <c r="R26" i="61"/>
  <c r="CA16" i="61"/>
  <c r="CA126" i="61" s="1"/>
  <c r="BZ24" i="61"/>
  <c r="BZ134" i="61" s="1"/>
  <c r="K18" i="61"/>
  <c r="BZ18" i="61" s="1"/>
  <c r="BZ128" i="61" s="1"/>
  <c r="G13" i="61"/>
  <c r="AE9" i="61"/>
  <c r="BC24" i="61"/>
  <c r="CK24" i="61" s="1"/>
  <c r="CK134" i="61" s="1"/>
  <c r="BC18" i="61"/>
  <c r="CK18" i="61" s="1"/>
  <c r="CK128" i="61" s="1"/>
  <c r="G16" i="61"/>
  <c r="BY16" i="61" s="1"/>
  <c r="BY126" i="61" s="1"/>
  <c r="E37" i="61"/>
  <c r="F9" i="61"/>
  <c r="AA13" i="61"/>
  <c r="AA81" i="61" s="1"/>
  <c r="O19" i="61"/>
  <c r="CA19" i="61" s="1"/>
  <c r="CA129" i="61" s="1"/>
  <c r="AH17" i="61"/>
  <c r="N17" i="61"/>
  <c r="J96" i="61"/>
  <c r="J93" i="61"/>
  <c r="BZ150" i="61"/>
  <c r="BZ78" i="61"/>
  <c r="V53" i="61"/>
  <c r="AZ110" i="61"/>
  <c r="AZ111" i="61" s="1"/>
  <c r="AZ69" i="61"/>
  <c r="AJ110" i="61"/>
  <c r="AJ111" i="61" s="1"/>
  <c r="AV110" i="61"/>
  <c r="AV111" i="61" s="1"/>
  <c r="AV69" i="61"/>
  <c r="BE96" i="61"/>
  <c r="BE93" i="61"/>
  <c r="CE52" i="61"/>
  <c r="N169" i="2"/>
  <c r="AL26" i="61"/>
  <c r="AM26" i="61" s="1"/>
  <c r="W21" i="61"/>
  <c r="CC21" i="61" s="1"/>
  <c r="CC131" i="61" s="1"/>
  <c r="AC96" i="61"/>
  <c r="AC93" i="61"/>
  <c r="AD11" i="61"/>
  <c r="U96" i="61"/>
  <c r="M96" i="61"/>
  <c r="M93" i="61"/>
  <c r="N11" i="61"/>
  <c r="BA37" i="61"/>
  <c r="BA108" i="61" s="1"/>
  <c r="BB9" i="61"/>
  <c r="BC9" i="61" s="1"/>
  <c r="BZ121" i="61"/>
  <c r="BZ96" i="61"/>
  <c r="BZ94" i="61" s="1"/>
  <c r="BZ93" i="61" s="1"/>
  <c r="BZ97" i="61" s="1"/>
  <c r="G14" i="61"/>
  <c r="BY14" i="61" s="1"/>
  <c r="BY124" i="61" s="1"/>
  <c r="AI65" i="61"/>
  <c r="CF65" i="61" s="1"/>
  <c r="CF175" i="61" s="1"/>
  <c r="AL53" i="61"/>
  <c r="AM53" i="61" s="1"/>
  <c r="CG53" i="61" s="1"/>
  <c r="CG163" i="61" s="1"/>
  <c r="AO63" i="61"/>
  <c r="AO169" i="2"/>
  <c r="J169" i="2"/>
  <c r="CF41" i="61"/>
  <c r="AY59" i="61"/>
  <c r="CJ59" i="61" s="1"/>
  <c r="CJ169" i="61" s="1"/>
  <c r="AI60" i="61"/>
  <c r="CF60" i="61" s="1"/>
  <c r="CF170" i="61" s="1"/>
  <c r="S65" i="61"/>
  <c r="CB65" i="61" s="1"/>
  <c r="CB175" i="61" s="1"/>
  <c r="BY177" i="61"/>
  <c r="BY65" i="61"/>
  <c r="BY175" i="61" s="1"/>
  <c r="CB61" i="61"/>
  <c r="CI59" i="61"/>
  <c r="CI169" i="61" s="1"/>
  <c r="CI68" i="61"/>
  <c r="CI178" i="61" s="1"/>
  <c r="CA68" i="61"/>
  <c r="CA178" i="61" s="1"/>
  <c r="CA61" i="61"/>
  <c r="BZ59" i="61"/>
  <c r="BZ169" i="61" s="1"/>
  <c r="CE57" i="61"/>
  <c r="CE167" i="61" s="1"/>
  <c r="BZ61" i="61"/>
  <c r="BY150" i="61"/>
  <c r="AH57" i="61"/>
  <c r="AI57" i="61" s="1"/>
  <c r="CB68" i="61"/>
  <c r="CB178" i="61" s="1"/>
  <c r="AL61" i="61"/>
  <c r="AM61" i="61" s="1"/>
  <c r="CC57" i="61"/>
  <c r="CC167" i="61" s="1"/>
  <c r="CB60" i="61"/>
  <c r="CB170" i="61" s="1"/>
  <c r="AT103" i="61"/>
  <c r="AT78" i="61"/>
  <c r="AT80" i="61" s="1"/>
  <c r="AT49" i="61"/>
  <c r="AU40" i="61"/>
  <c r="CI40" i="61" s="1"/>
  <c r="AA65" i="61"/>
  <c r="CD65" i="61" s="1"/>
  <c r="CD175" i="61" s="1"/>
  <c r="AY55" i="61"/>
  <c r="CJ55" i="61" s="1"/>
  <c r="CJ165" i="61" s="1"/>
  <c r="BB54" i="61"/>
  <c r="BC54" i="61" s="1"/>
  <c r="Y63" i="61"/>
  <c r="Y169" i="2"/>
  <c r="CH42" i="61"/>
  <c r="CH152" i="61" s="1"/>
  <c r="S42" i="61"/>
  <c r="AL36" i="61"/>
  <c r="AM36" i="61" s="1"/>
  <c r="CG36" i="61" s="1"/>
  <c r="CG146" i="61" s="1"/>
  <c r="F36" i="61"/>
  <c r="G36" i="61" s="1"/>
  <c r="BY36" i="61" s="1"/>
  <c r="BY146" i="61" s="1"/>
  <c r="Z35" i="61"/>
  <c r="AD34" i="61"/>
  <c r="AE34" i="61" s="1"/>
  <c r="W60" i="61"/>
  <c r="CC60" i="61" s="1"/>
  <c r="CC170" i="61" s="1"/>
  <c r="W59" i="61"/>
  <c r="CC59" i="61" s="1"/>
  <c r="CC169" i="61" s="1"/>
  <c r="BZ53" i="61"/>
  <c r="BZ163" i="61" s="1"/>
  <c r="CH48" i="61"/>
  <c r="CH158" i="61" s="1"/>
  <c r="S48" i="61"/>
  <c r="CB48" i="61" s="1"/>
  <c r="CB158" i="61" s="1"/>
  <c r="AY46" i="61"/>
  <c r="CJ46" i="61" s="1"/>
  <c r="CJ156" i="61" s="1"/>
  <c r="CF46" i="61"/>
  <c r="CF156" i="61" s="1"/>
  <c r="AU81" i="61"/>
  <c r="CJ35" i="61"/>
  <c r="CJ145" i="61" s="1"/>
  <c r="CK34" i="61"/>
  <c r="CK144" i="61" s="1"/>
  <c r="AQ59" i="61"/>
  <c r="CH59" i="61" s="1"/>
  <c r="CH169" i="61" s="1"/>
  <c r="AU57" i="61"/>
  <c r="CI57" i="61" s="1"/>
  <c r="CI167" i="61" s="1"/>
  <c r="AT35" i="61"/>
  <c r="AU35" i="61" s="1"/>
  <c r="AD35" i="61"/>
  <c r="AE35" i="61" s="1"/>
  <c r="N35" i="61"/>
  <c r="O35" i="61" s="1"/>
  <c r="CD31" i="61"/>
  <c r="CD141" i="61" s="1"/>
  <c r="AA60" i="61"/>
  <c r="CD60" i="61" s="1"/>
  <c r="CD170" i="61" s="1"/>
  <c r="BY59" i="61"/>
  <c r="BY169" i="61" s="1"/>
  <c r="K57" i="61"/>
  <c r="BZ57" i="61" s="1"/>
  <c r="BZ167" i="61" s="1"/>
  <c r="S56" i="61"/>
  <c r="AG63" i="61"/>
  <c r="AG169" i="2"/>
  <c r="CF44" i="61"/>
  <c r="CF154" i="61" s="1"/>
  <c r="BZ44" i="61"/>
  <c r="BZ154" i="61" s="1"/>
  <c r="CJ41" i="61"/>
  <c r="AM32" i="61"/>
  <c r="CG32" i="61" s="1"/>
  <c r="CG142" i="61" s="1"/>
  <c r="CE30" i="61"/>
  <c r="CE140" i="61" s="1"/>
  <c r="AY29" i="61"/>
  <c r="CJ29" i="61" s="1"/>
  <c r="CJ139" i="61" s="1"/>
  <c r="S29" i="61"/>
  <c r="CB29" i="61" s="1"/>
  <c r="CB139" i="61" s="1"/>
  <c r="BC33" i="61"/>
  <c r="CK33" i="61" s="1"/>
  <c r="CK143" i="61" s="1"/>
  <c r="CE31" i="61"/>
  <c r="CE141" i="61" s="1"/>
  <c r="BY29" i="61"/>
  <c r="BY139" i="61" s="1"/>
  <c r="O24" i="61"/>
  <c r="CA24" i="61" s="1"/>
  <c r="CA134" i="61" s="1"/>
  <c r="BY22" i="61"/>
  <c r="BY132" i="61" s="1"/>
  <c r="AQ25" i="61"/>
  <c r="CH25" i="61" s="1"/>
  <c r="CH135" i="61" s="1"/>
  <c r="AQ17" i="61"/>
  <c r="CH17" i="61" s="1"/>
  <c r="CH127" i="61" s="1"/>
  <c r="AL14" i="61"/>
  <c r="AF94" i="61"/>
  <c r="CE17" i="61"/>
  <c r="CE127" i="61" s="1"/>
  <c r="AB97" i="61"/>
  <c r="AB94" i="61"/>
  <c r="V15" i="61"/>
  <c r="R23" i="61"/>
  <c r="S23" i="61" s="1"/>
  <c r="CD9" i="61"/>
  <c r="CD119" i="61" s="1"/>
  <c r="BZ13" i="61"/>
  <c r="BZ123" i="61" s="1"/>
  <c r="R13" i="61"/>
  <c r="R81" i="61" s="1"/>
  <c r="BD110" i="61"/>
  <c r="BD111" i="61" s="1"/>
  <c r="BD69" i="61"/>
  <c r="H110" i="61"/>
  <c r="H111" i="61" s="1"/>
  <c r="H69" i="61"/>
  <c r="AS63" i="61"/>
  <c r="AS169" i="2"/>
  <c r="O52" i="61"/>
  <c r="CA52" i="61" s="1"/>
  <c r="CD32" i="61"/>
  <c r="CD142" i="61" s="1"/>
  <c r="BC29" i="61"/>
  <c r="CK29" i="61" s="1"/>
  <c r="CK139" i="61" s="1"/>
  <c r="CD28" i="61"/>
  <c r="CD138" i="61" s="1"/>
  <c r="AZ97" i="61"/>
  <c r="AZ94" i="61"/>
  <c r="AU23" i="61"/>
  <c r="CI23" i="61" s="1"/>
  <c r="CI133" i="61" s="1"/>
  <c r="CH24" i="61"/>
  <c r="CH134" i="61" s="1"/>
  <c r="AQ18" i="61"/>
  <c r="CH18" i="61" s="1"/>
  <c r="CH128" i="61" s="1"/>
  <c r="AH18" i="61"/>
  <c r="AI18" i="61" s="1"/>
  <c r="AD18" i="61"/>
  <c r="AE18" i="61" s="1"/>
  <c r="AA18" i="61"/>
  <c r="CD18" i="61" s="1"/>
  <c r="CD128" i="61" s="1"/>
  <c r="R18" i="61"/>
  <c r="S18" i="61" s="1"/>
  <c r="N18" i="61"/>
  <c r="O18" i="61" s="1"/>
  <c r="K26" i="61"/>
  <c r="BZ26" i="61" s="1"/>
  <c r="BZ136" i="61" s="1"/>
  <c r="BZ16" i="61"/>
  <c r="BZ126" i="61" s="1"/>
  <c r="BY26" i="61"/>
  <c r="BY136" i="61" s="1"/>
  <c r="AG37" i="61"/>
  <c r="AG108" i="61" s="1"/>
  <c r="L110" i="61"/>
  <c r="L111" i="61" s="1"/>
  <c r="CN122" i="61"/>
  <c r="CO122" i="61" s="1"/>
  <c r="CP122" i="61" s="1"/>
  <c r="AX26" i="61"/>
  <c r="AY26" i="61" s="1"/>
  <c r="CJ26" i="61" s="1"/>
  <c r="CJ136" i="61" s="1"/>
  <c r="W24" i="61"/>
  <c r="CC24" i="61" s="1"/>
  <c r="CC134" i="61" s="1"/>
  <c r="J25" i="61"/>
  <c r="E96" i="61"/>
  <c r="E93" i="61"/>
  <c r="F11" i="61"/>
  <c r="F138" i="1" s="1"/>
  <c r="F139" i="1" s="1"/>
  <c r="AL25" i="61"/>
  <c r="AE19" i="61"/>
  <c r="CE19" i="61" s="1"/>
  <c r="I97" i="61"/>
  <c r="I94" i="61"/>
  <c r="BB53" i="61"/>
  <c r="BC53" i="61" s="1"/>
  <c r="BE63" i="61"/>
  <c r="BE169" i="2"/>
  <c r="BY56" i="61"/>
  <c r="BY166" i="61" s="1"/>
  <c r="AP49" i="61"/>
  <c r="CK32" i="61"/>
  <c r="CK142" i="61" s="1"/>
  <c r="AW63" i="61"/>
  <c r="AW169" i="2"/>
  <c r="CH32" i="61"/>
  <c r="CH142" i="61" s="1"/>
  <c r="E81" i="61"/>
  <c r="CG56" i="61"/>
  <c r="CG166" i="61" s="1"/>
  <c r="AE55" i="61"/>
  <c r="BY57" i="61"/>
  <c r="BY167" i="61" s="1"/>
  <c r="BB55" i="61"/>
  <c r="AL55" i="61"/>
  <c r="AM55" i="61" s="1"/>
  <c r="CG55" i="61" s="1"/>
  <c r="CG165" i="61" s="1"/>
  <c r="V55" i="61"/>
  <c r="W55" i="61" s="1"/>
  <c r="F55" i="61"/>
  <c r="CA151" i="61"/>
  <c r="AD103" i="61"/>
  <c r="AD78" i="61"/>
  <c r="AD80" i="61" s="1"/>
  <c r="AD49" i="61"/>
  <c r="AE40" i="61"/>
  <c r="CE40" i="61" s="1"/>
  <c r="AM57" i="61"/>
  <c r="CG57" i="61" s="1"/>
  <c r="CG167" i="61" s="1"/>
  <c r="AP52" i="61"/>
  <c r="I63" i="61"/>
  <c r="I169" i="2"/>
  <c r="W56" i="61"/>
  <c r="CC56" i="61" s="1"/>
  <c r="CC166" i="61" s="1"/>
  <c r="AI53" i="61"/>
  <c r="CF53" i="61" s="1"/>
  <c r="CF163" i="61" s="1"/>
  <c r="BC52" i="61"/>
  <c r="AM52" i="61"/>
  <c r="CG52" i="61" s="1"/>
  <c r="W52" i="61"/>
  <c r="CC52" i="61" s="1"/>
  <c r="G52" i="61"/>
  <c r="BY52" i="61" s="1"/>
  <c r="CJ48" i="61"/>
  <c r="CJ158" i="61" s="1"/>
  <c r="CD151" i="61"/>
  <c r="CK28" i="61"/>
  <c r="AX52" i="61"/>
  <c r="AY52" i="61" s="1"/>
  <c r="Q63" i="61"/>
  <c r="Q169" i="2"/>
  <c r="W32" i="61"/>
  <c r="CC32" i="61" s="1"/>
  <c r="CC142" i="61" s="1"/>
  <c r="K31" i="61"/>
  <c r="BZ31" i="61" s="1"/>
  <c r="BZ141" i="61" s="1"/>
  <c r="BZ32" i="61"/>
  <c r="BZ142" i="61" s="1"/>
  <c r="L97" i="61"/>
  <c r="L94" i="61"/>
  <c r="K96" i="61"/>
  <c r="K93" i="61"/>
  <c r="G25" i="61"/>
  <c r="BY25" i="61" s="1"/>
  <c r="BY135" i="61" s="1"/>
  <c r="D97" i="61"/>
  <c r="D94" i="61"/>
  <c r="BC23" i="61"/>
  <c r="CK23" i="61" s="1"/>
  <c r="CK133" i="61" s="1"/>
  <c r="BC15" i="61"/>
  <c r="CK15" i="61" s="1"/>
  <c r="CK125" i="61" s="1"/>
  <c r="AY25" i="61"/>
  <c r="CJ25" i="61" s="1"/>
  <c r="CJ135" i="61" s="1"/>
  <c r="N13" i="61"/>
  <c r="N81" i="61" s="1"/>
  <c r="AT52" i="61"/>
  <c r="AU52" i="61" s="1"/>
  <c r="AC63" i="61"/>
  <c r="AC169" i="2"/>
  <c r="BD97" i="61"/>
  <c r="BD94" i="61"/>
  <c r="AB110" i="61"/>
  <c r="AB111" i="61" s="1"/>
  <c r="AB69" i="61"/>
  <c r="O9" i="61"/>
  <c r="CA9" i="61" s="1"/>
  <c r="CA119" i="61" s="1"/>
  <c r="BB26" i="61"/>
  <c r="BC26" i="61" s="1"/>
  <c r="CG17" i="61"/>
  <c r="CG127" i="61" s="1"/>
  <c r="CJ9" i="61"/>
  <c r="CJ119" i="61" s="1"/>
  <c r="V9" i="61"/>
  <c r="AU19" i="61"/>
  <c r="CI19" i="61" s="1"/>
  <c r="AM22" i="61"/>
  <c r="CG22" i="61" s="1"/>
  <c r="CG132" i="61" s="1"/>
  <c r="AX96" i="61"/>
  <c r="AX93" i="61"/>
  <c r="CD20" i="61"/>
  <c r="CD130" i="61" s="1"/>
  <c r="BC94" i="2"/>
  <c r="AV146" i="2"/>
  <c r="BA94" i="2"/>
  <c r="AX146" i="2"/>
  <c r="AZ146" i="2"/>
  <c r="AZ94" i="2"/>
  <c r="AW146" i="2"/>
  <c r="BZ74" i="2"/>
  <c r="BZ48" i="2"/>
  <c r="CG74" i="2"/>
  <c r="BY74" i="2"/>
  <c r="CC48" i="2"/>
  <c r="CM20" i="2"/>
  <c r="BL20" i="2"/>
  <c r="BM20" i="2" s="1"/>
  <c r="BN20" i="2" s="1"/>
  <c r="BO20" i="2" s="1"/>
  <c r="BP20" i="2" s="1"/>
  <c r="BQ20" i="2" s="1"/>
  <c r="BR20" i="2" s="1"/>
  <c r="BS20" i="2" s="1"/>
  <c r="BT20" i="2" s="1"/>
  <c r="BU20" i="2" s="1"/>
  <c r="BV20" i="2" s="1"/>
  <c r="BW20" i="2" s="1"/>
  <c r="CP20" i="2" s="1"/>
  <c r="CM65" i="2"/>
  <c r="BL65" i="2"/>
  <c r="BM65" i="2" s="1"/>
  <c r="BN65" i="2" s="1"/>
  <c r="BO65" i="2" s="1"/>
  <c r="BP65" i="2" s="1"/>
  <c r="BQ65" i="2" s="1"/>
  <c r="BR65" i="2" s="1"/>
  <c r="BS65" i="2" s="1"/>
  <c r="BT65" i="2" s="1"/>
  <c r="BU65" i="2" s="1"/>
  <c r="BV65" i="2" s="1"/>
  <c r="BW65" i="2" s="1"/>
  <c r="CP65" i="2" s="1"/>
  <c r="BE94" i="2"/>
  <c r="BD146" i="2"/>
  <c r="AU146" i="2"/>
  <c r="CM70" i="2"/>
  <c r="BL70" i="2"/>
  <c r="BM70" i="2" s="1"/>
  <c r="BN70" i="2" s="1"/>
  <c r="BO70" i="2" s="1"/>
  <c r="BP70" i="2" s="1"/>
  <c r="BQ70" i="2" s="1"/>
  <c r="BR70" i="2" s="1"/>
  <c r="BS70" i="2" s="1"/>
  <c r="BT70" i="2" s="1"/>
  <c r="BU70" i="2" s="1"/>
  <c r="BV70" i="2" s="1"/>
  <c r="BW70" i="2" s="1"/>
  <c r="CP70" i="2" s="1"/>
  <c r="CI74" i="2"/>
  <c r="BD94" i="2"/>
  <c r="CD74" i="2"/>
  <c r="CL139" i="2"/>
  <c r="CC74" i="2"/>
  <c r="CM18" i="2"/>
  <c r="BL18" i="2"/>
  <c r="BC146" i="2"/>
  <c r="CA74" i="2"/>
  <c r="CM22" i="2"/>
  <c r="BL22" i="2"/>
  <c r="BM22" i="2" s="1"/>
  <c r="BN22" i="2" s="1"/>
  <c r="BO22" i="2" s="1"/>
  <c r="BP22" i="2" s="1"/>
  <c r="BQ22" i="2" s="1"/>
  <c r="BR22" i="2" s="1"/>
  <c r="BS22" i="2" s="1"/>
  <c r="BT22" i="2" s="1"/>
  <c r="BU22" i="2" s="1"/>
  <c r="BV22" i="2" s="1"/>
  <c r="BW22" i="2" s="1"/>
  <c r="CP22" i="2" s="1"/>
  <c r="BB146" i="2"/>
  <c r="BF140" i="2"/>
  <c r="BF141" i="2" s="1"/>
  <c r="BF146" i="2"/>
  <c r="BB94" i="2"/>
  <c r="AY146" i="2"/>
  <c r="BE146" i="2"/>
  <c r="CA48" i="2"/>
  <c r="CH74" i="2"/>
  <c r="CH48" i="2"/>
  <c r="BH139" i="2"/>
  <c r="BC77" i="63" l="1"/>
  <c r="BB36" i="63"/>
  <c r="CO31" i="2"/>
  <c r="BT31" i="2"/>
  <c r="BU31" i="2" s="1"/>
  <c r="BV31" i="2" s="1"/>
  <c r="BW31" i="2" s="1"/>
  <c r="CP31" i="2" s="1"/>
  <c r="CO37" i="2"/>
  <c r="BT37" i="2"/>
  <c r="BU37" i="2" s="1"/>
  <c r="BV37" i="2" s="1"/>
  <c r="BW37" i="2" s="1"/>
  <c r="CP37" i="2" s="1"/>
  <c r="P110" i="61"/>
  <c r="P111" i="61" s="1"/>
  <c r="AR69" i="61"/>
  <c r="BY103" i="61"/>
  <c r="T69" i="61"/>
  <c r="P69" i="61"/>
  <c r="AJ69" i="61"/>
  <c r="BB58" i="63"/>
  <c r="CI354" i="63"/>
  <c r="BB77" i="63"/>
  <c r="BB69" i="63"/>
  <c r="BB25" i="63"/>
  <c r="P11" i="63"/>
  <c r="AO24" i="63"/>
  <c r="AX140" i="63"/>
  <c r="CM127" i="1"/>
  <c r="BL127" i="1"/>
  <c r="BM127" i="1" s="1"/>
  <c r="BN127" i="1" s="1"/>
  <c r="BO127" i="1" s="1"/>
  <c r="AE11" i="61"/>
  <c r="AD138" i="1"/>
  <c r="AD139" i="1" s="1"/>
  <c r="AY92" i="63"/>
  <c r="AY138" i="1"/>
  <c r="Q37" i="61"/>
  <c r="Q108" i="61" s="1"/>
  <c r="Q138" i="1"/>
  <c r="Q139" i="1" s="1"/>
  <c r="AP92" i="63"/>
  <c r="AP138" i="1"/>
  <c r="AP139" i="1" s="1"/>
  <c r="BG92" i="63"/>
  <c r="AS92" i="63"/>
  <c r="AS138" i="1"/>
  <c r="AS139" i="1" s="1"/>
  <c r="AK92" i="63"/>
  <c r="AK138" i="1"/>
  <c r="AK93" i="61"/>
  <c r="AK94" i="61" s="1"/>
  <c r="BZ138" i="1"/>
  <c r="BZ139" i="1" s="1"/>
  <c r="Y96" i="61"/>
  <c r="Y138" i="1"/>
  <c r="AG138" i="1"/>
  <c r="AG96" i="61"/>
  <c r="AG97" i="61" s="1"/>
  <c r="AO92" i="63"/>
  <c r="AO138" i="1"/>
  <c r="AO139" i="1" s="1"/>
  <c r="BF138" i="1"/>
  <c r="O11" i="61"/>
  <c r="N138" i="1"/>
  <c r="N139" i="1" s="1"/>
  <c r="BB92" i="63"/>
  <c r="BB138" i="1"/>
  <c r="AA11" i="61"/>
  <c r="Z138" i="1"/>
  <c r="Z139" i="1" s="1"/>
  <c r="AM11" i="61"/>
  <c r="AL138" i="1"/>
  <c r="AL139" i="1" s="1"/>
  <c r="U93" i="61"/>
  <c r="U94" i="61" s="1"/>
  <c r="U138" i="1"/>
  <c r="AJ139" i="1"/>
  <c r="X139" i="1"/>
  <c r="AF139" i="1"/>
  <c r="AN139" i="1"/>
  <c r="P139" i="1"/>
  <c r="AS93" i="61"/>
  <c r="AR110" i="61"/>
  <c r="AR111" i="61" s="1"/>
  <c r="Y97" i="61"/>
  <c r="V11" i="61"/>
  <c r="AO35" i="63"/>
  <c r="U37" i="61"/>
  <c r="U108" i="61" s="1"/>
  <c r="CK317" i="63"/>
  <c r="AU46" i="63"/>
  <c r="BH94" i="2"/>
  <c r="AS96" i="61"/>
  <c r="T44" i="63"/>
  <c r="P57" i="63"/>
  <c r="I35" i="63"/>
  <c r="BZ10" i="63"/>
  <c r="BR34" i="63"/>
  <c r="AS37" i="61"/>
  <c r="AS108" i="61" s="1"/>
  <c r="AT11" i="61"/>
  <c r="N76" i="63"/>
  <c r="K33" i="63"/>
  <c r="L33" i="63"/>
  <c r="BR12" i="63"/>
  <c r="BG57" i="61"/>
  <c r="CL57" i="61" s="1"/>
  <c r="CL167" i="61" s="1"/>
  <c r="BG81" i="61"/>
  <c r="AW97" i="61"/>
  <c r="CN22" i="2"/>
  <c r="CO22" i="2"/>
  <c r="CN65" i="2"/>
  <c r="CO65" i="2"/>
  <c r="CN20" i="2"/>
  <c r="CO20" i="2"/>
  <c r="CN70" i="2"/>
  <c r="CO70" i="2"/>
  <c r="AR44" i="63"/>
  <c r="S46" i="63"/>
  <c r="BB14" i="63"/>
  <c r="BB47" i="63"/>
  <c r="S44" i="63"/>
  <c r="BC46" i="63"/>
  <c r="CH43" i="63"/>
  <c r="BY21" i="63"/>
  <c r="T57" i="63"/>
  <c r="AP44" i="63"/>
  <c r="AA57" i="63"/>
  <c r="AX55" i="63"/>
  <c r="AK68" i="63"/>
  <c r="Y57" i="63"/>
  <c r="AV33" i="63"/>
  <c r="F76" i="63"/>
  <c r="CI358" i="63"/>
  <c r="AX141" i="63"/>
  <c r="BB143" i="63"/>
  <c r="BB145" i="63" s="1"/>
  <c r="T110" i="61"/>
  <c r="T111" i="61" s="1"/>
  <c r="AH93" i="61"/>
  <c r="AH94" i="61" s="1"/>
  <c r="F66" i="63"/>
  <c r="BY65" i="63"/>
  <c r="R66" i="63"/>
  <c r="BC35" i="63"/>
  <c r="BY32" i="63"/>
  <c r="CE32" i="63"/>
  <c r="K35" i="63"/>
  <c r="AY35" i="63"/>
  <c r="AK33" i="63"/>
  <c r="AE46" i="63"/>
  <c r="P97" i="61"/>
  <c r="AI57" i="63"/>
  <c r="G66" i="63"/>
  <c r="AN44" i="63"/>
  <c r="AU33" i="63"/>
  <c r="BZ32" i="63"/>
  <c r="AC35" i="63"/>
  <c r="K57" i="63"/>
  <c r="P55" i="63"/>
  <c r="O55" i="63"/>
  <c r="AM44" i="63"/>
  <c r="I33" i="63"/>
  <c r="AX138" i="63"/>
  <c r="AX142" i="63"/>
  <c r="AX139" i="63"/>
  <c r="BE110" i="61"/>
  <c r="BE111" i="61" s="1"/>
  <c r="BE108" i="61"/>
  <c r="AW110" i="61"/>
  <c r="AW111" i="61" s="1"/>
  <c r="AW108" i="61"/>
  <c r="AF110" i="61"/>
  <c r="AF111" i="61" s="1"/>
  <c r="AF108" i="61"/>
  <c r="AN69" i="61"/>
  <c r="AN108" i="61"/>
  <c r="BG49" i="61"/>
  <c r="BG78" i="61"/>
  <c r="BG80" i="61" s="1"/>
  <c r="BG103" i="61"/>
  <c r="AK110" i="61"/>
  <c r="AK111" i="61" s="1"/>
  <c r="AK108" i="61"/>
  <c r="X110" i="61"/>
  <c r="X111" i="61" s="1"/>
  <c r="X108" i="61"/>
  <c r="BG61" i="61"/>
  <c r="CL61" i="61" s="1"/>
  <c r="CL171" i="61" s="1"/>
  <c r="AX136" i="63"/>
  <c r="AX137" i="63"/>
  <c r="X97" i="61"/>
  <c r="AC11" i="63"/>
  <c r="AX111" i="63"/>
  <c r="AJ97" i="61"/>
  <c r="BG12" i="61"/>
  <c r="BY54" i="63"/>
  <c r="AG13" i="63"/>
  <c r="AC33" i="63"/>
  <c r="CA54" i="63"/>
  <c r="S13" i="63"/>
  <c r="AR24" i="63"/>
  <c r="AG66" i="63"/>
  <c r="S57" i="63"/>
  <c r="AZ33" i="63"/>
  <c r="BT34" i="63" s="1"/>
  <c r="U68" i="63"/>
  <c r="CF65" i="63"/>
  <c r="AW13" i="63"/>
  <c r="AW11" i="63"/>
  <c r="AK35" i="63"/>
  <c r="AQ46" i="63"/>
  <c r="AQ44" i="63"/>
  <c r="O11" i="63"/>
  <c r="CA10" i="63"/>
  <c r="AH66" i="63"/>
  <c r="AD33" i="63"/>
  <c r="AY33" i="63"/>
  <c r="AE33" i="63"/>
  <c r="AB44" i="63"/>
  <c r="AV24" i="63"/>
  <c r="CK76" i="63"/>
  <c r="CK47" i="63" s="1"/>
  <c r="W35" i="63"/>
  <c r="U44" i="63"/>
  <c r="AQ35" i="63"/>
  <c r="AG35" i="63"/>
  <c r="AV138" i="63"/>
  <c r="CJ54" i="63"/>
  <c r="CI10" i="63"/>
  <c r="AF55" i="63"/>
  <c r="BZ54" i="63"/>
  <c r="I11" i="63"/>
  <c r="S11" i="63"/>
  <c r="AB11" i="63"/>
  <c r="Z11" i="63"/>
  <c r="AN35" i="63"/>
  <c r="AE55" i="63"/>
  <c r="CI43" i="63"/>
  <c r="CI46" i="63" s="1"/>
  <c r="AM96" i="61"/>
  <c r="CJ32" i="63"/>
  <c r="AI44" i="63"/>
  <c r="CI109" i="63"/>
  <c r="AQ57" i="63"/>
  <c r="P33" i="63"/>
  <c r="AR55" i="63"/>
  <c r="AF69" i="61"/>
  <c r="V66" i="63"/>
  <c r="O76" i="63"/>
  <c r="O47" i="63" s="1"/>
  <c r="CD32" i="63"/>
  <c r="AE11" i="63"/>
  <c r="AL96" i="61"/>
  <c r="AM46" i="63"/>
  <c r="CJ10" i="63"/>
  <c r="AM93" i="61"/>
  <c r="AP93" i="61"/>
  <c r="AP94" i="61" s="1"/>
  <c r="AL93" i="61"/>
  <c r="AL94" i="61" s="1"/>
  <c r="W66" i="63"/>
  <c r="Z68" i="63"/>
  <c r="J76" i="63"/>
  <c r="J66" i="63"/>
  <c r="CI356" i="63"/>
  <c r="O35" i="63"/>
  <c r="CC43" i="63"/>
  <c r="O33" i="63"/>
  <c r="AA35" i="63"/>
  <c r="Z22" i="63"/>
  <c r="AU55" i="63"/>
  <c r="BA35" i="63"/>
  <c r="AV11" i="63"/>
  <c r="CI54" i="63"/>
  <c r="BB24" i="63"/>
  <c r="AX76" i="63"/>
  <c r="AX24" i="63"/>
  <c r="AJ94" i="61"/>
  <c r="CI366" i="63"/>
  <c r="CB32" i="63"/>
  <c r="AL92" i="63"/>
  <c r="CC21" i="63"/>
  <c r="AA33" i="63"/>
  <c r="CD10" i="63"/>
  <c r="V44" i="63"/>
  <c r="AY57" i="63"/>
  <c r="CG32" i="63"/>
  <c r="I68" i="63"/>
  <c r="AJ46" i="63"/>
  <c r="AE13" i="63"/>
  <c r="CH10" i="63"/>
  <c r="N68" i="63"/>
  <c r="CI353" i="63"/>
  <c r="J68" i="63"/>
  <c r="CG11" i="61"/>
  <c r="H44" i="63"/>
  <c r="AB33" i="63"/>
  <c r="AI46" i="63"/>
  <c r="AJ44" i="63"/>
  <c r="S35" i="63"/>
  <c r="CE109" i="63"/>
  <c r="AN33" i="63"/>
  <c r="G44" i="63"/>
  <c r="AF11" i="63"/>
  <c r="AN46" i="63"/>
  <c r="G76" i="63"/>
  <c r="CE10" i="63"/>
  <c r="CE54" i="63"/>
  <c r="U11" i="63"/>
  <c r="CE43" i="63"/>
  <c r="AK46" i="63"/>
  <c r="AG57" i="63"/>
  <c r="AG68" i="63"/>
  <c r="AD55" i="63"/>
  <c r="AW35" i="63"/>
  <c r="AU57" i="63"/>
  <c r="T97" i="61"/>
  <c r="BG96" i="61"/>
  <c r="BG93" i="61"/>
  <c r="AG22" i="63"/>
  <c r="AE44" i="63"/>
  <c r="AF24" i="63"/>
  <c r="AM57" i="63"/>
  <c r="T11" i="63"/>
  <c r="AK44" i="63"/>
  <c r="U76" i="63"/>
  <c r="AO55" i="63"/>
  <c r="AW76" i="63"/>
  <c r="AW14" i="63" s="1"/>
  <c r="I76" i="63"/>
  <c r="AI13" i="63"/>
  <c r="CG43" i="63"/>
  <c r="O13" i="63"/>
  <c r="AO46" i="63"/>
  <c r="CB43" i="63"/>
  <c r="S33" i="63"/>
  <c r="AP22" i="63"/>
  <c r="AK22" i="63"/>
  <c r="AT57" i="63"/>
  <c r="AP57" i="63"/>
  <c r="J57" i="63"/>
  <c r="AL57" i="63"/>
  <c r="AH57" i="63"/>
  <c r="AD57" i="63"/>
  <c r="AW33" i="63"/>
  <c r="U55" i="63"/>
  <c r="AS35" i="63"/>
  <c r="Y35" i="63"/>
  <c r="V35" i="63"/>
  <c r="R35" i="63"/>
  <c r="Z76" i="63"/>
  <c r="Z13" i="63"/>
  <c r="N35" i="63"/>
  <c r="R13" i="63"/>
  <c r="V13" i="63"/>
  <c r="AL13" i="63"/>
  <c r="AL76" i="63"/>
  <c r="AD35" i="63"/>
  <c r="AD76" i="63"/>
  <c r="AH35" i="63"/>
  <c r="AH13" i="63"/>
  <c r="AD13" i="63"/>
  <c r="AT35" i="63"/>
  <c r="AT76" i="63"/>
  <c r="AX35" i="63"/>
  <c r="CG54" i="63"/>
  <c r="CA32" i="63"/>
  <c r="U33" i="63"/>
  <c r="J13" i="63"/>
  <c r="AH24" i="63"/>
  <c r="AL24" i="63"/>
  <c r="AH76" i="63"/>
  <c r="AP76" i="63"/>
  <c r="AP13" i="63"/>
  <c r="AT13" i="63"/>
  <c r="Z57" i="63"/>
  <c r="AI35" i="63"/>
  <c r="K66" i="63"/>
  <c r="R68" i="63"/>
  <c r="AE35" i="63"/>
  <c r="CF32" i="63"/>
  <c r="O66" i="63"/>
  <c r="AO22" i="63"/>
  <c r="AZ44" i="63"/>
  <c r="BT45" i="63" s="1"/>
  <c r="AY44" i="63"/>
  <c r="CJ43" i="63"/>
  <c r="BZ43" i="63"/>
  <c r="CB54" i="63"/>
  <c r="K46" i="63"/>
  <c r="AB55" i="63"/>
  <c r="O46" i="63"/>
  <c r="AU11" i="63"/>
  <c r="K68" i="63"/>
  <c r="Z55" i="63"/>
  <c r="AG76" i="63"/>
  <c r="O68" i="63"/>
  <c r="T13" i="63"/>
  <c r="CC10" i="63"/>
  <c r="AJ55" i="63"/>
  <c r="X44" i="63"/>
  <c r="V68" i="63"/>
  <c r="CJ322" i="63"/>
  <c r="CJ323" i="63" s="1"/>
  <c r="AU35" i="63"/>
  <c r="CA21" i="63"/>
  <c r="K76" i="63"/>
  <c r="K36" i="63" s="1"/>
  <c r="W76" i="63"/>
  <c r="CC32" i="63"/>
  <c r="AR11" i="63"/>
  <c r="L44" i="63"/>
  <c r="AV55" i="63"/>
  <c r="AY13" i="63"/>
  <c r="CD54" i="63"/>
  <c r="AC55" i="63"/>
  <c r="AC57" i="63"/>
  <c r="M68" i="63"/>
  <c r="W44" i="63"/>
  <c r="P44" i="63"/>
  <c r="Q68" i="63"/>
  <c r="AU13" i="63"/>
  <c r="Q76" i="63"/>
  <c r="Q58" i="63" s="1"/>
  <c r="P13" i="63"/>
  <c r="R76" i="63"/>
  <c r="N66" i="63"/>
  <c r="S66" i="63"/>
  <c r="AM35" i="63"/>
  <c r="AF33" i="63"/>
  <c r="AQ33" i="63"/>
  <c r="AY46" i="63"/>
  <c r="CH32" i="63"/>
  <c r="W46" i="63"/>
  <c r="AW55" i="63"/>
  <c r="K44" i="63"/>
  <c r="AW57" i="63"/>
  <c r="AA46" i="63"/>
  <c r="Y55" i="63"/>
  <c r="I13" i="63"/>
  <c r="BA57" i="63"/>
  <c r="Y76" i="63"/>
  <c r="T33" i="63"/>
  <c r="O44" i="63"/>
  <c r="BY10" i="63"/>
  <c r="AS24" i="63"/>
  <c r="AS22" i="63"/>
  <c r="CB10" i="63"/>
  <c r="F11" i="63"/>
  <c r="AC76" i="63"/>
  <c r="AC47" i="63" s="1"/>
  <c r="AO76" i="63"/>
  <c r="AO36" i="63" s="1"/>
  <c r="AR76" i="63"/>
  <c r="AR69" i="63" s="1"/>
  <c r="AS46" i="63"/>
  <c r="CF10" i="63"/>
  <c r="L57" i="63"/>
  <c r="AJ76" i="63"/>
  <c r="X57" i="63"/>
  <c r="L55" i="63"/>
  <c r="CH65" i="63"/>
  <c r="AV57" i="63"/>
  <c r="AZ57" i="63"/>
  <c r="AS44" i="63"/>
  <c r="AS76" i="63"/>
  <c r="AT44" i="63"/>
  <c r="M35" i="63"/>
  <c r="AA68" i="63"/>
  <c r="AA66" i="63"/>
  <c r="AV13" i="63"/>
  <c r="AZ13" i="63"/>
  <c r="CD43" i="63"/>
  <c r="X46" i="63"/>
  <c r="CA43" i="63"/>
  <c r="L46" i="63"/>
  <c r="AJ24" i="63"/>
  <c r="AB46" i="63"/>
  <c r="AB76" i="63"/>
  <c r="AJ68" i="63"/>
  <c r="CG65" i="63"/>
  <c r="AJ66" i="63"/>
  <c r="U35" i="63"/>
  <c r="V33" i="63"/>
  <c r="AX22" i="63"/>
  <c r="AW24" i="63"/>
  <c r="BA24" i="63"/>
  <c r="AW22" i="63"/>
  <c r="U57" i="63"/>
  <c r="V55" i="63"/>
  <c r="Q11" i="63"/>
  <c r="R11" i="63"/>
  <c r="Q13" i="63"/>
  <c r="AP33" i="63"/>
  <c r="AO33" i="63"/>
  <c r="Y68" i="63"/>
  <c r="Z66" i="63"/>
  <c r="Q33" i="63"/>
  <c r="R33" i="63"/>
  <c r="Q35" i="63"/>
  <c r="X11" i="63"/>
  <c r="W13" i="63"/>
  <c r="W11" i="63"/>
  <c r="G55" i="63"/>
  <c r="AM55" i="63"/>
  <c r="AA44" i="63"/>
  <c r="AM68" i="63"/>
  <c r="AZ24" i="63"/>
  <c r="Q44" i="63"/>
  <c r="P46" i="63"/>
  <c r="X13" i="63"/>
  <c r="CI65" i="63"/>
  <c r="AT55" i="63"/>
  <c r="AS55" i="63"/>
  <c r="AS57" i="63"/>
  <c r="AL11" i="63"/>
  <c r="AK13" i="63"/>
  <c r="AK11" i="63"/>
  <c r="Y44" i="63"/>
  <c r="Z44" i="63"/>
  <c r="AG11" i="63"/>
  <c r="AH11" i="63"/>
  <c r="F44" i="63"/>
  <c r="E76" i="63"/>
  <c r="AG33" i="63"/>
  <c r="AH33" i="63"/>
  <c r="AA13" i="63"/>
  <c r="AA11" i="63"/>
  <c r="K55" i="63"/>
  <c r="AQ55" i="63"/>
  <c r="X35" i="63"/>
  <c r="H11" i="63"/>
  <c r="AB13" i="63"/>
  <c r="L35" i="63"/>
  <c r="AR46" i="63"/>
  <c r="AC13" i="63"/>
  <c r="AD11" i="63"/>
  <c r="AE68" i="63"/>
  <c r="AE66" i="63"/>
  <c r="AN76" i="63"/>
  <c r="CF43" i="63"/>
  <c r="AF46" i="63"/>
  <c r="AF44" i="63"/>
  <c r="AF76" i="63"/>
  <c r="AF69" i="63" s="1"/>
  <c r="L13" i="63"/>
  <c r="M11" i="63"/>
  <c r="L11" i="63"/>
  <c r="T46" i="63"/>
  <c r="CJ65" i="63"/>
  <c r="AH22" i="63"/>
  <c r="AG24" i="63"/>
  <c r="F55" i="63"/>
  <c r="AL44" i="63"/>
  <c r="AK76" i="63"/>
  <c r="Y13" i="63"/>
  <c r="Y11" i="63"/>
  <c r="Q46" i="63"/>
  <c r="M46" i="63"/>
  <c r="N44" i="63"/>
  <c r="M76" i="63"/>
  <c r="M44" i="63"/>
  <c r="AY11" i="63"/>
  <c r="BC13" i="63"/>
  <c r="AI55" i="63"/>
  <c r="S68" i="63"/>
  <c r="CA109" i="63"/>
  <c r="AI66" i="63"/>
  <c r="AI68" i="63"/>
  <c r="BA13" i="63"/>
  <c r="Y46" i="63"/>
  <c r="M13" i="63"/>
  <c r="H33" i="63"/>
  <c r="AV46" i="63"/>
  <c r="AV76" i="63"/>
  <c r="AZ46" i="63"/>
  <c r="AN13" i="63"/>
  <c r="AN11" i="63"/>
  <c r="AR13" i="63"/>
  <c r="AF35" i="63"/>
  <c r="AB35" i="63"/>
  <c r="AB57" i="63"/>
  <c r="AX44" i="63"/>
  <c r="AW46" i="63"/>
  <c r="BA46" i="63"/>
  <c r="AW44" i="63"/>
  <c r="V11" i="63"/>
  <c r="U13" i="63"/>
  <c r="J44" i="63"/>
  <c r="I46" i="63"/>
  <c r="I44" i="63"/>
  <c r="AD22" i="63"/>
  <c r="AC24" i="63"/>
  <c r="AC22" i="63"/>
  <c r="Q57" i="63"/>
  <c r="R55" i="63"/>
  <c r="AO13" i="63"/>
  <c r="AO11" i="63"/>
  <c r="AP11" i="63"/>
  <c r="AD44" i="63"/>
  <c r="AC44" i="63"/>
  <c r="AC46" i="63"/>
  <c r="G11" i="63"/>
  <c r="AM13" i="63"/>
  <c r="AM11" i="63"/>
  <c r="W57" i="63"/>
  <c r="X55" i="63"/>
  <c r="W55" i="63"/>
  <c r="AF57" i="63"/>
  <c r="CF54" i="63"/>
  <c r="AF66" i="63"/>
  <c r="AF68" i="63"/>
  <c r="AN55" i="63"/>
  <c r="CH54" i="63"/>
  <c r="AJ33" i="63"/>
  <c r="AJ57" i="63"/>
  <c r="AT11" i="63"/>
  <c r="BN12" i="63" s="1"/>
  <c r="AS13" i="63"/>
  <c r="AS11" i="63"/>
  <c r="AG46" i="63"/>
  <c r="AH44" i="63"/>
  <c r="AG44" i="63"/>
  <c r="M33" i="63"/>
  <c r="N33" i="63"/>
  <c r="AL55" i="63"/>
  <c r="AK55" i="63"/>
  <c r="AK57" i="63"/>
  <c r="AT22" i="63"/>
  <c r="AH55" i="63"/>
  <c r="AG55" i="63"/>
  <c r="M57" i="63"/>
  <c r="I55" i="63"/>
  <c r="I57" i="63"/>
  <c r="J55" i="63"/>
  <c r="K13" i="63"/>
  <c r="AQ11" i="63"/>
  <c r="AQ13" i="63"/>
  <c r="AA55" i="63"/>
  <c r="AU44" i="63"/>
  <c r="AI33" i="63"/>
  <c r="P35" i="63"/>
  <c r="H55" i="63"/>
  <c r="AR33" i="63"/>
  <c r="AR35" i="63"/>
  <c r="CI32" i="63"/>
  <c r="AR57" i="63"/>
  <c r="AF13" i="63"/>
  <c r="AV35" i="63"/>
  <c r="AZ35" i="63"/>
  <c r="CG10" i="63"/>
  <c r="AJ13" i="63"/>
  <c r="T35" i="63"/>
  <c r="T55" i="63"/>
  <c r="CC54" i="63"/>
  <c r="AB66" i="63"/>
  <c r="CE65" i="63"/>
  <c r="AS33" i="63"/>
  <c r="AT33" i="63"/>
  <c r="AC68" i="63"/>
  <c r="AC66" i="63"/>
  <c r="AD66" i="63"/>
  <c r="Y33" i="63"/>
  <c r="Z33" i="63"/>
  <c r="AK24" i="63"/>
  <c r="AO57" i="63"/>
  <c r="AP55" i="63"/>
  <c r="AI11" i="63"/>
  <c r="S55" i="63"/>
  <c r="AY55" i="63"/>
  <c r="AZ55" i="63"/>
  <c r="BT56" i="63" s="1"/>
  <c r="AV139" i="63"/>
  <c r="AV141" i="63"/>
  <c r="AV137" i="63"/>
  <c r="AV111" i="63"/>
  <c r="AV140" i="63"/>
  <c r="AV142" i="63"/>
  <c r="CG109" i="63"/>
  <c r="AV136" i="63"/>
  <c r="Z96" i="61"/>
  <c r="AA96" i="61"/>
  <c r="AA103" i="61"/>
  <c r="CD103" i="61" s="1"/>
  <c r="CD39" i="61"/>
  <c r="T94" i="61"/>
  <c r="AN110" i="61"/>
  <c r="AN111" i="61" s="1"/>
  <c r="BF63" i="61"/>
  <c r="BF69" i="61" s="1"/>
  <c r="Z93" i="61"/>
  <c r="Z94" i="61" s="1"/>
  <c r="AA93" i="61"/>
  <c r="AA94" i="61" s="1"/>
  <c r="AA78" i="61"/>
  <c r="AA80" i="61" s="1"/>
  <c r="BY159" i="63"/>
  <c r="BY166" i="63"/>
  <c r="CC159" i="63"/>
  <c r="CC127" i="63" s="1"/>
  <c r="CC166" i="63"/>
  <c r="CC167" i="63" s="1"/>
  <c r="CG159" i="63"/>
  <c r="CG166" i="63"/>
  <c r="CG167" i="63" s="1"/>
  <c r="CK159" i="63"/>
  <c r="CK166" i="63"/>
  <c r="BZ166" i="63"/>
  <c r="BZ159" i="63"/>
  <c r="BZ151" i="63" s="1"/>
  <c r="CB166" i="63"/>
  <c r="CB167" i="63" s="1"/>
  <c r="CB159" i="63"/>
  <c r="CD166" i="63"/>
  <c r="CD167" i="63" s="1"/>
  <c r="CD159" i="63"/>
  <c r="CD129" i="63" s="1"/>
  <c r="CF166" i="63"/>
  <c r="CF167" i="63" s="1"/>
  <c r="CF159" i="63"/>
  <c r="CF126" i="63" s="1"/>
  <c r="CH166" i="63"/>
  <c r="CH167" i="63" s="1"/>
  <c r="CH159" i="63"/>
  <c r="CH127" i="63" s="1"/>
  <c r="CJ166" i="63"/>
  <c r="CJ159" i="63"/>
  <c r="CA159" i="63"/>
  <c r="CA145" i="63" s="1"/>
  <c r="CA166" i="63"/>
  <c r="CA167" i="63" s="1"/>
  <c r="CE159" i="63"/>
  <c r="CE166" i="63"/>
  <c r="CE167" i="63" s="1"/>
  <c r="CI159" i="63"/>
  <c r="CI127" i="63" s="1"/>
  <c r="CI166" i="63"/>
  <c r="CI167" i="63" s="1"/>
  <c r="J63" i="61"/>
  <c r="CL64" i="2"/>
  <c r="CL66" i="2" s="1"/>
  <c r="AH96" i="61"/>
  <c r="BG169" i="2"/>
  <c r="AD169" i="2"/>
  <c r="E67" i="61"/>
  <c r="AY96" i="61"/>
  <c r="AQ78" i="61"/>
  <c r="AQ80" i="61" s="1"/>
  <c r="AN97" i="61"/>
  <c r="CB78" i="61"/>
  <c r="CB80" i="61" s="1"/>
  <c r="AN94" i="61"/>
  <c r="AW69" i="61"/>
  <c r="N63" i="61"/>
  <c r="CJ78" i="61"/>
  <c r="CJ80" i="61" s="1"/>
  <c r="F81" i="61"/>
  <c r="CJ150" i="61"/>
  <c r="AO97" i="61"/>
  <c r="CH39" i="61"/>
  <c r="K49" i="61"/>
  <c r="AQ103" i="61"/>
  <c r="CH103" i="61" s="1"/>
  <c r="CG39" i="61"/>
  <c r="I177" i="61"/>
  <c r="I180" i="61" s="1"/>
  <c r="I183" i="61" s="1"/>
  <c r="CH78" i="61"/>
  <c r="CH80" i="61" s="1"/>
  <c r="CH150" i="61"/>
  <c r="AP96" i="61"/>
  <c r="CG150" i="61"/>
  <c r="AI11" i="61"/>
  <c r="AH49" i="61"/>
  <c r="AQ11" i="61"/>
  <c r="G183" i="61"/>
  <c r="CM64" i="2"/>
  <c r="CN169" i="2"/>
  <c r="CN63" i="61"/>
  <c r="V49" i="61"/>
  <c r="AQ49" i="61"/>
  <c r="CM56" i="61"/>
  <c r="CM169" i="2" s="1"/>
  <c r="BC81" i="61"/>
  <c r="BF169" i="2"/>
  <c r="Q96" i="61"/>
  <c r="Q93" i="61"/>
  <c r="R11" i="61"/>
  <c r="R138" i="1" s="1"/>
  <c r="R139" i="1" s="1"/>
  <c r="AW138" i="63"/>
  <c r="AW141" i="63"/>
  <c r="AW135" i="63"/>
  <c r="AW140" i="63"/>
  <c r="AW137" i="63"/>
  <c r="AW136" i="63"/>
  <c r="AW111" i="63"/>
  <c r="AW142" i="63"/>
  <c r="AW139" i="63"/>
  <c r="CC109" i="63"/>
  <c r="I69" i="61"/>
  <c r="V58" i="63"/>
  <c r="Z79" i="63"/>
  <c r="AD37" i="61"/>
  <c r="BY58" i="2"/>
  <c r="BY81" i="63"/>
  <c r="CG58" i="2"/>
  <c r="CG81" i="63"/>
  <c r="R160" i="63"/>
  <c r="R98" i="63"/>
  <c r="AH160" i="63"/>
  <c r="AH98" i="63"/>
  <c r="CB58" i="2"/>
  <c r="CB81" i="63"/>
  <c r="CF81" i="63"/>
  <c r="CF58" i="2"/>
  <c r="CJ58" i="2"/>
  <c r="CJ81" i="63"/>
  <c r="BY59" i="2"/>
  <c r="CC59" i="2"/>
  <c r="CG59" i="2"/>
  <c r="CK59" i="2"/>
  <c r="E160" i="63"/>
  <c r="E98" i="63"/>
  <c r="I160" i="63"/>
  <c r="I98" i="63"/>
  <c r="M160" i="63"/>
  <c r="M98" i="63"/>
  <c r="Q160" i="63"/>
  <c r="Q98" i="63"/>
  <c r="U160" i="63"/>
  <c r="U98" i="63"/>
  <c r="Y160" i="63"/>
  <c r="Y98" i="63"/>
  <c r="AC160" i="63"/>
  <c r="AC98" i="63"/>
  <c r="AG160" i="63"/>
  <c r="AG98" i="63"/>
  <c r="AK160" i="63"/>
  <c r="AK98" i="63"/>
  <c r="AO160" i="63"/>
  <c r="AO98" i="63"/>
  <c r="AS160" i="63"/>
  <c r="AS98" i="63"/>
  <c r="AW160" i="63"/>
  <c r="AW98" i="63"/>
  <c r="BA160" i="63"/>
  <c r="BA98" i="63"/>
  <c r="BA27" i="63" s="1"/>
  <c r="BE160" i="63"/>
  <c r="BE98" i="63"/>
  <c r="BE16" i="63" s="1"/>
  <c r="BI18" i="63" s="1"/>
  <c r="CD59" i="2"/>
  <c r="F160" i="63"/>
  <c r="F98" i="63"/>
  <c r="V160" i="63"/>
  <c r="V98" i="63"/>
  <c r="AP160" i="63"/>
  <c r="AP98" i="63"/>
  <c r="BB160" i="63"/>
  <c r="BB98" i="63"/>
  <c r="CI78" i="2"/>
  <c r="CJ11" i="61"/>
  <c r="CC58" i="2"/>
  <c r="CC81" i="63"/>
  <c r="BZ59" i="2"/>
  <c r="CH59" i="2"/>
  <c r="J160" i="63"/>
  <c r="J98" i="63"/>
  <c r="Z98" i="63"/>
  <c r="Z160" i="63"/>
  <c r="AL98" i="63"/>
  <c r="AL160" i="63"/>
  <c r="AX160" i="63"/>
  <c r="AX98" i="63"/>
  <c r="BZ81" i="63"/>
  <c r="BZ58" i="2"/>
  <c r="BZ126" i="63"/>
  <c r="CD81" i="63"/>
  <c r="CD58" i="2"/>
  <c r="CH81" i="63"/>
  <c r="CH58" i="2"/>
  <c r="CA59" i="2"/>
  <c r="CE59" i="2"/>
  <c r="CI59" i="2"/>
  <c r="G160" i="63"/>
  <c r="G98" i="63"/>
  <c r="K160" i="63"/>
  <c r="K98" i="63"/>
  <c r="O160" i="63"/>
  <c r="O98" i="63"/>
  <c r="S160" i="63"/>
  <c r="S98" i="63"/>
  <c r="W160" i="63"/>
  <c r="W98" i="63"/>
  <c r="AA160" i="63"/>
  <c r="AA98" i="63"/>
  <c r="AE160" i="63"/>
  <c r="AE98" i="63"/>
  <c r="AI160" i="63"/>
  <c r="AI98" i="63"/>
  <c r="AM160" i="63"/>
  <c r="AM98" i="63"/>
  <c r="AQ160" i="63"/>
  <c r="AQ98" i="63"/>
  <c r="AU160" i="63"/>
  <c r="AU98" i="63"/>
  <c r="AY160" i="63"/>
  <c r="AY98" i="63"/>
  <c r="BC160" i="63"/>
  <c r="BC98" i="63"/>
  <c r="BC38" i="63" s="1"/>
  <c r="BG40" i="63" s="1"/>
  <c r="CJ78" i="2"/>
  <c r="CD80" i="61"/>
  <c r="CK58" i="2"/>
  <c r="CK81" i="63"/>
  <c r="N98" i="63"/>
  <c r="N160" i="63"/>
  <c r="AD160" i="63"/>
  <c r="AD98" i="63"/>
  <c r="AT98" i="63"/>
  <c r="AT160" i="63"/>
  <c r="CA81" i="63"/>
  <c r="CA58" i="2"/>
  <c r="CE58" i="2"/>
  <c r="CE81" i="63"/>
  <c r="CI58" i="2"/>
  <c r="CI81" i="63"/>
  <c r="CB59" i="2"/>
  <c r="CF59" i="2"/>
  <c r="CJ59" i="2"/>
  <c r="D160" i="63"/>
  <c r="D98" i="63"/>
  <c r="H160" i="63"/>
  <c r="H98" i="63"/>
  <c r="L160" i="63"/>
  <c r="L98" i="63"/>
  <c r="P160" i="63"/>
  <c r="P98" i="63"/>
  <c r="T160" i="63"/>
  <c r="T98" i="63"/>
  <c r="X160" i="63"/>
  <c r="X98" i="63"/>
  <c r="AB160" i="63"/>
  <c r="AB98" i="63"/>
  <c r="AF160" i="63"/>
  <c r="AF98" i="63"/>
  <c r="AJ160" i="63"/>
  <c r="AJ98" i="63"/>
  <c r="AN160" i="63"/>
  <c r="AN98" i="63"/>
  <c r="AR160" i="63"/>
  <c r="AR98" i="63"/>
  <c r="AV160" i="63"/>
  <c r="AV98" i="63"/>
  <c r="AZ160" i="63"/>
  <c r="AZ98" i="63"/>
  <c r="BD160" i="63"/>
  <c r="BD98" i="63"/>
  <c r="CK78" i="2"/>
  <c r="BZ80" i="61"/>
  <c r="BY80" i="61"/>
  <c r="CL163" i="61"/>
  <c r="K169" i="2"/>
  <c r="J37" i="61"/>
  <c r="J110" i="61" s="1"/>
  <c r="J111" i="61" s="1"/>
  <c r="AL169" i="2"/>
  <c r="BB96" i="61"/>
  <c r="AL49" i="61"/>
  <c r="N49" i="61"/>
  <c r="CG78" i="61"/>
  <c r="CG80" i="61" s="1"/>
  <c r="W81" i="61"/>
  <c r="CA29" i="61"/>
  <c r="CA139" i="61" s="1"/>
  <c r="CL41" i="61"/>
  <c r="CL81" i="61" s="1"/>
  <c r="CL56" i="61"/>
  <c r="CL166" i="61" s="1"/>
  <c r="AK69" i="61"/>
  <c r="F169" i="2"/>
  <c r="V63" i="61"/>
  <c r="CI81" i="61"/>
  <c r="CC81" i="61"/>
  <c r="AX49" i="61"/>
  <c r="CF47" i="61"/>
  <c r="CF157" i="61" s="1"/>
  <c r="AY93" i="61"/>
  <c r="BB93" i="61"/>
  <c r="BB63" i="61"/>
  <c r="CE34" i="61"/>
  <c r="CE144" i="61" s="1"/>
  <c r="CC36" i="61"/>
  <c r="CC146" i="61" s="1"/>
  <c r="AI13" i="61"/>
  <c r="AI81" i="61" s="1"/>
  <c r="K81" i="61"/>
  <c r="AL63" i="61"/>
  <c r="BB37" i="61"/>
  <c r="BZ81" i="61"/>
  <c r="CB23" i="61"/>
  <c r="CB133" i="61" s="1"/>
  <c r="AP37" i="61"/>
  <c r="CK53" i="61"/>
  <c r="CK163" i="61" s="1"/>
  <c r="G53" i="61"/>
  <c r="BY53" i="61" s="1"/>
  <c r="BY163" i="61" s="1"/>
  <c r="AE63" i="61"/>
  <c r="S49" i="61"/>
  <c r="CH35" i="61"/>
  <c r="CH145" i="61" s="1"/>
  <c r="BE69" i="61"/>
  <c r="CJ60" i="61"/>
  <c r="CJ170" i="61" s="1"/>
  <c r="CA62" i="61"/>
  <c r="CA172" i="61" s="1"/>
  <c r="CH61" i="61"/>
  <c r="CH171" i="61" s="1"/>
  <c r="S63" i="61"/>
  <c r="CE26" i="61"/>
  <c r="CE136" i="61" s="1"/>
  <c r="CG138" i="61"/>
  <c r="CH15" i="61"/>
  <c r="CH125" i="61" s="1"/>
  <c r="CI140" i="61"/>
  <c r="CF150" i="61"/>
  <c r="CF78" i="61"/>
  <c r="CF80" i="61" s="1"/>
  <c r="CF39" i="61"/>
  <c r="W53" i="61"/>
  <c r="CC53" i="61" s="1"/>
  <c r="CK26" i="61"/>
  <c r="CK136" i="61" s="1"/>
  <c r="R63" i="61"/>
  <c r="CH36" i="61"/>
  <c r="CH146" i="61" s="1"/>
  <c r="S169" i="2"/>
  <c r="AE169" i="2"/>
  <c r="O13" i="61"/>
  <c r="CI15" i="61"/>
  <c r="CI125" i="61" s="1"/>
  <c r="AD63" i="61"/>
  <c r="AE81" i="61"/>
  <c r="CH81" i="61"/>
  <c r="BC55" i="61"/>
  <c r="CK55" i="61" s="1"/>
  <c r="CK165" i="61" s="1"/>
  <c r="V78" i="61"/>
  <c r="V80" i="61" s="1"/>
  <c r="CC40" i="61"/>
  <c r="CC49" i="61" s="1"/>
  <c r="V103" i="61"/>
  <c r="CA43" i="61"/>
  <c r="CA153" i="61" s="1"/>
  <c r="CI21" i="61"/>
  <c r="CI131" i="61" s="1"/>
  <c r="W78" i="61"/>
  <c r="W80" i="61" s="1"/>
  <c r="W103" i="61"/>
  <c r="G41" i="61"/>
  <c r="G49" i="61" s="1"/>
  <c r="AX81" i="61"/>
  <c r="AI78" i="61"/>
  <c r="AI80" i="61" s="1"/>
  <c r="AI103" i="61"/>
  <c r="CF103" i="61" s="1"/>
  <c r="CI129" i="61"/>
  <c r="AY13" i="61"/>
  <c r="AY81" i="61" s="1"/>
  <c r="AE25" i="61"/>
  <c r="CE25" i="61" s="1"/>
  <c r="CE135" i="61" s="1"/>
  <c r="CG21" i="61"/>
  <c r="CG131" i="61" s="1"/>
  <c r="CK9" i="61"/>
  <c r="CK119" i="61" s="1"/>
  <c r="CE129" i="61"/>
  <c r="CE55" i="61"/>
  <c r="CE165" i="61" s="1"/>
  <c r="CD13" i="61"/>
  <c r="CK40" i="61"/>
  <c r="CK49" i="61" s="1"/>
  <c r="BC78" i="61"/>
  <c r="BC80" i="61" s="1"/>
  <c r="BC103" i="61"/>
  <c r="CK103" i="61" s="1"/>
  <c r="AX37" i="61"/>
  <c r="CK138" i="61"/>
  <c r="R169" i="2"/>
  <c r="AL37" i="61"/>
  <c r="CD36" i="61"/>
  <c r="CD146" i="61" s="1"/>
  <c r="AA35" i="61"/>
  <c r="CD35" i="61" s="1"/>
  <c r="CK13" i="61"/>
  <c r="AU18" i="61"/>
  <c r="CI18" i="61" s="1"/>
  <c r="CI128" i="61" s="1"/>
  <c r="AA49" i="61"/>
  <c r="BC19" i="61"/>
  <c r="CK19" i="61" s="1"/>
  <c r="AM49" i="61"/>
  <c r="AY49" i="61"/>
  <c r="AY65" i="61"/>
  <c r="CJ65" i="61" s="1"/>
  <c r="CJ175" i="61" s="1"/>
  <c r="V169" i="2"/>
  <c r="CB18" i="61"/>
  <c r="CB128" i="61" s="1"/>
  <c r="CB56" i="61"/>
  <c r="CB166" i="61" s="1"/>
  <c r="CJ45" i="61"/>
  <c r="CJ155" i="61" s="1"/>
  <c r="CE62" i="61"/>
  <c r="CE172" i="61" s="1"/>
  <c r="AL81" i="61"/>
  <c r="CG41" i="61"/>
  <c r="CG49" i="61" s="1"/>
  <c r="CI62" i="61"/>
  <c r="CI172" i="61" s="1"/>
  <c r="CB52" i="61"/>
  <c r="AI49" i="61"/>
  <c r="CJ129" i="61"/>
  <c r="BN29" i="2"/>
  <c r="BM34" i="61"/>
  <c r="BN27" i="2"/>
  <c r="BM32" i="61"/>
  <c r="BL144" i="61"/>
  <c r="CL65" i="63"/>
  <c r="V69" i="63"/>
  <c r="CF109" i="63"/>
  <c r="V36" i="63"/>
  <c r="V14" i="63"/>
  <c r="CH109" i="63"/>
  <c r="V47" i="63"/>
  <c r="AM24" i="63"/>
  <c r="AM22" i="63"/>
  <c r="AM76" i="63"/>
  <c r="AM89" i="63" s="1"/>
  <c r="AN22" i="63"/>
  <c r="CG21" i="63"/>
  <c r="AQ24" i="63"/>
  <c r="CH21" i="63"/>
  <c r="AQ76" i="63"/>
  <c r="AQ22" i="63"/>
  <c r="AR22" i="63"/>
  <c r="AV22" i="63"/>
  <c r="AU24" i="63"/>
  <c r="AU22" i="63"/>
  <c r="CI21" i="63"/>
  <c r="AU76" i="63"/>
  <c r="BC11" i="61"/>
  <c r="BC138" i="1" s="1"/>
  <c r="BC139" i="1" s="1"/>
  <c r="AU138" i="63"/>
  <c r="CI138" i="63" s="1"/>
  <c r="AU139" i="63"/>
  <c r="CI139" i="63" s="1"/>
  <c r="AU135" i="63"/>
  <c r="AU137" i="63"/>
  <c r="CI137" i="63" s="1"/>
  <c r="AU140" i="63"/>
  <c r="CI140" i="63" s="1"/>
  <c r="AU111" i="63"/>
  <c r="AU136" i="63"/>
  <c r="CI136" i="63" s="1"/>
  <c r="AU142" i="63"/>
  <c r="CI142" i="63" s="1"/>
  <c r="AU141" i="63"/>
  <c r="CI141" i="63" s="1"/>
  <c r="BC24" i="63"/>
  <c r="AY22" i="63"/>
  <c r="AY76" i="63"/>
  <c r="AZ22" i="63"/>
  <c r="BT23" i="63" s="1"/>
  <c r="CJ21" i="63"/>
  <c r="AY24" i="63"/>
  <c r="CB21" i="63"/>
  <c r="S76" i="63"/>
  <c r="AA22" i="63"/>
  <c r="AA76" i="63"/>
  <c r="CD21" i="63"/>
  <c r="AB22" i="63"/>
  <c r="AE22" i="63"/>
  <c r="AF22" i="63"/>
  <c r="CE21" i="63"/>
  <c r="AE24" i="63"/>
  <c r="AE76" i="63"/>
  <c r="AY137" i="63"/>
  <c r="AY138" i="63"/>
  <c r="AY135" i="63"/>
  <c r="AY142" i="63"/>
  <c r="AY141" i="63"/>
  <c r="AY140" i="63"/>
  <c r="AY139" i="63"/>
  <c r="AY136" i="63"/>
  <c r="AY111" i="63"/>
  <c r="N37" i="61"/>
  <c r="AI76" i="63"/>
  <c r="AJ22" i="63"/>
  <c r="AI22" i="63"/>
  <c r="CF21" i="63"/>
  <c r="AI24" i="63"/>
  <c r="Z104" i="61"/>
  <c r="BC104" i="61"/>
  <c r="S104" i="61"/>
  <c r="AL104" i="61"/>
  <c r="AT104" i="61"/>
  <c r="P104" i="61"/>
  <c r="U104" i="61"/>
  <c r="AA104" i="61"/>
  <c r="AE104" i="61"/>
  <c r="AI104" i="61"/>
  <c r="AM104" i="61"/>
  <c r="AQ104" i="61"/>
  <c r="AV104" i="61"/>
  <c r="AZ104" i="61"/>
  <c r="BD104" i="61"/>
  <c r="AD104" i="61"/>
  <c r="AY104" i="61"/>
  <c r="Q104" i="61"/>
  <c r="X104" i="61"/>
  <c r="AB104" i="61"/>
  <c r="AF104" i="61"/>
  <c r="AJ104" i="61"/>
  <c r="AN104" i="61"/>
  <c r="AR104" i="61"/>
  <c r="AW104" i="61"/>
  <c r="BA104" i="61"/>
  <c r="BE104" i="61"/>
  <c r="AH104" i="61"/>
  <c r="AP104" i="61"/>
  <c r="R104" i="61"/>
  <c r="Y104" i="61"/>
  <c r="AC104" i="61"/>
  <c r="AG104" i="61"/>
  <c r="AK104" i="61"/>
  <c r="AO104" i="61"/>
  <c r="AS104" i="61"/>
  <c r="AX104" i="61"/>
  <c r="BB104" i="61"/>
  <c r="CJ141" i="2"/>
  <c r="CJ142" i="2" s="1"/>
  <c r="CI146" i="2"/>
  <c r="CI147" i="2" s="1"/>
  <c r="BY141" i="2"/>
  <c r="CC141" i="2"/>
  <c r="CC142" i="2" s="1"/>
  <c r="CG141" i="2"/>
  <c r="CG142" i="2" s="1"/>
  <c r="CK141" i="2"/>
  <c r="CK142" i="2" s="1"/>
  <c r="CB146" i="2"/>
  <c r="CB147" i="2" s="1"/>
  <c r="CF146" i="2"/>
  <c r="CF147" i="2" s="1"/>
  <c r="CJ146" i="2"/>
  <c r="CJ147" i="2" s="1"/>
  <c r="CB141" i="2"/>
  <c r="CB142" i="2" s="1"/>
  <c r="CA146" i="2"/>
  <c r="BZ141" i="2"/>
  <c r="BZ142" i="2" s="1"/>
  <c r="CD141" i="2"/>
  <c r="CD142" i="2" s="1"/>
  <c r="CH141" i="2"/>
  <c r="CH142" i="2" s="1"/>
  <c r="BY146" i="2"/>
  <c r="CC146" i="2"/>
  <c r="CC147" i="2" s="1"/>
  <c r="CG146" i="2"/>
  <c r="CG147" i="2" s="1"/>
  <c r="CK146" i="2"/>
  <c r="CK147" i="2" s="1"/>
  <c r="CF141" i="2"/>
  <c r="CF142" i="2" s="1"/>
  <c r="CE146" i="2"/>
  <c r="CE147" i="2" s="1"/>
  <c r="CA141" i="2"/>
  <c r="CA142" i="2" s="1"/>
  <c r="CE141" i="2"/>
  <c r="CE142" i="2" s="1"/>
  <c r="CI141" i="2"/>
  <c r="CI142" i="2" s="1"/>
  <c r="BZ146" i="2"/>
  <c r="CD146" i="2"/>
  <c r="CD147" i="2" s="1"/>
  <c r="CH146" i="2"/>
  <c r="CH147" i="2" s="1"/>
  <c r="D104" i="61"/>
  <c r="BD317" i="63"/>
  <c r="BC319" i="63"/>
  <c r="BC322" i="63"/>
  <c r="BZ165" i="63"/>
  <c r="BZ747" i="63"/>
  <c r="BZ715" i="63"/>
  <c r="BZ742" i="63"/>
  <c r="BZ741" i="63"/>
  <c r="BZ753" i="63" s="1"/>
  <c r="CJ343" i="63"/>
  <c r="CJ344" i="63" s="1"/>
  <c r="AX372" i="63"/>
  <c r="CL46" i="63"/>
  <c r="BA322" i="63"/>
  <c r="BA319" i="63"/>
  <c r="CJ361" i="63"/>
  <c r="BB165" i="63"/>
  <c r="BB167" i="63" s="1"/>
  <c r="BB404" i="63"/>
  <c r="BB370" i="63"/>
  <c r="AY372" i="63"/>
  <c r="CM361" i="63"/>
  <c r="CL360" i="63"/>
  <c r="CL361" i="63" s="1"/>
  <c r="AU374" i="63"/>
  <c r="CI374" i="63" s="1"/>
  <c r="AR377" i="63"/>
  <c r="CA753" i="63"/>
  <c r="CJ305" i="63"/>
  <c r="CJ306" i="63" s="1"/>
  <c r="AZ305" i="63"/>
  <c r="AZ302" i="63"/>
  <c r="BA300" i="63"/>
  <c r="CK300" i="63" s="1"/>
  <c r="CJ319" i="63"/>
  <c r="AX165" i="63"/>
  <c r="AX167" i="63" s="1"/>
  <c r="AX404" i="63"/>
  <c r="AX370" i="63"/>
  <c r="AX369" i="63"/>
  <c r="CJ368" i="63"/>
  <c r="CJ320" i="63" s="1"/>
  <c r="BD300" i="63"/>
  <c r="BC302" i="63"/>
  <c r="BC305" i="63"/>
  <c r="H66" i="63"/>
  <c r="BZ65" i="63"/>
  <c r="I66" i="63"/>
  <c r="H76" i="63"/>
  <c r="X68" i="63"/>
  <c r="X66" i="63"/>
  <c r="CD65" i="63"/>
  <c r="AB68" i="63"/>
  <c r="Y66" i="63"/>
  <c r="X76" i="63"/>
  <c r="CL57" i="63"/>
  <c r="BC343" i="63"/>
  <c r="BC368" i="63"/>
  <c r="BC303" i="63" s="1"/>
  <c r="BD334" i="63"/>
  <c r="BC336" i="63"/>
  <c r="BZ143" i="63"/>
  <c r="CM353" i="63"/>
  <c r="CC65" i="63"/>
  <c r="T66" i="63"/>
  <c r="T68" i="63"/>
  <c r="U66" i="63"/>
  <c r="T76" i="63"/>
  <c r="CJ353" i="63"/>
  <c r="CJ336" i="63"/>
  <c r="AN90" i="63"/>
  <c r="CH398" i="63"/>
  <c r="BZ702" i="63"/>
  <c r="CB109" i="63"/>
  <c r="CG398" i="63"/>
  <c r="CD109" i="63"/>
  <c r="AZ336" i="63"/>
  <c r="BA334" i="63"/>
  <c r="CK334" i="63" s="1"/>
  <c r="AZ368" i="63"/>
  <c r="AZ303" i="63" s="1"/>
  <c r="AZ343" i="63"/>
  <c r="CK361" i="63"/>
  <c r="CK353" i="63"/>
  <c r="CJ302" i="63"/>
  <c r="CK25" i="63"/>
  <c r="P68" i="63"/>
  <c r="P66" i="63"/>
  <c r="CB65" i="63"/>
  <c r="Q66" i="63"/>
  <c r="P76" i="63"/>
  <c r="CL21" i="63"/>
  <c r="BB372" i="63"/>
  <c r="CA727" i="63"/>
  <c r="BA157" i="63"/>
  <c r="N58" i="63"/>
  <c r="AY370" i="63"/>
  <c r="AY369" i="63"/>
  <c r="CL353" i="63"/>
  <c r="BZ109" i="63"/>
  <c r="L66" i="63"/>
  <c r="CA65" i="63"/>
  <c r="L68" i="63"/>
  <c r="L76" i="63"/>
  <c r="M66" i="63"/>
  <c r="CA162" i="61"/>
  <c r="CA169" i="2"/>
  <c r="AU63" i="61"/>
  <c r="AU169" i="2"/>
  <c r="CC162" i="61"/>
  <c r="CE150" i="61"/>
  <c r="CE159" i="61" s="1"/>
  <c r="CE78" i="61"/>
  <c r="CE80" i="61" s="1"/>
  <c r="CE49" i="61"/>
  <c r="CE39" i="61"/>
  <c r="CK154" i="61"/>
  <c r="AY63" i="61"/>
  <c r="AY169" i="2"/>
  <c r="BC169" i="2"/>
  <c r="AP63" i="61"/>
  <c r="AP169" i="2"/>
  <c r="F63" i="61"/>
  <c r="AE96" i="61"/>
  <c r="AE93" i="61"/>
  <c r="K25" i="61"/>
  <c r="K37" i="61" s="1"/>
  <c r="N96" i="61"/>
  <c r="N93" i="61"/>
  <c r="AD96" i="61"/>
  <c r="AD93" i="61"/>
  <c r="AT96" i="61"/>
  <c r="AT93" i="61"/>
  <c r="BZ49" i="61"/>
  <c r="J94" i="61"/>
  <c r="J97" i="61"/>
  <c r="CG18" i="61"/>
  <c r="CG128" i="61" s="1"/>
  <c r="CA35" i="61"/>
  <c r="CA145" i="61" s="1"/>
  <c r="CB42" i="61"/>
  <c r="AH63" i="61"/>
  <c r="Z37" i="61"/>
  <c r="Z108" i="61" s="1"/>
  <c r="V37" i="61"/>
  <c r="V108" i="61" s="1"/>
  <c r="W9" i="61"/>
  <c r="AH37" i="61"/>
  <c r="AH108" i="61" s="1"/>
  <c r="AT37" i="61"/>
  <c r="AT108" i="61" s="1"/>
  <c r="CJ42" i="61"/>
  <c r="CJ152" i="61" s="1"/>
  <c r="AQ52" i="61"/>
  <c r="CH52" i="61" s="1"/>
  <c r="CC55" i="61"/>
  <c r="CC165" i="61" s="1"/>
  <c r="CH49" i="61"/>
  <c r="BB169" i="2"/>
  <c r="K63" i="61"/>
  <c r="F96" i="61"/>
  <c r="F93" i="61"/>
  <c r="G11" i="61"/>
  <c r="G138" i="1" s="1"/>
  <c r="G139" i="1" s="1"/>
  <c r="CE81" i="61"/>
  <c r="AU103" i="61"/>
  <c r="CI103" i="61" s="1"/>
  <c r="AU78" i="61"/>
  <c r="AU80" i="61" s="1"/>
  <c r="AU49" i="61"/>
  <c r="BA110" i="61"/>
  <c r="BA111" i="61" s="1"/>
  <c r="BA69" i="61"/>
  <c r="M97" i="61"/>
  <c r="M94" i="61"/>
  <c r="AC97" i="61"/>
  <c r="AC94" i="61"/>
  <c r="AS94" i="61"/>
  <c r="CE162" i="61"/>
  <c r="CE169" i="2"/>
  <c r="F37" i="61"/>
  <c r="G9" i="61"/>
  <c r="CG26" i="61"/>
  <c r="CG136" i="61" s="1"/>
  <c r="Y110" i="61"/>
  <c r="Y111" i="61" s="1"/>
  <c r="Y69" i="61"/>
  <c r="CE35" i="61"/>
  <c r="CE145" i="61" s="1"/>
  <c r="AU34" i="61"/>
  <c r="CI34" i="61" s="1"/>
  <c r="CI144" i="61" s="1"/>
  <c r="CK36" i="61"/>
  <c r="CK146" i="61" s="1"/>
  <c r="BY13" i="61"/>
  <c r="BY42" i="61"/>
  <c r="CK54" i="61"/>
  <c r="CK164" i="61" s="1"/>
  <c r="AM14" i="61"/>
  <c r="CG14" i="61" s="1"/>
  <c r="CG124" i="61" s="1"/>
  <c r="AY37" i="61"/>
  <c r="AY108" i="61" s="1"/>
  <c r="CK52" i="61"/>
  <c r="CD49" i="61"/>
  <c r="W49" i="61"/>
  <c r="AI17" i="61"/>
  <c r="CF17" i="61" s="1"/>
  <c r="CF127" i="61" s="1"/>
  <c r="U110" i="61"/>
  <c r="U111" i="61" s="1"/>
  <c r="AT63" i="61"/>
  <c r="AT169" i="2"/>
  <c r="K94" i="61"/>
  <c r="K97" i="61"/>
  <c r="CG162" i="61"/>
  <c r="CG173" i="61" s="1"/>
  <c r="CG169" i="2"/>
  <c r="AM94" i="61"/>
  <c r="E97" i="61"/>
  <c r="E94" i="61"/>
  <c r="AG110" i="61"/>
  <c r="AG111" i="61" s="1"/>
  <c r="AG69" i="61"/>
  <c r="O63" i="61"/>
  <c r="O169" i="2"/>
  <c r="CF151" i="61"/>
  <c r="O96" i="61"/>
  <c r="O93" i="61"/>
  <c r="W15" i="61"/>
  <c r="CC15" i="61" s="1"/>
  <c r="CC125" i="61" s="1"/>
  <c r="BE97" i="61"/>
  <c r="BE94" i="61"/>
  <c r="BZ159" i="61"/>
  <c r="E110" i="61"/>
  <c r="E111" i="61" s="1"/>
  <c r="E69" i="61"/>
  <c r="M110" i="61"/>
  <c r="M111" i="61" s="1"/>
  <c r="M69" i="61"/>
  <c r="CA150" i="61"/>
  <c r="CA78" i="61"/>
  <c r="CA80" i="61" s="1"/>
  <c r="AO110" i="61"/>
  <c r="AO111" i="61" s="1"/>
  <c r="AO69" i="61"/>
  <c r="AM25" i="61"/>
  <c r="CG25" i="61" s="1"/>
  <c r="CG135" i="61" s="1"/>
  <c r="AI63" i="61"/>
  <c r="AI169" i="2"/>
  <c r="CI35" i="61"/>
  <c r="CI145" i="61" s="1"/>
  <c r="BY162" i="61"/>
  <c r="CF52" i="61"/>
  <c r="CF57" i="61"/>
  <c r="CF167" i="61" s="1"/>
  <c r="BZ169" i="2"/>
  <c r="CJ52" i="61"/>
  <c r="S26" i="61"/>
  <c r="CB26" i="61" s="1"/>
  <c r="CB136" i="61" s="1"/>
  <c r="BC49" i="61"/>
  <c r="G55" i="61"/>
  <c r="BH66" i="2"/>
  <c r="AU11" i="61"/>
  <c r="AX63" i="61"/>
  <c r="AX169" i="2"/>
  <c r="AM63" i="61"/>
  <c r="AM169" i="2"/>
  <c r="CH159" i="61"/>
  <c r="CE18" i="61"/>
  <c r="CE128" i="61" s="1"/>
  <c r="CG61" i="61"/>
  <c r="CG63" i="61" s="1"/>
  <c r="CE9" i="61"/>
  <c r="CE119" i="61" s="1"/>
  <c r="CC18" i="61"/>
  <c r="CC128" i="61" s="1"/>
  <c r="CF26" i="61"/>
  <c r="CF136" i="61" s="1"/>
  <c r="AC110" i="61"/>
  <c r="AC111" i="61" s="1"/>
  <c r="AC69" i="61"/>
  <c r="BA97" i="61"/>
  <c r="BA94" i="61"/>
  <c r="AA63" i="61"/>
  <c r="AA169" i="2"/>
  <c r="BK169" i="2"/>
  <c r="CI52" i="61"/>
  <c r="CD52" i="61"/>
  <c r="O17" i="61"/>
  <c r="CA17" i="61" s="1"/>
  <c r="BZ63" i="61"/>
  <c r="S13" i="61"/>
  <c r="CD159" i="61"/>
  <c r="AX94" i="61"/>
  <c r="AX97" i="61"/>
  <c r="AE103" i="61"/>
  <c r="CE103" i="61" s="1"/>
  <c r="AE78" i="61"/>
  <c r="AE80" i="61" s="1"/>
  <c r="AE49" i="61"/>
  <c r="CA18" i="61"/>
  <c r="CA128" i="61" s="1"/>
  <c r="CJ151" i="61"/>
  <c r="V96" i="61"/>
  <c r="V93" i="61"/>
  <c r="Q110" i="61"/>
  <c r="Q111" i="61" s="1"/>
  <c r="O103" i="61"/>
  <c r="CA103" i="61" s="1"/>
  <c r="O78" i="61"/>
  <c r="O80" i="61" s="1"/>
  <c r="O49" i="61"/>
  <c r="CM166" i="61"/>
  <c r="BZ173" i="61"/>
  <c r="CF18" i="61"/>
  <c r="CF128" i="61" s="1"/>
  <c r="CI150" i="61"/>
  <c r="CI159" i="61" s="1"/>
  <c r="CI78" i="61"/>
  <c r="CI80" i="61" s="1"/>
  <c r="CI49" i="61"/>
  <c r="CI39" i="61"/>
  <c r="CL140" i="2"/>
  <c r="BM18" i="2"/>
  <c r="BI139" i="2"/>
  <c r="BI140" i="2" s="1"/>
  <c r="BI141" i="2" s="1"/>
  <c r="BI87" i="2"/>
  <c r="BI92" i="2"/>
  <c r="BH140" i="2"/>
  <c r="BH141" i="2" s="1"/>
  <c r="BI66" i="2"/>
  <c r="BI89" i="2"/>
  <c r="CM141" i="2"/>
  <c r="S77" i="63" l="1"/>
  <c r="BS23" i="63"/>
  <c r="BK23" i="63"/>
  <c r="BK56" i="63"/>
  <c r="BS12" i="63"/>
  <c r="BK12" i="63"/>
  <c r="BS45" i="63"/>
  <c r="BK45" i="63"/>
  <c r="BS34" i="63"/>
  <c r="BK34" i="63"/>
  <c r="R58" i="63"/>
  <c r="U97" i="61"/>
  <c r="AM97" i="61"/>
  <c r="Q69" i="61"/>
  <c r="U69" i="61"/>
  <c r="AL97" i="61"/>
  <c r="CJ92" i="63"/>
  <c r="AY97" i="61"/>
  <c r="AS97" i="61"/>
  <c r="CK13" i="63"/>
  <c r="BJ45" i="63"/>
  <c r="BI23" i="63"/>
  <c r="CK69" i="63"/>
  <c r="N36" i="63"/>
  <c r="O14" i="63"/>
  <c r="O58" i="63"/>
  <c r="BI45" i="63"/>
  <c r="N79" i="63"/>
  <c r="J69" i="63"/>
  <c r="J71" i="63" s="1"/>
  <c r="V38" i="63"/>
  <c r="V41" i="63" s="1"/>
  <c r="BJ34" i="63"/>
  <c r="CA35" i="63"/>
  <c r="CF35" i="63"/>
  <c r="BI12" i="63"/>
  <c r="N14" i="63"/>
  <c r="N16" i="63" s="1"/>
  <c r="N19" i="63" s="1"/>
  <c r="N69" i="63"/>
  <c r="O69" i="63"/>
  <c r="N77" i="63"/>
  <c r="BJ56" i="63"/>
  <c r="BJ12" i="63"/>
  <c r="N47" i="63"/>
  <c r="N49" i="63" s="1"/>
  <c r="O77" i="63"/>
  <c r="CK58" i="63"/>
  <c r="BI34" i="63"/>
  <c r="V77" i="63"/>
  <c r="O36" i="63"/>
  <c r="CJ13" i="63"/>
  <c r="BJ23" i="63"/>
  <c r="BI56" i="63"/>
  <c r="G14" i="63"/>
  <c r="J58" i="63"/>
  <c r="G69" i="63"/>
  <c r="G36" i="63"/>
  <c r="G47" i="63"/>
  <c r="G58" i="63"/>
  <c r="AW36" i="63"/>
  <c r="CB35" i="63"/>
  <c r="AF45" i="63"/>
  <c r="W77" i="63"/>
  <c r="BZ129" i="63"/>
  <c r="CD125" i="63"/>
  <c r="CJ57" i="63"/>
  <c r="BR23" i="63"/>
  <c r="BR45" i="63"/>
  <c r="AS79" i="63"/>
  <c r="BQ45" i="63"/>
  <c r="BQ23" i="63"/>
  <c r="AK97" i="61"/>
  <c r="AU92" i="63"/>
  <c r="AU138" i="1"/>
  <c r="CH11" i="61"/>
  <c r="AQ138" i="1"/>
  <c r="CF11" i="61"/>
  <c r="AI138" i="1"/>
  <c r="AT92" i="63"/>
  <c r="AT138" i="1"/>
  <c r="AM92" i="63"/>
  <c r="AM138" i="1"/>
  <c r="BB139" i="1"/>
  <c r="CK138" i="1"/>
  <c r="CK139" i="1" s="1"/>
  <c r="BF139" i="1"/>
  <c r="AG139" i="1"/>
  <c r="AK139" i="1"/>
  <c r="BG138" i="1"/>
  <c r="BG139" i="1" s="1"/>
  <c r="AY139" i="1"/>
  <c r="CJ138" i="1"/>
  <c r="CJ139" i="1" s="1"/>
  <c r="CN127" i="1"/>
  <c r="BP127" i="1"/>
  <c r="BQ127" i="1" s="1"/>
  <c r="BR127" i="1" s="1"/>
  <c r="BS127" i="1" s="1"/>
  <c r="W11" i="61"/>
  <c r="V138" i="1"/>
  <c r="V139" i="1" s="1"/>
  <c r="U139" i="1"/>
  <c r="CD11" i="61"/>
  <c r="AA138" i="1"/>
  <c r="CA11" i="61"/>
  <c r="O138" i="1"/>
  <c r="Y139" i="1"/>
  <c r="BY138" i="1"/>
  <c r="BY139" i="1" s="1"/>
  <c r="CE11" i="61"/>
  <c r="AE138" i="1"/>
  <c r="AH97" i="61"/>
  <c r="AO58" i="63"/>
  <c r="AO69" i="63"/>
  <c r="U47" i="63"/>
  <c r="AO79" i="63"/>
  <c r="BH45" i="63"/>
  <c r="W58" i="63"/>
  <c r="CK322" i="63"/>
  <c r="CK323" i="63" s="1"/>
  <c r="BP23" i="63"/>
  <c r="BH23" i="63"/>
  <c r="BP56" i="63"/>
  <c r="BH56" i="63"/>
  <c r="BH34" i="63"/>
  <c r="BH12" i="63"/>
  <c r="BD45" i="63"/>
  <c r="Z97" i="61"/>
  <c r="BL64" i="2"/>
  <c r="BM64" i="2" s="1"/>
  <c r="BN64" i="2" s="1"/>
  <c r="BO64" i="2" s="1"/>
  <c r="BP64" i="2" s="1"/>
  <c r="BQ64" i="2" s="1"/>
  <c r="BR64" i="2" s="1"/>
  <c r="BS64" i="2" s="1"/>
  <c r="BT64" i="2" s="1"/>
  <c r="BU64" i="2" s="1"/>
  <c r="BV64" i="2" s="1"/>
  <c r="BW64" i="2" s="1"/>
  <c r="CP64" i="2" s="1"/>
  <c r="BR56" i="63"/>
  <c r="AS69" i="61"/>
  <c r="AH67" i="63"/>
  <c r="CG96" i="61"/>
  <c r="CG94" i="61" s="1"/>
  <c r="CG93" i="61" s="1"/>
  <c r="CG97" i="61" s="1"/>
  <c r="CA13" i="63"/>
  <c r="BZ13" i="63"/>
  <c r="BG56" i="63"/>
  <c r="BS56" i="63"/>
  <c r="CB13" i="63"/>
  <c r="BP45" i="63"/>
  <c r="I36" i="63"/>
  <c r="BQ34" i="63"/>
  <c r="BQ12" i="63"/>
  <c r="BP34" i="63"/>
  <c r="AS110" i="61"/>
  <c r="AS111" i="61" s="1"/>
  <c r="O60" i="63"/>
  <c r="O63" i="63" s="1"/>
  <c r="F77" i="63"/>
  <c r="BQ56" i="63"/>
  <c r="BY76" i="63"/>
  <c r="F47" i="63"/>
  <c r="G77" i="63"/>
  <c r="AJ12" i="63"/>
  <c r="BP12" i="63"/>
  <c r="CE173" i="61"/>
  <c r="AP97" i="61"/>
  <c r="AA97" i="61"/>
  <c r="CA147" i="2"/>
  <c r="BZ147" i="2"/>
  <c r="AV45" i="63"/>
  <c r="V79" i="63"/>
  <c r="BZ111" i="63"/>
  <c r="K77" i="63"/>
  <c r="CD111" i="63"/>
  <c r="AL67" i="63"/>
  <c r="J47" i="63"/>
  <c r="J49" i="63" s="1"/>
  <c r="J52" i="63" s="1"/>
  <c r="AA67" i="63"/>
  <c r="AZ45" i="63"/>
  <c r="AB45" i="63"/>
  <c r="F58" i="63"/>
  <c r="F69" i="63"/>
  <c r="F14" i="63"/>
  <c r="CD145" i="63"/>
  <c r="BB49" i="63"/>
  <c r="F36" i="63"/>
  <c r="O79" i="63"/>
  <c r="K69" i="63"/>
  <c r="CK57" i="63"/>
  <c r="AR45" i="63"/>
  <c r="AY94" i="61"/>
  <c r="AE67" i="63"/>
  <c r="AD67" i="63"/>
  <c r="BZ145" i="63"/>
  <c r="AI67" i="63"/>
  <c r="J36" i="63"/>
  <c r="J14" i="63"/>
  <c r="J79" i="63"/>
  <c r="Z67" i="63"/>
  <c r="AN45" i="63"/>
  <c r="AJ45" i="63"/>
  <c r="CK35" i="63"/>
  <c r="AI34" i="63"/>
  <c r="BA23" i="63"/>
  <c r="BZ35" i="63"/>
  <c r="CG121" i="61"/>
  <c r="CG147" i="61" s="1"/>
  <c r="BD34" i="63"/>
  <c r="BO34" i="63"/>
  <c r="CL12" i="61"/>
  <c r="CL122" i="61" s="1"/>
  <c r="AL45" i="63"/>
  <c r="CD35" i="63"/>
  <c r="AX143" i="63"/>
  <c r="AX145" i="63" s="1"/>
  <c r="BL45" i="63"/>
  <c r="CK36" i="63"/>
  <c r="CE35" i="63"/>
  <c r="K47" i="63"/>
  <c r="K14" i="63"/>
  <c r="CK14" i="63"/>
  <c r="I58" i="63"/>
  <c r="BL56" i="63"/>
  <c r="BG23" i="63"/>
  <c r="AX110" i="61"/>
  <c r="AX111" i="61" s="1"/>
  <c r="AX108" i="61"/>
  <c r="AP110" i="61"/>
  <c r="AP111" i="61" s="1"/>
  <c r="AP108" i="61"/>
  <c r="AL110" i="61"/>
  <c r="AL111" i="61" s="1"/>
  <c r="AL108" i="61"/>
  <c r="N110" i="61"/>
  <c r="N111" i="61" s="1"/>
  <c r="N108" i="61"/>
  <c r="BB110" i="61"/>
  <c r="BB111" i="61" s="1"/>
  <c r="BB108" i="61"/>
  <c r="AD110" i="61"/>
  <c r="AD111" i="61" s="1"/>
  <c r="AD108" i="61"/>
  <c r="BG63" i="61"/>
  <c r="BG12" i="63"/>
  <c r="BG45" i="63"/>
  <c r="BG34" i="63"/>
  <c r="AC34" i="63"/>
  <c r="AY12" i="63"/>
  <c r="BG165" i="63"/>
  <c r="BG167" i="63" s="1"/>
  <c r="CL173" i="61"/>
  <c r="AR14" i="63"/>
  <c r="AT56" i="63"/>
  <c r="AP77" i="63"/>
  <c r="AM34" i="63"/>
  <c r="R14" i="63"/>
  <c r="AA34" i="63"/>
  <c r="AB34" i="63"/>
  <c r="AE34" i="63"/>
  <c r="AU45" i="63"/>
  <c r="AA45" i="63"/>
  <c r="I14" i="63"/>
  <c r="I69" i="63"/>
  <c r="AD34" i="63"/>
  <c r="I79" i="63"/>
  <c r="AR36" i="63"/>
  <c r="AX77" i="63"/>
  <c r="AW58" i="63"/>
  <c r="J77" i="63"/>
  <c r="R47" i="63"/>
  <c r="R77" i="63"/>
  <c r="AF34" i="63"/>
  <c r="CC35" i="63"/>
  <c r="AH45" i="63"/>
  <c r="CG35" i="63"/>
  <c r="I47" i="63"/>
  <c r="CI13" i="63"/>
  <c r="AX14" i="63"/>
  <c r="AX36" i="63"/>
  <c r="AX69" i="63"/>
  <c r="AX47" i="63"/>
  <c r="BB79" i="63"/>
  <c r="AX58" i="63"/>
  <c r="R69" i="63"/>
  <c r="R36" i="63"/>
  <c r="R38" i="63" s="1"/>
  <c r="R79" i="63"/>
  <c r="AN34" i="63"/>
  <c r="CH46" i="63"/>
  <c r="AW25" i="63"/>
  <c r="AW69" i="63"/>
  <c r="CE13" i="63"/>
  <c r="AX25" i="63"/>
  <c r="AK79" i="63"/>
  <c r="AD56" i="63"/>
  <c r="BA79" i="63"/>
  <c r="AQ45" i="63"/>
  <c r="AM45" i="63"/>
  <c r="K79" i="63"/>
  <c r="AR12" i="63"/>
  <c r="AN12" i="63"/>
  <c r="AG14" i="63"/>
  <c r="AG16" i="63" s="1"/>
  <c r="AC36" i="63"/>
  <c r="BC45" i="63"/>
  <c r="BL34" i="63"/>
  <c r="AG56" i="63"/>
  <c r="AF12" i="63"/>
  <c r="Y56" i="63"/>
  <c r="AW47" i="63"/>
  <c r="AC56" i="63"/>
  <c r="BG94" i="61"/>
  <c r="BG97" i="61"/>
  <c r="AB56" i="63"/>
  <c r="AC25" i="63"/>
  <c r="BC12" i="63"/>
  <c r="U58" i="63"/>
  <c r="U36" i="63"/>
  <c r="U69" i="63"/>
  <c r="U14" i="63"/>
  <c r="CF145" i="63"/>
  <c r="AP56" i="63"/>
  <c r="AO14" i="63"/>
  <c r="AY45" i="63"/>
  <c r="BO45" i="63"/>
  <c r="AE45" i="63"/>
  <c r="AI45" i="63"/>
  <c r="AG34" i="63"/>
  <c r="Z12" i="63"/>
  <c r="Z34" i="63"/>
  <c r="AO25" i="63"/>
  <c r="AG77" i="63"/>
  <c r="AW23" i="63"/>
  <c r="AP25" i="63"/>
  <c r="AP47" i="63"/>
  <c r="AP79" i="63"/>
  <c r="AP58" i="63"/>
  <c r="AP36" i="63"/>
  <c r="AP14" i="63"/>
  <c r="AP69" i="63"/>
  <c r="AH36" i="63"/>
  <c r="AH25" i="63"/>
  <c r="AH58" i="63"/>
  <c r="AH14" i="63"/>
  <c r="AH69" i="63"/>
  <c r="AH47" i="63"/>
  <c r="AH79" i="63"/>
  <c r="AD79" i="63"/>
  <c r="AD25" i="63"/>
  <c r="AD14" i="63"/>
  <c r="AD36" i="63"/>
  <c r="AD69" i="63"/>
  <c r="AD58" i="63"/>
  <c r="AD47" i="63"/>
  <c r="AL25" i="63"/>
  <c r="AL58" i="63"/>
  <c r="AL47" i="63"/>
  <c r="AL89" i="63"/>
  <c r="AL14" i="63"/>
  <c r="AL69" i="63"/>
  <c r="AL36" i="63"/>
  <c r="AL79" i="63"/>
  <c r="Y34" i="63"/>
  <c r="BF12" i="63"/>
  <c r="AV143" i="63"/>
  <c r="AV145" i="63" s="1"/>
  <c r="AO45" i="63"/>
  <c r="AW34" i="63"/>
  <c r="AC45" i="63"/>
  <c r="AT69" i="63"/>
  <c r="AT47" i="63"/>
  <c r="AT25" i="63"/>
  <c r="AX79" i="63"/>
  <c r="AT14" i="63"/>
  <c r="AT36" i="63"/>
  <c r="AT79" i="63"/>
  <c r="AT58" i="63"/>
  <c r="Z47" i="63"/>
  <c r="Z58" i="63"/>
  <c r="Z69" i="63"/>
  <c r="Z36" i="63"/>
  <c r="Z14" i="63"/>
  <c r="Z25" i="63"/>
  <c r="AJ34" i="63"/>
  <c r="W69" i="63"/>
  <c r="W47" i="63"/>
  <c r="AV34" i="63"/>
  <c r="W36" i="63"/>
  <c r="CI35" i="63"/>
  <c r="AR56" i="63"/>
  <c r="AD45" i="63"/>
  <c r="BD56" i="63"/>
  <c r="AZ56" i="63"/>
  <c r="AV56" i="63"/>
  <c r="AG69" i="63"/>
  <c r="AG36" i="63"/>
  <c r="BB12" i="63"/>
  <c r="AH56" i="63"/>
  <c r="AD12" i="63"/>
  <c r="AR58" i="63"/>
  <c r="AC14" i="63"/>
  <c r="AD77" i="63"/>
  <c r="BL12" i="63"/>
  <c r="Y47" i="63"/>
  <c r="Y14" i="63"/>
  <c r="Y79" i="63"/>
  <c r="Y69" i="63"/>
  <c r="Y25" i="63"/>
  <c r="Y36" i="63"/>
  <c r="Z77" i="63"/>
  <c r="Y58" i="63"/>
  <c r="AG47" i="63"/>
  <c r="BE23" i="63"/>
  <c r="AU34" i="63"/>
  <c r="AM67" i="63"/>
  <c r="CJ35" i="63"/>
  <c r="W14" i="63"/>
  <c r="AR34" i="63"/>
  <c r="AK56" i="63"/>
  <c r="AG58" i="63"/>
  <c r="AN56" i="63"/>
  <c r="AG25" i="63"/>
  <c r="AE56" i="63"/>
  <c r="AR25" i="63"/>
  <c r="AO47" i="63"/>
  <c r="AC58" i="63"/>
  <c r="AC79" i="63"/>
  <c r="CH35" i="63"/>
  <c r="K58" i="63"/>
  <c r="U79" i="63"/>
  <c r="CD13" i="63"/>
  <c r="CK46" i="63"/>
  <c r="CJ46" i="63"/>
  <c r="AZ34" i="63"/>
  <c r="CF111" i="63"/>
  <c r="BC34" i="63"/>
  <c r="AY34" i="63"/>
  <c r="AO34" i="63"/>
  <c r="AS56" i="63"/>
  <c r="Z45" i="63"/>
  <c r="AH77" i="63"/>
  <c r="CF13" i="63"/>
  <c r="AI56" i="63"/>
  <c r="AC69" i="63"/>
  <c r="AG79" i="63"/>
  <c r="Q47" i="63"/>
  <c r="Q14" i="63"/>
  <c r="Q36" i="63"/>
  <c r="Q69" i="63"/>
  <c r="AR47" i="63"/>
  <c r="CC13" i="63"/>
  <c r="AW56" i="63"/>
  <c r="AJ69" i="63"/>
  <c r="AJ25" i="63"/>
  <c r="AJ36" i="63"/>
  <c r="AJ89" i="63"/>
  <c r="AJ14" i="63"/>
  <c r="AJ58" i="63"/>
  <c r="AJ47" i="63"/>
  <c r="AS34" i="63"/>
  <c r="AA56" i="63"/>
  <c r="AH34" i="63"/>
  <c r="BE34" i="63"/>
  <c r="BM34" i="63"/>
  <c r="AO56" i="63"/>
  <c r="AX12" i="63"/>
  <c r="AJ56" i="63"/>
  <c r="AT12" i="63"/>
  <c r="BA34" i="63"/>
  <c r="AK89" i="63"/>
  <c r="AK69" i="63"/>
  <c r="AK77" i="63"/>
  <c r="AK58" i="63"/>
  <c r="AK36" i="63"/>
  <c r="AK14" i="63"/>
  <c r="AK25" i="63"/>
  <c r="AK47" i="63"/>
  <c r="AL77" i="63"/>
  <c r="AF47" i="63"/>
  <c r="AF25" i="63"/>
  <c r="AF79" i="63"/>
  <c r="AJ79" i="63"/>
  <c r="AF14" i="63"/>
  <c r="AF36" i="63"/>
  <c r="AF58" i="63"/>
  <c r="AL12" i="63"/>
  <c r="AP12" i="63"/>
  <c r="BF56" i="63"/>
  <c r="AX56" i="63"/>
  <c r="BB56" i="63"/>
  <c r="BN56" i="63"/>
  <c r="AB12" i="63"/>
  <c r="Z56" i="63"/>
  <c r="AX45" i="63"/>
  <c r="AQ34" i="63"/>
  <c r="BO56" i="63"/>
  <c r="BC56" i="63"/>
  <c r="AM12" i="63"/>
  <c r="AU12" i="63"/>
  <c r="AX23" i="63"/>
  <c r="AG45" i="63"/>
  <c r="AS12" i="63"/>
  <c r="M36" i="63"/>
  <c r="Q79" i="63"/>
  <c r="M69" i="63"/>
  <c r="M58" i="63"/>
  <c r="M79" i="63"/>
  <c r="M47" i="63"/>
  <c r="M14" i="63"/>
  <c r="AG12" i="63"/>
  <c r="AC12" i="63"/>
  <c r="AP45" i="63"/>
  <c r="AT45" i="63"/>
  <c r="AN69" i="63"/>
  <c r="AN47" i="63"/>
  <c r="AN58" i="63"/>
  <c r="AN36" i="63"/>
  <c r="AR79" i="63"/>
  <c r="AN14" i="63"/>
  <c r="AO77" i="63"/>
  <c r="AN25" i="63"/>
  <c r="AN79" i="63"/>
  <c r="E69" i="63"/>
  <c r="E36" i="63"/>
  <c r="E58" i="63"/>
  <c r="E47" i="63"/>
  <c r="E14" i="63"/>
  <c r="AK12" i="63"/>
  <c r="AS77" i="63"/>
  <c r="AT77" i="63"/>
  <c r="AS36" i="63"/>
  <c r="AS47" i="63"/>
  <c r="AS69" i="63"/>
  <c r="AS25" i="63"/>
  <c r="AS14" i="63"/>
  <c r="AS58" i="63"/>
  <c r="AW79" i="63"/>
  <c r="CE111" i="63"/>
  <c r="CG127" i="63"/>
  <c r="X56" i="63"/>
  <c r="CH13" i="63"/>
  <c r="CG13" i="63"/>
  <c r="AS45" i="63"/>
  <c r="AK45" i="63"/>
  <c r="BE12" i="63"/>
  <c r="BA12" i="63"/>
  <c r="AW12" i="63"/>
  <c r="BM12" i="63"/>
  <c r="CI57" i="63"/>
  <c r="CH57" i="63"/>
  <c r="BM45" i="63"/>
  <c r="BA45" i="63"/>
  <c r="BE45" i="63"/>
  <c r="BN45" i="63"/>
  <c r="BB45" i="63"/>
  <c r="BF45" i="63"/>
  <c r="BO12" i="63"/>
  <c r="AP34" i="63"/>
  <c r="AL34" i="63"/>
  <c r="AO12" i="63"/>
  <c r="AQ56" i="63"/>
  <c r="AA12" i="63"/>
  <c r="Y12" i="63"/>
  <c r="BF23" i="63"/>
  <c r="BB23" i="63"/>
  <c r="BN23" i="63"/>
  <c r="AW45" i="63"/>
  <c r="CF127" i="63"/>
  <c r="CB126" i="63"/>
  <c r="BF34" i="63"/>
  <c r="BB34" i="63"/>
  <c r="AX34" i="63"/>
  <c r="BN34" i="63"/>
  <c r="AL56" i="63"/>
  <c r="AQ12" i="63"/>
  <c r="AZ12" i="63"/>
  <c r="AV12" i="63"/>
  <c r="BD12" i="63"/>
  <c r="AV47" i="63"/>
  <c r="AZ79" i="63"/>
  <c r="AV79" i="63"/>
  <c r="AV14" i="63"/>
  <c r="AV58" i="63"/>
  <c r="AV36" i="63"/>
  <c r="AW77" i="63"/>
  <c r="AV69" i="63"/>
  <c r="AV25" i="63"/>
  <c r="AF56" i="63"/>
  <c r="AM56" i="63"/>
  <c r="AH12" i="63"/>
  <c r="AU56" i="63"/>
  <c r="AY56" i="63"/>
  <c r="AI12" i="63"/>
  <c r="AE12" i="63"/>
  <c r="AK34" i="63"/>
  <c r="BE56" i="63"/>
  <c r="BA56" i="63"/>
  <c r="BM56" i="63"/>
  <c r="Y45" i="63"/>
  <c r="AT34" i="63"/>
  <c r="BM23" i="63"/>
  <c r="AB69" i="63"/>
  <c r="AB47" i="63"/>
  <c r="AB25" i="63"/>
  <c r="AB58" i="63"/>
  <c r="AB36" i="63"/>
  <c r="AC77" i="63"/>
  <c r="AB14" i="63"/>
  <c r="CE63" i="61"/>
  <c r="CF13" i="61"/>
  <c r="CF81" i="61" s="1"/>
  <c r="BL53" i="2"/>
  <c r="AO38" i="63"/>
  <c r="CG111" i="63"/>
  <c r="CB111" i="63"/>
  <c r="AO71" i="63"/>
  <c r="BE27" i="63"/>
  <c r="BI29" i="63" s="1"/>
  <c r="CG145" i="63"/>
  <c r="BE38" i="63"/>
  <c r="BI40" i="63" s="1"/>
  <c r="CB127" i="63"/>
  <c r="V49" i="63"/>
  <c r="V52" i="63" s="1"/>
  <c r="CA63" i="61"/>
  <c r="AQ37" i="61"/>
  <c r="CA173" i="61"/>
  <c r="AA37" i="61"/>
  <c r="AA108" i="61" s="1"/>
  <c r="AE37" i="61"/>
  <c r="E70" i="61"/>
  <c r="F67" i="61" s="1"/>
  <c r="J177" i="61"/>
  <c r="K177" i="61" s="1"/>
  <c r="K180" i="61" s="1"/>
  <c r="CA159" i="61"/>
  <c r="J69" i="61"/>
  <c r="W169" i="2"/>
  <c r="BC63" i="61"/>
  <c r="AX69" i="61"/>
  <c r="G63" i="61"/>
  <c r="BY169" i="2"/>
  <c r="CA49" i="61"/>
  <c r="CF49" i="61"/>
  <c r="W63" i="61"/>
  <c r="G169" i="2"/>
  <c r="BB69" i="61"/>
  <c r="BC37" i="61"/>
  <c r="CH37" i="61"/>
  <c r="CH110" i="61" s="1"/>
  <c r="CH111" i="61" s="1"/>
  <c r="CH121" i="61"/>
  <c r="CH147" i="61" s="1"/>
  <c r="CH96" i="61"/>
  <c r="CH94" i="61" s="1"/>
  <c r="CH93" i="61" s="1"/>
  <c r="CH97" i="61" s="1"/>
  <c r="AQ96" i="61"/>
  <c r="CB63" i="61"/>
  <c r="CF96" i="61"/>
  <c r="CF94" i="61" s="1"/>
  <c r="CF93" i="61" s="1"/>
  <c r="CF97" i="61" s="1"/>
  <c r="CF121" i="61"/>
  <c r="AI96" i="61"/>
  <c r="AI93" i="61"/>
  <c r="AQ92" i="63"/>
  <c r="AQ93" i="61"/>
  <c r="AQ94" i="61" s="1"/>
  <c r="R96" i="61"/>
  <c r="R93" i="61"/>
  <c r="S11" i="61"/>
  <c r="BB97" i="61"/>
  <c r="AD69" i="61"/>
  <c r="Q94" i="61"/>
  <c r="Q97" i="61"/>
  <c r="R37" i="61"/>
  <c r="R108" i="61" s="1"/>
  <c r="AU104" i="61"/>
  <c r="CI104" i="61" s="1"/>
  <c r="X99" i="63"/>
  <c r="X161" i="63"/>
  <c r="CA150" i="63"/>
  <c r="AW143" i="63"/>
  <c r="AW145" i="63" s="1"/>
  <c r="AZ38" i="63"/>
  <c r="AP69" i="61"/>
  <c r="AW16" i="63"/>
  <c r="BB71" i="63"/>
  <c r="AT49" i="63"/>
  <c r="AT52" i="63" s="1"/>
  <c r="Q60" i="63"/>
  <c r="CI155" i="63"/>
  <c r="CI154" i="63"/>
  <c r="CI152" i="63"/>
  <c r="N71" i="63"/>
  <c r="AF27" i="63"/>
  <c r="CI156" i="63"/>
  <c r="CI151" i="63"/>
  <c r="CI111" i="63"/>
  <c r="BZ167" i="63"/>
  <c r="BB16" i="63"/>
  <c r="U49" i="63"/>
  <c r="CH111" i="63"/>
  <c r="BA49" i="63"/>
  <c r="BB60" i="63"/>
  <c r="CE127" i="63"/>
  <c r="BA38" i="63"/>
  <c r="BA16" i="63"/>
  <c r="BE18" i="63" s="1"/>
  <c r="V16" i="63"/>
  <c r="BC60" i="63"/>
  <c r="V71" i="63"/>
  <c r="V74" i="63" s="1"/>
  <c r="BB94" i="61"/>
  <c r="CJ337" i="63"/>
  <c r="CJ354" i="63"/>
  <c r="BA30" i="63"/>
  <c r="F16" i="63"/>
  <c r="K38" i="63"/>
  <c r="V60" i="63"/>
  <c r="CI153" i="63"/>
  <c r="F60" i="63"/>
  <c r="BC27" i="63"/>
  <c r="BG29" i="63" s="1"/>
  <c r="BC16" i="63"/>
  <c r="BG18" i="63" s="1"/>
  <c r="CC145" i="63"/>
  <c r="CC111" i="63"/>
  <c r="AC49" i="63"/>
  <c r="F38" i="63"/>
  <c r="M38" i="63"/>
  <c r="CC129" i="63"/>
  <c r="CB129" i="63"/>
  <c r="CJ303" i="63"/>
  <c r="CI150" i="63"/>
  <c r="CJ121" i="61"/>
  <c r="CJ96" i="61"/>
  <c r="CJ94" i="61" s="1"/>
  <c r="CJ93" i="61" s="1"/>
  <c r="CJ97" i="61" s="1"/>
  <c r="BE60" i="63"/>
  <c r="BI62" i="63" s="1"/>
  <c r="BE161" i="63"/>
  <c r="BC41" i="63"/>
  <c r="BD27" i="63"/>
  <c r="BH29" i="63" s="1"/>
  <c r="BD49" i="63"/>
  <c r="BH51" i="63" s="1"/>
  <c r="AN71" i="63"/>
  <c r="X27" i="63"/>
  <c r="L27" i="63"/>
  <c r="CF55" i="2"/>
  <c r="CF54" i="2"/>
  <c r="CF53" i="2" s="1"/>
  <c r="CI126" i="63"/>
  <c r="CI404" i="63"/>
  <c r="CI124" i="63"/>
  <c r="CI129" i="63"/>
  <c r="CI128" i="63"/>
  <c r="CI125" i="63"/>
  <c r="CJ81" i="2"/>
  <c r="CJ83" i="2"/>
  <c r="CJ94" i="2"/>
  <c r="O27" i="63"/>
  <c r="O49" i="63"/>
  <c r="CD160" i="63"/>
  <c r="CD98" i="63"/>
  <c r="BB38" i="63"/>
  <c r="BB27" i="63"/>
  <c r="CH126" i="63"/>
  <c r="BA60" i="63"/>
  <c r="U27" i="63"/>
  <c r="E27" i="63"/>
  <c r="CC54" i="2"/>
  <c r="CC53" i="2" s="1"/>
  <c r="CC55" i="2"/>
  <c r="CJ56" i="2"/>
  <c r="CJ52" i="2"/>
  <c r="CF52" i="2"/>
  <c r="CF56" i="2"/>
  <c r="CB52" i="2"/>
  <c r="CB56" i="2"/>
  <c r="AH38" i="63"/>
  <c r="CJ160" i="63"/>
  <c r="CJ98" i="63"/>
  <c r="CE160" i="63"/>
  <c r="CE98" i="63"/>
  <c r="CH160" i="63"/>
  <c r="CH98" i="63"/>
  <c r="BZ160" i="63"/>
  <c r="BZ98" i="63"/>
  <c r="CG160" i="63"/>
  <c r="CG98" i="63"/>
  <c r="BY160" i="63"/>
  <c r="BY98" i="63"/>
  <c r="H27" i="63"/>
  <c r="CJ55" i="2"/>
  <c r="CJ54" i="2"/>
  <c r="CJ53" i="2" s="1"/>
  <c r="CI52" i="2"/>
  <c r="CI56" i="2"/>
  <c r="CE52" i="2"/>
  <c r="CE56" i="2"/>
  <c r="CA156" i="63"/>
  <c r="CA152" i="63"/>
  <c r="CA154" i="63"/>
  <c r="CA125" i="63"/>
  <c r="CA153" i="63"/>
  <c r="CA127" i="63"/>
  <c r="CA151" i="63"/>
  <c r="CA128" i="63"/>
  <c r="CA126" i="63"/>
  <c r="CA155" i="63"/>
  <c r="CA124" i="63"/>
  <c r="CA149" i="63"/>
  <c r="AT71" i="63"/>
  <c r="AD71" i="63"/>
  <c r="CK52" i="2"/>
  <c r="CK56" i="2"/>
  <c r="AZ49" i="63"/>
  <c r="K27" i="63"/>
  <c r="CD153" i="63"/>
  <c r="CD151" i="63"/>
  <c r="CD155" i="63"/>
  <c r="CD149" i="63"/>
  <c r="CD404" i="63"/>
  <c r="CD128" i="63"/>
  <c r="CD124" i="63"/>
  <c r="CD152" i="63"/>
  <c r="CD154" i="63"/>
  <c r="CD156" i="63"/>
  <c r="CD150" i="63"/>
  <c r="BZ149" i="63"/>
  <c r="BZ155" i="63"/>
  <c r="BZ152" i="63"/>
  <c r="BZ156" i="63"/>
  <c r="BZ150" i="63"/>
  <c r="BZ153" i="63"/>
  <c r="BZ128" i="63"/>
  <c r="BZ154" i="63"/>
  <c r="BZ125" i="63"/>
  <c r="BZ124" i="63"/>
  <c r="AL27" i="63"/>
  <c r="CC52" i="2"/>
  <c r="CC56" i="2"/>
  <c r="BD60" i="63"/>
  <c r="BH62" i="63" s="1"/>
  <c r="CD55" i="2"/>
  <c r="CD54" i="2"/>
  <c r="CD53" i="2" s="1"/>
  <c r="Q27" i="63"/>
  <c r="CK54" i="2"/>
  <c r="CK53" i="2" s="1"/>
  <c r="CK55" i="2"/>
  <c r="CG54" i="2"/>
  <c r="CG53" i="2" s="1"/>
  <c r="CG55" i="2"/>
  <c r="CF160" i="63"/>
  <c r="CF98" i="63"/>
  <c r="CB151" i="63"/>
  <c r="CB153" i="63"/>
  <c r="CB155" i="63"/>
  <c r="CB154" i="63"/>
  <c r="CB150" i="63"/>
  <c r="CB149" i="63"/>
  <c r="CB152" i="63"/>
  <c r="CB156" i="63"/>
  <c r="CB128" i="63"/>
  <c r="CB125" i="63"/>
  <c r="CB145" i="63"/>
  <c r="CB124" i="63"/>
  <c r="R27" i="63"/>
  <c r="BY156" i="63"/>
  <c r="BY154" i="63"/>
  <c r="BY153" i="63"/>
  <c r="BY155" i="63"/>
  <c r="BY152" i="63"/>
  <c r="BY150" i="63"/>
  <c r="BY149" i="63"/>
  <c r="BY151" i="63"/>
  <c r="BY145" i="63"/>
  <c r="CC160" i="63"/>
  <c r="CC98" i="63"/>
  <c r="AF71" i="63"/>
  <c r="T27" i="63"/>
  <c r="CE404" i="63"/>
  <c r="CE154" i="63"/>
  <c r="CE150" i="63"/>
  <c r="CE152" i="63"/>
  <c r="CE151" i="63"/>
  <c r="CE156" i="63"/>
  <c r="CE125" i="63"/>
  <c r="CE124" i="63"/>
  <c r="CE126" i="63"/>
  <c r="CE155" i="63"/>
  <c r="CE129" i="63"/>
  <c r="CE149" i="63"/>
  <c r="CE153" i="63"/>
  <c r="CE128" i="63"/>
  <c r="CA111" i="63"/>
  <c r="BC49" i="63"/>
  <c r="BG51" i="63" s="1"/>
  <c r="W27" i="63"/>
  <c r="G27" i="63"/>
  <c r="G49" i="63"/>
  <c r="CI54" i="2"/>
  <c r="CI53" i="2" s="1"/>
  <c r="CI55" i="2"/>
  <c r="CE55" i="2"/>
  <c r="CE54" i="2"/>
  <c r="CE53" i="2" s="1"/>
  <c r="CA54" i="2"/>
  <c r="CA53" i="2" s="1"/>
  <c r="CA55" i="2"/>
  <c r="CH52" i="2"/>
  <c r="CH56" i="2"/>
  <c r="BZ52" i="2"/>
  <c r="BZ56" i="2"/>
  <c r="Z49" i="63"/>
  <c r="CC152" i="63"/>
  <c r="CC150" i="63"/>
  <c r="CC156" i="63"/>
  <c r="CC154" i="63"/>
  <c r="CC155" i="63"/>
  <c r="CC126" i="63"/>
  <c r="CC151" i="63"/>
  <c r="CC149" i="63"/>
  <c r="CC153" i="63"/>
  <c r="CC128" i="63"/>
  <c r="CC125" i="63"/>
  <c r="CC124" i="63"/>
  <c r="CA129" i="63"/>
  <c r="BC71" i="63"/>
  <c r="BD16" i="63"/>
  <c r="BH18" i="63" s="1"/>
  <c r="CI81" i="2"/>
  <c r="CI94" i="2"/>
  <c r="CI83" i="2"/>
  <c r="V27" i="63"/>
  <c r="CD126" i="63"/>
  <c r="CD127" i="63"/>
  <c r="CE145" i="63"/>
  <c r="BE49" i="63"/>
  <c r="BI51" i="63" s="1"/>
  <c r="M27" i="63"/>
  <c r="CF150" i="63"/>
  <c r="CF149" i="63"/>
  <c r="CF404" i="63"/>
  <c r="CF155" i="63"/>
  <c r="CF153" i="63"/>
  <c r="CF125" i="63"/>
  <c r="CF152" i="63"/>
  <c r="CF124" i="63"/>
  <c r="CF128" i="63"/>
  <c r="CF156" i="63"/>
  <c r="CF151" i="63"/>
  <c r="CF154" i="63"/>
  <c r="CF129" i="63"/>
  <c r="CG52" i="2"/>
  <c r="CG56" i="2"/>
  <c r="CI160" i="63"/>
  <c r="CI98" i="63"/>
  <c r="CA160" i="63"/>
  <c r="CA98" i="63"/>
  <c r="CK160" i="63"/>
  <c r="CK98" i="63"/>
  <c r="CK81" i="2"/>
  <c r="CK83" i="2"/>
  <c r="CK94" i="2"/>
  <c r="AR71" i="63"/>
  <c r="P27" i="63"/>
  <c r="CB54" i="2"/>
  <c r="CB53" i="2" s="1"/>
  <c r="CB55" i="2"/>
  <c r="CA52" i="2"/>
  <c r="CA56" i="2"/>
  <c r="N27" i="63"/>
  <c r="CK165" i="63"/>
  <c r="CK167" i="63" s="1"/>
  <c r="S27" i="63"/>
  <c r="CH153" i="63"/>
  <c r="CH150" i="63"/>
  <c r="CH149" i="63"/>
  <c r="CH154" i="63"/>
  <c r="CH152" i="63"/>
  <c r="CH156" i="63"/>
  <c r="CH151" i="63"/>
  <c r="CH155" i="63"/>
  <c r="CH128" i="63"/>
  <c r="CH129" i="63"/>
  <c r="CH145" i="63"/>
  <c r="CH125" i="63"/>
  <c r="CH124" i="63"/>
  <c r="CH404" i="63"/>
  <c r="CD52" i="2"/>
  <c r="CD56" i="2"/>
  <c r="J27" i="63"/>
  <c r="CH55" i="2"/>
  <c r="CH54" i="2"/>
  <c r="CH53" i="2" s="1"/>
  <c r="BZ55" i="2"/>
  <c r="BZ54" i="2"/>
  <c r="BZ53" i="2" s="1"/>
  <c r="AZ60" i="63"/>
  <c r="BD38" i="63"/>
  <c r="BH40" i="63" s="1"/>
  <c r="AZ27" i="63"/>
  <c r="AZ16" i="63"/>
  <c r="F27" i="63"/>
  <c r="BZ127" i="63"/>
  <c r="I27" i="63"/>
  <c r="BY55" i="2"/>
  <c r="BY54" i="2"/>
  <c r="BY53" i="2" s="1"/>
  <c r="CB160" i="63"/>
  <c r="CB98" i="63"/>
  <c r="CG156" i="63"/>
  <c r="CG152" i="63"/>
  <c r="CG150" i="63"/>
  <c r="CG154" i="63"/>
  <c r="CG125" i="63"/>
  <c r="CG149" i="63"/>
  <c r="CG126" i="63"/>
  <c r="CG129" i="63"/>
  <c r="CG128" i="63"/>
  <c r="CG404" i="63"/>
  <c r="CG155" i="63"/>
  <c r="CG153" i="63"/>
  <c r="CG151" i="63"/>
  <c r="CG124" i="63"/>
  <c r="BY52" i="2"/>
  <c r="BY56" i="2"/>
  <c r="CL63" i="61"/>
  <c r="AL69" i="61"/>
  <c r="CL169" i="2"/>
  <c r="CL151" i="61"/>
  <c r="CF159" i="61"/>
  <c r="CJ159" i="61"/>
  <c r="N69" i="61"/>
  <c r="BY41" i="61"/>
  <c r="BY151" i="61" s="1"/>
  <c r="BE19" i="63"/>
  <c r="CC163" i="61"/>
  <c r="CC173" i="61" s="1"/>
  <c r="CC169" i="2"/>
  <c r="G37" i="61"/>
  <c r="G110" i="61" s="1"/>
  <c r="G111" i="61" s="1"/>
  <c r="BM144" i="61"/>
  <c r="CC103" i="61"/>
  <c r="CK129" i="61"/>
  <c r="CD145" i="61"/>
  <c r="CD37" i="61"/>
  <c r="CD110" i="61" s="1"/>
  <c r="CD111" i="61" s="1"/>
  <c r="CB162" i="61"/>
  <c r="CB173" i="61" s="1"/>
  <c r="CB169" i="2"/>
  <c r="CK123" i="61"/>
  <c r="CK81" i="61"/>
  <c r="CK78" i="61"/>
  <c r="CK80" i="61" s="1"/>
  <c r="CK150" i="61"/>
  <c r="CK159" i="61" s="1"/>
  <c r="BY9" i="61"/>
  <c r="BY119" i="61" s="1"/>
  <c r="CJ49" i="61"/>
  <c r="CJ13" i="61"/>
  <c r="G81" i="61"/>
  <c r="BZ25" i="61"/>
  <c r="CG81" i="61"/>
  <c r="CG151" i="61"/>
  <c r="CG159" i="61" s="1"/>
  <c r="CD123" i="61"/>
  <c r="CD81" i="61"/>
  <c r="CC78" i="61"/>
  <c r="CC80" i="61" s="1"/>
  <c r="CC150" i="61"/>
  <c r="CC159" i="61" s="1"/>
  <c r="CC39" i="61"/>
  <c r="CA13" i="61"/>
  <c r="CA37" i="61" s="1"/>
  <c r="O81" i="61"/>
  <c r="W37" i="61"/>
  <c r="BM142" i="61"/>
  <c r="BO27" i="2"/>
  <c r="BP27" i="2" s="1"/>
  <c r="BN32" i="61"/>
  <c r="BO29" i="2"/>
  <c r="BP29" i="2" s="1"/>
  <c r="BN34" i="61"/>
  <c r="BC337" i="63"/>
  <c r="CA744" i="63"/>
  <c r="BB52" i="63"/>
  <c r="CL44" i="2"/>
  <c r="CG24" i="63"/>
  <c r="CG76" i="63"/>
  <c r="CG25" i="63" s="1"/>
  <c r="N38" i="63"/>
  <c r="AQ77" i="63"/>
  <c r="AQ14" i="63"/>
  <c r="AQ58" i="63"/>
  <c r="AQ47" i="63"/>
  <c r="AQ79" i="63"/>
  <c r="AQ69" i="63"/>
  <c r="AQ25" i="63"/>
  <c r="AR77" i="63"/>
  <c r="AQ36" i="63"/>
  <c r="R71" i="63"/>
  <c r="X69" i="63"/>
  <c r="R49" i="63"/>
  <c r="AI69" i="63"/>
  <c r="AI77" i="63"/>
  <c r="AI14" i="63"/>
  <c r="AI47" i="63"/>
  <c r="AJ77" i="63"/>
  <c r="AI58" i="63"/>
  <c r="AI79" i="63"/>
  <c r="AI36" i="63"/>
  <c r="AI25" i="63"/>
  <c r="CE24" i="63"/>
  <c r="CE76" i="63"/>
  <c r="CE25" i="63" s="1"/>
  <c r="CK24" i="63"/>
  <c r="CJ76" i="63"/>
  <c r="CI135" i="63"/>
  <c r="AU143" i="63"/>
  <c r="AU145" i="63" s="1"/>
  <c r="BC92" i="63"/>
  <c r="CK11" i="61"/>
  <c r="CK37" i="61" s="1"/>
  <c r="CK108" i="61" s="1"/>
  <c r="BC96" i="61"/>
  <c r="BC93" i="61"/>
  <c r="AU58" i="63"/>
  <c r="AU47" i="63"/>
  <c r="AU77" i="63"/>
  <c r="AV77" i="63"/>
  <c r="AU14" i="63"/>
  <c r="AU79" i="63"/>
  <c r="AU69" i="63"/>
  <c r="AU36" i="63"/>
  <c r="AU25" i="63"/>
  <c r="AZ23" i="63"/>
  <c r="CH76" i="63"/>
  <c r="CH24" i="63"/>
  <c r="BO23" i="63"/>
  <c r="BC23" i="63"/>
  <c r="CF76" i="63"/>
  <c r="CF24" i="63"/>
  <c r="AA79" i="63"/>
  <c r="AA69" i="63"/>
  <c r="AA14" i="63"/>
  <c r="AA47" i="63"/>
  <c r="AA25" i="63"/>
  <c r="AA58" i="63"/>
  <c r="AB77" i="63"/>
  <c r="AA77" i="63"/>
  <c r="AA36" i="63"/>
  <c r="BD23" i="63"/>
  <c r="BL23" i="63"/>
  <c r="CJ24" i="63"/>
  <c r="CI24" i="63"/>
  <c r="CI76" i="63"/>
  <c r="AV23" i="63"/>
  <c r="AM69" i="63"/>
  <c r="AM47" i="63"/>
  <c r="AM79" i="63"/>
  <c r="AN77" i="63"/>
  <c r="AM36" i="63"/>
  <c r="AM25" i="63"/>
  <c r="AM77" i="63"/>
  <c r="AM58" i="63"/>
  <c r="AM14" i="63"/>
  <c r="R60" i="63"/>
  <c r="N60" i="63"/>
  <c r="P69" i="63"/>
  <c r="T69" i="63"/>
  <c r="CK104" i="61"/>
  <c r="AY143" i="63"/>
  <c r="AY145" i="63" s="1"/>
  <c r="AE58" i="63"/>
  <c r="AE47" i="63"/>
  <c r="AE77" i="63"/>
  <c r="AF77" i="63"/>
  <c r="AE79" i="63"/>
  <c r="AE25" i="63"/>
  <c r="AE14" i="63"/>
  <c r="AE69" i="63"/>
  <c r="AE36" i="63"/>
  <c r="S36" i="63"/>
  <c r="W79" i="63"/>
  <c r="S69" i="63"/>
  <c r="S47" i="63"/>
  <c r="S14" i="63"/>
  <c r="S58" i="63"/>
  <c r="S79" i="63"/>
  <c r="AY36" i="63"/>
  <c r="AZ77" i="63"/>
  <c r="AY165" i="63"/>
  <c r="AY167" i="63" s="1"/>
  <c r="AY69" i="63"/>
  <c r="AY77" i="63"/>
  <c r="AY79" i="63"/>
  <c r="AY58" i="63"/>
  <c r="BC79" i="63"/>
  <c r="AY25" i="63"/>
  <c r="AY14" i="63"/>
  <c r="AY47" i="63"/>
  <c r="AY23" i="63"/>
  <c r="CH104" i="61"/>
  <c r="CD104" i="61"/>
  <c r="CE104" i="61"/>
  <c r="CF104" i="61"/>
  <c r="CG104" i="61"/>
  <c r="CJ104" i="61"/>
  <c r="CB104" i="61"/>
  <c r="CL141" i="2"/>
  <c r="CL142" i="2" s="1"/>
  <c r="J104" i="61"/>
  <c r="T104" i="61"/>
  <c r="AC161" i="63"/>
  <c r="AC99" i="63"/>
  <c r="N99" i="63"/>
  <c r="N161" i="63"/>
  <c r="M161" i="63"/>
  <c r="M99" i="63"/>
  <c r="AI161" i="63"/>
  <c r="AI99" i="63"/>
  <c r="BC161" i="63"/>
  <c r="BC99" i="63"/>
  <c r="O104" i="61"/>
  <c r="G104" i="61"/>
  <c r="AQ99" i="63"/>
  <c r="AQ161" i="63"/>
  <c r="AQ405" i="63" s="1"/>
  <c r="AQ91" i="63"/>
  <c r="S161" i="63"/>
  <c r="S99" i="63"/>
  <c r="R99" i="63"/>
  <c r="R161" i="63"/>
  <c r="M104" i="61"/>
  <c r="BE99" i="63"/>
  <c r="L99" i="63"/>
  <c r="L161" i="63"/>
  <c r="AS161" i="63"/>
  <c r="AS405" i="63" s="1"/>
  <c r="AS91" i="63"/>
  <c r="AS99" i="63"/>
  <c r="AV99" i="63"/>
  <c r="AV161" i="63"/>
  <c r="AV405" i="63" s="1"/>
  <c r="AV91" i="63"/>
  <c r="I104" i="61"/>
  <c r="AX99" i="63"/>
  <c r="AX161" i="63"/>
  <c r="AX405" i="63" s="1"/>
  <c r="AX91" i="63"/>
  <c r="AN99" i="63"/>
  <c r="AN161" i="63"/>
  <c r="AN405" i="63" s="1"/>
  <c r="AN91" i="63"/>
  <c r="AZ99" i="63"/>
  <c r="AZ161" i="63"/>
  <c r="AM99" i="63"/>
  <c r="AM161" i="63"/>
  <c r="AM405" i="63" s="1"/>
  <c r="AM91" i="63"/>
  <c r="O99" i="63"/>
  <c r="O161" i="63"/>
  <c r="AL99" i="63"/>
  <c r="AL161" i="63"/>
  <c r="AL405" i="63" s="1"/>
  <c r="AL91" i="63"/>
  <c r="AP99" i="63"/>
  <c r="AP161" i="63"/>
  <c r="AP405" i="63" s="1"/>
  <c r="AP91" i="63"/>
  <c r="BA161" i="63"/>
  <c r="BA99" i="63"/>
  <c r="F104" i="61"/>
  <c r="AJ99" i="63"/>
  <c r="AJ91" i="63"/>
  <c r="AJ161" i="63"/>
  <c r="AJ405" i="63" s="1"/>
  <c r="H104" i="61"/>
  <c r="K104" i="61"/>
  <c r="AY161" i="63"/>
  <c r="AY99" i="63"/>
  <c r="AE161" i="63"/>
  <c r="AE99" i="63"/>
  <c r="K99" i="63"/>
  <c r="K161" i="63"/>
  <c r="L104" i="61"/>
  <c r="H99" i="63"/>
  <c r="H161" i="63"/>
  <c r="AD99" i="63"/>
  <c r="AD161" i="63"/>
  <c r="N104" i="61"/>
  <c r="V104" i="61"/>
  <c r="BB99" i="63"/>
  <c r="BB91" i="63"/>
  <c r="BB161" i="63"/>
  <c r="BB405" i="63" s="1"/>
  <c r="AT99" i="63"/>
  <c r="AT161" i="63"/>
  <c r="AT405" i="63" s="1"/>
  <c r="AT91" i="63"/>
  <c r="AH99" i="63"/>
  <c r="AH161" i="63"/>
  <c r="BD99" i="63"/>
  <c r="BD161" i="63"/>
  <c r="AR99" i="63"/>
  <c r="AR91" i="63"/>
  <c r="AR161" i="63"/>
  <c r="AR405" i="63" s="1"/>
  <c r="W161" i="63"/>
  <c r="W99" i="63"/>
  <c r="E104" i="61"/>
  <c r="AF99" i="63"/>
  <c r="AF161" i="63"/>
  <c r="Z99" i="63"/>
  <c r="Z161" i="63"/>
  <c r="CK336" i="63"/>
  <c r="CK302" i="63"/>
  <c r="L79" i="63"/>
  <c r="L77" i="63"/>
  <c r="L58" i="63"/>
  <c r="L47" i="63"/>
  <c r="L36" i="63"/>
  <c r="L14" i="63"/>
  <c r="M77" i="63"/>
  <c r="AZ337" i="63"/>
  <c r="T79" i="63"/>
  <c r="T77" i="63"/>
  <c r="T58" i="63"/>
  <c r="T14" i="63"/>
  <c r="T47" i="63"/>
  <c r="T36" i="63"/>
  <c r="U77" i="63"/>
  <c r="CC76" i="63"/>
  <c r="BD336" i="63"/>
  <c r="BE334" i="63"/>
  <c r="BD368" i="63"/>
  <c r="BD343" i="63"/>
  <c r="BC372" i="63"/>
  <c r="CK319" i="63"/>
  <c r="X79" i="63"/>
  <c r="X77" i="63"/>
  <c r="X58" i="63"/>
  <c r="X14" i="63"/>
  <c r="X47" i="63"/>
  <c r="X36" i="63"/>
  <c r="Y77" i="63"/>
  <c r="AB79" i="63"/>
  <c r="AB67" i="63"/>
  <c r="AF67" i="63"/>
  <c r="AN67" i="63"/>
  <c r="AJ67" i="63"/>
  <c r="BD305" i="63"/>
  <c r="BD302" i="63"/>
  <c r="BE300" i="63"/>
  <c r="AU375" i="63"/>
  <c r="AV375" i="63" s="1"/>
  <c r="AW375" i="63" s="1"/>
  <c r="AU377" i="63"/>
  <c r="AX377" i="63"/>
  <c r="AX378" i="63" s="1"/>
  <c r="AX375" i="63"/>
  <c r="AY375" i="63" s="1"/>
  <c r="AZ375" i="63" s="1"/>
  <c r="BA375" i="63" s="1"/>
  <c r="CJ372" i="63"/>
  <c r="BD322" i="63"/>
  <c r="BD319" i="63"/>
  <c r="BE317" i="63"/>
  <c r="CL24" i="63"/>
  <c r="P79" i="63"/>
  <c r="P77" i="63"/>
  <c r="P58" i="63"/>
  <c r="P36" i="63"/>
  <c r="P47" i="63"/>
  <c r="P14" i="63"/>
  <c r="Q77" i="63"/>
  <c r="AZ372" i="63"/>
  <c r="AO90" i="63"/>
  <c r="AN89" i="63"/>
  <c r="CA76" i="63"/>
  <c r="CB76" i="63"/>
  <c r="Y67" i="63"/>
  <c r="AC67" i="63"/>
  <c r="AG67" i="63"/>
  <c r="AK67" i="63"/>
  <c r="BZ76" i="63"/>
  <c r="BA368" i="63"/>
  <c r="CK368" i="63" s="1"/>
  <c r="BA343" i="63"/>
  <c r="CK343" i="63" s="1"/>
  <c r="CK344" i="63" s="1"/>
  <c r="BA336" i="63"/>
  <c r="BB377" i="63"/>
  <c r="BB378" i="63" s="1"/>
  <c r="BB375" i="63"/>
  <c r="BC375" i="63" s="1"/>
  <c r="BD375" i="63" s="1"/>
  <c r="BE375" i="63" s="1"/>
  <c r="BF375" i="63" s="1"/>
  <c r="BG375" i="63" s="1"/>
  <c r="BH375" i="63" s="1"/>
  <c r="BI375" i="63" s="1"/>
  <c r="BJ375" i="63" s="1"/>
  <c r="BK375" i="63" s="1"/>
  <c r="BY14" i="63"/>
  <c r="BY47" i="63"/>
  <c r="AZ370" i="63"/>
  <c r="AZ369" i="63"/>
  <c r="AZ320" i="63"/>
  <c r="BC370" i="63"/>
  <c r="BC369" i="63"/>
  <c r="CJ165" i="63"/>
  <c r="CJ167" i="63" s="1"/>
  <c r="CJ370" i="63"/>
  <c r="AR395" i="63"/>
  <c r="AR378" i="63"/>
  <c r="BC320" i="63"/>
  <c r="BC168" i="63" s="1"/>
  <c r="L69" i="63"/>
  <c r="CD76" i="63"/>
  <c r="H77" i="63"/>
  <c r="H58" i="63"/>
  <c r="H14" i="63"/>
  <c r="H36" i="63"/>
  <c r="H47" i="63"/>
  <c r="I77" i="63"/>
  <c r="H69" i="63"/>
  <c r="BA305" i="63"/>
  <c r="BA302" i="63"/>
  <c r="CI375" i="63"/>
  <c r="CI377" i="63"/>
  <c r="CI395" i="63" s="1"/>
  <c r="CL76" i="63"/>
  <c r="CA127" i="61"/>
  <c r="CH162" i="61"/>
  <c r="CH173" i="61" s="1"/>
  <c r="CH63" i="61"/>
  <c r="CH169" i="2"/>
  <c r="CD162" i="61"/>
  <c r="CD173" i="61" s="1"/>
  <c r="CD63" i="61"/>
  <c r="CD169" i="2"/>
  <c r="BY152" i="61"/>
  <c r="BY159" i="61" s="1"/>
  <c r="BY49" i="61"/>
  <c r="CG37" i="61"/>
  <c r="AH110" i="61"/>
  <c r="AH111" i="61" s="1"/>
  <c r="AH69" i="61"/>
  <c r="AT94" i="61"/>
  <c r="AT97" i="61"/>
  <c r="AI37" i="61"/>
  <c r="AI108" i="61" s="1"/>
  <c r="BY123" i="61"/>
  <c r="BY81" i="61"/>
  <c r="F110" i="61"/>
  <c r="F111" i="61" s="1"/>
  <c r="F69" i="61"/>
  <c r="F94" i="61"/>
  <c r="F97" i="61"/>
  <c r="Z110" i="61"/>
  <c r="Z111" i="61" s="1"/>
  <c r="Z69" i="61"/>
  <c r="AE94" i="61"/>
  <c r="AE97" i="61"/>
  <c r="BY55" i="61"/>
  <c r="CI162" i="61"/>
  <c r="CI173" i="61" s="1"/>
  <c r="CI63" i="61"/>
  <c r="CI169" i="2"/>
  <c r="AU96" i="61"/>
  <c r="AU93" i="61"/>
  <c r="CI11" i="61"/>
  <c r="AU37" i="61"/>
  <c r="AU108" i="61" s="1"/>
  <c r="O37" i="61"/>
  <c r="O108" i="61" s="1"/>
  <c r="CC9" i="61"/>
  <c r="CC119" i="61" s="1"/>
  <c r="CF162" i="61"/>
  <c r="CF173" i="61" s="1"/>
  <c r="CF63" i="61"/>
  <c r="CF169" i="2"/>
  <c r="CK162" i="61"/>
  <c r="CK173" i="61" s="1"/>
  <c r="CK63" i="61"/>
  <c r="CK169" i="2"/>
  <c r="AM37" i="61"/>
  <c r="AM108" i="61" s="1"/>
  <c r="CF123" i="61"/>
  <c r="CF37" i="61"/>
  <c r="V110" i="61"/>
  <c r="V111" i="61" s="1"/>
  <c r="V69" i="61"/>
  <c r="N94" i="61"/>
  <c r="N97" i="61"/>
  <c r="K110" i="61"/>
  <c r="K111" i="61" s="1"/>
  <c r="K69" i="61"/>
  <c r="O94" i="61"/>
  <c r="O97" i="61"/>
  <c r="CN166" i="61"/>
  <c r="V94" i="61"/>
  <c r="V97" i="61"/>
  <c r="S81" i="61"/>
  <c r="CB13" i="61"/>
  <c r="CE37" i="61"/>
  <c r="CJ162" i="61"/>
  <c r="CJ173" i="61" s="1"/>
  <c r="CJ63" i="61"/>
  <c r="CJ169" i="2"/>
  <c r="AY110" i="61"/>
  <c r="AY111" i="61" s="1"/>
  <c r="AY69" i="61"/>
  <c r="G96" i="61"/>
  <c r="G93" i="61"/>
  <c r="BY11" i="61"/>
  <c r="BQ138" i="1" s="1"/>
  <c r="AQ63" i="61"/>
  <c r="AQ169" i="2"/>
  <c r="AT110" i="61"/>
  <c r="AT111" i="61" s="1"/>
  <c r="AT69" i="61"/>
  <c r="CB152" i="61"/>
  <c r="CB159" i="61" s="1"/>
  <c r="CB49" i="61"/>
  <c r="AD94" i="61"/>
  <c r="AD97" i="61"/>
  <c r="CC63" i="61"/>
  <c r="BJ87" i="2"/>
  <c r="BN18" i="2"/>
  <c r="BJ89" i="2"/>
  <c r="BJ139" i="2"/>
  <c r="BJ140" i="2" s="1"/>
  <c r="BJ141" i="2" s="1"/>
  <c r="BJ92" i="2"/>
  <c r="G71" i="63" l="1"/>
  <c r="J38" i="63"/>
  <c r="AF49" i="63"/>
  <c r="AK27" i="63"/>
  <c r="AW71" i="63"/>
  <c r="BV138" i="1"/>
  <c r="BV92" i="63"/>
  <c r="CO127" i="1"/>
  <c r="BT127" i="1"/>
  <c r="BU127" i="1" s="1"/>
  <c r="BV127" i="1" s="1"/>
  <c r="BW127" i="1" s="1"/>
  <c r="CP127" i="1" s="1"/>
  <c r="BW138" i="1"/>
  <c r="BW92" i="63"/>
  <c r="J60" i="63"/>
  <c r="J63" i="63" s="1"/>
  <c r="R16" i="63"/>
  <c r="R19" i="63" s="1"/>
  <c r="I49" i="63"/>
  <c r="I52" i="63" s="1"/>
  <c r="AO49" i="63"/>
  <c r="Z38" i="63"/>
  <c r="AP27" i="63"/>
  <c r="AP30" i="63" s="1"/>
  <c r="AL71" i="63"/>
  <c r="AD38" i="63"/>
  <c r="AH71" i="63"/>
  <c r="AH74" i="63" s="1"/>
  <c r="G60" i="63"/>
  <c r="F49" i="63"/>
  <c r="F52" i="63" s="1"/>
  <c r="AK49" i="63"/>
  <c r="AV16" i="63"/>
  <c r="O16" i="63"/>
  <c r="AJ16" i="63"/>
  <c r="AJ19" i="63" s="1"/>
  <c r="AK60" i="63"/>
  <c r="Y27" i="63"/>
  <c r="O71" i="63"/>
  <c r="G38" i="63"/>
  <c r="K40" i="63" s="1"/>
  <c r="CI92" i="63"/>
  <c r="CG92" i="63"/>
  <c r="J180" i="61"/>
  <c r="J183" i="61" s="1"/>
  <c r="AA69" i="61"/>
  <c r="CN64" i="2"/>
  <c r="BY36" i="63"/>
  <c r="BY58" i="63"/>
  <c r="J16" i="63"/>
  <c r="J19" i="63" s="1"/>
  <c r="BY69" i="63"/>
  <c r="AX71" i="63"/>
  <c r="AH27" i="63"/>
  <c r="AL29" i="63" s="1"/>
  <c r="AC16" i="63"/>
  <c r="AS27" i="63"/>
  <c r="AS30" i="63" s="1"/>
  <c r="W60" i="63"/>
  <c r="W63" i="63" s="1"/>
  <c r="AC27" i="63"/>
  <c r="AC30" i="63" s="1"/>
  <c r="BB50" i="63"/>
  <c r="AN38" i="63"/>
  <c r="O38" i="63"/>
  <c r="AL16" i="63"/>
  <c r="F71" i="63"/>
  <c r="F74" i="63" s="1"/>
  <c r="I38" i="63"/>
  <c r="I41" i="63" s="1"/>
  <c r="AB71" i="63"/>
  <c r="AB74" i="63" s="1"/>
  <c r="Z51" i="63"/>
  <c r="E16" i="63"/>
  <c r="AO60" i="63"/>
  <c r="E38" i="63"/>
  <c r="AK16" i="63"/>
  <c r="AK19" i="63" s="1"/>
  <c r="AW38" i="63"/>
  <c r="AS60" i="63"/>
  <c r="AH60" i="63"/>
  <c r="AD27" i="63"/>
  <c r="AD28" i="63" s="1"/>
  <c r="U16" i="63"/>
  <c r="U19" i="63" s="1"/>
  <c r="G16" i="63"/>
  <c r="BE63" i="63"/>
  <c r="BE41" i="63"/>
  <c r="S37" i="61"/>
  <c r="S108" i="61" s="1"/>
  <c r="S138" i="1"/>
  <c r="CE138" i="1"/>
  <c r="CE139" i="1" s="1"/>
  <c r="AE139" i="1"/>
  <c r="BS138" i="1"/>
  <c r="BS92" i="63"/>
  <c r="CA121" i="61"/>
  <c r="CA96" i="61"/>
  <c r="CA94" i="61" s="1"/>
  <c r="CA93" i="61" s="1"/>
  <c r="CA97" i="61" s="1"/>
  <c r="CD96" i="61"/>
  <c r="CD94" i="61" s="1"/>
  <c r="CD93" i="61" s="1"/>
  <c r="CD97" i="61" s="1"/>
  <c r="CD121" i="61"/>
  <c r="CD147" i="61" s="1"/>
  <c r="CD179" i="61" s="1"/>
  <c r="W138" i="1"/>
  <c r="W96" i="61"/>
  <c r="CC11" i="61"/>
  <c r="W93" i="61"/>
  <c r="AT139" i="1"/>
  <c r="AI139" i="1"/>
  <c r="CF138" i="1"/>
  <c r="CF139" i="1" s="1"/>
  <c r="AQ139" i="1"/>
  <c r="CH138" i="1"/>
  <c r="CH139" i="1" s="1"/>
  <c r="CI138" i="1"/>
  <c r="CI139" i="1" s="1"/>
  <c r="AU139" i="1"/>
  <c r="CE96" i="61"/>
  <c r="CE94" i="61" s="1"/>
  <c r="CE93" i="61" s="1"/>
  <c r="CE97" i="61" s="1"/>
  <c r="CE121" i="61"/>
  <c r="CE147" i="61" s="1"/>
  <c r="CE179" i="61" s="1"/>
  <c r="CA138" i="1"/>
  <c r="O139" i="1"/>
  <c r="AA139" i="1"/>
  <c r="CD138" i="1"/>
  <c r="CL138" i="1"/>
  <c r="CL139" i="1" s="1"/>
  <c r="CL179" i="1" s="1"/>
  <c r="AM139" i="1"/>
  <c r="CG138" i="1"/>
  <c r="CB99" i="63"/>
  <c r="AA78" i="63"/>
  <c r="BQ29" i="2"/>
  <c r="BP34" i="61"/>
  <c r="BQ27" i="2"/>
  <c r="BP32" i="61"/>
  <c r="AW27" i="63"/>
  <c r="BA29" i="63" s="1"/>
  <c r="I16" i="63"/>
  <c r="I19" i="63" s="1"/>
  <c r="E73" i="61"/>
  <c r="W38" i="63"/>
  <c r="W41" i="63" s="1"/>
  <c r="Z60" i="63"/>
  <c r="AX49" i="63"/>
  <c r="BD337" i="63"/>
  <c r="AD49" i="63"/>
  <c r="AW41" i="63"/>
  <c r="AR38" i="63"/>
  <c r="AL38" i="63"/>
  <c r="AL41" i="63" s="1"/>
  <c r="BQ92" i="63"/>
  <c r="CO92" i="63" s="1"/>
  <c r="CO166" i="61"/>
  <c r="CP166" i="61" s="1"/>
  <c r="AP78" i="63"/>
  <c r="AT78" i="63" s="1"/>
  <c r="AX78" i="63" s="1"/>
  <c r="AL78" i="63"/>
  <c r="AX38" i="63"/>
  <c r="AX41" i="63" s="1"/>
  <c r="Z27" i="63"/>
  <c r="Q49" i="63"/>
  <c r="AT27" i="63"/>
  <c r="AT28" i="63" s="1"/>
  <c r="E71" i="63"/>
  <c r="E74" i="63" s="1"/>
  <c r="M60" i="63"/>
  <c r="M49" i="63"/>
  <c r="K71" i="63"/>
  <c r="K72" i="63" s="1"/>
  <c r="AC71" i="63"/>
  <c r="K49" i="63"/>
  <c r="K52" i="63" s="1"/>
  <c r="W49" i="63"/>
  <c r="W50" i="63" s="1"/>
  <c r="U71" i="63"/>
  <c r="U74" i="63" s="1"/>
  <c r="V50" i="63"/>
  <c r="W16" i="63"/>
  <c r="AG38" i="63"/>
  <c r="AG41" i="63" s="1"/>
  <c r="AD16" i="63"/>
  <c r="AH16" i="63"/>
  <c r="AR60" i="63"/>
  <c r="AJ49" i="63"/>
  <c r="Y16" i="63"/>
  <c r="AL49" i="63"/>
  <c r="I60" i="63"/>
  <c r="AR16" i="63"/>
  <c r="CF147" i="61"/>
  <c r="CF179" i="61" s="1"/>
  <c r="AA110" i="61"/>
  <c r="AA111" i="61" s="1"/>
  <c r="Z78" i="63"/>
  <c r="CG89" i="63"/>
  <c r="AK52" i="63"/>
  <c r="AH78" i="63"/>
  <c r="AD78" i="63"/>
  <c r="Y49" i="63"/>
  <c r="AX27" i="63"/>
  <c r="BB29" i="63" s="1"/>
  <c r="Z71" i="63"/>
  <c r="Z73" i="63" s="1"/>
  <c r="AW49" i="63"/>
  <c r="BA51" i="63" s="1"/>
  <c r="AP71" i="63"/>
  <c r="AL28" i="63"/>
  <c r="AT38" i="63"/>
  <c r="AT41" i="63" s="1"/>
  <c r="AJ71" i="63"/>
  <c r="AC38" i="63"/>
  <c r="AS71" i="63"/>
  <c r="AF16" i="63"/>
  <c r="AB49" i="63"/>
  <c r="AF51" i="63" s="1"/>
  <c r="AR49" i="63"/>
  <c r="AC60" i="63"/>
  <c r="AC63" i="63" s="1"/>
  <c r="K60" i="63"/>
  <c r="O62" i="63" s="1"/>
  <c r="G74" i="63"/>
  <c r="AN60" i="63"/>
  <c r="K16" i="63"/>
  <c r="AG27" i="63"/>
  <c r="AG28" i="63" s="1"/>
  <c r="AT60" i="63"/>
  <c r="O74" i="63"/>
  <c r="AJ38" i="63"/>
  <c r="Y60" i="63"/>
  <c r="U60" i="63"/>
  <c r="AO16" i="63"/>
  <c r="I71" i="63"/>
  <c r="J72" i="63" s="1"/>
  <c r="E49" i="63"/>
  <c r="E52" i="63" s="1"/>
  <c r="W69" i="61"/>
  <c r="W108" i="61"/>
  <c r="BC110" i="61"/>
  <c r="BC111" i="61" s="1"/>
  <c r="BC108" i="61"/>
  <c r="AE69" i="61"/>
  <c r="AE108" i="61"/>
  <c r="AQ110" i="61"/>
  <c r="AQ111" i="61" s="1"/>
  <c r="AQ108" i="61"/>
  <c r="AO27" i="63"/>
  <c r="BG62" i="63"/>
  <c r="AG19" i="63"/>
  <c r="BG125" i="63"/>
  <c r="BG128" i="63"/>
  <c r="BG126" i="63"/>
  <c r="BG124" i="63"/>
  <c r="BG127" i="63"/>
  <c r="AX16" i="63"/>
  <c r="BB18" i="63" s="1"/>
  <c r="AX60" i="63"/>
  <c r="BB62" i="63" s="1"/>
  <c r="AW60" i="63"/>
  <c r="BA62" i="63" s="1"/>
  <c r="U38" i="63"/>
  <c r="AD60" i="63"/>
  <c r="Z16" i="63"/>
  <c r="AL60" i="63"/>
  <c r="AL61" i="63" s="1"/>
  <c r="AP60" i="63"/>
  <c r="AT16" i="63"/>
  <c r="AP16" i="63"/>
  <c r="AP49" i="63"/>
  <c r="AH49" i="63"/>
  <c r="AP38" i="63"/>
  <c r="AP39" i="63" s="1"/>
  <c r="M16" i="63"/>
  <c r="M19" i="63" s="1"/>
  <c r="AG60" i="63"/>
  <c r="AG71" i="63"/>
  <c r="AG74" i="63" s="1"/>
  <c r="AB60" i="63"/>
  <c r="AB63" i="63" s="1"/>
  <c r="Y38" i="63"/>
  <c r="AG49" i="63"/>
  <c r="AG51" i="63" s="1"/>
  <c r="Q71" i="63"/>
  <c r="R72" i="63" s="1"/>
  <c r="AV27" i="63"/>
  <c r="Q16" i="63"/>
  <c r="W71" i="63"/>
  <c r="W72" i="63" s="1"/>
  <c r="AR27" i="63"/>
  <c r="Y71" i="63"/>
  <c r="Q38" i="63"/>
  <c r="R39" i="63" s="1"/>
  <c r="AV49" i="63"/>
  <c r="AN49" i="63"/>
  <c r="BE30" i="63"/>
  <c r="AV60" i="63"/>
  <c r="AV63" i="63" s="1"/>
  <c r="BE29" i="63"/>
  <c r="AK71" i="63"/>
  <c r="AF60" i="63"/>
  <c r="AB27" i="63"/>
  <c r="AV71" i="63"/>
  <c r="AS16" i="63"/>
  <c r="AK38" i="63"/>
  <c r="AO40" i="63" s="1"/>
  <c r="M71" i="63"/>
  <c r="N72" i="63" s="1"/>
  <c r="O19" i="63"/>
  <c r="CM32" i="63"/>
  <c r="BL32" i="63"/>
  <c r="AB16" i="63"/>
  <c r="AJ60" i="63"/>
  <c r="AJ27" i="63"/>
  <c r="AJ29" i="63" s="1"/>
  <c r="AN27" i="63"/>
  <c r="AN16" i="63"/>
  <c r="E60" i="63"/>
  <c r="AW78" i="63"/>
  <c r="AB38" i="63"/>
  <c r="AS49" i="63"/>
  <c r="AF38" i="63"/>
  <c r="AS38" i="63"/>
  <c r="AS40" i="63" s="1"/>
  <c r="AV38" i="63"/>
  <c r="AO41" i="63"/>
  <c r="AQ69" i="61"/>
  <c r="BN54" i="2"/>
  <c r="BM53" i="2"/>
  <c r="N52" i="63"/>
  <c r="AJ52" i="63"/>
  <c r="G99" i="63"/>
  <c r="BE40" i="63"/>
  <c r="AK63" i="63"/>
  <c r="AL19" i="63"/>
  <c r="BC69" i="61"/>
  <c r="R51" i="63"/>
  <c r="CB161" i="63"/>
  <c r="AW19" i="63"/>
  <c r="BE17" i="63"/>
  <c r="AZ168" i="63"/>
  <c r="N39" i="63"/>
  <c r="BN144" i="61"/>
  <c r="AE110" i="61"/>
  <c r="AE111" i="61" s="1"/>
  <c r="CH69" i="61"/>
  <c r="CH179" i="61"/>
  <c r="AI94" i="61"/>
  <c r="AI97" i="61"/>
  <c r="CH92" i="63"/>
  <c r="AQ97" i="61"/>
  <c r="CB11" i="61"/>
  <c r="S96" i="61"/>
  <c r="S93" i="61"/>
  <c r="R94" i="61"/>
  <c r="R97" i="61"/>
  <c r="R69" i="61"/>
  <c r="R110" i="61"/>
  <c r="R111" i="61" s="1"/>
  <c r="BB61" i="63"/>
  <c r="V72" i="63"/>
  <c r="AF30" i="63"/>
  <c r="W19" i="63"/>
  <c r="BB95" i="63"/>
  <c r="BB96" i="63" s="1"/>
  <c r="J40" i="63"/>
  <c r="N41" i="63"/>
  <c r="R61" i="63"/>
  <c r="BA18" i="63"/>
  <c r="G63" i="63"/>
  <c r="N74" i="63"/>
  <c r="AZ41" i="63"/>
  <c r="R74" i="63"/>
  <c r="BB17" i="63"/>
  <c r="BC61" i="63"/>
  <c r="G161" i="63"/>
  <c r="BB63" i="63"/>
  <c r="N63" i="63"/>
  <c r="N40" i="63"/>
  <c r="BB19" i="63"/>
  <c r="AG63" i="63"/>
  <c r="Q63" i="63"/>
  <c r="V19" i="63"/>
  <c r="BA19" i="63"/>
  <c r="BA52" i="63"/>
  <c r="AN41" i="63"/>
  <c r="CK16" i="63"/>
  <c r="BC63" i="63"/>
  <c r="BA41" i="63"/>
  <c r="BA39" i="63"/>
  <c r="BZ157" i="63"/>
  <c r="BZ163" i="63" s="1"/>
  <c r="U52" i="63"/>
  <c r="R40" i="63"/>
  <c r="J73" i="63"/>
  <c r="J41" i="63"/>
  <c r="AC52" i="63"/>
  <c r="F19" i="63"/>
  <c r="R41" i="63"/>
  <c r="CK71" i="63"/>
  <c r="BC95" i="63"/>
  <c r="BY157" i="63"/>
  <c r="BY163" i="63" s="1"/>
  <c r="CB157" i="63"/>
  <c r="CB163" i="63" s="1"/>
  <c r="CA157" i="63"/>
  <c r="CA163" i="63" s="1"/>
  <c r="O73" i="63"/>
  <c r="BC30" i="63"/>
  <c r="F41" i="63"/>
  <c r="BC19" i="63"/>
  <c r="BC17" i="63"/>
  <c r="V63" i="63"/>
  <c r="K41" i="63"/>
  <c r="F39" i="63"/>
  <c r="BE62" i="63"/>
  <c r="M41" i="63"/>
  <c r="M40" i="63"/>
  <c r="F63" i="63"/>
  <c r="G69" i="61"/>
  <c r="BA28" i="63"/>
  <c r="CK27" i="63"/>
  <c r="AZ30" i="63"/>
  <c r="CB27" i="63"/>
  <c r="BD18" i="63"/>
  <c r="BD17" i="63"/>
  <c r="BD95" i="63"/>
  <c r="BD19" i="63"/>
  <c r="CC130" i="63"/>
  <c r="CC157" i="63"/>
  <c r="CC163" i="63" s="1"/>
  <c r="CE157" i="63"/>
  <c r="CE163" i="63" s="1"/>
  <c r="CE130" i="63"/>
  <c r="CB130" i="63"/>
  <c r="AL30" i="63"/>
  <c r="BB28" i="63"/>
  <c r="BB30" i="63"/>
  <c r="BC28" i="63"/>
  <c r="BD52" i="63"/>
  <c r="BD50" i="63"/>
  <c r="BD51" i="63"/>
  <c r="BD303" i="63"/>
  <c r="BD41" i="63"/>
  <c r="BD40" i="63"/>
  <c r="BE39" i="63"/>
  <c r="BD39" i="63"/>
  <c r="CH130" i="63"/>
  <c r="CF157" i="63"/>
  <c r="CF163" i="63" s="1"/>
  <c r="G52" i="63"/>
  <c r="AF52" i="63"/>
  <c r="AP29" i="63"/>
  <c r="CD157" i="63"/>
  <c r="CD163" i="63" s="1"/>
  <c r="CD130" i="63"/>
  <c r="AD41" i="63"/>
  <c r="AH41" i="63"/>
  <c r="AH40" i="63"/>
  <c r="BY27" i="63"/>
  <c r="BA63" i="63"/>
  <c r="BA95" i="63"/>
  <c r="BA61" i="63"/>
  <c r="BB41" i="63"/>
  <c r="CK38" i="63"/>
  <c r="BB39" i="63"/>
  <c r="CA27" i="63"/>
  <c r="BD30" i="63"/>
  <c r="BE28" i="63"/>
  <c r="BD29" i="63"/>
  <c r="BD28" i="63"/>
  <c r="AO52" i="63"/>
  <c r="AZ63" i="63"/>
  <c r="CK60" i="63"/>
  <c r="BE50" i="63"/>
  <c r="BE52" i="63"/>
  <c r="BE51" i="63"/>
  <c r="BC52" i="63"/>
  <c r="AF74" i="63"/>
  <c r="AD74" i="63"/>
  <c r="AY374" i="63"/>
  <c r="CJ374" i="63" s="1"/>
  <c r="CJ375" i="63" s="1"/>
  <c r="BD320" i="63"/>
  <c r="BC50" i="63"/>
  <c r="BE95" i="63"/>
  <c r="CG130" i="63"/>
  <c r="CG157" i="63"/>
  <c r="CG163" i="63" s="1"/>
  <c r="AZ19" i="63"/>
  <c r="BA17" i="63"/>
  <c r="AZ95" i="63"/>
  <c r="CH157" i="63"/>
  <c r="CH163" i="63" s="1"/>
  <c r="CF130" i="63"/>
  <c r="V95" i="63"/>
  <c r="Z52" i="63"/>
  <c r="CC27" i="63"/>
  <c r="BE61" i="63"/>
  <c r="BD61" i="63"/>
  <c r="BD63" i="63"/>
  <c r="BD62" i="63"/>
  <c r="BZ130" i="63"/>
  <c r="BA50" i="63"/>
  <c r="AZ52" i="63"/>
  <c r="CK49" i="63"/>
  <c r="CA130" i="63"/>
  <c r="BZ27" i="63"/>
  <c r="O52" i="63"/>
  <c r="CI130" i="63"/>
  <c r="BC39" i="63"/>
  <c r="W110" i="61"/>
  <c r="W111" i="61" s="1"/>
  <c r="CD69" i="61"/>
  <c r="CG179" i="61"/>
  <c r="CA123" i="61"/>
  <c r="CA147" i="61" s="1"/>
  <c r="CA179" i="61" s="1"/>
  <c r="CA81" i="61"/>
  <c r="BZ135" i="61"/>
  <c r="BZ147" i="61" s="1"/>
  <c r="BZ179" i="61" s="1"/>
  <c r="BZ37" i="61"/>
  <c r="CJ123" i="61"/>
  <c r="CJ147" i="61" s="1"/>
  <c r="CJ179" i="61" s="1"/>
  <c r="CJ37" i="61"/>
  <c r="CJ81" i="61"/>
  <c r="CN29" i="2"/>
  <c r="BO34" i="61"/>
  <c r="CN27" i="2"/>
  <c r="BO32" i="61"/>
  <c r="CN32" i="61" s="1"/>
  <c r="CM25" i="61"/>
  <c r="CM135" i="61" s="1"/>
  <c r="CM14" i="2"/>
  <c r="BL14" i="2"/>
  <c r="BL25" i="61" s="1"/>
  <c r="CM28" i="2"/>
  <c r="BL28" i="2"/>
  <c r="BN142" i="61"/>
  <c r="BL30" i="2"/>
  <c r="CM30" i="2"/>
  <c r="CM36" i="2"/>
  <c r="BL36" i="2"/>
  <c r="CL25" i="63"/>
  <c r="BZ69" i="63"/>
  <c r="CB69" i="63"/>
  <c r="N51" i="63"/>
  <c r="J74" i="63"/>
  <c r="R63" i="63"/>
  <c r="R62" i="63"/>
  <c r="O50" i="63"/>
  <c r="N95" i="63"/>
  <c r="AE78" i="63"/>
  <c r="O61" i="63"/>
  <c r="CL78" i="2"/>
  <c r="CM44" i="2"/>
  <c r="BL44" i="2"/>
  <c r="BM44" i="2" s="1"/>
  <c r="BN44" i="2" s="1"/>
  <c r="BO44" i="2" s="1"/>
  <c r="L38" i="63"/>
  <c r="X16" i="63"/>
  <c r="AY27" i="63"/>
  <c r="AE49" i="63"/>
  <c r="AM38" i="63"/>
  <c r="AA60" i="63"/>
  <c r="AA71" i="63"/>
  <c r="AI71" i="63"/>
  <c r="F70" i="61"/>
  <c r="F73" i="61" s="1"/>
  <c r="H71" i="63"/>
  <c r="H16" i="63"/>
  <c r="CD69" i="63"/>
  <c r="P49" i="63"/>
  <c r="X60" i="63"/>
  <c r="T49" i="63"/>
  <c r="L49" i="63"/>
  <c r="AY71" i="63"/>
  <c r="AY38" i="63"/>
  <c r="S71" i="63"/>
  <c r="AE38" i="63"/>
  <c r="V62" i="63"/>
  <c r="AM60" i="63"/>
  <c r="AA38" i="63"/>
  <c r="AA27" i="63"/>
  <c r="V40" i="63"/>
  <c r="AU27" i="63"/>
  <c r="AU16" i="63"/>
  <c r="CK121" i="61"/>
  <c r="CK147" i="61" s="1"/>
  <c r="CK179" i="61" s="1"/>
  <c r="CK96" i="61"/>
  <c r="CK94" i="61" s="1"/>
  <c r="CK93" i="61" s="1"/>
  <c r="CK97" i="61" s="1"/>
  <c r="CJ14" i="63"/>
  <c r="CJ69" i="63"/>
  <c r="CJ47" i="63"/>
  <c r="CK79" i="63"/>
  <c r="CJ58" i="63"/>
  <c r="CJ79" i="63"/>
  <c r="CJ36" i="63"/>
  <c r="CJ25" i="63"/>
  <c r="CE69" i="63"/>
  <c r="CE47" i="63"/>
  <c r="CE14" i="63"/>
  <c r="CE58" i="63"/>
  <c r="CE36" i="63"/>
  <c r="AI16" i="63"/>
  <c r="AM78" i="63"/>
  <c r="AQ27" i="63"/>
  <c r="AQ60" i="63"/>
  <c r="T38" i="63"/>
  <c r="S38" i="63"/>
  <c r="AM16" i="63"/>
  <c r="CI79" i="63"/>
  <c r="CI14" i="63"/>
  <c r="CI58" i="63"/>
  <c r="CI36" i="63"/>
  <c r="CI47" i="63"/>
  <c r="CI69" i="63"/>
  <c r="CF58" i="63"/>
  <c r="CF14" i="63"/>
  <c r="CF47" i="63"/>
  <c r="CF69" i="63"/>
  <c r="CF36" i="63"/>
  <c r="CF25" i="63"/>
  <c r="CF79" i="63"/>
  <c r="CH36" i="63"/>
  <c r="CH14" i="63"/>
  <c r="CH47" i="63"/>
  <c r="CH58" i="63"/>
  <c r="CH69" i="63"/>
  <c r="CH25" i="63"/>
  <c r="CH79" i="63"/>
  <c r="CI149" i="63"/>
  <c r="CI157" i="63" s="1"/>
  <c r="CI163" i="63" s="1"/>
  <c r="CI143" i="63"/>
  <c r="CI145" i="63" s="1"/>
  <c r="AI38" i="63"/>
  <c r="H60" i="63"/>
  <c r="L71" i="63"/>
  <c r="R73" i="63"/>
  <c r="P38" i="63"/>
  <c r="R52" i="63"/>
  <c r="X38" i="63"/>
  <c r="CC69" i="63"/>
  <c r="T16" i="63"/>
  <c r="L60" i="63"/>
  <c r="AY49" i="63"/>
  <c r="AY60" i="63"/>
  <c r="S60" i="63"/>
  <c r="AE71" i="63"/>
  <c r="AE60" i="63"/>
  <c r="AQ78" i="63"/>
  <c r="CI25" i="63"/>
  <c r="AA49" i="63"/>
  <c r="AU38" i="63"/>
  <c r="AU60" i="63"/>
  <c r="AI60" i="63"/>
  <c r="V51" i="63"/>
  <c r="X71" i="63"/>
  <c r="O17" i="63"/>
  <c r="AQ71" i="63"/>
  <c r="AQ16" i="63"/>
  <c r="H38" i="63"/>
  <c r="P16" i="63"/>
  <c r="S49" i="63"/>
  <c r="AE27" i="63"/>
  <c r="AM71" i="63"/>
  <c r="AU49" i="63"/>
  <c r="AI49" i="63"/>
  <c r="AV78" i="63"/>
  <c r="AQ49" i="63"/>
  <c r="J95" i="63"/>
  <c r="H49" i="63"/>
  <c r="V73" i="63"/>
  <c r="P60" i="63"/>
  <c r="X49" i="63"/>
  <c r="T60" i="63"/>
  <c r="L16" i="63"/>
  <c r="AY16" i="63"/>
  <c r="S16" i="63"/>
  <c r="AE16" i="63"/>
  <c r="AI78" i="63"/>
  <c r="T71" i="63"/>
  <c r="P71" i="63"/>
  <c r="N73" i="63"/>
  <c r="AM27" i="63"/>
  <c r="AM49" i="63"/>
  <c r="AA16" i="63"/>
  <c r="AU71" i="63"/>
  <c r="BC94" i="61"/>
  <c r="BC97" i="61"/>
  <c r="CK92" i="63"/>
  <c r="AI27" i="63"/>
  <c r="K39" i="63"/>
  <c r="AQ38" i="63"/>
  <c r="AU78" i="63"/>
  <c r="CG69" i="63"/>
  <c r="CG58" i="63"/>
  <c r="CG36" i="63"/>
  <c r="CG47" i="63"/>
  <c r="CG79" i="63"/>
  <c r="CG14" i="63"/>
  <c r="BY104" i="61"/>
  <c r="CA104" i="61"/>
  <c r="CC161" i="63"/>
  <c r="CC99" i="63"/>
  <c r="CE161" i="63"/>
  <c r="CE405" i="63" s="1"/>
  <c r="CE99" i="63"/>
  <c r="F99" i="63"/>
  <c r="F161" i="63"/>
  <c r="CG161" i="63"/>
  <c r="CG405" i="63" s="1"/>
  <c r="CG99" i="63"/>
  <c r="E161" i="63"/>
  <c r="E99" i="63"/>
  <c r="AM93" i="63"/>
  <c r="CF161" i="63"/>
  <c r="CF405" i="63" s="1"/>
  <c r="CF99" i="63"/>
  <c r="I161" i="63"/>
  <c r="I99" i="63"/>
  <c r="AJ93" i="63"/>
  <c r="AY91" i="63"/>
  <c r="AB99" i="63"/>
  <c r="AB161" i="63"/>
  <c r="CH161" i="63"/>
  <c r="CH405" i="63" s="1"/>
  <c r="CH99" i="63"/>
  <c r="CA161" i="63"/>
  <c r="CA99" i="63"/>
  <c r="CK99" i="63"/>
  <c r="CK161" i="63"/>
  <c r="BZ161" i="63"/>
  <c r="BZ99" i="63"/>
  <c r="W104" i="61"/>
  <c r="CC104" i="61" s="1"/>
  <c r="U161" i="63"/>
  <c r="U99" i="63"/>
  <c r="Y161" i="63"/>
  <c r="Y99" i="63"/>
  <c r="P99" i="63"/>
  <c r="P161" i="63"/>
  <c r="BZ104" i="61"/>
  <c r="AA99" i="63"/>
  <c r="AA161" i="63"/>
  <c r="Q161" i="63"/>
  <c r="Q99" i="63"/>
  <c r="AK161" i="63"/>
  <c r="AK405" i="63" s="1"/>
  <c r="AK91" i="63"/>
  <c r="CG91" i="63" s="1"/>
  <c r="AK99" i="63"/>
  <c r="BC91" i="63"/>
  <c r="J99" i="63"/>
  <c r="J161" i="63"/>
  <c r="T99" i="63"/>
  <c r="T161" i="63"/>
  <c r="AL93" i="63"/>
  <c r="AG161" i="63"/>
  <c r="AG99" i="63"/>
  <c r="AO161" i="63"/>
  <c r="AO405" i="63" s="1"/>
  <c r="AO91" i="63"/>
  <c r="AO99" i="63"/>
  <c r="CJ161" i="63"/>
  <c r="CJ99" i="63"/>
  <c r="V99" i="63"/>
  <c r="V161" i="63"/>
  <c r="AU99" i="63"/>
  <c r="AU161" i="63"/>
  <c r="AU405" i="63" s="1"/>
  <c r="AU91" i="63"/>
  <c r="D99" i="63"/>
  <c r="D161" i="63"/>
  <c r="AW161" i="63"/>
  <c r="AW405" i="63" s="1"/>
  <c r="AW91" i="63"/>
  <c r="AW99" i="63"/>
  <c r="CK370" i="63"/>
  <c r="CK354" i="63"/>
  <c r="CK303" i="63"/>
  <c r="CK337" i="63"/>
  <c r="CK320" i="63"/>
  <c r="CD79" i="63"/>
  <c r="CD58" i="63"/>
  <c r="CD36" i="63"/>
  <c r="CD47" i="63"/>
  <c r="CD14" i="63"/>
  <c r="CD25" i="63"/>
  <c r="CE79" i="63"/>
  <c r="CB79" i="63"/>
  <c r="CB58" i="63"/>
  <c r="CB36" i="63"/>
  <c r="CB14" i="63"/>
  <c r="CB47" i="63"/>
  <c r="BF317" i="63"/>
  <c r="BE322" i="63"/>
  <c r="BE319" i="63"/>
  <c r="CJ378" i="63"/>
  <c r="BD370" i="63"/>
  <c r="BD369" i="63"/>
  <c r="CC79" i="63"/>
  <c r="CC14" i="63"/>
  <c r="CC58" i="63"/>
  <c r="CC47" i="63"/>
  <c r="CC36" i="63"/>
  <c r="CM10" i="63"/>
  <c r="CM43" i="63"/>
  <c r="BA370" i="63"/>
  <c r="BA369" i="63"/>
  <c r="BA320" i="63"/>
  <c r="BB369" i="63"/>
  <c r="CA79" i="63"/>
  <c r="CA14" i="63"/>
  <c r="CA36" i="63"/>
  <c r="CA58" i="63"/>
  <c r="CA47" i="63"/>
  <c r="AN93" i="63"/>
  <c r="AU395" i="63"/>
  <c r="AU378" i="63"/>
  <c r="BF300" i="63"/>
  <c r="BE305" i="63"/>
  <c r="BE302" i="63"/>
  <c r="BC374" i="63"/>
  <c r="BA337" i="63"/>
  <c r="CK305" i="63"/>
  <c r="CK306" i="63" s="1"/>
  <c r="CA69" i="63"/>
  <c r="AP90" i="63"/>
  <c r="AO89" i="63"/>
  <c r="AC78" i="63"/>
  <c r="AK78" i="63"/>
  <c r="AG78" i="63"/>
  <c r="AO78" i="63"/>
  <c r="AS78" i="63"/>
  <c r="BE368" i="63"/>
  <c r="BE343" i="63"/>
  <c r="BE336" i="63"/>
  <c r="BF334" i="63"/>
  <c r="Y78" i="63"/>
  <c r="CL79" i="63"/>
  <c r="CL36" i="63"/>
  <c r="CL14" i="63"/>
  <c r="CL58" i="63"/>
  <c r="CL47" i="63"/>
  <c r="CL69" i="63"/>
  <c r="BA303" i="63"/>
  <c r="BA372" i="63"/>
  <c r="CK372" i="63" s="1"/>
  <c r="BZ79" i="63"/>
  <c r="BZ47" i="63"/>
  <c r="BZ58" i="63"/>
  <c r="BZ36" i="63"/>
  <c r="BZ14" i="63"/>
  <c r="AZ374" i="63"/>
  <c r="AZ377" i="63" s="1"/>
  <c r="AZ378" i="63" s="1"/>
  <c r="AB78" i="63"/>
  <c r="AN78" i="63"/>
  <c r="AJ78" i="63"/>
  <c r="AR78" i="63"/>
  <c r="AF78" i="63"/>
  <c r="BD372" i="63"/>
  <c r="X78" i="63"/>
  <c r="G94" i="61"/>
  <c r="G97" i="61"/>
  <c r="CE110" i="61"/>
  <c r="CE111" i="61" s="1"/>
  <c r="CE69" i="61"/>
  <c r="BY165" i="61"/>
  <c r="BY173" i="61" s="1"/>
  <c r="BY63" i="61"/>
  <c r="CG110" i="61"/>
  <c r="CG111" i="61" s="1"/>
  <c r="CG69" i="61"/>
  <c r="S110" i="61"/>
  <c r="S111" i="61" s="1"/>
  <c r="S69" i="61"/>
  <c r="BY121" i="61"/>
  <c r="BY147" i="61" s="1"/>
  <c r="BY96" i="61"/>
  <c r="BY94" i="61" s="1"/>
  <c r="BY93" i="61" s="1"/>
  <c r="BY97" i="61" s="1"/>
  <c r="CF110" i="61"/>
  <c r="CF111" i="61" s="1"/>
  <c r="CF69" i="61"/>
  <c r="AM110" i="61"/>
  <c r="AM111" i="61" s="1"/>
  <c r="AM69" i="61"/>
  <c r="CC37" i="61"/>
  <c r="AU94" i="61"/>
  <c r="AU97" i="61"/>
  <c r="AI110" i="61"/>
  <c r="AI111" i="61" s="1"/>
  <c r="AI69" i="61"/>
  <c r="BY37" i="61"/>
  <c r="CA110" i="61"/>
  <c r="CA111" i="61" s="1"/>
  <c r="CA69" i="61"/>
  <c r="CI121" i="61"/>
  <c r="CI147" i="61" s="1"/>
  <c r="CI179" i="61" s="1"/>
  <c r="CI96" i="61"/>
  <c r="CI94" i="61" s="1"/>
  <c r="CI93" i="61" s="1"/>
  <c r="CI97" i="61" s="1"/>
  <c r="CI37" i="61"/>
  <c r="CB123" i="61"/>
  <c r="CB81" i="61"/>
  <c r="CK110" i="61"/>
  <c r="CK111" i="61" s="1"/>
  <c r="CK69" i="61"/>
  <c r="O110" i="61"/>
  <c r="O111" i="61" s="1"/>
  <c r="O69" i="61"/>
  <c r="AU110" i="61"/>
  <c r="AU111" i="61" s="1"/>
  <c r="AU69" i="61"/>
  <c r="L177" i="61"/>
  <c r="K183" i="61"/>
  <c r="CM63" i="2"/>
  <c r="CM66" i="2" s="1"/>
  <c r="BL63" i="2"/>
  <c r="BO18" i="2"/>
  <c r="BK92" i="2"/>
  <c r="CM35" i="2"/>
  <c r="BL35" i="2"/>
  <c r="BK89" i="2"/>
  <c r="CM19" i="2"/>
  <c r="BL19" i="2"/>
  <c r="BK87" i="2"/>
  <c r="CM10" i="2"/>
  <c r="CM87" i="2" s="1"/>
  <c r="BL10" i="2"/>
  <c r="BK139" i="2"/>
  <c r="BK140" i="2" s="1"/>
  <c r="BK141" i="2" s="1"/>
  <c r="CM32" i="2"/>
  <c r="BL32" i="2"/>
  <c r="G19" i="63" l="1"/>
  <c r="AG72" i="63"/>
  <c r="Z41" i="63"/>
  <c r="AK30" i="63"/>
  <c r="BU138" i="1"/>
  <c r="BU92" i="63"/>
  <c r="CB37" i="61"/>
  <c r="BT138" i="1"/>
  <c r="CP138" i="1" s="1"/>
  <c r="BT92" i="63"/>
  <c r="AH73" i="63"/>
  <c r="G95" i="63"/>
  <c r="G96" i="63" s="1"/>
  <c r="AW17" i="63"/>
  <c r="E19" i="63"/>
  <c r="AL73" i="63"/>
  <c r="R95" i="63"/>
  <c r="AZ18" i="63"/>
  <c r="AH29" i="63"/>
  <c r="AC18" i="63"/>
  <c r="G39" i="63"/>
  <c r="V17" i="63"/>
  <c r="AK17" i="63"/>
  <c r="AN18" i="63"/>
  <c r="AO18" i="63"/>
  <c r="AV18" i="63"/>
  <c r="Z40" i="63"/>
  <c r="J50" i="63"/>
  <c r="R18" i="63"/>
  <c r="V18" i="63"/>
  <c r="J18" i="63"/>
  <c r="J51" i="63"/>
  <c r="O95" i="63"/>
  <c r="AS62" i="63"/>
  <c r="AC19" i="63"/>
  <c r="J62" i="63"/>
  <c r="G50" i="63"/>
  <c r="AV19" i="63"/>
  <c r="N62" i="63"/>
  <c r="AO63" i="63"/>
  <c r="AO61" i="63"/>
  <c r="AJ18" i="63"/>
  <c r="G72" i="63"/>
  <c r="AD17" i="63"/>
  <c r="AL17" i="63"/>
  <c r="Y30" i="63"/>
  <c r="AD40" i="63"/>
  <c r="AO51" i="63"/>
  <c r="AH30" i="63"/>
  <c r="AF73" i="63"/>
  <c r="AC29" i="63"/>
  <c r="Z62" i="63"/>
  <c r="G61" i="63"/>
  <c r="AS63" i="63"/>
  <c r="AF63" i="63"/>
  <c r="AO39" i="63"/>
  <c r="J39" i="63"/>
  <c r="O72" i="63"/>
  <c r="AX52" i="63"/>
  <c r="AK18" i="63"/>
  <c r="Y73" i="63"/>
  <c r="U18" i="63"/>
  <c r="AP28" i="63"/>
  <c r="G41" i="63"/>
  <c r="O41" i="63"/>
  <c r="N18" i="63"/>
  <c r="AL40" i="63"/>
  <c r="AT30" i="63"/>
  <c r="AG18" i="63"/>
  <c r="BY38" i="63"/>
  <c r="BY41" i="63" s="1"/>
  <c r="K74" i="63"/>
  <c r="F95" i="63"/>
  <c r="W61" i="63"/>
  <c r="BA40" i="63"/>
  <c r="AH72" i="63"/>
  <c r="AH63" i="63"/>
  <c r="I40" i="63"/>
  <c r="F17" i="63"/>
  <c r="Y18" i="63"/>
  <c r="BY16" i="63"/>
  <c r="E41" i="63"/>
  <c r="Y19" i="63"/>
  <c r="AC17" i="63"/>
  <c r="AH61" i="63"/>
  <c r="AO62" i="63"/>
  <c r="O39" i="63"/>
  <c r="O40" i="63"/>
  <c r="AK51" i="63"/>
  <c r="I18" i="63"/>
  <c r="G17" i="63"/>
  <c r="V61" i="63"/>
  <c r="O51" i="63"/>
  <c r="AD30" i="63"/>
  <c r="W39" i="63"/>
  <c r="Z28" i="63"/>
  <c r="AR63" i="63"/>
  <c r="CD139" i="1"/>
  <c r="W94" i="61"/>
  <c r="W97" i="61"/>
  <c r="S139" i="1"/>
  <c r="CB138" i="1"/>
  <c r="CB139" i="1" s="1"/>
  <c r="CG139" i="1"/>
  <c r="CA139" i="1"/>
  <c r="CC96" i="61"/>
  <c r="CC94" i="61" s="1"/>
  <c r="CC93" i="61" s="1"/>
  <c r="CC97" i="61" s="1"/>
  <c r="CC121" i="61"/>
  <c r="CC147" i="61" s="1"/>
  <c r="CC179" i="61" s="1"/>
  <c r="W139" i="1"/>
  <c r="CC138" i="1"/>
  <c r="CO138" i="1"/>
  <c r="AV62" i="63"/>
  <c r="Q62" i="63"/>
  <c r="W17" i="63"/>
  <c r="I63" i="63"/>
  <c r="J61" i="63"/>
  <c r="Z63" i="63"/>
  <c r="K18" i="63"/>
  <c r="N61" i="63"/>
  <c r="N17" i="63"/>
  <c r="Z30" i="63"/>
  <c r="AX28" i="63"/>
  <c r="M62" i="63"/>
  <c r="X168" i="2"/>
  <c r="F102" i="61"/>
  <c r="F106" i="61" s="1"/>
  <c r="R102" i="61"/>
  <c r="R106" i="61" s="1"/>
  <c r="Q52" i="63"/>
  <c r="AV52" i="63"/>
  <c r="AT63" i="63"/>
  <c r="BB51" i="63"/>
  <c r="AH39" i="63"/>
  <c r="R50" i="63"/>
  <c r="AW50" i="63"/>
  <c r="M51" i="63"/>
  <c r="AR40" i="63"/>
  <c r="AX51" i="63"/>
  <c r="U63" i="63"/>
  <c r="I95" i="63"/>
  <c r="I96" i="63" s="1"/>
  <c r="AJ51" i="63"/>
  <c r="AG62" i="63"/>
  <c r="J17" i="63"/>
  <c r="AD51" i="63"/>
  <c r="AD50" i="63"/>
  <c r="AN63" i="63"/>
  <c r="AD72" i="63"/>
  <c r="AC72" i="63"/>
  <c r="BB40" i="63"/>
  <c r="W52" i="63"/>
  <c r="AL62" i="63"/>
  <c r="AH17" i="63"/>
  <c r="AS17" i="63"/>
  <c r="AD52" i="63"/>
  <c r="M52" i="63"/>
  <c r="Z17" i="63"/>
  <c r="BP144" i="61"/>
  <c r="BR29" i="2"/>
  <c r="BQ34" i="61"/>
  <c r="BP142" i="61"/>
  <c r="BR27" i="2"/>
  <c r="BQ32" i="61"/>
  <c r="BP18" i="2"/>
  <c r="BQ18" i="2" s="1"/>
  <c r="BR18" i="2" s="1"/>
  <c r="BS18" i="2" s="1"/>
  <c r="AH95" i="63"/>
  <c r="AH96" i="63" s="1"/>
  <c r="AX39" i="63"/>
  <c r="AS39" i="63"/>
  <c r="AL52" i="63"/>
  <c r="CN44" i="2"/>
  <c r="BP44" i="2"/>
  <c r="BQ44" i="2" s="1"/>
  <c r="BR44" i="2" s="1"/>
  <c r="BS44" i="2" s="1"/>
  <c r="F72" i="63"/>
  <c r="AW29" i="63"/>
  <c r="AC74" i="63"/>
  <c r="AR41" i="63"/>
  <c r="AW30" i="63"/>
  <c r="AC73" i="63"/>
  <c r="AH19" i="63"/>
  <c r="AJ62" i="63"/>
  <c r="Q95" i="63"/>
  <c r="Q96" i="63" s="1"/>
  <c r="AC40" i="63"/>
  <c r="I73" i="63"/>
  <c r="K17" i="63"/>
  <c r="N50" i="63"/>
  <c r="AO95" i="63"/>
  <c r="AO96" i="63" s="1"/>
  <c r="AZ51" i="63"/>
  <c r="U51" i="63"/>
  <c r="Z39" i="63"/>
  <c r="AJ73" i="63"/>
  <c r="BY71" i="63"/>
  <c r="M95" i="63"/>
  <c r="M96" i="63" s="1"/>
  <c r="AG73" i="63"/>
  <c r="AS29" i="63"/>
  <c r="I51" i="63"/>
  <c r="AN40" i="63"/>
  <c r="Z18" i="63"/>
  <c r="AK40" i="63"/>
  <c r="AL50" i="63"/>
  <c r="AK50" i="63"/>
  <c r="AL18" i="63"/>
  <c r="K19" i="63"/>
  <c r="AT62" i="63"/>
  <c r="AF95" i="63"/>
  <c r="AF96" i="63" s="1"/>
  <c r="AW51" i="63"/>
  <c r="AN51" i="63"/>
  <c r="AL51" i="63"/>
  <c r="AW95" i="63"/>
  <c r="AS95" i="63"/>
  <c r="AK73" i="63"/>
  <c r="AD19" i="63"/>
  <c r="R17" i="63"/>
  <c r="K50" i="63"/>
  <c r="U95" i="63"/>
  <c r="AN95" i="63"/>
  <c r="AN96" i="63" s="1"/>
  <c r="AW52" i="63"/>
  <c r="AX50" i="63"/>
  <c r="AS51" i="63"/>
  <c r="BY49" i="63"/>
  <c r="AT29" i="63"/>
  <c r="K51" i="63"/>
  <c r="AD29" i="63"/>
  <c r="AX29" i="63"/>
  <c r="AX30" i="63"/>
  <c r="AV29" i="63"/>
  <c r="AT61" i="63"/>
  <c r="AS61" i="63"/>
  <c r="AS19" i="63"/>
  <c r="K73" i="63"/>
  <c r="M63" i="63"/>
  <c r="AC50" i="63"/>
  <c r="AT50" i="63"/>
  <c r="AH18" i="63"/>
  <c r="AX62" i="63"/>
  <c r="O18" i="63"/>
  <c r="AJ41" i="63"/>
  <c r="U62" i="63"/>
  <c r="F50" i="63"/>
  <c r="AR19" i="63"/>
  <c r="Q51" i="63"/>
  <c r="BD168" i="63"/>
  <c r="U61" i="63"/>
  <c r="BY161" i="63"/>
  <c r="CI99" i="63"/>
  <c r="AP50" i="63"/>
  <c r="AT51" i="63"/>
  <c r="AP95" i="63"/>
  <c r="AP96" i="63" s="1"/>
  <c r="AO19" i="63"/>
  <c r="Y63" i="63"/>
  <c r="Y62" i="63"/>
  <c r="Z61" i="63"/>
  <c r="AG30" i="63"/>
  <c r="AG29" i="63"/>
  <c r="AG95" i="63"/>
  <c r="AH28" i="63"/>
  <c r="K63" i="63"/>
  <c r="K62" i="63"/>
  <c r="K95" i="63"/>
  <c r="K96" i="63" s="1"/>
  <c r="K61" i="63"/>
  <c r="AR52" i="63"/>
  <c r="AG17" i="63"/>
  <c r="AF18" i="63"/>
  <c r="AF19" i="63"/>
  <c r="AD39" i="63"/>
  <c r="AG40" i="63"/>
  <c r="AC39" i="63"/>
  <c r="AC95" i="63"/>
  <c r="AT95" i="63"/>
  <c r="AT96" i="63" s="1"/>
  <c r="AT40" i="63"/>
  <c r="AX40" i="63"/>
  <c r="Z74" i="63"/>
  <c r="Z95" i="63"/>
  <c r="Z96" i="63" s="1"/>
  <c r="AD73" i="63"/>
  <c r="Y52" i="63"/>
  <c r="AC51" i="63"/>
  <c r="Z50" i="63"/>
  <c r="CI161" i="63"/>
  <c r="CI405" i="63" s="1"/>
  <c r="AT39" i="63"/>
  <c r="Y95" i="63"/>
  <c r="Y51" i="63"/>
  <c r="AC41" i="63"/>
  <c r="AK29" i="63"/>
  <c r="AR62" i="63"/>
  <c r="AL95" i="63"/>
  <c r="AJ40" i="63"/>
  <c r="AG39" i="63"/>
  <c r="F61" i="63"/>
  <c r="E95" i="63"/>
  <c r="AW18" i="63"/>
  <c r="AS18" i="63"/>
  <c r="AT17" i="63"/>
  <c r="AC28" i="63"/>
  <c r="AF29" i="63"/>
  <c r="AB95" i="63"/>
  <c r="AK95" i="63"/>
  <c r="AK96" i="63" s="1"/>
  <c r="AW61" i="63"/>
  <c r="AZ62" i="63"/>
  <c r="AR51" i="63"/>
  <c r="AO50" i="63"/>
  <c r="AN52" i="63"/>
  <c r="AS28" i="63"/>
  <c r="AR95" i="63"/>
  <c r="AR96" i="63" s="1"/>
  <c r="AV30" i="63"/>
  <c r="AV95" i="63"/>
  <c r="AV96" i="63" s="1"/>
  <c r="AZ29" i="63"/>
  <c r="AC61" i="63"/>
  <c r="AF62" i="63"/>
  <c r="AK62" i="63"/>
  <c r="AG61" i="63"/>
  <c r="M18" i="63"/>
  <c r="AH62" i="63"/>
  <c r="AD95" i="63"/>
  <c r="AX17" i="63"/>
  <c r="AX95" i="63"/>
  <c r="AX96" i="63" s="1"/>
  <c r="AV51" i="63"/>
  <c r="I74" i="63"/>
  <c r="AC62" i="63"/>
  <c r="AB52" i="63"/>
  <c r="BI78" i="2"/>
  <c r="CJ110" i="61"/>
  <c r="CJ111" i="61" s="1"/>
  <c r="CJ108" i="61"/>
  <c r="AO30" i="63"/>
  <c r="AO29" i="63"/>
  <c r="W95" i="63"/>
  <c r="W96" i="63" s="1"/>
  <c r="BY60" i="63"/>
  <c r="AG50" i="63"/>
  <c r="BG130" i="63"/>
  <c r="AJ95" i="63"/>
  <c r="AJ96" i="63" s="1"/>
  <c r="AW28" i="63"/>
  <c r="CJ377" i="63"/>
  <c r="AX63" i="63"/>
  <c r="AX61" i="63"/>
  <c r="I50" i="63"/>
  <c r="X50" i="63"/>
  <c r="AX19" i="63"/>
  <c r="L19" i="63"/>
  <c r="AW63" i="63"/>
  <c r="AW62" i="63"/>
  <c r="Q18" i="63"/>
  <c r="AP51" i="63"/>
  <c r="U41" i="63"/>
  <c r="V39" i="63"/>
  <c r="AD63" i="63"/>
  <c r="AD61" i="63"/>
  <c r="AD62" i="63"/>
  <c r="AX18" i="63"/>
  <c r="AT19" i="63"/>
  <c r="AT18" i="63"/>
  <c r="AP40" i="63"/>
  <c r="AP41" i="63"/>
  <c r="AP19" i="63"/>
  <c r="AP17" i="63"/>
  <c r="AL63" i="63"/>
  <c r="AD18" i="63"/>
  <c r="Z19" i="63"/>
  <c r="AH51" i="63"/>
  <c r="AH52" i="63"/>
  <c r="AP62" i="63"/>
  <c r="AP63" i="63"/>
  <c r="AP61" i="63"/>
  <c r="AP52" i="63"/>
  <c r="AP18" i="63"/>
  <c r="W74" i="63"/>
  <c r="Y41" i="63"/>
  <c r="Y40" i="63"/>
  <c r="Q41" i="63"/>
  <c r="U40" i="63"/>
  <c r="AR30" i="63"/>
  <c r="Q19" i="63"/>
  <c r="Q74" i="63"/>
  <c r="AG52" i="63"/>
  <c r="AH50" i="63"/>
  <c r="Q40" i="63"/>
  <c r="U73" i="63"/>
  <c r="Y74" i="63"/>
  <c r="Z72" i="63"/>
  <c r="M74" i="63"/>
  <c r="Q73" i="63"/>
  <c r="M73" i="63"/>
  <c r="AB30" i="63"/>
  <c r="AK39" i="63"/>
  <c r="AL39" i="63"/>
  <c r="AK41" i="63"/>
  <c r="AK28" i="63"/>
  <c r="AJ30" i="63"/>
  <c r="BM32" i="63"/>
  <c r="BL35" i="63"/>
  <c r="AN62" i="63"/>
  <c r="AK61" i="63"/>
  <c r="AJ63" i="63"/>
  <c r="CM35" i="63"/>
  <c r="AB19" i="63"/>
  <c r="AV41" i="63"/>
  <c r="AW39" i="63"/>
  <c r="AV40" i="63"/>
  <c r="AS41" i="63"/>
  <c r="AW40" i="63"/>
  <c r="AB41" i="63"/>
  <c r="BA78" i="63"/>
  <c r="AZ40" i="63"/>
  <c r="E63" i="63"/>
  <c r="I62" i="63"/>
  <c r="AF41" i="63"/>
  <c r="AF40" i="63"/>
  <c r="AS52" i="63"/>
  <c r="AS50" i="63"/>
  <c r="AN19" i="63"/>
  <c r="AR18" i="63"/>
  <c r="AO17" i="63"/>
  <c r="AO28" i="63"/>
  <c r="AN30" i="63"/>
  <c r="AR29" i="63"/>
  <c r="AN29" i="63"/>
  <c r="BO144" i="61"/>
  <c r="BO54" i="2"/>
  <c r="BN53" i="2"/>
  <c r="BH159" i="63"/>
  <c r="BH111" i="63" s="1"/>
  <c r="BI166" i="63"/>
  <c r="BI159" i="63"/>
  <c r="CL166" i="63"/>
  <c r="CL159" i="63"/>
  <c r="CL58" i="2"/>
  <c r="L40" i="63"/>
  <c r="H41" i="63"/>
  <c r="CB69" i="61"/>
  <c r="CB110" i="61"/>
  <c r="CB111" i="61" s="1"/>
  <c r="CB121" i="61"/>
  <c r="CB147" i="61" s="1"/>
  <c r="CB179" i="61" s="1"/>
  <c r="CB96" i="61"/>
  <c r="CB94" i="61" s="1"/>
  <c r="CB93" i="61" s="1"/>
  <c r="CB97" i="61" s="1"/>
  <c r="S97" i="61"/>
  <c r="S94" i="61"/>
  <c r="BY99" i="63"/>
  <c r="BA95" i="2"/>
  <c r="N168" i="2"/>
  <c r="CL81" i="63"/>
  <c r="CL11" i="2"/>
  <c r="BI165" i="63"/>
  <c r="L62" i="63"/>
  <c r="CK19" i="63"/>
  <c r="X19" i="63"/>
  <c r="M72" i="63"/>
  <c r="L39" i="63"/>
  <c r="I39" i="63"/>
  <c r="CA38" i="63"/>
  <c r="H39" i="63"/>
  <c r="P40" i="63"/>
  <c r="M39" i="63"/>
  <c r="L41" i="63"/>
  <c r="BZ38" i="63"/>
  <c r="BC96" i="63"/>
  <c r="I61" i="63"/>
  <c r="AY377" i="63"/>
  <c r="AY378" i="63" s="1"/>
  <c r="X61" i="63"/>
  <c r="U17" i="63"/>
  <c r="H74" i="63"/>
  <c r="AB51" i="63"/>
  <c r="N96" i="63"/>
  <c r="F96" i="63"/>
  <c r="AN102" i="61"/>
  <c r="AN106" i="61" s="1"/>
  <c r="L51" i="63"/>
  <c r="Y61" i="63"/>
  <c r="CK52" i="63"/>
  <c r="G67" i="61"/>
  <c r="G70" i="61" s="1"/>
  <c r="G73" i="61" s="1"/>
  <c r="X41" i="63"/>
  <c r="L72" i="63"/>
  <c r="AB18" i="63"/>
  <c r="X95" i="63"/>
  <c r="AZ96" i="63"/>
  <c r="V96" i="63"/>
  <c r="BF160" i="63"/>
  <c r="BF98" i="63"/>
  <c r="L74" i="63"/>
  <c r="X17" i="63"/>
  <c r="P17" i="63"/>
  <c r="P63" i="63"/>
  <c r="CK95" i="63"/>
  <c r="BE96" i="63"/>
  <c r="CK41" i="63"/>
  <c r="BD96" i="63"/>
  <c r="CK30" i="63"/>
  <c r="CK63" i="63"/>
  <c r="Y39" i="63"/>
  <c r="P73" i="63"/>
  <c r="CA71" i="63"/>
  <c r="Y17" i="63"/>
  <c r="CD16" i="63"/>
  <c r="BA96" i="63"/>
  <c r="BB95" i="2"/>
  <c r="CN34" i="61"/>
  <c r="BB102" i="61"/>
  <c r="BB106" i="61" s="1"/>
  <c r="BY179" i="61"/>
  <c r="BY180" i="61" s="1"/>
  <c r="BY183" i="61" s="1"/>
  <c r="BZ110" i="61"/>
  <c r="BZ111" i="61" s="1"/>
  <c r="BZ69" i="61"/>
  <c r="CJ69" i="61"/>
  <c r="BO142" i="61"/>
  <c r="BL135" i="61"/>
  <c r="BM30" i="2"/>
  <c r="BL35" i="61"/>
  <c r="BL145" i="61" s="1"/>
  <c r="BM36" i="2"/>
  <c r="BL36" i="61"/>
  <c r="BM14" i="2"/>
  <c r="BM25" i="61" s="1"/>
  <c r="BM28" i="2"/>
  <c r="BL33" i="61"/>
  <c r="L63" i="63"/>
  <c r="CB38" i="63"/>
  <c r="CC60" i="63"/>
  <c r="P52" i="63"/>
  <c r="T52" i="63"/>
  <c r="M61" i="63"/>
  <c r="L61" i="63"/>
  <c r="Q39" i="63"/>
  <c r="P41" i="63"/>
  <c r="T63" i="63"/>
  <c r="T95" i="63"/>
  <c r="H19" i="63"/>
  <c r="T61" i="63"/>
  <c r="CA60" i="63"/>
  <c r="T40" i="63"/>
  <c r="P39" i="63"/>
  <c r="H52" i="63"/>
  <c r="M50" i="63"/>
  <c r="L50" i="63"/>
  <c r="CD60" i="63"/>
  <c r="T19" i="63"/>
  <c r="H72" i="63"/>
  <c r="L17" i="63"/>
  <c r="Y50" i="63"/>
  <c r="H50" i="63"/>
  <c r="L52" i="63"/>
  <c r="X63" i="63"/>
  <c r="CC16" i="63"/>
  <c r="X18" i="63"/>
  <c r="I72" i="63"/>
  <c r="M17" i="63"/>
  <c r="L18" i="63"/>
  <c r="X52" i="63"/>
  <c r="BZ49" i="63"/>
  <c r="CA49" i="63"/>
  <c r="AB62" i="63"/>
  <c r="X62" i="63"/>
  <c r="L73" i="63"/>
  <c r="T17" i="63"/>
  <c r="BZ71" i="63"/>
  <c r="CA16" i="63"/>
  <c r="L95" i="63"/>
  <c r="CD49" i="63"/>
  <c r="BJ78" i="2"/>
  <c r="AO93" i="63"/>
  <c r="AQ51" i="63"/>
  <c r="AQ50" i="63"/>
  <c r="AQ52" i="63"/>
  <c r="CH49" i="63"/>
  <c r="AR50" i="63"/>
  <c r="AE29" i="63"/>
  <c r="AE30" i="63"/>
  <c r="AE28" i="63"/>
  <c r="AF28" i="63"/>
  <c r="CE27" i="63"/>
  <c r="AU63" i="63"/>
  <c r="CI60" i="63"/>
  <c r="AU62" i="63"/>
  <c r="AV61" i="63"/>
  <c r="AU61" i="63"/>
  <c r="AQ30" i="63"/>
  <c r="CH27" i="63"/>
  <c r="AR28" i="63"/>
  <c r="AQ28" i="63"/>
  <c r="AQ29" i="63"/>
  <c r="AI50" i="63"/>
  <c r="AI51" i="63"/>
  <c r="CF49" i="63"/>
  <c r="AI52" i="63"/>
  <c r="AJ50" i="63"/>
  <c r="AM73" i="63"/>
  <c r="CG71" i="63"/>
  <c r="AR17" i="63"/>
  <c r="AQ18" i="63"/>
  <c r="CH16" i="63"/>
  <c r="AQ95" i="63"/>
  <c r="AQ17" i="63"/>
  <c r="AQ19" i="63"/>
  <c r="Y72" i="63"/>
  <c r="X72" i="63"/>
  <c r="X74" i="63"/>
  <c r="AB73" i="63"/>
  <c r="CD71" i="63"/>
  <c r="X73" i="63"/>
  <c r="T39" i="63"/>
  <c r="X39" i="63"/>
  <c r="T62" i="63"/>
  <c r="P51" i="63"/>
  <c r="H63" i="63"/>
  <c r="CB16" i="63"/>
  <c r="H17" i="63"/>
  <c r="T51" i="63"/>
  <c r="X51" i="63"/>
  <c r="P62" i="63"/>
  <c r="AQ39" i="63"/>
  <c r="AQ40" i="63"/>
  <c r="AQ41" i="63"/>
  <c r="CH38" i="63"/>
  <c r="AR39" i="63"/>
  <c r="CI71" i="63"/>
  <c r="AM52" i="63"/>
  <c r="AN50" i="63"/>
  <c r="AM50" i="63"/>
  <c r="AM51" i="63"/>
  <c r="CG49" i="63"/>
  <c r="CB71" i="63"/>
  <c r="Q72" i="63"/>
  <c r="P72" i="63"/>
  <c r="P74" i="63"/>
  <c r="U72" i="63"/>
  <c r="T73" i="63"/>
  <c r="T72" i="63"/>
  <c r="T74" i="63"/>
  <c r="CC71" i="63"/>
  <c r="AE18" i="63"/>
  <c r="AE95" i="63"/>
  <c r="AF17" i="63"/>
  <c r="CE16" i="63"/>
  <c r="AE17" i="63"/>
  <c r="AE19" i="63"/>
  <c r="AY17" i="63"/>
  <c r="BC18" i="63"/>
  <c r="AY18" i="63"/>
  <c r="AY19" i="63"/>
  <c r="AY95" i="63"/>
  <c r="AZ17" i="63"/>
  <c r="CJ16" i="63"/>
  <c r="AZ78" i="63"/>
  <c r="AE63" i="63"/>
  <c r="AE62" i="63"/>
  <c r="AF61" i="63"/>
  <c r="CE60" i="63"/>
  <c r="AE61" i="63"/>
  <c r="S62" i="63"/>
  <c r="S61" i="63"/>
  <c r="S63" i="63"/>
  <c r="W62" i="63"/>
  <c r="CJ49" i="63"/>
  <c r="AY52" i="63"/>
  <c r="AZ50" i="63"/>
  <c r="AY50" i="63"/>
  <c r="AY51" i="63"/>
  <c r="BC51" i="63"/>
  <c r="AU30" i="63"/>
  <c r="CI27" i="63"/>
  <c r="AU28" i="63"/>
  <c r="AV28" i="63"/>
  <c r="AU29" i="63"/>
  <c r="AA39" i="63"/>
  <c r="AB39" i="63"/>
  <c r="AA40" i="63"/>
  <c r="AA41" i="63"/>
  <c r="AE40" i="63"/>
  <c r="AF39" i="63"/>
  <c r="CE38" i="63"/>
  <c r="AE41" i="63"/>
  <c r="AE39" i="63"/>
  <c r="AY41" i="63"/>
  <c r="AY39" i="63"/>
  <c r="AY40" i="63"/>
  <c r="AZ39" i="63"/>
  <c r="BC40" i="63"/>
  <c r="CJ38" i="63"/>
  <c r="AB72" i="63"/>
  <c r="AA72" i="63"/>
  <c r="AA73" i="63"/>
  <c r="AA74" i="63"/>
  <c r="AN39" i="63"/>
  <c r="AM41" i="63"/>
  <c r="CG38" i="63"/>
  <c r="AM39" i="63"/>
  <c r="AM40" i="63"/>
  <c r="AZ28" i="63"/>
  <c r="AY28" i="63"/>
  <c r="AY30" i="63"/>
  <c r="CJ27" i="63"/>
  <c r="AY29" i="63"/>
  <c r="BC29" i="63"/>
  <c r="CC38" i="63"/>
  <c r="CD38" i="63"/>
  <c r="CL86" i="63"/>
  <c r="P50" i="63"/>
  <c r="H61" i="63"/>
  <c r="Q17" i="63"/>
  <c r="P18" i="63"/>
  <c r="BZ16" i="63"/>
  <c r="U50" i="63"/>
  <c r="T50" i="63"/>
  <c r="P61" i="63"/>
  <c r="AY78" i="63"/>
  <c r="J96" i="63"/>
  <c r="AU51" i="63"/>
  <c r="AU52" i="63"/>
  <c r="AV50" i="63"/>
  <c r="CI49" i="63"/>
  <c r="AU50" i="63"/>
  <c r="W51" i="63"/>
  <c r="S52" i="63"/>
  <c r="S50" i="63"/>
  <c r="S51" i="63"/>
  <c r="CH71" i="63"/>
  <c r="AU40" i="63"/>
  <c r="AV39" i="63"/>
  <c r="CI38" i="63"/>
  <c r="AU41" i="63"/>
  <c r="AU39" i="63"/>
  <c r="AE51" i="63"/>
  <c r="AA52" i="63"/>
  <c r="AA51" i="63"/>
  <c r="AB50" i="63"/>
  <c r="AA50" i="63"/>
  <c r="AM18" i="63"/>
  <c r="AN17" i="63"/>
  <c r="AM95" i="63"/>
  <c r="AM17" i="63"/>
  <c r="AM19" i="63"/>
  <c r="CG16" i="63"/>
  <c r="S41" i="63"/>
  <c r="W40" i="63"/>
  <c r="S40" i="63"/>
  <c r="S39" i="63"/>
  <c r="AQ62" i="63"/>
  <c r="AQ61" i="63"/>
  <c r="AR61" i="63"/>
  <c r="AQ63" i="63"/>
  <c r="CH60" i="63"/>
  <c r="U39" i="63"/>
  <c r="T41" i="63"/>
  <c r="AB40" i="63"/>
  <c r="X40" i="63"/>
  <c r="BA168" i="63"/>
  <c r="Q50" i="63"/>
  <c r="CB49" i="63"/>
  <c r="BZ60" i="63"/>
  <c r="T18" i="63"/>
  <c r="P19" i="63"/>
  <c r="P95" i="63"/>
  <c r="I17" i="63"/>
  <c r="H95" i="63"/>
  <c r="CC49" i="63"/>
  <c r="Q61" i="63"/>
  <c r="CB60" i="63"/>
  <c r="AI30" i="63"/>
  <c r="AI28" i="63"/>
  <c r="AJ28" i="63"/>
  <c r="CF27" i="63"/>
  <c r="AI29" i="63"/>
  <c r="AA18" i="63"/>
  <c r="AA95" i="63"/>
  <c r="AB17" i="63"/>
  <c r="AA17" i="63"/>
  <c r="AA19" i="63"/>
  <c r="AM30" i="63"/>
  <c r="AM28" i="63"/>
  <c r="CG27" i="63"/>
  <c r="AM29" i="63"/>
  <c r="AN28" i="63"/>
  <c r="S95" i="63"/>
  <c r="S19" i="63"/>
  <c r="S18" i="63"/>
  <c r="S17" i="63"/>
  <c r="W18" i="63"/>
  <c r="BB78" i="63"/>
  <c r="BF78" i="63" s="1"/>
  <c r="BJ78" i="63" s="1"/>
  <c r="CF60" i="63"/>
  <c r="AI63" i="63"/>
  <c r="AI62" i="63"/>
  <c r="AI61" i="63"/>
  <c r="AJ61" i="63"/>
  <c r="AF72" i="63"/>
  <c r="AE74" i="63"/>
  <c r="AE73" i="63"/>
  <c r="AE72" i="63"/>
  <c r="CE71" i="63"/>
  <c r="AY63" i="63"/>
  <c r="AZ61" i="63"/>
  <c r="AY62" i="63"/>
  <c r="CJ60" i="63"/>
  <c r="BC62" i="63"/>
  <c r="AY61" i="63"/>
  <c r="AI39" i="63"/>
  <c r="AI40" i="63"/>
  <c r="AJ39" i="63"/>
  <c r="AI41" i="63"/>
  <c r="CF38" i="63"/>
  <c r="AI95" i="63"/>
  <c r="AJ17" i="63"/>
  <c r="AI19" i="63"/>
  <c r="AI18" i="63"/>
  <c r="AI17" i="63"/>
  <c r="CF16" i="63"/>
  <c r="AV17" i="63"/>
  <c r="AU17" i="63"/>
  <c r="AU18" i="63"/>
  <c r="AU19" i="63"/>
  <c r="CI16" i="63"/>
  <c r="AU95" i="63"/>
  <c r="AB28" i="63"/>
  <c r="CD27" i="63"/>
  <c r="AA28" i="63"/>
  <c r="AA30" i="63"/>
  <c r="AM63" i="63"/>
  <c r="AM62" i="63"/>
  <c r="CG60" i="63"/>
  <c r="AM61" i="63"/>
  <c r="AN61" i="63"/>
  <c r="S73" i="63"/>
  <c r="W73" i="63"/>
  <c r="S74" i="63"/>
  <c r="S72" i="63"/>
  <c r="CJ71" i="63"/>
  <c r="AI74" i="63"/>
  <c r="AI72" i="63"/>
  <c r="AJ72" i="63"/>
  <c r="AI73" i="63"/>
  <c r="CF71" i="63"/>
  <c r="AA63" i="63"/>
  <c r="AB61" i="63"/>
  <c r="AA62" i="63"/>
  <c r="AA61" i="63"/>
  <c r="AE52" i="63"/>
  <c r="AF50" i="63"/>
  <c r="AE50" i="63"/>
  <c r="CE49" i="63"/>
  <c r="BC95" i="2"/>
  <c r="L102" i="61"/>
  <c r="L106" i="61" s="1"/>
  <c r="BE102" i="61"/>
  <c r="BE106" i="61" s="1"/>
  <c r="BE95" i="2"/>
  <c r="BC102" i="61"/>
  <c r="BC106" i="61" s="1"/>
  <c r="K168" i="2"/>
  <c r="BC168" i="2"/>
  <c r="AQ168" i="2"/>
  <c r="Z168" i="2"/>
  <c r="M168" i="2"/>
  <c r="BD91" i="63"/>
  <c r="CI91" i="63"/>
  <c r="AD168" i="2"/>
  <c r="AI168" i="2"/>
  <c r="AL168" i="2"/>
  <c r="AE168" i="2"/>
  <c r="H168" i="2"/>
  <c r="R168" i="2"/>
  <c r="L168" i="2"/>
  <c r="AK93" i="63"/>
  <c r="AZ91" i="63"/>
  <c r="AY168" i="2"/>
  <c r="W168" i="2"/>
  <c r="T102" i="61"/>
  <c r="T106" i="61" s="1"/>
  <c r="CJ91" i="63"/>
  <c r="CH91" i="63"/>
  <c r="CD161" i="63"/>
  <c r="CD405" i="63" s="1"/>
  <c r="CD99" i="63"/>
  <c r="AH102" i="61"/>
  <c r="AH106" i="61" s="1"/>
  <c r="V102" i="61"/>
  <c r="V106" i="61" s="1"/>
  <c r="AI102" i="61"/>
  <c r="AI106" i="61" s="1"/>
  <c r="AD102" i="61"/>
  <c r="AD106" i="61" s="1"/>
  <c r="AR102" i="61"/>
  <c r="AR106" i="61" s="1"/>
  <c r="N102" i="61"/>
  <c r="N106" i="61" s="1"/>
  <c r="AW102" i="61"/>
  <c r="AW106" i="61" s="1"/>
  <c r="E102" i="61"/>
  <c r="E106" i="61" s="1"/>
  <c r="AP102" i="61"/>
  <c r="AP106" i="61" s="1"/>
  <c r="H102" i="61"/>
  <c r="H106" i="61" s="1"/>
  <c r="AG102" i="61"/>
  <c r="AG106" i="61" s="1"/>
  <c r="AJ102" i="61"/>
  <c r="AJ106" i="61" s="1"/>
  <c r="AV102" i="61"/>
  <c r="AV106" i="61" s="1"/>
  <c r="AB102" i="61"/>
  <c r="AB106" i="61" s="1"/>
  <c r="AF102" i="61"/>
  <c r="AF106" i="61" s="1"/>
  <c r="U102" i="61"/>
  <c r="U106" i="61" s="1"/>
  <c r="AS102" i="61"/>
  <c r="AS106" i="61" s="1"/>
  <c r="AX102" i="61"/>
  <c r="AX106" i="61" s="1"/>
  <c r="AU102" i="61"/>
  <c r="AU106" i="61" s="1"/>
  <c r="G102" i="61"/>
  <c r="G106" i="61" s="1"/>
  <c r="AE102" i="61"/>
  <c r="AE106" i="61" s="1"/>
  <c r="BF336" i="63"/>
  <c r="BG334" i="63"/>
  <c r="CL334" i="63" s="1"/>
  <c r="CL336" i="63" s="1"/>
  <c r="BF368" i="63"/>
  <c r="BF343" i="63"/>
  <c r="BE370" i="63"/>
  <c r="BE369" i="63"/>
  <c r="CM13" i="63"/>
  <c r="BF322" i="63"/>
  <c r="BF319" i="63"/>
  <c r="BG317" i="63"/>
  <c r="CL317" i="63" s="1"/>
  <c r="CM21" i="63"/>
  <c r="CM46" i="63"/>
  <c r="BD374" i="63"/>
  <c r="CL13" i="2"/>
  <c r="CL56" i="2" s="1"/>
  <c r="BF305" i="63"/>
  <c r="BF302" i="63"/>
  <c r="BG300" i="63"/>
  <c r="CL300" i="63" s="1"/>
  <c r="BL43" i="63"/>
  <c r="BE337" i="63"/>
  <c r="BE303" i="63"/>
  <c r="BL10" i="63"/>
  <c r="CK378" i="63"/>
  <c r="BA374" i="63"/>
  <c r="BE372" i="63"/>
  <c r="CM54" i="63"/>
  <c r="AQ90" i="63"/>
  <c r="AP89" i="63"/>
  <c r="BC377" i="63"/>
  <c r="BC378" i="63" s="1"/>
  <c r="BE320" i="63"/>
  <c r="BD102" i="61"/>
  <c r="BD95" i="2"/>
  <c r="BY110" i="61"/>
  <c r="BY111" i="61" s="1"/>
  <c r="BY69" i="61"/>
  <c r="BY70" i="61" s="1"/>
  <c r="CC110" i="61"/>
  <c r="CC111" i="61" s="1"/>
  <c r="CC69" i="61"/>
  <c r="BM80" i="61"/>
  <c r="CI110" i="61"/>
  <c r="CI111" i="61" s="1"/>
  <c r="CI69" i="61"/>
  <c r="AZ102" i="61"/>
  <c r="AZ95" i="2"/>
  <c r="L180" i="61"/>
  <c r="L183" i="61" s="1"/>
  <c r="M177" i="61"/>
  <c r="BL139" i="2"/>
  <c r="BL140" i="2" s="1"/>
  <c r="BL141" i="2" s="1"/>
  <c r="BM32" i="2"/>
  <c r="CM92" i="2"/>
  <c r="CM139" i="2"/>
  <c r="BL87" i="2"/>
  <c r="BM10" i="2"/>
  <c r="BL89" i="2"/>
  <c r="BM19" i="2"/>
  <c r="BL92" i="2"/>
  <c r="BM35" i="2"/>
  <c r="CN18" i="2"/>
  <c r="BM63" i="2"/>
  <c r="BL66" i="2"/>
  <c r="O96" i="63" l="1"/>
  <c r="CO44" i="2"/>
  <c r="BT44" i="2"/>
  <c r="BU44" i="2" s="1"/>
  <c r="BV44" i="2" s="1"/>
  <c r="BW44" i="2" s="1"/>
  <c r="CP44" i="2" s="1"/>
  <c r="CO18" i="2"/>
  <c r="BT18" i="2"/>
  <c r="BU18" i="2" s="1"/>
  <c r="BV18" i="2" s="1"/>
  <c r="BW18" i="2" s="1"/>
  <c r="CP18" i="2" s="1"/>
  <c r="R96" i="63"/>
  <c r="BY19" i="63"/>
  <c r="BI111" i="63"/>
  <c r="BI145" i="63"/>
  <c r="BM30" i="63"/>
  <c r="BN30" i="63" s="1"/>
  <c r="BO30" i="63" s="1"/>
  <c r="BJ10" i="1"/>
  <c r="BJ11" i="1"/>
  <c r="CC139" i="1"/>
  <c r="BQ144" i="61"/>
  <c r="AY102" i="61"/>
  <c r="AK102" i="61"/>
  <c r="AK106" i="61" s="1"/>
  <c r="AS96" i="63"/>
  <c r="BZ177" i="61"/>
  <c r="BZ180" i="61" s="1"/>
  <c r="BH145" i="63"/>
  <c r="BS29" i="2"/>
  <c r="BT29" i="2" s="1"/>
  <c r="BR34" i="61"/>
  <c r="BS27" i="2"/>
  <c r="BT27" i="2" s="1"/>
  <c r="BT32" i="61" s="1"/>
  <c r="BR32" i="61"/>
  <c r="BQ142" i="61"/>
  <c r="CL302" i="63"/>
  <c r="CL319" i="63"/>
  <c r="AL96" i="63"/>
  <c r="AW96" i="63"/>
  <c r="BD377" i="63"/>
  <c r="BD378" i="63" s="1"/>
  <c r="BO53" i="2"/>
  <c r="BP54" i="2"/>
  <c r="BF337" i="63"/>
  <c r="AD96" i="63"/>
  <c r="U96" i="63"/>
  <c r="J102" i="61"/>
  <c r="J106" i="61" s="1"/>
  <c r="CD19" i="63"/>
  <c r="CC19" i="63"/>
  <c r="AB96" i="63"/>
  <c r="Y96" i="63"/>
  <c r="AC96" i="63"/>
  <c r="CD18" i="63"/>
  <c r="T96" i="63"/>
  <c r="BY95" i="63"/>
  <c r="E96" i="63"/>
  <c r="AG96" i="63"/>
  <c r="CA40" i="63"/>
  <c r="W102" i="61"/>
  <c r="AC102" i="61"/>
  <c r="AC106" i="61" s="1"/>
  <c r="O102" i="61"/>
  <c r="O106" i="61" s="1"/>
  <c r="Y102" i="61"/>
  <c r="Y106" i="61" s="1"/>
  <c r="BN32" i="63"/>
  <c r="BM35" i="63"/>
  <c r="BE78" i="63"/>
  <c r="BI78" i="63" s="1"/>
  <c r="CC41" i="63"/>
  <c r="BZ18" i="63"/>
  <c r="BZ19" i="63"/>
  <c r="AF168" i="2"/>
  <c r="CL165" i="63"/>
  <c r="CL167" i="63" s="1"/>
  <c r="BJ166" i="63"/>
  <c r="BJ159" i="63"/>
  <c r="BZ40" i="63"/>
  <c r="CL52" i="2"/>
  <c r="Q102" i="61"/>
  <c r="Q106" i="61" s="1"/>
  <c r="CB18" i="63"/>
  <c r="CB19" i="63"/>
  <c r="CC18" i="63"/>
  <c r="N154" i="2"/>
  <c r="AF150" i="2"/>
  <c r="H67" i="61"/>
  <c r="H70" i="61" s="1"/>
  <c r="H73" i="61" s="1"/>
  <c r="D102" i="61"/>
  <c r="D106" i="61" s="1"/>
  <c r="AT102" i="61"/>
  <c r="AT106" i="61" s="1"/>
  <c r="P102" i="61"/>
  <c r="P106" i="61" s="1"/>
  <c r="BA102" i="61"/>
  <c r="BA106" i="61" s="1"/>
  <c r="N150" i="2"/>
  <c r="O150" i="2"/>
  <c r="AC168" i="2"/>
  <c r="BE168" i="2"/>
  <c r="O154" i="2"/>
  <c r="BI167" i="63"/>
  <c r="L96" i="63"/>
  <c r="CD41" i="63"/>
  <c r="X96" i="63"/>
  <c r="CA41" i="63"/>
  <c r="CC95" i="63"/>
  <c r="BZ41" i="63"/>
  <c r="CC40" i="63"/>
  <c r="BJ165" i="63"/>
  <c r="CB41" i="63"/>
  <c r="AF154" i="2"/>
  <c r="CE18" i="63"/>
  <c r="CA19" i="63"/>
  <c r="CB40" i="63"/>
  <c r="CA18" i="63"/>
  <c r="BF320" i="63"/>
  <c r="BF303" i="63"/>
  <c r="BE168" i="63"/>
  <c r="BF38" i="63"/>
  <c r="BF60" i="63"/>
  <c r="BF49" i="63"/>
  <c r="BF16" i="63"/>
  <c r="BF27" i="63"/>
  <c r="BJ29" i="63" s="1"/>
  <c r="BF71" i="63"/>
  <c r="BF161" i="63"/>
  <c r="BF91" i="63"/>
  <c r="BG91" i="63" s="1"/>
  <c r="BH91" i="63" s="1"/>
  <c r="BI91" i="63" s="1"/>
  <c r="BF99" i="63"/>
  <c r="CK96" i="63"/>
  <c r="BN14" i="2"/>
  <c r="BN25" i="61" s="1"/>
  <c r="BM135" i="61"/>
  <c r="BL143" i="61"/>
  <c r="BL146" i="61"/>
  <c r="BM33" i="61"/>
  <c r="BN28" i="2"/>
  <c r="BN36" i="2"/>
  <c r="BM36" i="61"/>
  <c r="BN30" i="2"/>
  <c r="BM35" i="61"/>
  <c r="BM145" i="61" s="1"/>
  <c r="CA95" i="63"/>
  <c r="CM78" i="2"/>
  <c r="BK78" i="2"/>
  <c r="CI95" i="63"/>
  <c r="CI19" i="63"/>
  <c r="CI18" i="63"/>
  <c r="S96" i="63"/>
  <c r="CJ29" i="63"/>
  <c r="CJ30" i="63"/>
  <c r="CK29" i="63"/>
  <c r="CB95" i="63"/>
  <c r="CD95" i="63"/>
  <c r="BA377" i="63"/>
  <c r="BA378" i="63" s="1"/>
  <c r="CD40" i="63"/>
  <c r="CG63" i="63"/>
  <c r="CF41" i="63"/>
  <c r="CF40" i="63"/>
  <c r="CJ63" i="63"/>
  <c r="CJ62" i="63"/>
  <c r="CK62" i="63"/>
  <c r="AA96" i="63"/>
  <c r="CF30" i="63"/>
  <c r="CF29" i="63"/>
  <c r="P96" i="63"/>
  <c r="AM96" i="63"/>
  <c r="CI51" i="63"/>
  <c r="CI52" i="63"/>
  <c r="BC78" i="63"/>
  <c r="BG78" i="63" s="1"/>
  <c r="BK78" i="63" s="1"/>
  <c r="CE41" i="63"/>
  <c r="CI30" i="63"/>
  <c r="CI29" i="63"/>
  <c r="CK51" i="63"/>
  <c r="CJ52" i="63"/>
  <c r="CJ51" i="63"/>
  <c r="BD78" i="63"/>
  <c r="BH78" i="63" s="1"/>
  <c r="CH41" i="63"/>
  <c r="CH40" i="63"/>
  <c r="CH19" i="63"/>
  <c r="CH18" i="63"/>
  <c r="CH95" i="63"/>
  <c r="CI62" i="63"/>
  <c r="CI63" i="63"/>
  <c r="CH52" i="63"/>
  <c r="CH51" i="63"/>
  <c r="AY96" i="63"/>
  <c r="AQ96" i="63"/>
  <c r="CG93" i="63"/>
  <c r="CF95" i="63"/>
  <c r="CF19" i="63"/>
  <c r="CF18" i="63"/>
  <c r="CG29" i="63"/>
  <c r="CG30" i="63"/>
  <c r="CG95" i="63"/>
  <c r="CG18" i="63"/>
  <c r="CG19" i="63"/>
  <c r="CJ18" i="63"/>
  <c r="CJ95" i="63"/>
  <c r="CK18" i="63"/>
  <c r="CJ19" i="63"/>
  <c r="AE96" i="63"/>
  <c r="CE29" i="63"/>
  <c r="CE30" i="63"/>
  <c r="CJ40" i="63"/>
  <c r="CK40" i="63"/>
  <c r="CJ41" i="63"/>
  <c r="CE19" i="63"/>
  <c r="CE95" i="63"/>
  <c r="CG52" i="63"/>
  <c r="AP93" i="63"/>
  <c r="CE40" i="63"/>
  <c r="BZ95" i="63"/>
  <c r="CD30" i="63"/>
  <c r="AU96" i="63"/>
  <c r="AI96" i="63"/>
  <c r="H96" i="63"/>
  <c r="CH63" i="63"/>
  <c r="CH62" i="63"/>
  <c r="CI41" i="63"/>
  <c r="CI40" i="63"/>
  <c r="CG41" i="63"/>
  <c r="CG40" i="63"/>
  <c r="CH30" i="63"/>
  <c r="CH29" i="63"/>
  <c r="AT154" i="2"/>
  <c r="BB154" i="2"/>
  <c r="CF102" i="61"/>
  <c r="CF106" i="61" s="1"/>
  <c r="AP154" i="2"/>
  <c r="BD168" i="2"/>
  <c r="AS168" i="2"/>
  <c r="AA168" i="2"/>
  <c r="AY150" i="2"/>
  <c r="AT150" i="2"/>
  <c r="CB168" i="2"/>
  <c r="AC150" i="2"/>
  <c r="AM150" i="2"/>
  <c r="AS150" i="2"/>
  <c r="AP168" i="2"/>
  <c r="AS154" i="2"/>
  <c r="BE154" i="2"/>
  <c r="BE150" i="2"/>
  <c r="BB168" i="2"/>
  <c r="AJ168" i="2"/>
  <c r="BC154" i="2"/>
  <c r="AZ168" i="2"/>
  <c r="BC150" i="2"/>
  <c r="CF168" i="2"/>
  <c r="AM168" i="2"/>
  <c r="AR168" i="2"/>
  <c r="AH168" i="2"/>
  <c r="AT168" i="2"/>
  <c r="BD154" i="2"/>
  <c r="BD150" i="2"/>
  <c r="BA168" i="2"/>
  <c r="AN168" i="2"/>
  <c r="AX168" i="2"/>
  <c r="BA150" i="2"/>
  <c r="BA154" i="2"/>
  <c r="AV168" i="2"/>
  <c r="AV150" i="2"/>
  <c r="BB150" i="2"/>
  <c r="BA91" i="63"/>
  <c r="BE91" i="63"/>
  <c r="O168" i="2"/>
  <c r="AL102" i="61"/>
  <c r="I102" i="61"/>
  <c r="S102" i="61"/>
  <c r="S106" i="61" s="1"/>
  <c r="Z102" i="61"/>
  <c r="Z106" i="61" s="1"/>
  <c r="K102" i="61"/>
  <c r="K106" i="61" s="1"/>
  <c r="AQ102" i="61"/>
  <c r="AM102" i="61"/>
  <c r="AM106" i="61" s="1"/>
  <c r="M102" i="61"/>
  <c r="M106" i="61" s="1"/>
  <c r="BL65" i="63"/>
  <c r="CM71" i="63"/>
  <c r="CM65" i="63"/>
  <c r="AR90" i="63"/>
  <c r="AQ89" i="63"/>
  <c r="BI103" i="61"/>
  <c r="BH300" i="63"/>
  <c r="BG305" i="63"/>
  <c r="CL305" i="63" s="1"/>
  <c r="CL306" i="63" s="1"/>
  <c r="BG302" i="63"/>
  <c r="CM24" i="63"/>
  <c r="CM57" i="63"/>
  <c r="BM43" i="63"/>
  <c r="BL46" i="63"/>
  <c r="BF372" i="63"/>
  <c r="CL59" i="2"/>
  <c r="BL21" i="63"/>
  <c r="CM27" i="63"/>
  <c r="BF370" i="63"/>
  <c r="BF369" i="63"/>
  <c r="BH159" i="61"/>
  <c r="BL54" i="63"/>
  <c r="BE374" i="63"/>
  <c r="BE377" i="63" s="1"/>
  <c r="BE378" i="63" s="1"/>
  <c r="BM10" i="63"/>
  <c r="BL13" i="63"/>
  <c r="CK374" i="63"/>
  <c r="BH317" i="63"/>
  <c r="BG319" i="63"/>
  <c r="BG322" i="63"/>
  <c r="CL322" i="63" s="1"/>
  <c r="CL323" i="63" s="1"/>
  <c r="BG343" i="63"/>
  <c r="CL343" i="63" s="1"/>
  <c r="CL344" i="63" s="1"/>
  <c r="BG368" i="63"/>
  <c r="BG320" i="63" s="1"/>
  <c r="BG336" i="63"/>
  <c r="BH334" i="63"/>
  <c r="M180" i="61"/>
  <c r="M183" i="61" s="1"/>
  <c r="N177" i="61"/>
  <c r="BN80" i="61"/>
  <c r="BD106" i="61"/>
  <c r="CA177" i="61"/>
  <c r="CA180" i="61" s="1"/>
  <c r="BZ183" i="61"/>
  <c r="AZ106" i="61"/>
  <c r="BY73" i="61"/>
  <c r="BZ67" i="61"/>
  <c r="BZ70" i="61" s="1"/>
  <c r="BN63" i="2"/>
  <c r="BM66" i="2"/>
  <c r="BM87" i="2"/>
  <c r="BN10" i="2"/>
  <c r="BM92" i="2"/>
  <c r="BN35" i="2"/>
  <c r="CM140" i="2"/>
  <c r="CM142" i="2" s="1"/>
  <c r="BM139" i="2"/>
  <c r="BN32" i="2"/>
  <c r="BM89" i="2"/>
  <c r="BN19" i="2"/>
  <c r="BM140" i="2"/>
  <c r="BM141" i="2" s="1"/>
  <c r="BT142" i="61" l="1"/>
  <c r="BU29" i="2"/>
  <c r="BT34" i="61"/>
  <c r="BU27" i="2"/>
  <c r="I67" i="61"/>
  <c r="I70" i="61" s="1"/>
  <c r="I73" i="61" s="1"/>
  <c r="BR144" i="61"/>
  <c r="BP30" i="63"/>
  <c r="BQ30" i="63" s="1"/>
  <c r="BR30" i="63" s="1"/>
  <c r="BS30" i="63" s="1"/>
  <c r="BT30" i="63" s="1"/>
  <c r="BG61" i="63"/>
  <c r="BJ62" i="63"/>
  <c r="BG39" i="63"/>
  <c r="BJ40" i="63"/>
  <c r="BG17" i="63"/>
  <c r="BJ18" i="63"/>
  <c r="BG50" i="63"/>
  <c r="BJ51" i="63"/>
  <c r="BJ111" i="63"/>
  <c r="BJ145" i="63"/>
  <c r="BJ95" i="63"/>
  <c r="BJ96" i="63" s="1"/>
  <c r="BJ50" i="1"/>
  <c r="BJ40" i="1"/>
  <c r="BJ30" i="1"/>
  <c r="BJ20" i="1"/>
  <c r="CM8" i="1"/>
  <c r="CE102" i="61"/>
  <c r="CE106" i="61" s="1"/>
  <c r="CO29" i="2"/>
  <c r="BS34" i="61"/>
  <c r="CO34" i="61" s="1"/>
  <c r="BR142" i="61"/>
  <c r="CO27" i="2"/>
  <c r="BS32" i="61"/>
  <c r="CO32" i="61" s="1"/>
  <c r="CL368" i="63"/>
  <c r="BQ54" i="2"/>
  <c r="BP53" i="2"/>
  <c r="CO64" i="2"/>
  <c r="CA96" i="63"/>
  <c r="BY96" i="63"/>
  <c r="BG28" i="63"/>
  <c r="BN35" i="63"/>
  <c r="BO32" i="63"/>
  <c r="BP32" i="63" s="1"/>
  <c r="BM78" i="63"/>
  <c r="BQ78" i="63" s="1"/>
  <c r="BU78" i="63" s="1"/>
  <c r="BY168" i="2"/>
  <c r="BY102" i="61"/>
  <c r="BY106" i="61" s="1"/>
  <c r="CI102" i="61"/>
  <c r="CI106" i="61" s="1"/>
  <c r="CC96" i="63"/>
  <c r="AQ150" i="2"/>
  <c r="CK102" i="61"/>
  <c r="CK106" i="61" s="1"/>
  <c r="AO154" i="2"/>
  <c r="AQ154" i="2"/>
  <c r="AP150" i="2"/>
  <c r="AY154" i="2"/>
  <c r="BJ167" i="63"/>
  <c r="BH160" i="63"/>
  <c r="X102" i="61"/>
  <c r="X106" i="61" s="1"/>
  <c r="BF168" i="63"/>
  <c r="S168" i="2"/>
  <c r="CB102" i="61"/>
  <c r="CB106" i="61" s="1"/>
  <c r="G168" i="2"/>
  <c r="BF52" i="63"/>
  <c r="BF51" i="63"/>
  <c r="BF50" i="63"/>
  <c r="CL49" i="63"/>
  <c r="CL71" i="63"/>
  <c r="AL150" i="2"/>
  <c r="AO102" i="61"/>
  <c r="AO106" i="61" s="1"/>
  <c r="BF30" i="63"/>
  <c r="BF29" i="63"/>
  <c r="BF28" i="63"/>
  <c r="CL27" i="63"/>
  <c r="CM29" i="63" s="1"/>
  <c r="BF41" i="63"/>
  <c r="BF40" i="63"/>
  <c r="BF39" i="63"/>
  <c r="CL38" i="63"/>
  <c r="BF63" i="63"/>
  <c r="BF62" i="63"/>
  <c r="BF61" i="63"/>
  <c r="CL60" i="63"/>
  <c r="BF95" i="63"/>
  <c r="BF18" i="63"/>
  <c r="BF19" i="63"/>
  <c r="BF17" i="63"/>
  <c r="CL16" i="63"/>
  <c r="BM143" i="61"/>
  <c r="BN135" i="61"/>
  <c r="BO36" i="2"/>
  <c r="BP36" i="2" s="1"/>
  <c r="BN36" i="61"/>
  <c r="BN33" i="61"/>
  <c r="BN143" i="61" s="1"/>
  <c r="BO28" i="2"/>
  <c r="BP28" i="2" s="1"/>
  <c r="BM146" i="61"/>
  <c r="BO30" i="2"/>
  <c r="BP30" i="2" s="1"/>
  <c r="BN35" i="61"/>
  <c r="BN145" i="61" s="1"/>
  <c r="BO14" i="2"/>
  <c r="BG372" i="63"/>
  <c r="BL78" i="2"/>
  <c r="BG337" i="63"/>
  <c r="CD96" i="63"/>
  <c r="BG303" i="63"/>
  <c r="CE96" i="63"/>
  <c r="CF96" i="63"/>
  <c r="CB96" i="63"/>
  <c r="BZ96" i="63"/>
  <c r="CG96" i="63"/>
  <c r="CH96" i="63"/>
  <c r="BL78" i="63"/>
  <c r="BP78" i="63" s="1"/>
  <c r="BT78" i="63" s="1"/>
  <c r="CI96" i="63"/>
  <c r="BN78" i="63"/>
  <c r="BR78" i="63" s="1"/>
  <c r="BV78" i="63" s="1"/>
  <c r="CJ96" i="63"/>
  <c r="AK154" i="2"/>
  <c r="AM154" i="2"/>
  <c r="AK150" i="2"/>
  <c r="CK168" i="2"/>
  <c r="CC168" i="2"/>
  <c r="CE168" i="2"/>
  <c r="Y154" i="2"/>
  <c r="Y150" i="2"/>
  <c r="V168" i="2"/>
  <c r="AJ150" i="2"/>
  <c r="AG168" i="2"/>
  <c r="AJ154" i="2"/>
  <c r="AG154" i="2"/>
  <c r="AH150" i="2"/>
  <c r="AI150" i="2"/>
  <c r="AG150" i="2"/>
  <c r="AI154" i="2"/>
  <c r="AH154" i="2"/>
  <c r="AW154" i="2"/>
  <c r="AE150" i="2"/>
  <c r="AE154" i="2"/>
  <c r="AB168" i="2"/>
  <c r="AD150" i="2"/>
  <c r="AV154" i="2"/>
  <c r="T150" i="2"/>
  <c r="T154" i="2"/>
  <c r="Q168" i="2"/>
  <c r="X154" i="2"/>
  <c r="X150" i="2"/>
  <c r="U168" i="2"/>
  <c r="AW150" i="2"/>
  <c r="AU154" i="2"/>
  <c r="AZ154" i="2"/>
  <c r="AW168" i="2"/>
  <c r="AZ150" i="2"/>
  <c r="CA168" i="2"/>
  <c r="BZ168" i="2"/>
  <c r="CI168" i="2"/>
  <c r="CH168" i="2"/>
  <c r="R154" i="2"/>
  <c r="W154" i="2"/>
  <c r="T168" i="2"/>
  <c r="W150" i="2"/>
  <c r="U150" i="2"/>
  <c r="V154" i="2"/>
  <c r="U154" i="2"/>
  <c r="V150" i="2"/>
  <c r="M154" i="2"/>
  <c r="J168" i="2"/>
  <c r="M150" i="2"/>
  <c r="Y168" i="2"/>
  <c r="AB150" i="2"/>
  <c r="AB154" i="2"/>
  <c r="AA150" i="2"/>
  <c r="Z154" i="2"/>
  <c r="Z150" i="2"/>
  <c r="AA154" i="2"/>
  <c r="AU150" i="2"/>
  <c r="AN154" i="2"/>
  <c r="AN150" i="2"/>
  <c r="AK168" i="2"/>
  <c r="AL154" i="2"/>
  <c r="I168" i="2"/>
  <c r="L154" i="2"/>
  <c r="L150" i="2"/>
  <c r="J154" i="2"/>
  <c r="K150" i="2"/>
  <c r="K154" i="2"/>
  <c r="J150" i="2"/>
  <c r="I154" i="2"/>
  <c r="I150" i="2"/>
  <c r="F168" i="2"/>
  <c r="G154" i="2"/>
  <c r="G150" i="2"/>
  <c r="AD154" i="2"/>
  <c r="H150" i="2"/>
  <c r="H154" i="2"/>
  <c r="E168" i="2"/>
  <c r="CD168" i="2"/>
  <c r="CJ168" i="2"/>
  <c r="CG168" i="2"/>
  <c r="R150" i="2"/>
  <c r="CK91" i="63"/>
  <c r="AU168" i="2"/>
  <c r="AX150" i="2"/>
  <c r="AX154" i="2"/>
  <c r="AC154" i="2"/>
  <c r="S150" i="2"/>
  <c r="P168" i="2"/>
  <c r="S154" i="2"/>
  <c r="P150" i="2"/>
  <c r="P154" i="2"/>
  <c r="Q150" i="2"/>
  <c r="Q154" i="2"/>
  <c r="AO168" i="2"/>
  <c r="AR154" i="2"/>
  <c r="AR150" i="2"/>
  <c r="AO150" i="2"/>
  <c r="AL106" i="61"/>
  <c r="CG102" i="61"/>
  <c r="CG106" i="61" s="1"/>
  <c r="I106" i="61"/>
  <c r="BZ102" i="61"/>
  <c r="BZ106" i="61" s="1"/>
  <c r="AA102" i="61"/>
  <c r="AY106" i="61"/>
  <c r="CJ102" i="61"/>
  <c r="CJ106" i="61" s="1"/>
  <c r="W106" i="61"/>
  <c r="CC102" i="61"/>
  <c r="CC106" i="61" s="1"/>
  <c r="AQ106" i="61"/>
  <c r="CA102" i="61"/>
  <c r="CA106" i="61" s="1"/>
  <c r="BM13" i="63"/>
  <c r="BN10" i="63"/>
  <c r="BL57" i="63"/>
  <c r="BM54" i="63"/>
  <c r="BL60" i="63"/>
  <c r="CM30" i="63"/>
  <c r="AS90" i="63"/>
  <c r="AR89" i="63"/>
  <c r="BG370" i="63"/>
  <c r="BG369" i="63"/>
  <c r="CL26" i="2"/>
  <c r="BM21" i="63"/>
  <c r="BL24" i="63"/>
  <c r="BL27" i="63"/>
  <c r="BF374" i="63"/>
  <c r="BH305" i="63"/>
  <c r="BH302" i="63"/>
  <c r="BI300" i="63"/>
  <c r="BH33" i="2"/>
  <c r="BH38" i="2" s="1"/>
  <c r="BL71" i="63"/>
  <c r="BM65" i="63"/>
  <c r="CL12" i="2"/>
  <c r="BM46" i="63"/>
  <c r="BN43" i="63"/>
  <c r="BK165" i="63"/>
  <c r="CM76" i="63"/>
  <c r="BH336" i="63"/>
  <c r="BI334" i="63"/>
  <c r="BH368" i="63"/>
  <c r="BH343" i="63"/>
  <c r="BH322" i="63"/>
  <c r="BH319" i="63"/>
  <c r="BI317" i="63"/>
  <c r="CK375" i="63"/>
  <c r="CK377" i="63"/>
  <c r="BL76" i="63"/>
  <c r="BL8" i="1" s="1"/>
  <c r="AQ93" i="63"/>
  <c r="CH89" i="63"/>
  <c r="BO80" i="61"/>
  <c r="BP80" i="61" s="1"/>
  <c r="N180" i="61"/>
  <c r="N183" i="61" s="1"/>
  <c r="O177" i="61"/>
  <c r="O180" i="61" s="1"/>
  <c r="BZ73" i="61"/>
  <c r="CA67" i="61"/>
  <c r="CA70" i="61" s="1"/>
  <c r="CA183" i="61"/>
  <c r="CB177" i="61"/>
  <c r="CB180" i="61" s="1"/>
  <c r="BN89" i="2"/>
  <c r="BO19" i="2"/>
  <c r="BP19" i="2" s="1"/>
  <c r="BN92" i="2"/>
  <c r="BO35" i="2"/>
  <c r="BP35" i="2" s="1"/>
  <c r="BQ35" i="2" s="1"/>
  <c r="BR35" i="2" s="1"/>
  <c r="BS35" i="2" s="1"/>
  <c r="BT35" i="2" s="1"/>
  <c r="BN87" i="2"/>
  <c r="BO10" i="2"/>
  <c r="BP10" i="2" s="1"/>
  <c r="BN139" i="2"/>
  <c r="BN140" i="2" s="1"/>
  <c r="BN141" i="2" s="1"/>
  <c r="BO32" i="2"/>
  <c r="BP32" i="2" s="1"/>
  <c r="BN66" i="2"/>
  <c r="BO63" i="2"/>
  <c r="BP63" i="2" s="1"/>
  <c r="BT144" i="61" l="1"/>
  <c r="BV27" i="2"/>
  <c r="BV32" i="61" s="1"/>
  <c r="BU32" i="61"/>
  <c r="BU142" i="61" s="1"/>
  <c r="BV29" i="2"/>
  <c r="BU34" i="61"/>
  <c r="BU35" i="2"/>
  <c r="BW27" i="2"/>
  <c r="BU30" i="63"/>
  <c r="CM60" i="63"/>
  <c r="J67" i="61"/>
  <c r="J70" i="61" s="1"/>
  <c r="J73" i="61" s="1"/>
  <c r="BJ25" i="1"/>
  <c r="CM49" i="63"/>
  <c r="CM52" i="63" s="1"/>
  <c r="BM52" i="63"/>
  <c r="BL49" i="63"/>
  <c r="BJ55" i="1"/>
  <c r="BJ39" i="1"/>
  <c r="BJ45" i="1"/>
  <c r="BJ29" i="1"/>
  <c r="BJ65" i="1"/>
  <c r="CM11" i="1"/>
  <c r="BL10" i="1"/>
  <c r="BL11" i="1"/>
  <c r="BJ23" i="1"/>
  <c r="BP66" i="2"/>
  <c r="BQ63" i="2"/>
  <c r="BP36" i="61"/>
  <c r="BQ36" i="2"/>
  <c r="BQ28" i="2"/>
  <c r="BP33" i="61"/>
  <c r="BS144" i="61"/>
  <c r="BP139" i="2"/>
  <c r="BQ32" i="2"/>
  <c r="BP92" i="2"/>
  <c r="BQ30" i="2"/>
  <c r="BP35" i="61"/>
  <c r="BS142" i="61"/>
  <c r="BP87" i="2"/>
  <c r="BQ10" i="2"/>
  <c r="BP89" i="2"/>
  <c r="BQ19" i="2"/>
  <c r="CN14" i="2"/>
  <c r="BP14" i="2"/>
  <c r="BG374" i="63"/>
  <c r="BG377" i="63" s="1"/>
  <c r="BG378" i="63" s="1"/>
  <c r="CL372" i="63"/>
  <c r="CL337" i="63"/>
  <c r="CL370" i="63"/>
  <c r="CL354" i="63"/>
  <c r="CL303" i="63"/>
  <c r="CL320" i="63"/>
  <c r="BR54" i="2"/>
  <c r="BQ53" i="2"/>
  <c r="BQ80" i="61"/>
  <c r="BQ32" i="63"/>
  <c r="BP35" i="63"/>
  <c r="BG168" i="63"/>
  <c r="CN32" i="63"/>
  <c r="BO35" i="63"/>
  <c r="BK166" i="63"/>
  <c r="BK167" i="63" s="1"/>
  <c r="BK159" i="63"/>
  <c r="BM76" i="63"/>
  <c r="BK78" i="61"/>
  <c r="BL69" i="63"/>
  <c r="BF96" i="63"/>
  <c r="CL40" i="63"/>
  <c r="CL41" i="63"/>
  <c r="CL29" i="63"/>
  <c r="CL30" i="63"/>
  <c r="CL52" i="63"/>
  <c r="CL51" i="63"/>
  <c r="CH102" i="61"/>
  <c r="CH106" i="61" s="1"/>
  <c r="CL19" i="63"/>
  <c r="CL95" i="63"/>
  <c r="CL18" i="63"/>
  <c r="CL63" i="63"/>
  <c r="CL62" i="63"/>
  <c r="BL58" i="63"/>
  <c r="BN146" i="61"/>
  <c r="CN30" i="2"/>
  <c r="BO35" i="61"/>
  <c r="CN35" i="61" s="1"/>
  <c r="BO25" i="61"/>
  <c r="BO33" i="61"/>
  <c r="CN33" i="61" s="1"/>
  <c r="CN28" i="2"/>
  <c r="CN36" i="2"/>
  <c r="BO36" i="61"/>
  <c r="BM78" i="2"/>
  <c r="BO78" i="63"/>
  <c r="BS78" i="63" s="1"/>
  <c r="BW78" i="63" s="1"/>
  <c r="BH372" i="63"/>
  <c r="CH93" i="63"/>
  <c r="CL91" i="63"/>
  <c r="AA106" i="61"/>
  <c r="CD102" i="61"/>
  <c r="CD106" i="61" s="1"/>
  <c r="BJ160" i="63"/>
  <c r="BH370" i="63"/>
  <c r="BH369" i="63"/>
  <c r="BO10" i="63"/>
  <c r="BN13" i="63"/>
  <c r="BH320" i="63"/>
  <c r="BI368" i="63"/>
  <c r="BI337" i="63" s="1"/>
  <c r="BI343" i="63"/>
  <c r="BJ334" i="63"/>
  <c r="BI336" i="63"/>
  <c r="CL160" i="63"/>
  <c r="CL98" i="63"/>
  <c r="CM62" i="63"/>
  <c r="CM63" i="63"/>
  <c r="CM79" i="63"/>
  <c r="CM36" i="63"/>
  <c r="CM47" i="63"/>
  <c r="CM14" i="63"/>
  <c r="CM58" i="63"/>
  <c r="CM25" i="63"/>
  <c r="BO43" i="63"/>
  <c r="BN46" i="63"/>
  <c r="CM69" i="63"/>
  <c r="BF377" i="63"/>
  <c r="BF378" i="63" s="1"/>
  <c r="BM24" i="63"/>
  <c r="BN21" i="63"/>
  <c r="BM27" i="63"/>
  <c r="AT90" i="63"/>
  <c r="AS89" i="63"/>
  <c r="BL62" i="63"/>
  <c r="BL61" i="63"/>
  <c r="BJ317" i="63"/>
  <c r="BI322" i="63"/>
  <c r="BI319" i="63"/>
  <c r="BH303" i="63"/>
  <c r="CL55" i="2"/>
  <c r="CL33" i="2"/>
  <c r="CL38" i="2" s="1"/>
  <c r="AR93" i="63"/>
  <c r="BL165" i="63"/>
  <c r="BL79" i="63"/>
  <c r="BL77" i="63"/>
  <c r="BL36" i="63"/>
  <c r="BL47" i="63"/>
  <c r="BL14" i="63"/>
  <c r="BI160" i="63"/>
  <c r="BH337" i="63"/>
  <c r="CL54" i="2"/>
  <c r="CL53" i="2" s="1"/>
  <c r="BN65" i="63"/>
  <c r="BM71" i="63"/>
  <c r="BJ300" i="63"/>
  <c r="BI305" i="63"/>
  <c r="BI302" i="63"/>
  <c r="BL29" i="63"/>
  <c r="BL28" i="63"/>
  <c r="BL25" i="63"/>
  <c r="BN54" i="63"/>
  <c r="BM57" i="63"/>
  <c r="BM60" i="63"/>
  <c r="P177" i="61"/>
  <c r="O183" i="61"/>
  <c r="CB67" i="61"/>
  <c r="CB70" i="61" s="1"/>
  <c r="CA73" i="61"/>
  <c r="K67" i="61"/>
  <c r="K70" i="61" s="1"/>
  <c r="CC177" i="61"/>
  <c r="CC180" i="61" s="1"/>
  <c r="CB183" i="61"/>
  <c r="BO87" i="2"/>
  <c r="CN10" i="2"/>
  <c r="CN87" i="2" s="1"/>
  <c r="BO139" i="2"/>
  <c r="CN32" i="2"/>
  <c r="BO92" i="2"/>
  <c r="CN35" i="2"/>
  <c r="BO89" i="2"/>
  <c r="CN19" i="2"/>
  <c r="BO66" i="2"/>
  <c r="CN63" i="2"/>
  <c r="CN66" i="2" s="1"/>
  <c r="BO140" i="2"/>
  <c r="BO141" i="2" s="1"/>
  <c r="BK111" i="63" l="1"/>
  <c r="BK145" i="63"/>
  <c r="BV142" i="61"/>
  <c r="BU144" i="61"/>
  <c r="BW32" i="61"/>
  <c r="CP32" i="61" s="1"/>
  <c r="CP27" i="2"/>
  <c r="BW142" i="61"/>
  <c r="BW29" i="2"/>
  <c r="BV34" i="61"/>
  <c r="BV35" i="2"/>
  <c r="BV30" i="63"/>
  <c r="BP140" i="2"/>
  <c r="BP141" i="2" s="1"/>
  <c r="BJ56" i="1"/>
  <c r="BJ68" i="1"/>
  <c r="BJ46" i="1"/>
  <c r="BJ69" i="1"/>
  <c r="BJ99" i="63"/>
  <c r="BJ91" i="63"/>
  <c r="BK91" i="63" s="1"/>
  <c r="BL50" i="63"/>
  <c r="BL51" i="63"/>
  <c r="BN52" i="63"/>
  <c r="BM49" i="63"/>
  <c r="CM51" i="63"/>
  <c r="CM38" i="63"/>
  <c r="BM41" i="63"/>
  <c r="BL38" i="63"/>
  <c r="BM19" i="63"/>
  <c r="BL16" i="63"/>
  <c r="CM16" i="63"/>
  <c r="BJ66" i="1"/>
  <c r="BJ36" i="1"/>
  <c r="BL48" i="1"/>
  <c r="BL49" i="1" s="1"/>
  <c r="BM47" i="63"/>
  <c r="BM8" i="1"/>
  <c r="BJ26" i="1"/>
  <c r="BL28" i="1"/>
  <c r="CM28" i="1"/>
  <c r="CM48" i="1"/>
  <c r="BL38" i="1"/>
  <c r="CM38" i="1"/>
  <c r="BH168" i="63"/>
  <c r="BQ66" i="2"/>
  <c r="BR63" i="2"/>
  <c r="BR36" i="2"/>
  <c r="BQ36" i="61"/>
  <c r="BP146" i="61"/>
  <c r="BP143" i="61"/>
  <c r="BR28" i="2"/>
  <c r="BQ33" i="61"/>
  <c r="BQ139" i="2"/>
  <c r="BQ140" i="2" s="1"/>
  <c r="BQ141" i="2" s="1"/>
  <c r="BQ92" i="2"/>
  <c r="BR32" i="2"/>
  <c r="BP145" i="61"/>
  <c r="BR30" i="2"/>
  <c r="BQ35" i="61"/>
  <c r="BR10" i="2"/>
  <c r="BQ87" i="2"/>
  <c r="BR19" i="2"/>
  <c r="BQ89" i="2"/>
  <c r="BQ14" i="2"/>
  <c r="BQ25" i="61" s="1"/>
  <c r="BP25" i="61"/>
  <c r="BR53" i="2"/>
  <c r="BS54" i="2"/>
  <c r="BT54" i="2" s="1"/>
  <c r="CL378" i="63"/>
  <c r="BH374" i="63"/>
  <c r="CL374" i="63"/>
  <c r="CL375" i="63" s="1"/>
  <c r="BR80" i="61"/>
  <c r="CN10" i="63"/>
  <c r="BP10" i="63"/>
  <c r="CN43" i="63"/>
  <c r="BP43" i="63"/>
  <c r="BQ35" i="63"/>
  <c r="BR32" i="63"/>
  <c r="BM69" i="63"/>
  <c r="CN35" i="63"/>
  <c r="BL81" i="63"/>
  <c r="BL159" i="63"/>
  <c r="BL166" i="63"/>
  <c r="BL167" i="63" s="1"/>
  <c r="BO146" i="61"/>
  <c r="BM14" i="63"/>
  <c r="BM25" i="63"/>
  <c r="BM77" i="63"/>
  <c r="BM36" i="63"/>
  <c r="BM58" i="63"/>
  <c r="BM79" i="63"/>
  <c r="BM165" i="63"/>
  <c r="BL58" i="2"/>
  <c r="BL78" i="61"/>
  <c r="CL96" i="63"/>
  <c r="BI303" i="63"/>
  <c r="BI320" i="63"/>
  <c r="BO143" i="61"/>
  <c r="CN36" i="61"/>
  <c r="BO145" i="61"/>
  <c r="CN25" i="61"/>
  <c r="CN135" i="61" s="1"/>
  <c r="BO135" i="61"/>
  <c r="BN78" i="2"/>
  <c r="AS93" i="63"/>
  <c r="BJ336" i="63"/>
  <c r="BK334" i="63"/>
  <c r="CM334" i="63" s="1"/>
  <c r="BJ368" i="63"/>
  <c r="BJ303" i="63" s="1"/>
  <c r="BJ343" i="63"/>
  <c r="BK103" i="61"/>
  <c r="CM103" i="61" s="1"/>
  <c r="CM40" i="61"/>
  <c r="BJ305" i="63"/>
  <c r="BJ302" i="63"/>
  <c r="BK300" i="63"/>
  <c r="CM300" i="63" s="1"/>
  <c r="BN71" i="63"/>
  <c r="BO65" i="63"/>
  <c r="BP65" i="63" s="1"/>
  <c r="AU90" i="63"/>
  <c r="AT89" i="63"/>
  <c r="CL161" i="63"/>
  <c r="CL99" i="63"/>
  <c r="BM61" i="63"/>
  <c r="BM62" i="63"/>
  <c r="BN24" i="63"/>
  <c r="BO21" i="63"/>
  <c r="BN27" i="63"/>
  <c r="BI372" i="63"/>
  <c r="BO13" i="63"/>
  <c r="BO54" i="63"/>
  <c r="BP54" i="63" s="1"/>
  <c r="BN57" i="63"/>
  <c r="BN60" i="63"/>
  <c r="BM28" i="63"/>
  <c r="BM29" i="63"/>
  <c r="BO46" i="63"/>
  <c r="BJ322" i="63"/>
  <c r="BJ319" i="63"/>
  <c r="BK317" i="63"/>
  <c r="CM317" i="63" s="1"/>
  <c r="BN76" i="63"/>
  <c r="BN8" i="1" s="1"/>
  <c r="BI370" i="63"/>
  <c r="BI369" i="63"/>
  <c r="CC67" i="61"/>
  <c r="CC70" i="61" s="1"/>
  <c r="CB73" i="61"/>
  <c r="CD177" i="61"/>
  <c r="CD180" i="61" s="1"/>
  <c r="CC183" i="61"/>
  <c r="L67" i="61"/>
  <c r="L70" i="61" s="1"/>
  <c r="K73" i="61"/>
  <c r="P180" i="61"/>
  <c r="P183" i="61" s="1"/>
  <c r="Q177" i="61"/>
  <c r="CN139" i="2"/>
  <c r="CN92" i="2"/>
  <c r="BV144" i="61" l="1"/>
  <c r="BW34" i="61"/>
  <c r="CP34" i="61" s="1"/>
  <c r="CP29" i="2"/>
  <c r="BW144" i="61"/>
  <c r="BW35" i="2"/>
  <c r="CP35" i="2" s="1"/>
  <c r="BU54" i="2"/>
  <c r="BT53" i="2"/>
  <c r="BW30" i="63"/>
  <c r="BJ67" i="1"/>
  <c r="BL40" i="61"/>
  <c r="BL49" i="61" s="1"/>
  <c r="BJ72" i="1"/>
  <c r="CM86" i="63"/>
  <c r="BM51" i="63"/>
  <c r="BM50" i="63"/>
  <c r="BO52" i="63"/>
  <c r="BN49" i="63"/>
  <c r="BN41" i="63"/>
  <c r="BM38" i="63"/>
  <c r="BL39" i="63"/>
  <c r="BL40" i="63"/>
  <c r="CM41" i="63"/>
  <c r="CM40" i="63"/>
  <c r="CM19" i="63"/>
  <c r="CM95" i="63"/>
  <c r="CM18" i="63"/>
  <c r="BN19" i="63"/>
  <c r="BM16" i="63"/>
  <c r="CM14" i="1"/>
  <c r="CM59" i="2" s="1"/>
  <c r="BL17" i="63"/>
  <c r="BL18" i="63"/>
  <c r="BL95" i="63"/>
  <c r="BL14" i="1" s="1"/>
  <c r="BL55" i="1"/>
  <c r="BL56" i="1" s="1"/>
  <c r="BN11" i="1"/>
  <c r="BN10" i="1"/>
  <c r="CM50" i="1"/>
  <c r="CM55" i="1"/>
  <c r="CM56" i="1" s="1"/>
  <c r="CM49" i="1"/>
  <c r="CM40" i="1"/>
  <c r="CM45" i="1"/>
  <c r="CM39" i="1"/>
  <c r="BL45" i="1"/>
  <c r="BL46" i="1" s="1"/>
  <c r="BL39" i="1"/>
  <c r="CM65" i="1"/>
  <c r="CM29" i="1"/>
  <c r="CM30" i="1"/>
  <c r="CM35" i="1"/>
  <c r="BL35" i="1"/>
  <c r="BL29" i="1"/>
  <c r="BL65" i="1"/>
  <c r="BM11" i="1"/>
  <c r="BM10" i="1"/>
  <c r="CN46" i="63"/>
  <c r="CN13" i="63"/>
  <c r="BS63" i="2"/>
  <c r="BT63" i="2" s="1"/>
  <c r="BR66" i="2"/>
  <c r="BQ146" i="61"/>
  <c r="BS36" i="2"/>
  <c r="BT36" i="2" s="1"/>
  <c r="BR36" i="61"/>
  <c r="BS28" i="2"/>
  <c r="BT28" i="2" s="1"/>
  <c r="BT33" i="61" s="1"/>
  <c r="BR33" i="61"/>
  <c r="BQ143" i="61"/>
  <c r="BS32" i="2"/>
  <c r="BT32" i="2" s="1"/>
  <c r="BR139" i="2"/>
  <c r="BR92" i="2"/>
  <c r="BR140" i="2"/>
  <c r="BR141" i="2" s="1"/>
  <c r="BS30" i="2"/>
  <c r="BT30" i="2" s="1"/>
  <c r="BR35" i="61"/>
  <c r="BQ145" i="61"/>
  <c r="BR87" i="2"/>
  <c r="BS10" i="2"/>
  <c r="BS19" i="2"/>
  <c r="BR89" i="2"/>
  <c r="BP135" i="61"/>
  <c r="BQ135" i="61" s="1"/>
  <c r="BR14" i="2"/>
  <c r="BR25" i="61" s="1"/>
  <c r="CM319" i="63"/>
  <c r="CM302" i="63"/>
  <c r="CM336" i="63"/>
  <c r="BH377" i="63"/>
  <c r="BH378" i="63" s="1"/>
  <c r="BS53" i="2"/>
  <c r="CL377" i="63"/>
  <c r="BS80" i="61"/>
  <c r="CN140" i="2"/>
  <c r="BP60" i="63"/>
  <c r="BQ54" i="63"/>
  <c r="BP57" i="63"/>
  <c r="BP71" i="63"/>
  <c r="BQ65" i="63"/>
  <c r="BQ43" i="63"/>
  <c r="BP46" i="63"/>
  <c r="CN21" i="63"/>
  <c r="BP21" i="63"/>
  <c r="BS32" i="63"/>
  <c r="BR35" i="63"/>
  <c r="BQ10" i="63"/>
  <c r="BP13" i="63"/>
  <c r="BM58" i="2"/>
  <c r="BM11" i="2" s="1"/>
  <c r="BM166" i="63"/>
  <c r="BM167" i="63" s="1"/>
  <c r="BM159" i="63"/>
  <c r="BN81" i="63"/>
  <c r="BN166" i="63"/>
  <c r="BN159" i="63"/>
  <c r="BH161" i="63"/>
  <c r="CM159" i="63"/>
  <c r="CM166" i="63"/>
  <c r="CM58" i="2"/>
  <c r="CM81" i="63"/>
  <c r="BM78" i="61"/>
  <c r="BM40" i="61" s="1"/>
  <c r="BM103" i="61" s="1"/>
  <c r="BM81" i="63"/>
  <c r="BO76" i="63"/>
  <c r="BO8" i="1" s="1"/>
  <c r="BN58" i="2"/>
  <c r="BN78" i="61"/>
  <c r="BI168" i="63"/>
  <c r="BJ320" i="63"/>
  <c r="BJ337" i="63"/>
  <c r="BO78" i="2"/>
  <c r="BL91" i="63"/>
  <c r="BI374" i="63"/>
  <c r="BI377" i="63" s="1"/>
  <c r="BI378" i="63" s="1"/>
  <c r="AT93" i="63"/>
  <c r="BO71" i="63"/>
  <c r="CN71" i="63" s="1"/>
  <c r="BN165" i="63"/>
  <c r="BN79" i="63"/>
  <c r="BN77" i="63"/>
  <c r="BN36" i="63"/>
  <c r="BN14" i="63"/>
  <c r="BN47" i="63"/>
  <c r="CN54" i="63"/>
  <c r="BN58" i="63"/>
  <c r="BN25" i="63"/>
  <c r="CM13" i="2"/>
  <c r="AV90" i="63"/>
  <c r="AU89" i="63"/>
  <c r="BN69" i="63"/>
  <c r="BK302" i="63"/>
  <c r="BK305" i="63"/>
  <c r="CM305" i="63" s="1"/>
  <c r="CM306" i="63" s="1"/>
  <c r="BJ372" i="63"/>
  <c r="BN62" i="63"/>
  <c r="BN61" i="63"/>
  <c r="BN29" i="63"/>
  <c r="BN28" i="63"/>
  <c r="BJ370" i="63"/>
  <c r="BJ369" i="63"/>
  <c r="BL13" i="2"/>
  <c r="BL11" i="2"/>
  <c r="BL28" i="61" s="1"/>
  <c r="BL138" i="61" s="1"/>
  <c r="BO57" i="63"/>
  <c r="BO60" i="63"/>
  <c r="CN60" i="63" s="1"/>
  <c r="CM11" i="2"/>
  <c r="BK319" i="63"/>
  <c r="BK322" i="63"/>
  <c r="CM322" i="63" s="1"/>
  <c r="CM323" i="63" s="1"/>
  <c r="BO24" i="63"/>
  <c r="BO27" i="63"/>
  <c r="CN65" i="63"/>
  <c r="CM78" i="61"/>
  <c r="CM80" i="61" s="1"/>
  <c r="CM49" i="61"/>
  <c r="CM150" i="61"/>
  <c r="BK343" i="63"/>
  <c r="CM343" i="63" s="1"/>
  <c r="CM344" i="63" s="1"/>
  <c r="BK368" i="63"/>
  <c r="BK337" i="63" s="1"/>
  <c r="BK336" i="63"/>
  <c r="Q180" i="61"/>
  <c r="Q183" i="61" s="1"/>
  <c r="R177" i="61"/>
  <c r="CE177" i="61"/>
  <c r="CE180" i="61" s="1"/>
  <c r="CD183" i="61"/>
  <c r="CC73" i="61"/>
  <c r="CD67" i="61"/>
  <c r="CD70" i="61" s="1"/>
  <c r="L73" i="61"/>
  <c r="M67" i="61"/>
  <c r="M70" i="61" s="1"/>
  <c r="BF168" i="2"/>
  <c r="BT143" i="61" l="1"/>
  <c r="BU36" i="2"/>
  <c r="BT36" i="61"/>
  <c r="BU30" i="2"/>
  <c r="BT35" i="61"/>
  <c r="CO32" i="63"/>
  <c r="CO35" i="63" s="1"/>
  <c r="BT32" i="63"/>
  <c r="BS89" i="2"/>
  <c r="BT19" i="2"/>
  <c r="BU28" i="2"/>
  <c r="BS87" i="2"/>
  <c r="BT10" i="2"/>
  <c r="BT139" i="2"/>
  <c r="BU32" i="2"/>
  <c r="BT92" i="2"/>
  <c r="BU63" i="2"/>
  <c r="BT66" i="2"/>
  <c r="BV54" i="2"/>
  <c r="BU53" i="2"/>
  <c r="CM26" i="2"/>
  <c r="BJ137" i="1"/>
  <c r="BL150" i="61"/>
  <c r="BM150" i="61" s="1"/>
  <c r="CM46" i="1"/>
  <c r="BL103" i="61"/>
  <c r="BJ73" i="1"/>
  <c r="CM96" i="63"/>
  <c r="BL86" i="63"/>
  <c r="BN51" i="63"/>
  <c r="BN50" i="63"/>
  <c r="BO49" i="63"/>
  <c r="BM39" i="63"/>
  <c r="BM40" i="63"/>
  <c r="BL96" i="63"/>
  <c r="BO41" i="63"/>
  <c r="BN38" i="63"/>
  <c r="BM18" i="63"/>
  <c r="BM17" i="63"/>
  <c r="BM95" i="63"/>
  <c r="BM14" i="1" s="1"/>
  <c r="BM22" i="1" s="1"/>
  <c r="BL22" i="1"/>
  <c r="BL68" i="1" s="1"/>
  <c r="BL69" i="1" s="1"/>
  <c r="BL59" i="2"/>
  <c r="BL12" i="2" s="1"/>
  <c r="BL29" i="61" s="1"/>
  <c r="BL20" i="1"/>
  <c r="CM20" i="1"/>
  <c r="CM22" i="1"/>
  <c r="CM23" i="1" s="1"/>
  <c r="BO19" i="63"/>
  <c r="BN16" i="63"/>
  <c r="CN24" i="63"/>
  <c r="BM38" i="1"/>
  <c r="BM48" i="1"/>
  <c r="BM28" i="1"/>
  <c r="CM36" i="1"/>
  <c r="CM66" i="1"/>
  <c r="BO11" i="1"/>
  <c r="BO10" i="1"/>
  <c r="CN8" i="1"/>
  <c r="BL36" i="1"/>
  <c r="BL66" i="1"/>
  <c r="BR135" i="61"/>
  <c r="BS66" i="2"/>
  <c r="CO63" i="2"/>
  <c r="CO66" i="2" s="1"/>
  <c r="BR146" i="61"/>
  <c r="BS36" i="61"/>
  <c r="CO36" i="61" s="1"/>
  <c r="CO36" i="2"/>
  <c r="BR143" i="61"/>
  <c r="CO28" i="2"/>
  <c r="BS33" i="61"/>
  <c r="BS92" i="2"/>
  <c r="BS139" i="2"/>
  <c r="CO32" i="2"/>
  <c r="BR145" i="61"/>
  <c r="CO30" i="2"/>
  <c r="BS35" i="61"/>
  <c r="CO35" i="61" s="1"/>
  <c r="BS14" i="2"/>
  <c r="BP78" i="2"/>
  <c r="CM368" i="63"/>
  <c r="CO35" i="2"/>
  <c r="CO10" i="2"/>
  <c r="CO87" i="2" s="1"/>
  <c r="CO19" i="2"/>
  <c r="BR10" i="63"/>
  <c r="BQ13" i="63"/>
  <c r="BP27" i="63"/>
  <c r="BQ21" i="63"/>
  <c r="BQ76" i="63" s="1"/>
  <c r="BQ8" i="1" s="1"/>
  <c r="BP24" i="63"/>
  <c r="BP76" i="63"/>
  <c r="BQ60" i="63"/>
  <c r="BR54" i="63"/>
  <c r="BQ57" i="63"/>
  <c r="BP61" i="63"/>
  <c r="BP62" i="63"/>
  <c r="BS35" i="63"/>
  <c r="BQ46" i="63"/>
  <c r="BR43" i="63"/>
  <c r="BQ71" i="63"/>
  <c r="BR65" i="63"/>
  <c r="CN78" i="2"/>
  <c r="BM13" i="2"/>
  <c r="BM30" i="61" s="1"/>
  <c r="CM52" i="2"/>
  <c r="CM56" i="2"/>
  <c r="BO166" i="63"/>
  <c r="BO159" i="63"/>
  <c r="BJ168" i="63"/>
  <c r="BM49" i="61"/>
  <c r="BO165" i="63"/>
  <c r="CM165" i="63"/>
  <c r="CM167" i="63" s="1"/>
  <c r="BO58" i="63"/>
  <c r="BO79" i="63"/>
  <c r="BO25" i="63"/>
  <c r="BO14" i="63"/>
  <c r="BO78" i="61"/>
  <c r="BO40" i="61" s="1"/>
  <c r="BO81" i="63"/>
  <c r="BO58" i="2"/>
  <c r="BO69" i="63"/>
  <c r="BO47" i="63"/>
  <c r="BO77" i="63"/>
  <c r="BO36" i="63"/>
  <c r="BI161" i="63"/>
  <c r="BK372" i="63"/>
  <c r="BK374" i="63" s="1"/>
  <c r="BK377" i="63" s="1"/>
  <c r="BK378" i="63" s="1"/>
  <c r="AU93" i="63"/>
  <c r="CM91" i="63"/>
  <c r="BM91" i="63"/>
  <c r="BN91" i="63" s="1"/>
  <c r="BO91" i="63" s="1"/>
  <c r="BP91" i="63" s="1"/>
  <c r="CN63" i="63"/>
  <c r="CN62" i="63"/>
  <c r="BJ374" i="63"/>
  <c r="BO28" i="63"/>
  <c r="BO29" i="63"/>
  <c r="BM28" i="61"/>
  <c r="BM138" i="61" s="1"/>
  <c r="AW90" i="63"/>
  <c r="AV89" i="63"/>
  <c r="BN167" i="63"/>
  <c r="BN40" i="61"/>
  <c r="CM159" i="61"/>
  <c r="CI89" i="63"/>
  <c r="CN27" i="63"/>
  <c r="BK160" i="63"/>
  <c r="BO61" i="63"/>
  <c r="BO62" i="63"/>
  <c r="CM12" i="2"/>
  <c r="CN57" i="63"/>
  <c r="CN76" i="63"/>
  <c r="BK370" i="63"/>
  <c r="BK369" i="63"/>
  <c r="BK320" i="63"/>
  <c r="BK303" i="63"/>
  <c r="BL30" i="61"/>
  <c r="CF177" i="61"/>
  <c r="CF180" i="61" s="1"/>
  <c r="CE183" i="61"/>
  <c r="S177" i="61"/>
  <c r="S180" i="61" s="1"/>
  <c r="R180" i="61"/>
  <c r="R183" i="61" s="1"/>
  <c r="M73" i="61"/>
  <c r="N67" i="61"/>
  <c r="N70" i="61" s="1"/>
  <c r="CD73" i="61"/>
  <c r="CE67" i="61"/>
  <c r="CE70" i="61" s="1"/>
  <c r="BL159" i="61" l="1"/>
  <c r="BT145" i="61"/>
  <c r="BT146" i="61"/>
  <c r="BV28" i="2"/>
  <c r="BV33" i="61" s="1"/>
  <c r="BU33" i="61"/>
  <c r="BV30" i="2"/>
  <c r="BU35" i="61"/>
  <c r="BV36" i="2"/>
  <c r="BU36" i="61"/>
  <c r="BU32" i="63"/>
  <c r="BT35" i="63"/>
  <c r="BS140" i="2"/>
  <c r="BS141" i="2" s="1"/>
  <c r="BT140" i="2"/>
  <c r="BT141" i="2" s="1"/>
  <c r="BU66" i="2"/>
  <c r="BV63" i="2"/>
  <c r="BV32" i="2"/>
  <c r="BU139" i="2"/>
  <c r="BU140" i="2" s="1"/>
  <c r="BU141" i="2" s="1"/>
  <c r="BU92" i="2"/>
  <c r="BT87" i="2"/>
  <c r="BU10" i="2"/>
  <c r="BT89" i="2"/>
  <c r="BU19" i="2"/>
  <c r="CO14" i="2"/>
  <c r="BT14" i="2"/>
  <c r="BW54" i="2"/>
  <c r="BV53" i="2"/>
  <c r="BW28" i="2"/>
  <c r="BN28" i="1"/>
  <c r="CM25" i="1"/>
  <c r="CM26" i="1" s="1"/>
  <c r="BS143" i="61"/>
  <c r="BL26" i="2"/>
  <c r="BL31" i="61" s="1"/>
  <c r="BL141" i="61" s="1"/>
  <c r="BM20" i="1"/>
  <c r="BM86" i="63"/>
  <c r="BM25" i="1"/>
  <c r="BM26" i="1" s="1"/>
  <c r="CN49" i="63"/>
  <c r="BO50" i="63"/>
  <c r="BO51" i="63"/>
  <c r="BQ52" i="63"/>
  <c r="BP49" i="63"/>
  <c r="BP41" i="63"/>
  <c r="BO38" i="63"/>
  <c r="CN38" i="63" s="1"/>
  <c r="BM23" i="1"/>
  <c r="BM59" i="2"/>
  <c r="BM26" i="2" s="1"/>
  <c r="BN39" i="63"/>
  <c r="BN40" i="63"/>
  <c r="BN18" i="63"/>
  <c r="BN17" i="63"/>
  <c r="BN95" i="63"/>
  <c r="BN14" i="1" s="1"/>
  <c r="BN22" i="1" s="1"/>
  <c r="BM96" i="63"/>
  <c r="BO16" i="63"/>
  <c r="BL23" i="1"/>
  <c r="BL25" i="1"/>
  <c r="CM68" i="1"/>
  <c r="CM69" i="1" s="1"/>
  <c r="BN38" i="1"/>
  <c r="BO38" i="1" s="1"/>
  <c r="BN48" i="1"/>
  <c r="BN55" i="1" s="1"/>
  <c r="BN56" i="1" s="1"/>
  <c r="BL67" i="1"/>
  <c r="BN35" i="1"/>
  <c r="BM35" i="1"/>
  <c r="BM29" i="1"/>
  <c r="BM65" i="1"/>
  <c r="BM68" i="1" s="1"/>
  <c r="BM69" i="1" s="1"/>
  <c r="BM45" i="1"/>
  <c r="BM39" i="1"/>
  <c r="BP25" i="63"/>
  <c r="BP8" i="1"/>
  <c r="BQ11" i="1"/>
  <c r="CN11" i="1"/>
  <c r="BM49" i="1"/>
  <c r="BM55" i="1"/>
  <c r="BS25" i="61"/>
  <c r="CO33" i="61"/>
  <c r="BS146" i="61"/>
  <c r="BS145" i="61"/>
  <c r="BQ78" i="2"/>
  <c r="BJ377" i="63"/>
  <c r="BJ378" i="63" s="1"/>
  <c r="CM374" i="63"/>
  <c r="CM370" i="63"/>
  <c r="CM354" i="63"/>
  <c r="CM337" i="63"/>
  <c r="CM320" i="63"/>
  <c r="CM303" i="63"/>
  <c r="CM372" i="63"/>
  <c r="CO139" i="2"/>
  <c r="CO92" i="2"/>
  <c r="BQ47" i="63"/>
  <c r="BQ69" i="63"/>
  <c r="BS65" i="63"/>
  <c r="BR71" i="63"/>
  <c r="BQ61" i="63"/>
  <c r="BQ62" i="63"/>
  <c r="BQ25" i="63"/>
  <c r="BQ24" i="63"/>
  <c r="BR21" i="63"/>
  <c r="BR76" i="63" s="1"/>
  <c r="BQ27" i="63"/>
  <c r="BP28" i="63"/>
  <c r="BP29" i="63"/>
  <c r="BQ91" i="63"/>
  <c r="BR91" i="63" s="1"/>
  <c r="BS91" i="63" s="1"/>
  <c r="BT91" i="63" s="1"/>
  <c r="BS43" i="63"/>
  <c r="BR46" i="63"/>
  <c r="BQ14" i="63"/>
  <c r="BQ79" i="63"/>
  <c r="BQ165" i="63"/>
  <c r="BQ77" i="63"/>
  <c r="BQ36" i="63"/>
  <c r="BQ58" i="63"/>
  <c r="BS54" i="63"/>
  <c r="BR57" i="63"/>
  <c r="BR60" i="63"/>
  <c r="BP14" i="63"/>
  <c r="BP79" i="63"/>
  <c r="BP165" i="63"/>
  <c r="BP77" i="63"/>
  <c r="BP36" i="63"/>
  <c r="BP58" i="63"/>
  <c r="BP69" i="63"/>
  <c r="BP47" i="63"/>
  <c r="BS10" i="63"/>
  <c r="BR13" i="63"/>
  <c r="CN69" i="63"/>
  <c r="BO167" i="63"/>
  <c r="CI93" i="63"/>
  <c r="BK168" i="63"/>
  <c r="CN91" i="63"/>
  <c r="BL139" i="61"/>
  <c r="CN79" i="63"/>
  <c r="CN36" i="63"/>
  <c r="CN47" i="63"/>
  <c r="CN14" i="63"/>
  <c r="CN25" i="63"/>
  <c r="CN30" i="63"/>
  <c r="CN29" i="63"/>
  <c r="AX90" i="63"/>
  <c r="AW89" i="63"/>
  <c r="CM55" i="2"/>
  <c r="CM33" i="2"/>
  <c r="CM38" i="2" s="1"/>
  <c r="CM160" i="63"/>
  <c r="CM98" i="63"/>
  <c r="BO49" i="61"/>
  <c r="BO103" i="61"/>
  <c r="BO13" i="2"/>
  <c r="BO11" i="2"/>
  <c r="CN58" i="63"/>
  <c r="BN150" i="61"/>
  <c r="BM159" i="61"/>
  <c r="BL140" i="61"/>
  <c r="BM140" i="61" s="1"/>
  <c r="BL160" i="63"/>
  <c r="BL98" i="63"/>
  <c r="CM54" i="2"/>
  <c r="CM53" i="2" s="1"/>
  <c r="BN49" i="61"/>
  <c r="BN103" i="61"/>
  <c r="CN40" i="61"/>
  <c r="BN13" i="2"/>
  <c r="BN11" i="2"/>
  <c r="AV93" i="63"/>
  <c r="O67" i="61"/>
  <c r="O70" i="61" s="1"/>
  <c r="N73" i="61"/>
  <c r="CG177" i="61"/>
  <c r="CG180" i="61" s="1"/>
  <c r="CF183" i="61"/>
  <c r="T177" i="61"/>
  <c r="S183" i="61"/>
  <c r="CF67" i="61"/>
  <c r="CF70" i="61" s="1"/>
  <c r="CE73" i="61"/>
  <c r="BU14" i="2" l="1"/>
  <c r="BU146" i="61"/>
  <c r="BU145" i="61"/>
  <c r="CP28" i="2"/>
  <c r="BW33" i="61"/>
  <c r="CP33" i="61" s="1"/>
  <c r="BU143" i="61"/>
  <c r="BV143" i="61" s="1"/>
  <c r="BW36" i="2"/>
  <c r="BV36" i="61"/>
  <c r="BW30" i="2"/>
  <c r="BV35" i="61"/>
  <c r="BT25" i="61"/>
  <c r="BU91" i="63"/>
  <c r="BV91" i="63" s="1"/>
  <c r="BW91" i="63" s="1"/>
  <c r="CO54" i="63"/>
  <c r="BT54" i="63"/>
  <c r="CO43" i="63"/>
  <c r="CO46" i="63" s="1"/>
  <c r="BT43" i="63"/>
  <c r="BV32" i="63"/>
  <c r="BU35" i="63"/>
  <c r="CO10" i="63"/>
  <c r="CO13" i="63" s="1"/>
  <c r="BT10" i="63"/>
  <c r="CO65" i="63"/>
  <c r="BT65" i="63"/>
  <c r="CO140" i="2"/>
  <c r="BU89" i="2"/>
  <c r="BV19" i="2"/>
  <c r="BV10" i="2"/>
  <c r="BU87" i="2"/>
  <c r="BV139" i="2"/>
  <c r="BW32" i="2"/>
  <c r="CP32" i="2" s="1"/>
  <c r="BV92" i="2"/>
  <c r="BW63" i="2"/>
  <c r="BV66" i="2"/>
  <c r="BW53" i="2"/>
  <c r="BV140" i="2"/>
  <c r="BV141" i="2" s="1"/>
  <c r="BO28" i="1"/>
  <c r="BO35" i="1" s="1"/>
  <c r="BN29" i="1"/>
  <c r="CM72" i="1"/>
  <c r="CM73" i="1" s="1"/>
  <c r="BL72" i="1"/>
  <c r="BL137" i="1" s="1"/>
  <c r="BM56" i="1"/>
  <c r="BM46" i="1"/>
  <c r="BK137" i="1"/>
  <c r="CM137" i="1" s="1"/>
  <c r="BN39" i="1"/>
  <c r="BN96" i="63"/>
  <c r="BL33" i="2"/>
  <c r="BL38" i="2" s="1"/>
  <c r="BM12" i="2"/>
  <c r="BM29" i="61" s="1"/>
  <c r="BM139" i="61" s="1"/>
  <c r="BN20" i="1"/>
  <c r="BN86" i="63"/>
  <c r="BN59" i="2"/>
  <c r="BN12" i="2" s="1"/>
  <c r="BR52" i="63"/>
  <c r="BQ49" i="63"/>
  <c r="BP51" i="63"/>
  <c r="BP50" i="63"/>
  <c r="CN52" i="63"/>
  <c r="CN51" i="63"/>
  <c r="CN40" i="63"/>
  <c r="CN41" i="63"/>
  <c r="BO39" i="63"/>
  <c r="BO40" i="63"/>
  <c r="BQ41" i="63"/>
  <c r="BP38" i="63"/>
  <c r="BQ10" i="1"/>
  <c r="BL26" i="1"/>
  <c r="BP16" i="63"/>
  <c r="BN65" i="1"/>
  <c r="BN68" i="1" s="1"/>
  <c r="BN69" i="1" s="1"/>
  <c r="CN16" i="63"/>
  <c r="BO18" i="63"/>
  <c r="BO17" i="63"/>
  <c r="BO95" i="63"/>
  <c r="BO48" i="1"/>
  <c r="BN49" i="1"/>
  <c r="BN45" i="1"/>
  <c r="BN46" i="1" s="1"/>
  <c r="CN38" i="1"/>
  <c r="BO39" i="1"/>
  <c r="BO45" i="1"/>
  <c r="BO46" i="1" s="1"/>
  <c r="BN25" i="1"/>
  <c r="BN26" i="1" s="1"/>
  <c r="BN23" i="1"/>
  <c r="BM36" i="1"/>
  <c r="BM66" i="1"/>
  <c r="BR47" i="63"/>
  <c r="BR8" i="1"/>
  <c r="BP10" i="1"/>
  <c r="BP11" i="1"/>
  <c r="BN36" i="1"/>
  <c r="CO25" i="61"/>
  <c r="CO135" i="61" s="1"/>
  <c r="BS135" i="61"/>
  <c r="BR14" i="63"/>
  <c r="BR58" i="63"/>
  <c r="BR78" i="2"/>
  <c r="CN11" i="2"/>
  <c r="CM378" i="63"/>
  <c r="CM377" i="63"/>
  <c r="CN13" i="2"/>
  <c r="BQ58" i="2"/>
  <c r="BQ78" i="61"/>
  <c r="BQ40" i="61" s="1"/>
  <c r="CM375" i="63"/>
  <c r="BP58" i="2"/>
  <c r="BP78" i="61"/>
  <c r="BP40" i="61" s="1"/>
  <c r="CO91" i="63"/>
  <c r="BS13" i="63"/>
  <c r="BP81" i="63"/>
  <c r="BP166" i="63"/>
  <c r="BP167" i="63" s="1"/>
  <c r="BP159" i="63"/>
  <c r="CO57" i="63"/>
  <c r="BS57" i="63"/>
  <c r="BS60" i="63"/>
  <c r="CO60" i="63" s="1"/>
  <c r="BQ81" i="63"/>
  <c r="BQ159" i="63"/>
  <c r="BQ166" i="63"/>
  <c r="BQ167" i="63" s="1"/>
  <c r="BR36" i="63"/>
  <c r="BR79" i="63"/>
  <c r="BR165" i="63"/>
  <c r="BR77" i="63"/>
  <c r="BS46" i="63"/>
  <c r="BS21" i="63"/>
  <c r="BR24" i="63"/>
  <c r="BR25" i="63"/>
  <c r="BR27" i="63"/>
  <c r="BR62" i="63"/>
  <c r="BR61" i="63"/>
  <c r="BQ28" i="63"/>
  <c r="BQ29" i="63"/>
  <c r="BR69" i="63"/>
  <c r="BS71" i="63"/>
  <c r="CO71" i="63" s="1"/>
  <c r="CN166" i="63"/>
  <c r="CN159" i="63"/>
  <c r="CN58" i="2"/>
  <c r="CN81" i="63"/>
  <c r="CN165" i="63" s="1"/>
  <c r="BJ161" i="63"/>
  <c r="AW93" i="63"/>
  <c r="BO28" i="61"/>
  <c r="BN28" i="61"/>
  <c r="AY90" i="63"/>
  <c r="AX89" i="63"/>
  <c r="BO30" i="61"/>
  <c r="BN30" i="61"/>
  <c r="BN140" i="61" s="1"/>
  <c r="BN159" i="61"/>
  <c r="BO150" i="61"/>
  <c r="BO159" i="61" s="1"/>
  <c r="CN78" i="61"/>
  <c r="CN80" i="61" s="1"/>
  <c r="CN49" i="61"/>
  <c r="CN150" i="61"/>
  <c r="CN103" i="61"/>
  <c r="BM31" i="61"/>
  <c r="BM141" i="61" s="1"/>
  <c r="BM33" i="2"/>
  <c r="BM38" i="2" s="1"/>
  <c r="BM160" i="63"/>
  <c r="BM98" i="63"/>
  <c r="CG67" i="61"/>
  <c r="CG70" i="61" s="1"/>
  <c r="CF73" i="61"/>
  <c r="CH177" i="61"/>
  <c r="CH180" i="61" s="1"/>
  <c r="CG183" i="61"/>
  <c r="T180" i="61"/>
  <c r="T183" i="61" s="1"/>
  <c r="U177" i="61"/>
  <c r="P67" i="61"/>
  <c r="P70" i="61" s="1"/>
  <c r="O73" i="61"/>
  <c r="BL73" i="1" l="1"/>
  <c r="CN28" i="1"/>
  <c r="BO29" i="1"/>
  <c r="BW143" i="61"/>
  <c r="BV145" i="61"/>
  <c r="BV14" i="2"/>
  <c r="BV25" i="61" s="1"/>
  <c r="BW66" i="2"/>
  <c r="CP63" i="2"/>
  <c r="CP66" i="2" s="1"/>
  <c r="CP92" i="2"/>
  <c r="CP139" i="2"/>
  <c r="CP140" i="2" s="1"/>
  <c r="BT135" i="61"/>
  <c r="CP30" i="2"/>
  <c r="BW35" i="61"/>
  <c r="CP35" i="61" s="1"/>
  <c r="BW36" i="61"/>
  <c r="CP36" i="61" s="1"/>
  <c r="CP36" i="2"/>
  <c r="BV146" i="61"/>
  <c r="BW146" i="61" s="1"/>
  <c r="BU25" i="61"/>
  <c r="BO65" i="1"/>
  <c r="CP91" i="63"/>
  <c r="BT49" i="63"/>
  <c r="BT46" i="63"/>
  <c r="BU43" i="63"/>
  <c r="BU54" i="63"/>
  <c r="BT57" i="63"/>
  <c r="BT60" i="63"/>
  <c r="BS76" i="63"/>
  <c r="BS8" i="1" s="1"/>
  <c r="BT21" i="63"/>
  <c r="BU65" i="63"/>
  <c r="BT71" i="63"/>
  <c r="BT16" i="63"/>
  <c r="BU10" i="63"/>
  <c r="BT13" i="63"/>
  <c r="BW32" i="63"/>
  <c r="CP32" i="63" s="1"/>
  <c r="BV35" i="63"/>
  <c r="BV87" i="2"/>
  <c r="BW10" i="2"/>
  <c r="BW92" i="2"/>
  <c r="BW139" i="2"/>
  <c r="BW140" i="2" s="1"/>
  <c r="BW141" i="2" s="1"/>
  <c r="BW19" i="2"/>
  <c r="BV89" i="2"/>
  <c r="CO21" i="63"/>
  <c r="CO76" i="63" s="1"/>
  <c r="BN26" i="2"/>
  <c r="BN31" i="61" s="1"/>
  <c r="BN141" i="61" s="1"/>
  <c r="BN66" i="1"/>
  <c r="BN67" i="1" s="1"/>
  <c r="BO49" i="1"/>
  <c r="BN29" i="61"/>
  <c r="BN139" i="61" s="1"/>
  <c r="BQ51" i="63"/>
  <c r="BQ50" i="63"/>
  <c r="BS52" i="63"/>
  <c r="BS49" i="63" s="1"/>
  <c r="BS51" i="63" s="1"/>
  <c r="BR49" i="63"/>
  <c r="BR41" i="63"/>
  <c r="BQ38" i="63"/>
  <c r="BP39" i="63"/>
  <c r="BP40" i="63"/>
  <c r="BO14" i="1"/>
  <c r="BO86" i="63"/>
  <c r="CN86" i="63" s="1"/>
  <c r="BO96" i="63"/>
  <c r="BP17" i="63"/>
  <c r="BP18" i="63"/>
  <c r="BP95" i="63"/>
  <c r="BP14" i="1" s="1"/>
  <c r="BP22" i="1" s="1"/>
  <c r="CN19" i="63"/>
  <c r="CN18" i="63"/>
  <c r="CN95" i="63"/>
  <c r="CN96" i="63" s="1"/>
  <c r="BR19" i="63"/>
  <c r="BQ16" i="63"/>
  <c r="BO55" i="1"/>
  <c r="CN48" i="1"/>
  <c r="CN65" i="1" s="1"/>
  <c r="BM72" i="1"/>
  <c r="BM73" i="1" s="1"/>
  <c r="BM67" i="1"/>
  <c r="BN72" i="1"/>
  <c r="BN137" i="1" s="1"/>
  <c r="BS10" i="1"/>
  <c r="BS11" i="1"/>
  <c r="CO8" i="1"/>
  <c r="BO36" i="1"/>
  <c r="BR10" i="1"/>
  <c r="BR11" i="1"/>
  <c r="CN35" i="1"/>
  <c r="CN29" i="1"/>
  <c r="CN30" i="1"/>
  <c r="BP28" i="1"/>
  <c r="BP38" i="1"/>
  <c r="BP48" i="1"/>
  <c r="CN39" i="1"/>
  <c r="CN40" i="1"/>
  <c r="CN45" i="1"/>
  <c r="CN52" i="2"/>
  <c r="BS78" i="2"/>
  <c r="CO78" i="2"/>
  <c r="BP13" i="2"/>
  <c r="BP11" i="2"/>
  <c r="BP150" i="61"/>
  <c r="BP49" i="61"/>
  <c r="BP103" i="61"/>
  <c r="BQ11" i="2"/>
  <c r="BQ13" i="2"/>
  <c r="BR58" i="2"/>
  <c r="BR78" i="61"/>
  <c r="BR40" i="61" s="1"/>
  <c r="BQ103" i="61"/>
  <c r="BQ49" i="61"/>
  <c r="CN159" i="61"/>
  <c r="BS165" i="63"/>
  <c r="BS77" i="63"/>
  <c r="BS79" i="63"/>
  <c r="BS36" i="63"/>
  <c r="BS14" i="63"/>
  <c r="BS47" i="63"/>
  <c r="BS69" i="63"/>
  <c r="BS58" i="63"/>
  <c r="CO58" i="63"/>
  <c r="BR29" i="63"/>
  <c r="BR28" i="63"/>
  <c r="CO63" i="63"/>
  <c r="CO62" i="63"/>
  <c r="CO24" i="63"/>
  <c r="BS24" i="63"/>
  <c r="BS25" i="63"/>
  <c r="BS27" i="63"/>
  <c r="BR166" i="63"/>
  <c r="BR167" i="63" s="1"/>
  <c r="BR159" i="63"/>
  <c r="BR81" i="63"/>
  <c r="BS62" i="63"/>
  <c r="BS61" i="63"/>
  <c r="CN56" i="2"/>
  <c r="CN167" i="63"/>
  <c r="BO140" i="61"/>
  <c r="CN30" i="61"/>
  <c r="BN138" i="61"/>
  <c r="BO138" i="61" s="1"/>
  <c r="CN28" i="61"/>
  <c r="BN160" i="63"/>
  <c r="BN98" i="63"/>
  <c r="AX93" i="63"/>
  <c r="AZ90" i="63"/>
  <c r="AY89" i="63"/>
  <c r="P73" i="61"/>
  <c r="Q67" i="61"/>
  <c r="Q70" i="61" s="1"/>
  <c r="CG73" i="61"/>
  <c r="CH67" i="61"/>
  <c r="CH70" i="61" s="1"/>
  <c r="V177" i="61"/>
  <c r="U180" i="61"/>
  <c r="U183" i="61" s="1"/>
  <c r="CI177" i="61"/>
  <c r="CI180" i="61" s="1"/>
  <c r="CH183" i="61"/>
  <c r="BW145" i="61" l="1"/>
  <c r="BU135" i="61"/>
  <c r="BV135" i="61" s="1"/>
  <c r="BW14" i="2"/>
  <c r="CP14" i="2" s="1"/>
  <c r="CP35" i="63"/>
  <c r="CO25" i="63"/>
  <c r="CO69" i="63"/>
  <c r="CO79" i="63"/>
  <c r="BT76" i="63"/>
  <c r="BT25" i="63" s="1"/>
  <c r="CO47" i="63"/>
  <c r="CO14" i="63"/>
  <c r="CO36" i="63"/>
  <c r="BW35" i="63"/>
  <c r="BT18" i="63"/>
  <c r="BT69" i="63"/>
  <c r="BT24" i="63"/>
  <c r="BU21" i="63"/>
  <c r="BU76" i="63" s="1"/>
  <c r="BU69" i="63" s="1"/>
  <c r="BT27" i="63"/>
  <c r="BT28" i="63" s="1"/>
  <c r="BT62" i="63"/>
  <c r="BT61" i="63"/>
  <c r="BT50" i="63"/>
  <c r="BT51" i="63"/>
  <c r="BV10" i="63"/>
  <c r="BU16" i="63"/>
  <c r="BU13" i="63"/>
  <c r="BU71" i="63"/>
  <c r="BV65" i="63"/>
  <c r="BU57" i="63"/>
  <c r="BV54" i="63"/>
  <c r="BU60" i="63"/>
  <c r="BU46" i="63"/>
  <c r="BV43" i="63"/>
  <c r="BU49" i="63"/>
  <c r="BW87" i="2"/>
  <c r="CP10" i="2"/>
  <c r="CP87" i="2" s="1"/>
  <c r="BW89" i="2"/>
  <c r="CP19" i="2"/>
  <c r="BN33" i="2"/>
  <c r="BN38" i="2" s="1"/>
  <c r="BO56" i="1"/>
  <c r="CN46" i="1"/>
  <c r="BP160" i="63"/>
  <c r="BP23" i="1"/>
  <c r="BS50" i="63"/>
  <c r="BR51" i="63"/>
  <c r="BR50" i="63"/>
  <c r="CO49" i="63"/>
  <c r="BQ39" i="63"/>
  <c r="BQ40" i="63"/>
  <c r="BP96" i="63"/>
  <c r="BS41" i="63"/>
  <c r="BR38" i="63"/>
  <c r="BS19" i="63"/>
  <c r="BS16" i="63" s="1"/>
  <c r="BT17" i="63" s="1"/>
  <c r="BR16" i="63"/>
  <c r="BP86" i="63"/>
  <c r="BP59" i="2"/>
  <c r="BP26" i="2" s="1"/>
  <c r="BP20" i="1"/>
  <c r="BP25" i="1"/>
  <c r="BP26" i="1" s="1"/>
  <c r="BQ17" i="63"/>
  <c r="BQ18" i="63"/>
  <c r="BQ95" i="63"/>
  <c r="BO20" i="1"/>
  <c r="BO22" i="1"/>
  <c r="CN14" i="1"/>
  <c r="BO59" i="2"/>
  <c r="BN73" i="1"/>
  <c r="BO66" i="1"/>
  <c r="BO67" i="1" s="1"/>
  <c r="CN55" i="1"/>
  <c r="CN56" i="1" s="1"/>
  <c r="CN49" i="1"/>
  <c r="CN50" i="1"/>
  <c r="BM137" i="1"/>
  <c r="BP39" i="1"/>
  <c r="BP45" i="1"/>
  <c r="BP46" i="1" s="1"/>
  <c r="BQ38" i="1"/>
  <c r="BR38" i="1" s="1"/>
  <c r="BS38" i="1" s="1"/>
  <c r="BP49" i="1"/>
  <c r="BP55" i="1"/>
  <c r="BP56" i="1" s="1"/>
  <c r="BQ48" i="1"/>
  <c r="BR48" i="1" s="1"/>
  <c r="BS48" i="1" s="1"/>
  <c r="BP35" i="1"/>
  <c r="BP29" i="1"/>
  <c r="BP65" i="1"/>
  <c r="BP68" i="1" s="1"/>
  <c r="BQ28" i="1"/>
  <c r="BR28" i="1" s="1"/>
  <c r="BS28" i="1" s="1"/>
  <c r="CN36" i="1"/>
  <c r="CO11" i="1"/>
  <c r="CO27" i="63"/>
  <c r="CO30" i="63" s="1"/>
  <c r="BP159" i="61"/>
  <c r="BQ150" i="61"/>
  <c r="BP98" i="63"/>
  <c r="CO81" i="63"/>
  <c r="CO165" i="63" s="1"/>
  <c r="BS58" i="2"/>
  <c r="BS78" i="61"/>
  <c r="BS40" i="61" s="1"/>
  <c r="BR49" i="61"/>
  <c r="BR103" i="61"/>
  <c r="BR11" i="2"/>
  <c r="BR13" i="2"/>
  <c r="BQ28" i="61"/>
  <c r="BP28" i="61"/>
  <c r="BQ30" i="61"/>
  <c r="BP30" i="61"/>
  <c r="BS28" i="63"/>
  <c r="BS29" i="63"/>
  <c r="BS166" i="63"/>
  <c r="BS167" i="63" s="1"/>
  <c r="BS159" i="63"/>
  <c r="BS81" i="63"/>
  <c r="BK161" i="63"/>
  <c r="CM99" i="63"/>
  <c r="CM161" i="63"/>
  <c r="CJ89" i="63"/>
  <c r="AY93" i="63"/>
  <c r="CJ93" i="63" s="1"/>
  <c r="BA90" i="63"/>
  <c r="AZ89" i="63"/>
  <c r="CI183" i="61"/>
  <c r="CJ177" i="61"/>
  <c r="CJ180" i="61" s="1"/>
  <c r="CH73" i="61"/>
  <c r="CI67" i="61"/>
  <c r="CI70" i="61" s="1"/>
  <c r="W177" i="61"/>
  <c r="W180" i="61" s="1"/>
  <c r="V180" i="61"/>
  <c r="V183" i="61" s="1"/>
  <c r="Q73" i="61"/>
  <c r="R67" i="61"/>
  <c r="R70" i="61" s="1"/>
  <c r="BT8" i="1" l="1"/>
  <c r="BT78" i="61" s="1"/>
  <c r="BT40" i="61" s="1"/>
  <c r="BT36" i="63"/>
  <c r="BT79" i="63"/>
  <c r="BT77" i="63"/>
  <c r="BT165" i="63"/>
  <c r="BT58" i="63"/>
  <c r="BW25" i="61"/>
  <c r="CP25" i="61" s="1"/>
  <c r="CP135" i="61" s="1"/>
  <c r="BT29" i="63"/>
  <c r="BT47" i="63"/>
  <c r="BT14" i="63"/>
  <c r="BT58" i="2"/>
  <c r="BU47" i="63"/>
  <c r="BU51" i="63"/>
  <c r="BU50" i="63"/>
  <c r="BW54" i="63"/>
  <c r="CP54" i="63" s="1"/>
  <c r="BV57" i="63"/>
  <c r="BV60" i="63"/>
  <c r="BV13" i="63"/>
  <c r="BV16" i="63"/>
  <c r="BW10" i="63"/>
  <c r="CP10" i="63" s="1"/>
  <c r="BU58" i="63"/>
  <c r="BU8" i="1"/>
  <c r="BU79" i="63"/>
  <c r="BU165" i="63"/>
  <c r="BU77" i="63"/>
  <c r="BU36" i="63"/>
  <c r="BV49" i="63"/>
  <c r="BV46" i="63"/>
  <c r="BW43" i="63"/>
  <c r="CP43" i="63" s="1"/>
  <c r="BU62" i="63"/>
  <c r="BU61" i="63"/>
  <c r="BW65" i="63"/>
  <c r="CP65" i="63" s="1"/>
  <c r="BV71" i="63"/>
  <c r="BU14" i="63"/>
  <c r="BU18" i="63"/>
  <c r="BU17" i="63"/>
  <c r="BU25" i="63"/>
  <c r="BU24" i="63"/>
  <c r="BV21" i="63"/>
  <c r="BU27" i="63"/>
  <c r="BS38" i="63"/>
  <c r="BS39" i="63" s="1"/>
  <c r="BT41" i="63"/>
  <c r="BP12" i="2"/>
  <c r="CN66" i="1"/>
  <c r="CO51" i="63"/>
  <c r="CO52" i="63"/>
  <c r="CO38" i="63"/>
  <c r="BS40" i="63"/>
  <c r="BR40" i="63"/>
  <c r="BR39" i="63"/>
  <c r="BO26" i="2"/>
  <c r="BO12" i="2"/>
  <c r="BO25" i="1"/>
  <c r="BO23" i="1"/>
  <c r="BO160" i="63"/>
  <c r="BO68" i="1"/>
  <c r="BO69" i="1" s="1"/>
  <c r="BO98" i="63"/>
  <c r="BQ14" i="1"/>
  <c r="BQ96" i="63"/>
  <c r="BQ86" i="63"/>
  <c r="CO16" i="63"/>
  <c r="CO95" i="63" s="1"/>
  <c r="CO96" i="63" s="1"/>
  <c r="BS18" i="63"/>
  <c r="BS17" i="63"/>
  <c r="CN20" i="1"/>
  <c r="CN22" i="1"/>
  <c r="CN59" i="2"/>
  <c r="BS95" i="63"/>
  <c r="BS14" i="1" s="1"/>
  <c r="BR18" i="63"/>
  <c r="BR17" i="63"/>
  <c r="BR95" i="63"/>
  <c r="CO38" i="1"/>
  <c r="CO40" i="1" s="1"/>
  <c r="BS55" i="1"/>
  <c r="BS56" i="1" s="1"/>
  <c r="BS49" i="1"/>
  <c r="CO28" i="1"/>
  <c r="BS29" i="1"/>
  <c r="BS35" i="1"/>
  <c r="BS65" i="1"/>
  <c r="BR39" i="1"/>
  <c r="BR45" i="1"/>
  <c r="BR46" i="1" s="1"/>
  <c r="BQ29" i="1"/>
  <c r="BQ35" i="1"/>
  <c r="BQ65" i="1"/>
  <c r="BQ55" i="1"/>
  <c r="BQ56" i="1" s="1"/>
  <c r="BQ49" i="1"/>
  <c r="BS39" i="1"/>
  <c r="BS45" i="1"/>
  <c r="BS46" i="1" s="1"/>
  <c r="BR49" i="1"/>
  <c r="BR55" i="1"/>
  <c r="BR56" i="1" s="1"/>
  <c r="BR29" i="1"/>
  <c r="BR35" i="1"/>
  <c r="BR65" i="1"/>
  <c r="BP69" i="1"/>
  <c r="BP36" i="1"/>
  <c r="BP66" i="1"/>
  <c r="CO48" i="1"/>
  <c r="BQ45" i="1"/>
  <c r="BQ46" i="1" s="1"/>
  <c r="BQ39" i="1"/>
  <c r="CO29" i="63"/>
  <c r="CO159" i="63"/>
  <c r="CO166" i="63"/>
  <c r="CO167" i="63" s="1"/>
  <c r="CO58" i="2"/>
  <c r="BP140" i="61"/>
  <c r="BQ140" i="61" s="1"/>
  <c r="BP33" i="2"/>
  <c r="BP38" i="2" s="1"/>
  <c r="BS49" i="61"/>
  <c r="BS103" i="61"/>
  <c r="CO103" i="61" s="1"/>
  <c r="BQ159" i="61"/>
  <c r="BR150" i="61"/>
  <c r="CO40" i="61"/>
  <c r="BS13" i="2"/>
  <c r="BS11" i="2"/>
  <c r="BR30" i="61"/>
  <c r="BP138" i="61"/>
  <c r="BQ138" i="61" s="1"/>
  <c r="BR28" i="61"/>
  <c r="AZ93" i="63"/>
  <c r="BB90" i="63"/>
  <c r="BA89" i="63"/>
  <c r="S67" i="61"/>
  <c r="S70" i="61" s="1"/>
  <c r="R73" i="61"/>
  <c r="CJ67" i="61"/>
  <c r="CJ70" i="61" s="1"/>
  <c r="CI73" i="61"/>
  <c r="CK177" i="61"/>
  <c r="CK180" i="61" s="1"/>
  <c r="CJ183" i="61"/>
  <c r="X177" i="61"/>
  <c r="W183" i="61"/>
  <c r="BT166" i="63" l="1"/>
  <c r="BT167" i="63" s="1"/>
  <c r="BT81" i="63"/>
  <c r="BT10" i="1"/>
  <c r="BT48" i="1" s="1"/>
  <c r="BT11" i="1"/>
  <c r="BT159" i="63"/>
  <c r="BW135" i="61"/>
  <c r="CP46" i="63"/>
  <c r="CP57" i="63"/>
  <c r="CP13" i="63"/>
  <c r="CO11" i="2"/>
  <c r="CO52" i="2" s="1"/>
  <c r="BU28" i="63"/>
  <c r="BU29" i="63"/>
  <c r="BW49" i="63"/>
  <c r="CP49" i="63" s="1"/>
  <c r="BW46" i="63"/>
  <c r="BV50" i="63"/>
  <c r="BV51" i="63"/>
  <c r="BV17" i="63"/>
  <c r="BV18" i="63"/>
  <c r="BV62" i="63"/>
  <c r="BV61" i="63"/>
  <c r="BW57" i="63"/>
  <c r="BW60" i="63"/>
  <c r="CP60" i="63" s="1"/>
  <c r="BT13" i="2"/>
  <c r="BT30" i="61" s="1"/>
  <c r="BT11" i="2"/>
  <c r="CO13" i="2"/>
  <c r="CO56" i="2" s="1"/>
  <c r="BV24" i="63"/>
  <c r="BW21" i="63"/>
  <c r="BW76" i="63" s="1"/>
  <c r="BV27" i="63"/>
  <c r="BW71" i="63"/>
  <c r="CP71" i="63" s="1"/>
  <c r="BV76" i="63"/>
  <c r="BU58" i="2"/>
  <c r="BU166" i="63"/>
  <c r="BU167" i="63" s="1"/>
  <c r="BU159" i="63"/>
  <c r="BU10" i="1"/>
  <c r="BU78" i="61"/>
  <c r="BU40" i="61" s="1"/>
  <c r="BU81" i="63"/>
  <c r="BU11" i="1"/>
  <c r="BW16" i="63"/>
  <c r="CP16" i="63" s="1"/>
  <c r="BW13" i="63"/>
  <c r="BT103" i="61"/>
  <c r="BT150" i="61"/>
  <c r="BT49" i="61"/>
  <c r="BU41" i="63"/>
  <c r="BT38" i="63"/>
  <c r="BS96" i="63"/>
  <c r="BP29" i="61"/>
  <c r="BP139" i="61" s="1"/>
  <c r="CO41" i="63"/>
  <c r="CO40" i="63"/>
  <c r="BS20" i="1"/>
  <c r="BS22" i="1"/>
  <c r="CN23" i="1"/>
  <c r="CN68" i="1"/>
  <c r="CN69" i="1" s="1"/>
  <c r="CN160" i="63"/>
  <c r="CN98" i="63"/>
  <c r="BQ22" i="1"/>
  <c r="BQ20" i="1"/>
  <c r="BQ59" i="2"/>
  <c r="BO26" i="1"/>
  <c r="BO72" i="1"/>
  <c r="CN26" i="2"/>
  <c r="BO31" i="61"/>
  <c r="BO33" i="2"/>
  <c r="BO38" i="2" s="1"/>
  <c r="BS59" i="2"/>
  <c r="BS12" i="2" s="1"/>
  <c r="BP31" i="61"/>
  <c r="BP141" i="61" s="1"/>
  <c r="BQ68" i="1"/>
  <c r="BQ69" i="1" s="1"/>
  <c r="BR14" i="1"/>
  <c r="CO14" i="1" s="1"/>
  <c r="BR86" i="63"/>
  <c r="BR96" i="63"/>
  <c r="CN25" i="1"/>
  <c r="CO19" i="63"/>
  <c r="CO18" i="63"/>
  <c r="CN12" i="2"/>
  <c r="CN54" i="2" s="1"/>
  <c r="CN53" i="2" s="1"/>
  <c r="BO29" i="61"/>
  <c r="BS86" i="63"/>
  <c r="BP72" i="1"/>
  <c r="BP67" i="1"/>
  <c r="CO45" i="1"/>
  <c r="CO35" i="1"/>
  <c r="CO39" i="1"/>
  <c r="BR36" i="1"/>
  <c r="BR66" i="1"/>
  <c r="CO50" i="1"/>
  <c r="CO55" i="1"/>
  <c r="CO56" i="1" s="1"/>
  <c r="CO49" i="1"/>
  <c r="BQ36" i="1"/>
  <c r="BQ66" i="1"/>
  <c r="BS36" i="1"/>
  <c r="BS66" i="1"/>
  <c r="CO30" i="1"/>
  <c r="CO29" i="1"/>
  <c r="CO65" i="1"/>
  <c r="BR138" i="61"/>
  <c r="BS28" i="61"/>
  <c r="CO28" i="61" s="1"/>
  <c r="BR159" i="61"/>
  <c r="BS150" i="61"/>
  <c r="BS159" i="61" s="1"/>
  <c r="CO78" i="61"/>
  <c r="CO80" i="61" s="1"/>
  <c r="CO49" i="61"/>
  <c r="CO150" i="61"/>
  <c r="BS30" i="61"/>
  <c r="CO30" i="61" s="1"/>
  <c r="BR140" i="61"/>
  <c r="BA93" i="63"/>
  <c r="BC90" i="63"/>
  <c r="BB89" i="63"/>
  <c r="X180" i="61"/>
  <c r="X183" i="61" s="1"/>
  <c r="Y177" i="61"/>
  <c r="CK67" i="61"/>
  <c r="CK70" i="61" s="1"/>
  <c r="CJ73" i="61"/>
  <c r="CL177" i="61"/>
  <c r="CK183" i="61"/>
  <c r="T67" i="61"/>
  <c r="T70" i="61" s="1"/>
  <c r="S73" i="61"/>
  <c r="BT38" i="1" l="1"/>
  <c r="BU38" i="1" s="1"/>
  <c r="BT28" i="1"/>
  <c r="CP19" i="63"/>
  <c r="CP18" i="63"/>
  <c r="CP62" i="63"/>
  <c r="CP63" i="63"/>
  <c r="CP51" i="63"/>
  <c r="CP52" i="63"/>
  <c r="BT55" i="1"/>
  <c r="BT56" i="1" s="1"/>
  <c r="BT49" i="1"/>
  <c r="CP21" i="63"/>
  <c r="BW8" i="1"/>
  <c r="BW165" i="63"/>
  <c r="BW77" i="63"/>
  <c r="BW79" i="63"/>
  <c r="BW36" i="63"/>
  <c r="BW47" i="63"/>
  <c r="BW14" i="63"/>
  <c r="BW58" i="63"/>
  <c r="BW69" i="63"/>
  <c r="CO12" i="2"/>
  <c r="BT159" i="61"/>
  <c r="BU150" i="61"/>
  <c r="BU28" i="1"/>
  <c r="BU48" i="1"/>
  <c r="BV28" i="63"/>
  <c r="BV29" i="63"/>
  <c r="BW17" i="63"/>
  <c r="BW18" i="63"/>
  <c r="BU49" i="61"/>
  <c r="BU103" i="61"/>
  <c r="BU13" i="2"/>
  <c r="BU30" i="61" s="1"/>
  <c r="BU11" i="2"/>
  <c r="BU28" i="61" s="1"/>
  <c r="BV58" i="63"/>
  <c r="BV8" i="1"/>
  <c r="BV165" i="63"/>
  <c r="BV77" i="63"/>
  <c r="BV79" i="63"/>
  <c r="BV36" i="63"/>
  <c r="BV69" i="63"/>
  <c r="BV14" i="63"/>
  <c r="BV47" i="63"/>
  <c r="BW24" i="63"/>
  <c r="BW25" i="63"/>
  <c r="BW27" i="63"/>
  <c r="CP27" i="63" s="1"/>
  <c r="BV25" i="63"/>
  <c r="BT140" i="61"/>
  <c r="BW62" i="63"/>
  <c r="BW61" i="63"/>
  <c r="BW51" i="63"/>
  <c r="BW50" i="63"/>
  <c r="BT28" i="61"/>
  <c r="CO159" i="61"/>
  <c r="BT40" i="63"/>
  <c r="BT39" i="63"/>
  <c r="BT95" i="63"/>
  <c r="BV41" i="63"/>
  <c r="BU38" i="63"/>
  <c r="CO46" i="1"/>
  <c r="CO36" i="1"/>
  <c r="BS26" i="2"/>
  <c r="CO26" i="2" s="1"/>
  <c r="CN29" i="61"/>
  <c r="BO139" i="61"/>
  <c r="CN26" i="1"/>
  <c r="CN72" i="1"/>
  <c r="CN73" i="1" s="1"/>
  <c r="CN33" i="2"/>
  <c r="CN38" i="2" s="1"/>
  <c r="CN55" i="2"/>
  <c r="CO20" i="1"/>
  <c r="CO22" i="1"/>
  <c r="CO23" i="1" s="1"/>
  <c r="CO59" i="2"/>
  <c r="BS25" i="1"/>
  <c r="BS26" i="1" s="1"/>
  <c r="BS98" i="63"/>
  <c r="BS23" i="1"/>
  <c r="BS160" i="63"/>
  <c r="BS68" i="1"/>
  <c r="BS69" i="1" s="1"/>
  <c r="CO86" i="63"/>
  <c r="BR20" i="1"/>
  <c r="BR59" i="2"/>
  <c r="BR22" i="1"/>
  <c r="BO141" i="61"/>
  <c r="CN31" i="61"/>
  <c r="BO137" i="1"/>
  <c r="CN137" i="1" s="1"/>
  <c r="BO73" i="1"/>
  <c r="BQ26" i="2"/>
  <c r="BQ12" i="2"/>
  <c r="BQ25" i="1"/>
  <c r="BQ23" i="1"/>
  <c r="BQ160" i="63"/>
  <c r="BQ98" i="63"/>
  <c r="BP73" i="1"/>
  <c r="BP137" i="1"/>
  <c r="BP139" i="1" s="1"/>
  <c r="BS67" i="1"/>
  <c r="BR67" i="1"/>
  <c r="BQ67" i="1"/>
  <c r="CO66" i="1"/>
  <c r="BS138" i="61"/>
  <c r="BS140" i="61"/>
  <c r="BB93" i="63"/>
  <c r="BD90" i="63"/>
  <c r="BC89" i="63"/>
  <c r="T73" i="61"/>
  <c r="U67" i="61"/>
  <c r="U70" i="61" s="1"/>
  <c r="CK73" i="61"/>
  <c r="CL67" i="61"/>
  <c r="Y180" i="61"/>
  <c r="Y183" i="61" s="1"/>
  <c r="Z177" i="61"/>
  <c r="BT65" i="1" l="1"/>
  <c r="BT29" i="1"/>
  <c r="BT35" i="1"/>
  <c r="BT36" i="1" s="1"/>
  <c r="BT39" i="1"/>
  <c r="BT45" i="1"/>
  <c r="BT46" i="1" s="1"/>
  <c r="BU140" i="61"/>
  <c r="CP29" i="63"/>
  <c r="CP30" i="63"/>
  <c r="CO54" i="2"/>
  <c r="CO53" i="2" s="1"/>
  <c r="CP24" i="63"/>
  <c r="CP76" i="63"/>
  <c r="BT138" i="61"/>
  <c r="BU138" i="61" s="1"/>
  <c r="BU55" i="1"/>
  <c r="BU56" i="1" s="1"/>
  <c r="BU49" i="1"/>
  <c r="BU45" i="1"/>
  <c r="BU46" i="1" s="1"/>
  <c r="BU39" i="1"/>
  <c r="BU159" i="61"/>
  <c r="BW28" i="63"/>
  <c r="BW29" i="63"/>
  <c r="BV58" i="2"/>
  <c r="BV166" i="63"/>
  <c r="BV167" i="63" s="1"/>
  <c r="BV159" i="63"/>
  <c r="BV81" i="63"/>
  <c r="BV78" i="61"/>
  <c r="BV40" i="61" s="1"/>
  <c r="BV10" i="1"/>
  <c r="BV11" i="1"/>
  <c r="CP8" i="1"/>
  <c r="BU29" i="1"/>
  <c r="BU65" i="1"/>
  <c r="BU35" i="1"/>
  <c r="BW58" i="2"/>
  <c r="BW159" i="63"/>
  <c r="BW81" i="63"/>
  <c r="BW10" i="1"/>
  <c r="BW166" i="63"/>
  <c r="BW167" i="63" s="1"/>
  <c r="BW78" i="61"/>
  <c r="BW40" i="61" s="1"/>
  <c r="BW11" i="1"/>
  <c r="BU40" i="63"/>
  <c r="BU39" i="63"/>
  <c r="BU95" i="63"/>
  <c r="BW41" i="63"/>
  <c r="BW38" i="63" s="1"/>
  <c r="BV38" i="63"/>
  <c r="BT14" i="1"/>
  <c r="BT86" i="63"/>
  <c r="BT96" i="63"/>
  <c r="BQ72" i="1"/>
  <c r="BQ137" i="1" s="1"/>
  <c r="BQ139" i="1" s="1"/>
  <c r="CO25" i="1"/>
  <c r="CO26" i="1" s="1"/>
  <c r="CO160" i="63"/>
  <c r="BS33" i="2"/>
  <c r="BS38" i="2" s="1"/>
  <c r="CO98" i="63"/>
  <c r="BS72" i="1"/>
  <c r="BS73" i="1" s="1"/>
  <c r="CO68" i="1"/>
  <c r="CO69" i="1" s="1"/>
  <c r="BQ29" i="61"/>
  <c r="BQ139" i="61" s="1"/>
  <c r="BR160" i="63"/>
  <c r="BR98" i="63"/>
  <c r="BR23" i="1"/>
  <c r="BR25" i="1"/>
  <c r="BR68" i="1"/>
  <c r="BR69" i="1" s="1"/>
  <c r="BQ26" i="1"/>
  <c r="BQ31" i="61"/>
  <c r="BQ141" i="61" s="1"/>
  <c r="BQ33" i="2"/>
  <c r="BQ38" i="2" s="1"/>
  <c r="BR26" i="2"/>
  <c r="BR12" i="2"/>
  <c r="BS29" i="61" s="1"/>
  <c r="BQ73" i="1"/>
  <c r="CO55" i="2"/>
  <c r="CO33" i="2"/>
  <c r="CO38" i="2" s="1"/>
  <c r="CK89" i="63"/>
  <c r="BC93" i="63"/>
  <c r="CK93" i="63" s="1"/>
  <c r="BE90" i="63"/>
  <c r="BD89" i="63"/>
  <c r="AA177" i="61"/>
  <c r="AA180" i="61" s="1"/>
  <c r="Z180" i="61"/>
  <c r="Z183" i="61" s="1"/>
  <c r="U73" i="61"/>
  <c r="V67" i="61"/>
  <c r="V70" i="61" s="1"/>
  <c r="BT66" i="1" l="1"/>
  <c r="BT67" i="1" s="1"/>
  <c r="CP38" i="63"/>
  <c r="CP40" i="63" s="1"/>
  <c r="CP36" i="63"/>
  <c r="CP79" i="63"/>
  <c r="CP47" i="63"/>
  <c r="CP14" i="63"/>
  <c r="CP58" i="63"/>
  <c r="CP69" i="63"/>
  <c r="CP159" i="63"/>
  <c r="CP166" i="63"/>
  <c r="CP81" i="63"/>
  <c r="CP165" i="63" s="1"/>
  <c r="CP25" i="63"/>
  <c r="BT59" i="2"/>
  <c r="BW103" i="61"/>
  <c r="BW49" i="61"/>
  <c r="BU36" i="1"/>
  <c r="BU66" i="1"/>
  <c r="BU67" i="1" s="1"/>
  <c r="BV103" i="61"/>
  <c r="CP103" i="61" s="1"/>
  <c r="BV49" i="61"/>
  <c r="CP40" i="61"/>
  <c r="BV13" i="2"/>
  <c r="BV11" i="2"/>
  <c r="BV150" i="61"/>
  <c r="BW13" i="2"/>
  <c r="CP13" i="2" s="1"/>
  <c r="BW11" i="2"/>
  <c r="CP11" i="2" s="1"/>
  <c r="CP58" i="2"/>
  <c r="CP11" i="1"/>
  <c r="BV48" i="1"/>
  <c r="BV28" i="1"/>
  <c r="BV38" i="1"/>
  <c r="BW38" i="1" s="1"/>
  <c r="BV40" i="63"/>
  <c r="BV39" i="63"/>
  <c r="BV95" i="63"/>
  <c r="BT20" i="1"/>
  <c r="BT22" i="1"/>
  <c r="BW39" i="63"/>
  <c r="BW40" i="63"/>
  <c r="BW95" i="63"/>
  <c r="BU14" i="1"/>
  <c r="BU59" i="2" s="1"/>
  <c r="BU86" i="63"/>
  <c r="BU96" i="63"/>
  <c r="CO72" i="1"/>
  <c r="CO73" i="1" s="1"/>
  <c r="BS137" i="1"/>
  <c r="BS139" i="1" s="1"/>
  <c r="BR29" i="61"/>
  <c r="CO29" i="61" s="1"/>
  <c r="BR33" i="2"/>
  <c r="BR38" i="2" s="1"/>
  <c r="BR31" i="61"/>
  <c r="BR141" i="61" s="1"/>
  <c r="BS31" i="61"/>
  <c r="BR26" i="1"/>
  <c r="BR72" i="1"/>
  <c r="BF90" i="63"/>
  <c r="BG90" i="63" s="1"/>
  <c r="BD93" i="63"/>
  <c r="BE89" i="63"/>
  <c r="AB177" i="61"/>
  <c r="AA183" i="61"/>
  <c r="W67" i="61"/>
  <c r="W70" i="61" s="1"/>
  <c r="V73" i="61"/>
  <c r="CP41" i="63" l="1"/>
  <c r="CP95" i="63"/>
  <c r="CP167" i="63"/>
  <c r="CP96" i="63"/>
  <c r="BW39" i="1"/>
  <c r="BW45" i="1"/>
  <c r="BW46" i="1" s="1"/>
  <c r="BU26" i="2"/>
  <c r="BU12" i="2"/>
  <c r="BV65" i="1"/>
  <c r="BV35" i="1"/>
  <c r="BV29" i="1"/>
  <c r="CP56" i="2"/>
  <c r="BV159" i="61"/>
  <c r="BW150" i="61"/>
  <c r="BW159" i="61" s="1"/>
  <c r="BW30" i="61"/>
  <c r="BV30" i="61"/>
  <c r="BT26" i="2"/>
  <c r="BT12" i="2"/>
  <c r="BV45" i="1"/>
  <c r="BV46" i="1" s="1"/>
  <c r="BV39" i="1"/>
  <c r="CP38" i="1"/>
  <c r="BV55" i="1"/>
  <c r="BV56" i="1" s="1"/>
  <c r="BV49" i="1"/>
  <c r="CP52" i="2"/>
  <c r="BW28" i="61"/>
  <c r="BV28" i="61"/>
  <c r="CP78" i="61"/>
  <c r="CP80" i="61" s="1"/>
  <c r="CP49" i="61"/>
  <c r="CP150" i="61"/>
  <c r="CP159" i="61" s="1"/>
  <c r="BW48" i="1"/>
  <c r="BW28" i="1"/>
  <c r="CP28" i="1" s="1"/>
  <c r="BU20" i="1"/>
  <c r="BU22" i="1"/>
  <c r="BT25" i="1"/>
  <c r="BT160" i="63"/>
  <c r="BT23" i="1"/>
  <c r="BT98" i="63"/>
  <c r="BT68" i="1"/>
  <c r="BW14" i="1"/>
  <c r="BW59" i="2" s="1"/>
  <c r="BW96" i="63"/>
  <c r="BW86" i="63"/>
  <c r="BV14" i="1"/>
  <c r="BV59" i="2" s="1"/>
  <c r="BV96" i="63"/>
  <c r="BV86" i="63"/>
  <c r="BR139" i="61"/>
  <c r="BS139" i="61" s="1"/>
  <c r="BS141" i="61"/>
  <c r="BR137" i="1"/>
  <c r="BR73" i="1"/>
  <c r="CO31" i="61"/>
  <c r="BG89" i="63"/>
  <c r="BH90" i="63"/>
  <c r="BF89" i="63"/>
  <c r="BE93" i="63"/>
  <c r="X67" i="61"/>
  <c r="X70" i="61" s="1"/>
  <c r="W73" i="61"/>
  <c r="AB180" i="61"/>
  <c r="AB183" i="61" s="1"/>
  <c r="AC177" i="61"/>
  <c r="CP86" i="63" l="1"/>
  <c r="CP30" i="1"/>
  <c r="CP29" i="1"/>
  <c r="BW26" i="2"/>
  <c r="BW12" i="2"/>
  <c r="CP12" i="2" s="1"/>
  <c r="CP14" i="1"/>
  <c r="BW55" i="1"/>
  <c r="BW56" i="1" s="1"/>
  <c r="BW49" i="1"/>
  <c r="CP28" i="61"/>
  <c r="BV138" i="61"/>
  <c r="BW138" i="61" s="1"/>
  <c r="CP48" i="1"/>
  <c r="BT31" i="61"/>
  <c r="BT33" i="2"/>
  <c r="BT38" i="2" s="1"/>
  <c r="BV36" i="1"/>
  <c r="BV66" i="1"/>
  <c r="BV67" i="1" s="1"/>
  <c r="BV26" i="2"/>
  <c r="BV12" i="2"/>
  <c r="BV29" i="61" s="1"/>
  <c r="BW65" i="1"/>
  <c r="BW35" i="1"/>
  <c r="BW29" i="1"/>
  <c r="CP45" i="1"/>
  <c r="CP46" i="1" s="1"/>
  <c r="CP39" i="1"/>
  <c r="CP40" i="1"/>
  <c r="BU29" i="61"/>
  <c r="BT29" i="61"/>
  <c r="CP30" i="61"/>
  <c r="BV140" i="61"/>
  <c r="BW140" i="61" s="1"/>
  <c r="BU31" i="61"/>
  <c r="BU33" i="2"/>
  <c r="BU38" i="2" s="1"/>
  <c r="BW20" i="1"/>
  <c r="BW22" i="1"/>
  <c r="BU23" i="1"/>
  <c r="BU160" i="63"/>
  <c r="BU25" i="1"/>
  <c r="BU98" i="63"/>
  <c r="BU68" i="1"/>
  <c r="BV20" i="1"/>
  <c r="BV22" i="1"/>
  <c r="BT69" i="1"/>
  <c r="BT99" i="63"/>
  <c r="BT161" i="63"/>
  <c r="BT26" i="1"/>
  <c r="BT72" i="1"/>
  <c r="BR139" i="1"/>
  <c r="CO137" i="1"/>
  <c r="CO139" i="1" s="1"/>
  <c r="CO179" i="1" s="1"/>
  <c r="BI90" i="63"/>
  <c r="BH89" i="63"/>
  <c r="AC180" i="61"/>
  <c r="AC183" i="61" s="1"/>
  <c r="AD177" i="61"/>
  <c r="X73" i="61"/>
  <c r="Y67" i="61"/>
  <c r="Y70" i="61" s="1"/>
  <c r="BV31" i="61" l="1"/>
  <c r="BV33" i="2"/>
  <c r="BV38" i="2" s="1"/>
  <c r="CP55" i="1"/>
  <c r="CP56" i="1" s="1"/>
  <c r="CP49" i="1"/>
  <c r="CP50" i="1"/>
  <c r="CP65" i="1"/>
  <c r="BT139" i="61"/>
  <c r="BU139" i="61" s="1"/>
  <c r="BV139" i="61" s="1"/>
  <c r="BW66" i="1"/>
  <c r="BW67" i="1" s="1"/>
  <c r="BW36" i="1"/>
  <c r="BW29" i="61"/>
  <c r="CP29" i="61" s="1"/>
  <c r="CP35" i="1"/>
  <c r="BT141" i="61"/>
  <c r="BU141" i="61" s="1"/>
  <c r="CP59" i="2"/>
  <c r="CP54" i="2" s="1"/>
  <c r="CP53" i="2" s="1"/>
  <c r="CP20" i="1"/>
  <c r="CP25" i="1" s="1"/>
  <c r="CP22" i="1"/>
  <c r="BW31" i="61"/>
  <c r="CP26" i="2"/>
  <c r="BW33" i="2"/>
  <c r="BW38" i="2" s="1"/>
  <c r="BW23" i="1"/>
  <c r="BW98" i="63"/>
  <c r="BW25" i="1"/>
  <c r="BW160" i="63"/>
  <c r="BW68" i="1"/>
  <c r="BT73" i="1"/>
  <c r="BT137" i="1"/>
  <c r="BV25" i="1"/>
  <c r="BV160" i="63"/>
  <c r="BV23" i="1"/>
  <c r="BV98" i="63"/>
  <c r="BV68" i="1"/>
  <c r="BU161" i="63"/>
  <c r="BU69" i="1"/>
  <c r="BU99" i="63"/>
  <c r="BU26" i="1"/>
  <c r="BU72" i="1"/>
  <c r="BI89" i="63"/>
  <c r="BJ90" i="63"/>
  <c r="CL89" i="63"/>
  <c r="Y73" i="61"/>
  <c r="Z67" i="61"/>
  <c r="Z70" i="61" s="1"/>
  <c r="AE177" i="61"/>
  <c r="AE180" i="61" s="1"/>
  <c r="AD180" i="61"/>
  <c r="AD183" i="61" s="1"/>
  <c r="BJ89" i="63" l="1"/>
  <c r="BJ93" i="63" s="1"/>
  <c r="BK93" i="63" s="1"/>
  <c r="BK90" i="63"/>
  <c r="BK89" i="63" s="1"/>
  <c r="CP31" i="61"/>
  <c r="BV141" i="61"/>
  <c r="BW141" i="61" s="1"/>
  <c r="CP98" i="63"/>
  <c r="CP160" i="63"/>
  <c r="BT139" i="1"/>
  <c r="BT102" i="61" s="1"/>
  <c r="CP55" i="2"/>
  <c r="CP33" i="2"/>
  <c r="CP38" i="2" s="1"/>
  <c r="CP68" i="1"/>
  <c r="CP23" i="1"/>
  <c r="BW139" i="61"/>
  <c r="CP26" i="1"/>
  <c r="CP36" i="1"/>
  <c r="CP66" i="1"/>
  <c r="CP67" i="1" s="1"/>
  <c r="BU137" i="1"/>
  <c r="BU139" i="1" s="1"/>
  <c r="BU102" i="61" s="1"/>
  <c r="BU73" i="1"/>
  <c r="BV69" i="1"/>
  <c r="BV99" i="63"/>
  <c r="BV161" i="63"/>
  <c r="BV26" i="1"/>
  <c r="BV72" i="1"/>
  <c r="BW161" i="63"/>
  <c r="BW69" i="1"/>
  <c r="BW99" i="63"/>
  <c r="BW26" i="1"/>
  <c r="BW72" i="1"/>
  <c r="AA67" i="61"/>
  <c r="AA70" i="61" s="1"/>
  <c r="Z73" i="61"/>
  <c r="AF177" i="61"/>
  <c r="AE183" i="61"/>
  <c r="CP69" i="1" l="1"/>
  <c r="CP161" i="63"/>
  <c r="CP99" i="63"/>
  <c r="CP72" i="1"/>
  <c r="CP73" i="1" s="1"/>
  <c r="BW137" i="1"/>
  <c r="BW139" i="1" s="1"/>
  <c r="BW102" i="61" s="1"/>
  <c r="BW73" i="1"/>
  <c r="BV137" i="1"/>
  <c r="BV139" i="1" s="1"/>
  <c r="BV102" i="61" s="1"/>
  <c r="BV73" i="1"/>
  <c r="AF180" i="61"/>
  <c r="AF183" i="61" s="1"/>
  <c r="AG177" i="61"/>
  <c r="AB67" i="61"/>
  <c r="AB70" i="61" s="1"/>
  <c r="AA73" i="61"/>
  <c r="CP102" i="61" l="1"/>
  <c r="CP137" i="1"/>
  <c r="CP139" i="1" s="1"/>
  <c r="CP179" i="1" s="1"/>
  <c r="BL90" i="63"/>
  <c r="CM89" i="63"/>
  <c r="CM90" i="63"/>
  <c r="AH177" i="61"/>
  <c r="AG180" i="61"/>
  <c r="AG183" i="61" s="1"/>
  <c r="AB73" i="61"/>
  <c r="AC67" i="61"/>
  <c r="AC70" i="61" s="1"/>
  <c r="BM90" i="63" l="1"/>
  <c r="BL89" i="63"/>
  <c r="AC73" i="61"/>
  <c r="AD67" i="61"/>
  <c r="AD70" i="61" s="1"/>
  <c r="AI177" i="61"/>
  <c r="AI180" i="61" s="1"/>
  <c r="AH180" i="61"/>
  <c r="AH183" i="61" s="1"/>
  <c r="BN90" i="63" l="1"/>
  <c r="BM89" i="63"/>
  <c r="AE67" i="61"/>
  <c r="AE70" i="61" s="1"/>
  <c r="AD73" i="61"/>
  <c r="AJ177" i="61"/>
  <c r="AI183" i="61"/>
  <c r="BO90" i="63" l="1"/>
  <c r="BN89" i="63"/>
  <c r="AF67" i="61"/>
  <c r="AF70" i="61" s="1"/>
  <c r="AE73" i="61"/>
  <c r="AJ180" i="61"/>
  <c r="AJ183" i="61" s="1"/>
  <c r="AK177" i="61"/>
  <c r="BO89" i="63" l="1"/>
  <c r="CN89" i="63" s="1"/>
  <c r="BP90" i="63"/>
  <c r="CN90" i="63"/>
  <c r="AL177" i="61"/>
  <c r="AK180" i="61"/>
  <c r="AK183" i="61" s="1"/>
  <c r="AF73" i="61"/>
  <c r="AG67" i="61"/>
  <c r="AG70" i="61" s="1"/>
  <c r="BF153" i="2"/>
  <c r="BF154" i="2" s="1"/>
  <c r="BQ90" i="63" l="1"/>
  <c r="BP89" i="63"/>
  <c r="AG73" i="61"/>
  <c r="AH67" i="61"/>
  <c r="AH70" i="61" s="1"/>
  <c r="AM177" i="61"/>
  <c r="AM180" i="61" s="1"/>
  <c r="AL180" i="61"/>
  <c r="AL183" i="61" s="1"/>
  <c r="BG145" i="2"/>
  <c r="BG146" i="2" s="1"/>
  <c r="BF151" i="2"/>
  <c r="BF150" i="2"/>
  <c r="BR90" i="63" l="1"/>
  <c r="BQ89" i="63"/>
  <c r="AN177" i="61"/>
  <c r="AM183" i="61"/>
  <c r="AI67" i="61"/>
  <c r="AI70" i="61" s="1"/>
  <c r="AH73" i="61"/>
  <c r="BS90" i="63" l="1"/>
  <c r="BT90" i="63" s="1"/>
  <c r="BR89" i="63"/>
  <c r="CL105" i="61"/>
  <c r="AN180" i="61"/>
  <c r="AN183" i="61" s="1"/>
  <c r="AO177" i="61"/>
  <c r="AJ67" i="61"/>
  <c r="AJ70" i="61" s="1"/>
  <c r="AI73" i="61"/>
  <c r="BU90" i="63" l="1"/>
  <c r="BT89" i="63"/>
  <c r="BS89" i="63"/>
  <c r="CO89" i="63" s="1"/>
  <c r="CO90" i="63"/>
  <c r="CL146" i="2"/>
  <c r="CL147" i="2" s="1"/>
  <c r="AJ73" i="61"/>
  <c r="AK67" i="61"/>
  <c r="AK70" i="61" s="1"/>
  <c r="AP177" i="61"/>
  <c r="AO180" i="61"/>
  <c r="AO183" i="61" s="1"/>
  <c r="BV90" i="63" l="1"/>
  <c r="BU89" i="63"/>
  <c r="AQ177" i="61"/>
  <c r="AQ180" i="61" s="1"/>
  <c r="AP180" i="61"/>
  <c r="AP183" i="61" s="1"/>
  <c r="AK73" i="61"/>
  <c r="AL67" i="61"/>
  <c r="AL70" i="61" s="1"/>
  <c r="BV89" i="63" l="1"/>
  <c r="BW90" i="63"/>
  <c r="BW89" i="63" s="1"/>
  <c r="AM67" i="61"/>
  <c r="AM70" i="61" s="1"/>
  <c r="AL73" i="61"/>
  <c r="AR177" i="61"/>
  <c r="AQ183" i="61"/>
  <c r="CP89" i="63" l="1"/>
  <c r="CP90" i="63"/>
  <c r="AR180" i="61"/>
  <c r="AR183" i="61" s="1"/>
  <c r="AS177" i="61"/>
  <c r="AN67" i="61"/>
  <c r="AN70" i="61" s="1"/>
  <c r="AM73" i="61"/>
  <c r="CL104" i="61" l="1"/>
  <c r="CL9" i="61"/>
  <c r="CL119" i="61" s="1"/>
  <c r="AT177" i="61"/>
  <c r="AS180" i="61"/>
  <c r="AS183" i="61" s="1"/>
  <c r="AN73" i="61"/>
  <c r="AO67" i="61"/>
  <c r="AO70" i="61" s="1"/>
  <c r="CL69" i="2" l="1"/>
  <c r="CL71" i="2" s="1"/>
  <c r="BG168" i="2"/>
  <c r="AU177" i="61"/>
  <c r="AU180" i="61" s="1"/>
  <c r="AT180" i="61"/>
  <c r="AT183" i="61" s="1"/>
  <c r="AO73" i="61"/>
  <c r="AP67" i="61"/>
  <c r="AP70" i="61" s="1"/>
  <c r="CL168" i="2" l="1"/>
  <c r="AV177" i="61"/>
  <c r="AU183" i="61"/>
  <c r="AQ67" i="61"/>
  <c r="AQ70" i="61" s="1"/>
  <c r="AP73" i="61"/>
  <c r="CL42" i="2" l="1"/>
  <c r="CL46" i="2" s="1"/>
  <c r="AR67" i="61"/>
  <c r="AR70" i="61" s="1"/>
  <c r="AQ73" i="61"/>
  <c r="AV180" i="61"/>
  <c r="AV183" i="61" s="1"/>
  <c r="AW177" i="61"/>
  <c r="CL81" i="2" l="1"/>
  <c r="CL73" i="2"/>
  <c r="CL74" i="2" s="1"/>
  <c r="CL82" i="2"/>
  <c r="CL83" i="2" s="1"/>
  <c r="AR73" i="61"/>
  <c r="AS67" i="61"/>
  <c r="AS70" i="61" s="1"/>
  <c r="AX177" i="61"/>
  <c r="AW180" i="61"/>
  <c r="AW183" i="61" s="1"/>
  <c r="AS73" i="61" l="1"/>
  <c r="AT67" i="61"/>
  <c r="AT70" i="61" s="1"/>
  <c r="AY177" i="61"/>
  <c r="AY180" i="61" s="1"/>
  <c r="AX180" i="61"/>
  <c r="AX183" i="61" s="1"/>
  <c r="AZ177" i="61" l="1"/>
  <c r="AY183" i="61"/>
  <c r="AU67" i="61"/>
  <c r="AU70" i="61" s="1"/>
  <c r="AT73" i="61"/>
  <c r="AV67" i="61" l="1"/>
  <c r="AV70" i="61" s="1"/>
  <c r="AU73" i="61"/>
  <c r="AZ180" i="61"/>
  <c r="AZ183" i="61" s="1"/>
  <c r="BA177" i="61"/>
  <c r="BB177" i="61" l="1"/>
  <c r="BA180" i="61"/>
  <c r="BA183" i="61" s="1"/>
  <c r="AV73" i="61"/>
  <c r="AW67" i="61"/>
  <c r="AW70" i="61" s="1"/>
  <c r="AW73" i="61" l="1"/>
  <c r="AX67" i="61"/>
  <c r="AX70" i="61" s="1"/>
  <c r="BC177" i="61"/>
  <c r="BC180" i="61" s="1"/>
  <c r="BB180" i="61"/>
  <c r="BB183" i="61" s="1"/>
  <c r="BD177" i="61" l="1"/>
  <c r="BC183" i="61"/>
  <c r="AY67" i="61"/>
  <c r="AY70" i="61" s="1"/>
  <c r="AX73" i="61"/>
  <c r="BD180" i="61" l="1"/>
  <c r="BD183" i="61" s="1"/>
  <c r="BE177" i="61"/>
  <c r="BF177" i="61" s="1"/>
  <c r="AZ67" i="61"/>
  <c r="AZ70" i="61" s="1"/>
  <c r="AY73" i="61"/>
  <c r="BF180" i="61" l="1"/>
  <c r="BF183" i="61" s="1"/>
  <c r="BG177" i="61"/>
  <c r="AZ73" i="61"/>
  <c r="BA67" i="61"/>
  <c r="BA70" i="61" s="1"/>
  <c r="BE180" i="61"/>
  <c r="BE183" i="61" s="1"/>
  <c r="BA73" i="61" l="1"/>
  <c r="BB67" i="61"/>
  <c r="BB70" i="61" s="1"/>
  <c r="BC67" i="61" l="1"/>
  <c r="BC70" i="61" s="1"/>
  <c r="BB73" i="61"/>
  <c r="BD67" i="61" l="1"/>
  <c r="BD70" i="61" s="1"/>
  <c r="BC73" i="61"/>
  <c r="BD73" i="61" l="1"/>
  <c r="BE67" i="61"/>
  <c r="BE70" i="61" s="1"/>
  <c r="BF67" i="61" s="1"/>
  <c r="BF70" i="61" s="1"/>
  <c r="BG67" i="61" s="1"/>
  <c r="BF73" i="61" l="1"/>
  <c r="BE73" i="61"/>
  <c r="CL40" i="61" l="1"/>
  <c r="CL78" i="61" s="1"/>
  <c r="CL80" i="61" s="1"/>
  <c r="BF93" i="61"/>
  <c r="BF96" i="61"/>
  <c r="BF103" i="61"/>
  <c r="CL103" i="61" s="1"/>
  <c r="BF110" i="61"/>
  <c r="BF111" i="61" s="1"/>
  <c r="BF92" i="63"/>
  <c r="BF93" i="63" s="1"/>
  <c r="BG93" i="63" s="1"/>
  <c r="BH93" i="63" s="1"/>
  <c r="BI93" i="63" s="1"/>
  <c r="CL150" i="61" l="1"/>
  <c r="CL159" i="61" s="1"/>
  <c r="CL49" i="61"/>
  <c r="CL93" i="63"/>
  <c r="BF97" i="61"/>
  <c r="BF94" i="61"/>
  <c r="BF95" i="2" l="1"/>
  <c r="BF102" i="61"/>
  <c r="CL82" i="61" l="1"/>
  <c r="BL93" i="63"/>
  <c r="BF106" i="61"/>
  <c r="BG95" i="2" l="1"/>
  <c r="CM93" i="63"/>
  <c r="BH85" i="61"/>
  <c r="BH88" i="61" s="1"/>
  <c r="BM93" i="63"/>
  <c r="CL84" i="61"/>
  <c r="CL85" i="61" s="1"/>
  <c r="CL11" i="61"/>
  <c r="BK82" i="61" l="1"/>
  <c r="BJ94" i="61"/>
  <c r="BN93" i="63"/>
  <c r="BO93" i="63" s="1"/>
  <c r="BP93" i="63" s="1"/>
  <c r="BG102" i="61"/>
  <c r="BG106" i="61" s="1"/>
  <c r="CL92" i="63"/>
  <c r="CL121" i="61"/>
  <c r="CL96" i="61"/>
  <c r="CL94" i="61" s="1"/>
  <c r="CL93" i="61" s="1"/>
  <c r="CL97" i="61" s="1"/>
  <c r="BI138" i="1"/>
  <c r="CL17" i="2"/>
  <c r="BL82" i="61" l="1"/>
  <c r="BM82" i="61" s="1"/>
  <c r="BN82" i="61" s="1"/>
  <c r="BO82" i="61" s="1"/>
  <c r="CN82" i="61" s="1"/>
  <c r="BK94" i="61"/>
  <c r="BQ93" i="63"/>
  <c r="BR93" i="63" s="1"/>
  <c r="BS93" i="63" s="1"/>
  <c r="BT93" i="63" s="1"/>
  <c r="CM82" i="61"/>
  <c r="BI139" i="1"/>
  <c r="CN93" i="63"/>
  <c r="CL87" i="61"/>
  <c r="CL88" i="61" s="1"/>
  <c r="BI97" i="61"/>
  <c r="BI85" i="61"/>
  <c r="BL94" i="61"/>
  <c r="CO93" i="63" l="1"/>
  <c r="BP82" i="61"/>
  <c r="BQ82" i="61" s="1"/>
  <c r="BR82" i="61" s="1"/>
  <c r="BU93" i="63"/>
  <c r="BV93" i="63" s="1"/>
  <c r="BW93" i="63" s="1"/>
  <c r="BJ138" i="1"/>
  <c r="BJ139" i="1" s="1"/>
  <c r="BJ102" i="61" s="1"/>
  <c r="BJ106" i="61" s="1"/>
  <c r="BH95" i="2"/>
  <c r="BH102" i="61"/>
  <c r="BH106" i="61" s="1"/>
  <c r="BI87" i="61"/>
  <c r="BI88" i="61" s="1"/>
  <c r="BI102" i="61"/>
  <c r="BK138" i="1"/>
  <c r="BK139" i="1" s="1"/>
  <c r="BK84" i="61"/>
  <c r="BJ85" i="61"/>
  <c r="BL93" i="61"/>
  <c r="BM94" i="61"/>
  <c r="CL9" i="2"/>
  <c r="BG153" i="2"/>
  <c r="BG154" i="2" s="1"/>
  <c r="CL102" i="61"/>
  <c r="CL106" i="61" s="1"/>
  <c r="CP93" i="63" l="1"/>
  <c r="CM138" i="1"/>
  <c r="CM139" i="1" s="1"/>
  <c r="CM179" i="1" s="1"/>
  <c r="BS82" i="61"/>
  <c r="BT82" i="61" s="1"/>
  <c r="BH145" i="2"/>
  <c r="BH146" i="2" s="1"/>
  <c r="BJ87" i="61"/>
  <c r="BJ88" i="61" s="1"/>
  <c r="BM93" i="61"/>
  <c r="BN94" i="61"/>
  <c r="CL86" i="2"/>
  <c r="CL88" i="2" s="1"/>
  <c r="CL72" i="61"/>
  <c r="CL182" i="61"/>
  <c r="CL15" i="2"/>
  <c r="CL23" i="2" s="1"/>
  <c r="CM84" i="61"/>
  <c r="CM85" i="61" s="1"/>
  <c r="BL84" i="61"/>
  <c r="BK85" i="61"/>
  <c r="BG151" i="2"/>
  <c r="BG150" i="2"/>
  <c r="BL11" i="61"/>
  <c r="BL138" i="1" s="1"/>
  <c r="CM92" i="63"/>
  <c r="CM11" i="61"/>
  <c r="BU82" i="61" l="1"/>
  <c r="BL139" i="1"/>
  <c r="CO82" i="61"/>
  <c r="CM121" i="61"/>
  <c r="CM96" i="61"/>
  <c r="CM94" i="61" s="1"/>
  <c r="CM93" i="61" s="1"/>
  <c r="CM97" i="61" s="1"/>
  <c r="BK87" i="61"/>
  <c r="BK88" i="61" s="1"/>
  <c r="CM17" i="2"/>
  <c r="BL96" i="61"/>
  <c r="BL97" i="61" s="1"/>
  <c r="BL121" i="61"/>
  <c r="BL92" i="63"/>
  <c r="BM84" i="61"/>
  <c r="BL85" i="61"/>
  <c r="BL17" i="2" s="1"/>
  <c r="BM11" i="61"/>
  <c r="BM138" i="1" s="1"/>
  <c r="BM139" i="1" s="1"/>
  <c r="CL90" i="2"/>
  <c r="CL93" i="2"/>
  <c r="CL94" i="2" s="1"/>
  <c r="CM145" i="2"/>
  <c r="BO94" i="61"/>
  <c r="BN93" i="61"/>
  <c r="CL83" i="61"/>
  <c r="CL48" i="2"/>
  <c r="BV82" i="61" l="1"/>
  <c r="BO93" i="61"/>
  <c r="BO11" i="61" s="1"/>
  <c r="BO138" i="1" s="1"/>
  <c r="BO139" i="1" s="1"/>
  <c r="BP94" i="61"/>
  <c r="BM96" i="61"/>
  <c r="BM97" i="61" s="1"/>
  <c r="BM92" i="63"/>
  <c r="BN11" i="61"/>
  <c r="BN138" i="1" s="1"/>
  <c r="BN139" i="1" s="1"/>
  <c r="BK102" i="61"/>
  <c r="BL87" i="61"/>
  <c r="BL88" i="61" s="1"/>
  <c r="BM121" i="61"/>
  <c r="BM85" i="61"/>
  <c r="BM17" i="2" s="1"/>
  <c r="BN84" i="61"/>
  <c r="CM87" i="61"/>
  <c r="CM88" i="61" s="1"/>
  <c r="BW82" i="61" l="1"/>
  <c r="CN138" i="1"/>
  <c r="CN139" i="1" s="1"/>
  <c r="CN179" i="1" s="1"/>
  <c r="BQ94" i="61"/>
  <c r="BP93" i="61"/>
  <c r="BP11" i="61" s="1"/>
  <c r="CN11" i="61"/>
  <c r="CN96" i="61" s="1"/>
  <c r="CN94" i="61" s="1"/>
  <c r="CN93" i="61" s="1"/>
  <c r="CN97" i="61" s="1"/>
  <c r="BO96" i="61"/>
  <c r="BO97" i="61" s="1"/>
  <c r="BO92" i="63"/>
  <c r="BM87" i="61"/>
  <c r="BM88" i="61" s="1"/>
  <c r="BO84" i="61"/>
  <c r="BN85" i="61"/>
  <c r="BN17" i="2" s="1"/>
  <c r="BN96" i="61"/>
  <c r="BN97" i="61" s="1"/>
  <c r="BN92" i="63"/>
  <c r="BN121" i="61"/>
  <c r="BO121" i="61" s="1"/>
  <c r="CM102" i="61"/>
  <c r="CP82" i="61" l="1"/>
  <c r="BP84" i="61"/>
  <c r="BP85" i="61" s="1"/>
  <c r="BP96" i="61"/>
  <c r="BP97" i="61" s="1"/>
  <c r="BP121" i="61"/>
  <c r="BR94" i="61"/>
  <c r="BQ93" i="61"/>
  <c r="BQ11" i="61" s="1"/>
  <c r="CN92" i="63"/>
  <c r="CN121" i="61"/>
  <c r="BN87" i="61"/>
  <c r="BN88" i="61" s="1"/>
  <c r="BO85" i="61"/>
  <c r="BO17" i="2" s="1"/>
  <c r="CN84" i="61"/>
  <c r="CN85" i="61" s="1"/>
  <c r="BQ96" i="61" l="1"/>
  <c r="BQ97" i="61" s="1"/>
  <c r="BP17" i="2"/>
  <c r="BP87" i="61" s="1"/>
  <c r="BP88" i="61" s="1"/>
  <c r="BS94" i="61"/>
  <c r="BR93" i="61"/>
  <c r="BR11" i="61" s="1"/>
  <c r="BQ84" i="61"/>
  <c r="BQ121" i="61"/>
  <c r="CN17" i="2"/>
  <c r="BO87" i="61"/>
  <c r="BO88" i="61" s="1"/>
  <c r="BH168" i="2"/>
  <c r="BH71" i="2"/>
  <c r="BS93" i="61" l="1"/>
  <c r="BS11" i="61" s="1"/>
  <c r="CO11" i="61" s="1"/>
  <c r="BT94" i="61"/>
  <c r="BR84" i="61"/>
  <c r="BQ85" i="61"/>
  <c r="BR121" i="61"/>
  <c r="BR96" i="61"/>
  <c r="BR97" i="61" s="1"/>
  <c r="BH153" i="2"/>
  <c r="BH154" i="2" s="1"/>
  <c r="BH73" i="2"/>
  <c r="BH74" i="2" s="1"/>
  <c r="BH46" i="2"/>
  <c r="CN87" i="61"/>
  <c r="CN88" i="61" s="1"/>
  <c r="BS96" i="61" l="1"/>
  <c r="BS97" i="61" s="1"/>
  <c r="BU94" i="61"/>
  <c r="BT93" i="61"/>
  <c r="BT11" i="61" s="1"/>
  <c r="BS121" i="61"/>
  <c r="CO96" i="61"/>
  <c r="CO94" i="61" s="1"/>
  <c r="CO93" i="61" s="1"/>
  <c r="CO97" i="61" s="1"/>
  <c r="CO121" i="61"/>
  <c r="BS84" i="61"/>
  <c r="BR85" i="61"/>
  <c r="BQ17" i="2"/>
  <c r="BQ87" i="61" s="1"/>
  <c r="BQ88" i="61" s="1"/>
  <c r="BH182" i="61"/>
  <c r="BH15" i="2"/>
  <c r="BH23" i="2" s="1"/>
  <c r="BH83" i="61" s="1"/>
  <c r="BT84" i="61" l="1"/>
  <c r="BT85" i="61" s="1"/>
  <c r="BT17" i="2" s="1"/>
  <c r="BT87" i="61" s="1"/>
  <c r="BT88" i="61" s="1"/>
  <c r="BT96" i="61"/>
  <c r="BT97" i="61" s="1"/>
  <c r="BT121" i="61"/>
  <c r="BV94" i="61"/>
  <c r="BU93" i="61"/>
  <c r="BU11" i="61" s="1"/>
  <c r="BU96" i="61" s="1"/>
  <c r="BU97" i="61" s="1"/>
  <c r="BS85" i="61"/>
  <c r="CO84" i="61"/>
  <c r="CO85" i="61" s="1"/>
  <c r="BR17" i="2"/>
  <c r="BR87" i="61" s="1"/>
  <c r="BR88" i="61" s="1"/>
  <c r="BH151" i="2"/>
  <c r="BH150" i="2"/>
  <c r="BI145" i="2"/>
  <c r="BI146" i="2" s="1"/>
  <c r="BH48" i="2"/>
  <c r="BU84" i="61" l="1"/>
  <c r="BU85" i="61" s="1"/>
  <c r="BU17" i="2" s="1"/>
  <c r="BU87" i="61" s="1"/>
  <c r="BU88" i="61" s="1"/>
  <c r="BU121" i="61"/>
  <c r="BW94" i="61"/>
  <c r="BW93" i="61" s="1"/>
  <c r="BV93" i="61"/>
  <c r="BV11" i="61" s="1"/>
  <c r="BS17" i="2"/>
  <c r="BI105" i="61"/>
  <c r="BV84" i="61" l="1"/>
  <c r="BV85" i="61" s="1"/>
  <c r="BV17" i="2" s="1"/>
  <c r="BV87" i="61" s="1"/>
  <c r="BV88" i="61" s="1"/>
  <c r="BW11" i="61"/>
  <c r="BW96" i="61" s="1"/>
  <c r="BW97" i="61" s="1"/>
  <c r="BV96" i="61"/>
  <c r="BV97" i="61" s="1"/>
  <c r="BV121" i="61"/>
  <c r="BS87" i="61"/>
  <c r="BS88" i="61" s="1"/>
  <c r="CO17" i="2"/>
  <c r="CO87" i="61" s="1"/>
  <c r="CO88" i="61" s="1"/>
  <c r="BW121" i="61" l="1"/>
  <c r="BW84" i="61"/>
  <c r="CP84" i="61" s="1"/>
  <c r="CP85" i="61" s="1"/>
  <c r="CP11" i="61"/>
  <c r="CP96" i="61" s="1"/>
  <c r="CP94" i="61" s="1"/>
  <c r="CP93" i="61" s="1"/>
  <c r="CP97" i="61" s="1"/>
  <c r="BI166" i="1"/>
  <c r="CP121" i="61" l="1"/>
  <c r="BW85" i="61"/>
  <c r="BW17" i="2" s="1"/>
  <c r="CP17" i="2" s="1"/>
  <c r="CP87" i="61" s="1"/>
  <c r="CP88" i="61" s="1"/>
  <c r="BI108" i="61"/>
  <c r="BI104" i="61"/>
  <c r="BW87" i="61" l="1"/>
  <c r="BW88" i="61" s="1"/>
  <c r="BI106" i="61"/>
  <c r="BI71" i="2"/>
  <c r="BI168" i="2"/>
  <c r="BI110" i="61"/>
  <c r="BI111" i="61" s="1"/>
  <c r="BI82" i="2" l="1"/>
  <c r="BI83" i="2" s="1"/>
  <c r="BI81" i="2"/>
  <c r="BI73" i="2"/>
  <c r="BI74" i="2" s="1"/>
  <c r="BI153" i="2"/>
  <c r="BI154" i="2" s="1"/>
  <c r="BI86" i="2" l="1"/>
  <c r="BI88" i="2" s="1"/>
  <c r="BI151" i="2" l="1"/>
  <c r="BI83" i="61"/>
  <c r="BI150" i="2"/>
  <c r="BI93" i="2"/>
  <c r="BI90" i="2"/>
  <c r="BJ145" i="2"/>
  <c r="BJ146" i="2" s="1"/>
  <c r="BJ75" i="1" l="1"/>
  <c r="BJ87" i="1" s="1"/>
  <c r="BJ91" i="1" s="1"/>
  <c r="BJ85" i="1"/>
  <c r="BJ88" i="1" s="1"/>
  <c r="BI94" i="2"/>
  <c r="BI95" i="2"/>
  <c r="BJ97" i="1" l="1"/>
  <c r="BJ95" i="1" l="1"/>
  <c r="BJ106" i="1"/>
  <c r="BJ110" i="1"/>
  <c r="BJ166" i="1" s="1"/>
  <c r="BJ113" i="1"/>
  <c r="BJ98" i="1"/>
  <c r="BJ116" i="1" l="1"/>
  <c r="BJ119" i="1"/>
  <c r="BJ117" i="1"/>
  <c r="BJ168" i="2"/>
  <c r="BJ82" i="2" l="1"/>
  <c r="BJ83" i="2" s="1"/>
  <c r="BJ81" i="2"/>
  <c r="BJ86" i="2"/>
  <c r="BJ88" i="2" s="1"/>
  <c r="BJ153" i="2" l="1"/>
  <c r="BJ154" i="2" s="1"/>
  <c r="BJ151" i="2"/>
  <c r="BJ83" i="61"/>
  <c r="BJ150" i="2"/>
  <c r="BK145" i="2"/>
  <c r="BK146" i="2" s="1"/>
  <c r="BJ90" i="2"/>
  <c r="BJ93" i="2"/>
  <c r="CM77" i="1" l="1"/>
  <c r="BK105" i="61"/>
  <c r="CM105" i="61" s="1"/>
  <c r="BJ94" i="2"/>
  <c r="BJ95" i="2"/>
  <c r="CM75" i="1" l="1"/>
  <c r="CM87" i="1" s="1"/>
  <c r="CM85" i="1"/>
  <c r="CM146" i="2"/>
  <c r="CM147" i="2" s="1"/>
  <c r="CM88" i="1" l="1"/>
  <c r="CM93" i="1"/>
  <c r="CM101" i="1" s="1"/>
  <c r="CM102" i="1" s="1"/>
  <c r="CM90" i="1"/>
  <c r="CM94" i="1" l="1"/>
  <c r="CM91" i="1"/>
  <c r="CM97" i="1"/>
  <c r="BK166" i="1"/>
  <c r="BK104" i="61"/>
  <c r="CM110" i="1" l="1"/>
  <c r="CM166" i="1" s="1"/>
  <c r="CM98" i="1"/>
  <c r="CM113" i="1"/>
  <c r="CM116" i="1" s="1"/>
  <c r="CM95" i="1"/>
  <c r="CM106" i="1"/>
  <c r="BK106" i="61"/>
  <c r="CM104" i="61"/>
  <c r="CM106" i="61" s="1"/>
  <c r="BK153" i="2" l="1"/>
  <c r="BK154" i="2" s="1"/>
  <c r="BK168" i="2"/>
  <c r="CM69" i="2"/>
  <c r="CM71" i="2" s="1"/>
  <c r="CM119" i="1"/>
  <c r="CM117" i="1"/>
  <c r="BK81" i="2"/>
  <c r="CM42" i="2"/>
  <c r="BK82" i="2"/>
  <c r="BK83" i="2" s="1"/>
  <c r="CM168" i="2" l="1"/>
  <c r="BK86" i="2"/>
  <c r="BK88" i="2" s="1"/>
  <c r="CM9" i="2"/>
  <c r="CM73" i="2"/>
  <c r="CM74" i="2" s="1"/>
  <c r="CM46" i="2"/>
  <c r="CM82" i="2"/>
  <c r="CM83" i="2" s="1"/>
  <c r="CM81" i="2"/>
  <c r="BK151" i="2" l="1"/>
  <c r="BK83" i="61"/>
  <c r="BK150" i="2"/>
  <c r="CM182" i="61"/>
  <c r="CM15" i="2"/>
  <c r="CM23" i="2" s="1"/>
  <c r="CM83" i="61" s="1"/>
  <c r="CM72" i="61"/>
  <c r="CM86" i="2"/>
  <c r="CM88" i="2" s="1"/>
  <c r="BK93" i="2"/>
  <c r="BL145" i="2"/>
  <c r="BL146" i="2" s="1"/>
  <c r="BL77" i="1" s="1"/>
  <c r="BL76" i="1" s="1"/>
  <c r="BK90" i="2"/>
  <c r="BM76" i="1" l="1"/>
  <c r="BN76" i="1" s="1"/>
  <c r="BO76" i="1" s="1"/>
  <c r="BP76" i="1" s="1"/>
  <c r="CN76" i="1"/>
  <c r="CN141" i="2" s="1"/>
  <c r="CN142" i="2" s="1"/>
  <c r="BL88" i="1"/>
  <c r="BL87" i="1"/>
  <c r="BL105" i="61"/>
  <c r="CM48" i="2"/>
  <c r="BK95" i="2"/>
  <c r="BK94" i="2"/>
  <c r="CM93" i="2"/>
  <c r="CM94" i="2" s="1"/>
  <c r="CN145" i="2"/>
  <c r="CM90" i="2"/>
  <c r="BQ76" i="1" l="1"/>
  <c r="BR76" i="1" s="1"/>
  <c r="BS76" i="1" s="1"/>
  <c r="BT76" i="1" s="1"/>
  <c r="CO76" i="1"/>
  <c r="CO141" i="2" s="1"/>
  <c r="CO142" i="2" s="1"/>
  <c r="BL90" i="1"/>
  <c r="BL97" i="1" s="1"/>
  <c r="CL30" i="61"/>
  <c r="CL140" i="61" s="1"/>
  <c r="CL31" i="61"/>
  <c r="CL141" i="61" s="1"/>
  <c r="BU76" i="1" l="1"/>
  <c r="BV76" i="1" s="1"/>
  <c r="BW76" i="1" s="1"/>
  <c r="CP76" i="1"/>
  <c r="CP141" i="2" s="1"/>
  <c r="CP142" i="2" s="1"/>
  <c r="BL113" i="1"/>
  <c r="BL110" i="1"/>
  <c r="BL166" i="1" s="1"/>
  <c r="BL98" i="1"/>
  <c r="BL94" i="1"/>
  <c r="CL29" i="61"/>
  <c r="BL116" i="1" l="1"/>
  <c r="BL95" i="1"/>
  <c r="BL106" i="1"/>
  <c r="CL139" i="61"/>
  <c r="BL119" i="1" l="1"/>
  <c r="BL117" i="1"/>
  <c r="BL104" i="61" l="1"/>
  <c r="BL161" i="63"/>
  <c r="BL99" i="63"/>
  <c r="BM161" i="63" l="1"/>
  <c r="BP99" i="63"/>
  <c r="BP161" i="63"/>
  <c r="BL9" i="61"/>
  <c r="BL119" i="61" s="1"/>
  <c r="BM99" i="63"/>
  <c r="BN161" i="63"/>
  <c r="BN99" i="63"/>
  <c r="BL69" i="2" l="1"/>
  <c r="BQ161" i="63"/>
  <c r="BQ99" i="63"/>
  <c r="BL102" i="61"/>
  <c r="BL106" i="61" s="1"/>
  <c r="BL147" i="61"/>
  <c r="BL179" i="61" s="1"/>
  <c r="BL37" i="61"/>
  <c r="BO99" i="63"/>
  <c r="BO161" i="63"/>
  <c r="CN99" i="63"/>
  <c r="CN161" i="63"/>
  <c r="BP102" i="61" l="1"/>
  <c r="BR99" i="63"/>
  <c r="BR161" i="63"/>
  <c r="BL71" i="2"/>
  <c r="BL42" i="2" s="1"/>
  <c r="BL168" i="2"/>
  <c r="BL69" i="61"/>
  <c r="BL110" i="61"/>
  <c r="BL111" i="61" s="1"/>
  <c r="BM102" i="61"/>
  <c r="BN102" i="61"/>
  <c r="BQ102" i="61" l="1"/>
  <c r="BR102" i="61"/>
  <c r="BS161" i="63"/>
  <c r="BS99" i="63"/>
  <c r="BL82" i="2"/>
  <c r="BL83" i="2" s="1"/>
  <c r="BL81" i="2"/>
  <c r="BL46" i="2"/>
  <c r="BL73" i="2"/>
  <c r="BL74" i="2" s="1"/>
  <c r="BL9" i="2"/>
  <c r="BO102" i="61"/>
  <c r="CN102" i="61" s="1"/>
  <c r="CO99" i="63" l="1"/>
  <c r="CO161" i="63"/>
  <c r="BL72" i="61"/>
  <c r="BL86" i="2"/>
  <c r="BL88" i="2" s="1"/>
  <c r="BL182" i="61"/>
  <c r="BL15" i="2"/>
  <c r="BL23" i="2" s="1"/>
  <c r="BL153" i="2"/>
  <c r="BL154" i="2" s="1"/>
  <c r="BS102" i="61" l="1"/>
  <c r="CO102" i="61" s="1"/>
  <c r="BL48" i="2"/>
  <c r="BL151" i="2"/>
  <c r="BL150" i="2"/>
  <c r="BL83" i="61"/>
  <c r="BM145" i="2"/>
  <c r="BM146" i="2" s="1"/>
  <c r="BM77" i="1" s="1"/>
  <c r="BL90" i="2"/>
  <c r="BL93" i="2"/>
  <c r="BL94" i="2" l="1"/>
  <c r="BL95" i="2"/>
  <c r="BM75" i="1"/>
  <c r="BM87" i="1" s="1"/>
  <c r="BM85" i="1"/>
  <c r="BM88" i="1" s="1"/>
  <c r="BM105" i="61"/>
  <c r="BM90" i="1" l="1"/>
  <c r="BM97" i="1" s="1"/>
  <c r="BM110" i="1" l="1"/>
  <c r="BM166" i="1" s="1"/>
  <c r="BM113" i="1"/>
  <c r="BM98" i="1"/>
  <c r="BM94" i="1"/>
  <c r="BM104" i="61" s="1"/>
  <c r="BM9" i="61"/>
  <c r="BM119" i="61" s="1"/>
  <c r="BM116" i="1" l="1"/>
  <c r="BM95" i="1"/>
  <c r="BM106" i="1"/>
  <c r="BM106" i="61"/>
  <c r="BM37" i="61"/>
  <c r="BM147" i="61"/>
  <c r="BM179" i="61" s="1"/>
  <c r="BM69" i="2"/>
  <c r="BM119" i="1" l="1"/>
  <c r="BM117" i="1"/>
  <c r="BM168" i="2"/>
  <c r="BM71" i="2"/>
  <c r="BM42" i="2" s="1"/>
  <c r="BM110" i="61"/>
  <c r="BM111" i="61" s="1"/>
  <c r="BM69" i="61"/>
  <c r="BM9" i="2" l="1"/>
  <c r="BM82" i="2"/>
  <c r="BM83" i="2" s="1"/>
  <c r="BM46" i="2"/>
  <c r="BM73" i="2"/>
  <c r="BM74" i="2" s="1"/>
  <c r="BM81" i="2"/>
  <c r="BM153" i="2" l="1"/>
  <c r="BM154" i="2" s="1"/>
  <c r="BM15" i="2"/>
  <c r="BM23" i="2" s="1"/>
  <c r="BM72" i="61"/>
  <c r="BM86" i="2"/>
  <c r="BM88" i="2" s="1"/>
  <c r="BM182" i="61"/>
  <c r="BM151" i="2" l="1"/>
  <c r="BM150" i="2"/>
  <c r="BM83" i="61"/>
  <c r="BM90" i="2"/>
  <c r="BM93" i="2"/>
  <c r="BN145" i="2"/>
  <c r="BN146" i="2" s="1"/>
  <c r="BN77" i="1" s="1"/>
  <c r="BM48" i="2"/>
  <c r="BM94" i="2" l="1"/>
  <c r="BM95" i="2"/>
  <c r="BN85" i="1"/>
  <c r="BN88" i="1" s="1"/>
  <c r="BN75" i="1"/>
  <c r="BN87" i="1" s="1"/>
  <c r="BN105" i="61"/>
  <c r="BN90" i="1" l="1"/>
  <c r="BN94" i="1" l="1"/>
  <c r="BN104" i="61" s="1"/>
  <c r="BN97" i="1"/>
  <c r="BN9" i="61" s="1"/>
  <c r="BN119" i="61" s="1"/>
  <c r="BN113" i="1" l="1"/>
  <c r="BN110" i="1"/>
  <c r="BN166" i="1" s="1"/>
  <c r="BN98" i="1"/>
  <c r="BN95" i="1"/>
  <c r="BN106" i="1"/>
  <c r="BN106" i="61"/>
  <c r="BN37" i="61"/>
  <c r="BN147" i="61"/>
  <c r="BN179" i="61" s="1"/>
  <c r="BN119" i="1" l="1"/>
  <c r="BN117" i="1"/>
  <c r="BN116" i="1"/>
  <c r="BN69" i="2"/>
  <c r="BN168" i="2" s="1"/>
  <c r="BN69" i="61"/>
  <c r="BN110" i="61"/>
  <c r="BN111" i="61" s="1"/>
  <c r="BN71" i="2" l="1"/>
  <c r="BN42" i="2" s="1"/>
  <c r="BN46" i="2" s="1"/>
  <c r="BN9" i="2"/>
  <c r="BN82" i="2" l="1"/>
  <c r="BN83" i="2" s="1"/>
  <c r="BN81" i="2"/>
  <c r="BN73" i="2"/>
  <c r="BN74" i="2" s="1"/>
  <c r="BN153" i="2"/>
  <c r="BN154" i="2" s="1"/>
  <c r="BN72" i="61"/>
  <c r="BN182" i="61"/>
  <c r="BN15" i="2"/>
  <c r="BN23" i="2" s="1"/>
  <c r="BN86" i="2"/>
  <c r="BN88" i="2" s="1"/>
  <c r="BN48" i="2" l="1"/>
  <c r="BN83" i="61"/>
  <c r="BN150" i="2"/>
  <c r="BN151" i="2"/>
  <c r="BO145" i="2"/>
  <c r="BO146" i="2" s="1"/>
  <c r="BO77" i="1" s="1"/>
  <c r="BN90" i="2"/>
  <c r="BN93" i="2"/>
  <c r="BN94" i="2" l="1"/>
  <c r="BN95" i="2"/>
  <c r="BO85" i="1"/>
  <c r="BO88" i="1" s="1"/>
  <c r="BO75" i="1"/>
  <c r="BO87" i="1" s="1"/>
  <c r="CN77" i="1"/>
  <c r="BO105" i="61"/>
  <c r="BO90" i="1" l="1"/>
  <c r="CN75" i="1"/>
  <c r="CN87" i="1" s="1"/>
  <c r="CN85" i="1"/>
  <c r="CN105" i="61"/>
  <c r="CN146" i="2"/>
  <c r="CN147" i="2" s="1"/>
  <c r="CN88" i="1" l="1"/>
  <c r="BO94" i="1"/>
  <c r="CN90" i="1"/>
  <c r="CN97" i="1" s="1"/>
  <c r="BO97" i="1"/>
  <c r="CN110" i="1" l="1"/>
  <c r="CN166" i="1" s="1"/>
  <c r="CN113" i="1"/>
  <c r="CN116" i="1" s="1"/>
  <c r="CN98" i="1"/>
  <c r="BO95" i="1"/>
  <c r="BO106" i="1"/>
  <c r="BO113" i="1"/>
  <c r="BO110" i="1"/>
  <c r="BO166" i="1" s="1"/>
  <c r="BO98" i="1"/>
  <c r="BO9" i="61"/>
  <c r="CN94" i="1"/>
  <c r="CN91" i="1"/>
  <c r="BO104" i="61"/>
  <c r="BO69" i="2" l="1"/>
  <c r="CN69" i="2" s="1"/>
  <c r="CN9" i="61"/>
  <c r="CN37" i="61" s="1"/>
  <c r="CN108" i="61" s="1"/>
  <c r="BO119" i="61"/>
  <c r="BO147" i="61" s="1"/>
  <c r="BO179" i="61" s="1"/>
  <c r="BO117" i="1"/>
  <c r="BO119" i="1"/>
  <c r="BO37" i="61"/>
  <c r="BO69" i="61" s="1"/>
  <c r="CN95" i="1"/>
  <c r="CN106" i="1"/>
  <c r="BO116" i="1"/>
  <c r="CN104" i="61"/>
  <c r="CN106" i="61" s="1"/>
  <c r="BO106" i="61"/>
  <c r="BO168" i="2" l="1"/>
  <c r="BO71" i="2"/>
  <c r="BO42" i="2" s="1"/>
  <c r="BO82" i="2" s="1"/>
  <c r="BO83" i="2" s="1"/>
  <c r="BO110" i="61"/>
  <c r="BO111" i="61" s="1"/>
  <c r="CN117" i="1"/>
  <c r="CN119" i="1"/>
  <c r="BO9" i="2"/>
  <c r="CN110" i="61"/>
  <c r="CN111" i="61" s="1"/>
  <c r="CN69" i="61"/>
  <c r="CN168" i="2"/>
  <c r="CN71" i="2"/>
  <c r="CN42" i="2" l="1"/>
  <c r="CN81" i="2" s="1"/>
  <c r="BO73" i="2"/>
  <c r="BO74" i="2" s="1"/>
  <c r="BO46" i="2"/>
  <c r="BO81" i="2"/>
  <c r="BO153" i="2"/>
  <c r="BO154" i="2" s="1"/>
  <c r="BO72" i="61"/>
  <c r="CN9" i="2"/>
  <c r="BO15" i="2"/>
  <c r="BO23" i="2" s="1"/>
  <c r="BO86" i="2"/>
  <c r="BO88" i="2" s="1"/>
  <c r="BP145" i="2" s="1"/>
  <c r="BP146" i="2" s="1"/>
  <c r="BP77" i="1" s="1"/>
  <c r="BO182" i="61"/>
  <c r="BP85" i="1" l="1"/>
  <c r="BP88" i="1" s="1"/>
  <c r="BP75" i="1"/>
  <c r="BP87" i="1" s="1"/>
  <c r="BP90" i="1" s="1"/>
  <c r="BP105" i="61"/>
  <c r="CN46" i="2"/>
  <c r="CN82" i="2"/>
  <c r="CN83" i="2" s="1"/>
  <c r="CN73" i="2"/>
  <c r="CN74" i="2" s="1"/>
  <c r="CN182" i="61"/>
  <c r="CN15" i="2"/>
  <c r="CN23" i="2" s="1"/>
  <c r="CN83" i="61" s="1"/>
  <c r="CN86" i="2"/>
  <c r="CN88" i="2" s="1"/>
  <c r="CO145" i="2" s="1"/>
  <c r="CN72" i="61"/>
  <c r="BO93" i="2"/>
  <c r="BO90" i="2"/>
  <c r="BO150" i="2"/>
  <c r="BO83" i="61"/>
  <c r="BO151" i="2"/>
  <c r="BO48" i="2"/>
  <c r="BO94" i="2" l="1"/>
  <c r="BO95" i="2"/>
  <c r="BP97" i="1"/>
  <c r="BP94" i="1"/>
  <c r="BP106" i="1" s="1"/>
  <c r="CN48" i="2"/>
  <c r="CN90" i="2"/>
  <c r="CN93" i="2"/>
  <c r="CN94" i="2" s="1"/>
  <c r="BP119" i="1" l="1"/>
  <c r="BP117" i="1"/>
  <c r="BP95" i="1"/>
  <c r="BP104" i="61"/>
  <c r="BP98" i="1"/>
  <c r="BP113" i="1"/>
  <c r="BP110" i="1"/>
  <c r="BP9" i="61"/>
  <c r="BP116" i="1" l="1"/>
  <c r="BP119" i="61"/>
  <c r="BP147" i="61" s="1"/>
  <c r="BP179" i="61" s="1"/>
  <c r="BP37" i="61"/>
  <c r="BP106" i="61"/>
  <c r="BP166" i="1"/>
  <c r="BP69" i="2"/>
  <c r="BP71" i="2" l="1"/>
  <c r="BP42" i="2" s="1"/>
  <c r="BP168" i="2"/>
  <c r="BP110" i="61"/>
  <c r="BP111" i="61" s="1"/>
  <c r="BP69" i="61"/>
  <c r="BP9" i="2" s="1"/>
  <c r="BP72" i="61" l="1"/>
  <c r="BP182" i="61"/>
  <c r="BP86" i="2"/>
  <c r="BP88" i="2" s="1"/>
  <c r="BP15" i="2"/>
  <c r="BP23" i="2" s="1"/>
  <c r="BP73" i="2"/>
  <c r="BP74" i="2" s="1"/>
  <c r="BP82" i="2"/>
  <c r="BP83" i="2" s="1"/>
  <c r="BP46" i="2"/>
  <c r="BP81" i="2"/>
  <c r="BP153" i="2"/>
  <c r="BP154" i="2" s="1"/>
  <c r="BP48" i="2" l="1"/>
  <c r="BP151" i="2"/>
  <c r="BP83" i="61"/>
  <c r="BP150" i="2"/>
  <c r="BQ145" i="2"/>
  <c r="BQ146" i="2" s="1"/>
  <c r="BQ77" i="1" s="1"/>
  <c r="BP93" i="2"/>
  <c r="BP94" i="2" s="1"/>
  <c r="BP90" i="2"/>
  <c r="BQ75" i="1" l="1"/>
  <c r="BQ87" i="1" s="1"/>
  <c r="BQ90" i="1" s="1"/>
  <c r="BQ85" i="1"/>
  <c r="BQ88" i="1" s="1"/>
  <c r="BQ105" i="61"/>
  <c r="CM24" i="61"/>
  <c r="CM134" i="61" s="1"/>
  <c r="CN134" i="61" s="1"/>
  <c r="CO134" i="61" s="1"/>
  <c r="CP134" i="61" s="1"/>
  <c r="BH147" i="61"/>
  <c r="CM9" i="61"/>
  <c r="BQ97" i="1" l="1"/>
  <c r="BQ94" i="1"/>
  <c r="BQ106" i="1" s="1"/>
  <c r="CM119" i="61"/>
  <c r="CN119" i="61" s="1"/>
  <c r="CM60" i="61"/>
  <c r="CM170" i="61" s="1"/>
  <c r="CN170" i="61" s="1"/>
  <c r="BQ117" i="1" l="1"/>
  <c r="BQ119" i="1"/>
  <c r="BQ104" i="61"/>
  <c r="BQ95" i="1"/>
  <c r="BQ113" i="1"/>
  <c r="BQ110" i="1"/>
  <c r="BQ98" i="1"/>
  <c r="BQ9" i="61"/>
  <c r="CO170" i="61"/>
  <c r="CP170" i="61" s="1"/>
  <c r="BH173" i="61"/>
  <c r="BH179" i="61" s="1"/>
  <c r="CM61" i="61"/>
  <c r="CM63" i="61" s="1"/>
  <c r="BQ106" i="61" l="1"/>
  <c r="BQ69" i="2"/>
  <c r="BQ166" i="1"/>
  <c r="BQ116" i="1"/>
  <c r="BQ119" i="61"/>
  <c r="BQ147" i="61" s="1"/>
  <c r="BQ179" i="61" s="1"/>
  <c r="BQ37" i="61"/>
  <c r="CM171" i="61"/>
  <c r="BQ110" i="61" l="1"/>
  <c r="BQ111" i="61" s="1"/>
  <c r="BQ69" i="61"/>
  <c r="BQ9" i="2" s="1"/>
  <c r="BQ71" i="2"/>
  <c r="BQ42" i="2" s="1"/>
  <c r="BQ168" i="2"/>
  <c r="CM173" i="61"/>
  <c r="CN171" i="61"/>
  <c r="BQ15" i="2" l="1"/>
  <c r="BQ23" i="2" s="1"/>
  <c r="BQ86" i="2"/>
  <c r="BQ88" i="2" s="1"/>
  <c r="BQ72" i="61"/>
  <c r="BQ182" i="61"/>
  <c r="BQ153" i="2"/>
  <c r="BQ154" i="2" s="1"/>
  <c r="BQ46" i="2"/>
  <c r="BQ81" i="2"/>
  <c r="BQ73" i="2"/>
  <c r="BQ74" i="2" s="1"/>
  <c r="BQ82" i="2"/>
  <c r="BQ83" i="2" s="1"/>
  <c r="CN173" i="61"/>
  <c r="CO171" i="61"/>
  <c r="CM68" i="61"/>
  <c r="CO173" i="61" l="1"/>
  <c r="CP171" i="61"/>
  <c r="CP173" i="61" s="1"/>
  <c r="BQ48" i="2"/>
  <c r="BR145" i="2"/>
  <c r="BR146" i="2" s="1"/>
  <c r="BR77" i="1" s="1"/>
  <c r="BQ90" i="2"/>
  <c r="BQ93" i="2"/>
  <c r="BQ94" i="2" s="1"/>
  <c r="BQ83" i="61"/>
  <c r="BQ151" i="2"/>
  <c r="BQ150" i="2"/>
  <c r="CM178" i="61"/>
  <c r="BR75" i="1" l="1"/>
  <c r="BR87" i="1" s="1"/>
  <c r="BR90" i="1" s="1"/>
  <c r="BR85" i="1"/>
  <c r="BR88" i="1" s="1"/>
  <c r="BR105" i="61"/>
  <c r="CN178" i="61"/>
  <c r="BR97" i="1" l="1"/>
  <c r="BR94" i="1"/>
  <c r="CO178" i="61"/>
  <c r="CP178" i="61" s="1"/>
  <c r="BR98" i="1" l="1"/>
  <c r="BR110" i="1"/>
  <c r="BR113" i="1"/>
  <c r="BR9" i="61"/>
  <c r="BR95" i="1"/>
  <c r="BR104" i="61"/>
  <c r="BR106" i="1"/>
  <c r="BR106" i="61" l="1"/>
  <c r="BR116" i="1"/>
  <c r="BR37" i="61"/>
  <c r="BR119" i="61"/>
  <c r="BR147" i="61" s="1"/>
  <c r="BR179" i="61" s="1"/>
  <c r="BR166" i="1"/>
  <c r="BR69" i="2"/>
  <c r="BR117" i="1"/>
  <c r="BR119" i="1"/>
  <c r="BR168" i="2" l="1"/>
  <c r="BR71" i="2"/>
  <c r="BR42" i="2" s="1"/>
  <c r="BR69" i="61"/>
  <c r="BR9" i="2" s="1"/>
  <c r="BR110" i="61"/>
  <c r="BR111" i="61" s="1"/>
  <c r="BR81" i="2" l="1"/>
  <c r="BR82" i="2"/>
  <c r="BR83" i="2" s="1"/>
  <c r="BR153" i="2"/>
  <c r="BR154" i="2" s="1"/>
  <c r="BR73" i="2"/>
  <c r="BR74" i="2" s="1"/>
  <c r="BR46" i="2"/>
  <c r="BR182" i="61"/>
  <c r="BR15" i="2"/>
  <c r="BR23" i="2" s="1"/>
  <c r="BR72" i="61"/>
  <c r="BR86" i="2"/>
  <c r="BR88" i="2" s="1"/>
  <c r="BR83" i="61" l="1"/>
  <c r="BR151" i="2"/>
  <c r="BR150" i="2"/>
  <c r="BR90" i="2"/>
  <c r="BS145" i="2"/>
  <c r="BS146" i="2" s="1"/>
  <c r="BS77" i="1" s="1"/>
  <c r="BR93" i="2"/>
  <c r="BR94" i="2" s="1"/>
  <c r="BR48" i="2"/>
  <c r="BS75" i="1" l="1"/>
  <c r="BS87" i="1" s="1"/>
  <c r="BS90" i="1" s="1"/>
  <c r="CO77" i="1"/>
  <c r="BS105" i="61"/>
  <c r="CO105" i="61" s="1"/>
  <c r="BS85" i="1"/>
  <c r="BS88" i="1" s="1"/>
  <c r="CO85" i="1" l="1"/>
  <c r="CO75" i="1"/>
  <c r="CO87" i="1" s="1"/>
  <c r="CO146" i="2"/>
  <c r="CO147" i="2" s="1"/>
  <c r="BS97" i="1"/>
  <c r="CO90" i="1"/>
  <c r="BS94" i="1"/>
  <c r="CO88" i="1" l="1"/>
  <c r="BS104" i="61"/>
  <c r="BS95" i="1"/>
  <c r="CO97" i="1"/>
  <c r="CO91" i="1"/>
  <c r="CO94" i="1"/>
  <c r="BS113" i="1"/>
  <c r="BS9" i="61"/>
  <c r="BS98" i="1"/>
  <c r="BS110" i="1"/>
  <c r="BS106" i="1"/>
  <c r="BS106" i="61" l="1"/>
  <c r="CO104" i="61"/>
  <c r="CO106" i="61" s="1"/>
  <c r="BS116" i="1"/>
  <c r="CO95" i="1"/>
  <c r="CO106" i="1"/>
  <c r="CO119" i="1" s="1"/>
  <c r="BS37" i="61"/>
  <c r="CO9" i="61"/>
  <c r="BS119" i="61"/>
  <c r="BS147" i="61" s="1"/>
  <c r="BS179" i="61" s="1"/>
  <c r="BS119" i="1"/>
  <c r="BS117" i="1"/>
  <c r="CO110" i="1"/>
  <c r="CO166" i="1" s="1"/>
  <c r="CO98" i="1"/>
  <c r="CO113" i="1"/>
  <c r="CO116" i="1" s="1"/>
  <c r="BS166" i="1"/>
  <c r="BS69" i="2"/>
  <c r="CO117" i="1" l="1"/>
  <c r="BS71" i="2"/>
  <c r="BS42" i="2" s="1"/>
  <c r="BS168" i="2"/>
  <c r="CO69" i="2"/>
  <c r="CO119" i="61"/>
  <c r="CO37" i="61"/>
  <c r="BS110" i="61"/>
  <c r="BS111" i="61" s="1"/>
  <c r="BS69" i="61"/>
  <c r="BS9" i="2" s="1"/>
  <c r="CO168" i="2" l="1"/>
  <c r="CO71" i="2"/>
  <c r="BS86" i="2"/>
  <c r="BS88" i="2" s="1"/>
  <c r="BT145" i="2" s="1"/>
  <c r="BT146" i="2" s="1"/>
  <c r="BT77" i="1" s="1"/>
  <c r="BT105" i="61" s="1"/>
  <c r="BS15" i="2"/>
  <c r="BS23" i="2" s="1"/>
  <c r="CO9" i="2"/>
  <c r="BS72" i="61"/>
  <c r="BS182" i="61"/>
  <c r="CO69" i="61"/>
  <c r="CO108" i="61"/>
  <c r="CO110" i="61"/>
  <c r="CO111" i="61" s="1"/>
  <c r="BS46" i="2"/>
  <c r="BS82" i="2"/>
  <c r="BS83" i="2" s="1"/>
  <c r="BS73" i="2"/>
  <c r="BS74" i="2" s="1"/>
  <c r="CO42" i="2"/>
  <c r="BS81" i="2"/>
  <c r="BS153" i="2"/>
  <c r="BS154" i="2" s="1"/>
  <c r="BT75" i="1" l="1"/>
  <c r="BT87" i="1" s="1"/>
  <c r="BT85" i="1"/>
  <c r="BT88" i="1" s="1"/>
  <c r="BS48" i="2"/>
  <c r="BS93" i="2"/>
  <c r="BS94" i="2" s="1"/>
  <c r="BS90" i="2"/>
  <c r="CO46" i="2"/>
  <c r="CO73" i="2"/>
  <c r="CO74" i="2" s="1"/>
  <c r="CO82" i="2"/>
  <c r="CO83" i="2" s="1"/>
  <c r="CO81" i="2"/>
  <c r="CO72" i="61"/>
  <c r="CO86" i="2"/>
  <c r="CO88" i="2" s="1"/>
  <c r="CP145" i="2" s="1"/>
  <c r="CO182" i="61"/>
  <c r="CO15" i="2"/>
  <c r="CO23" i="2" s="1"/>
  <c r="CO83" i="61" s="1"/>
  <c r="BS83" i="61"/>
  <c r="BS151" i="2"/>
  <c r="BS150" i="2"/>
  <c r="BT90" i="1" l="1"/>
  <c r="CO48" i="2"/>
  <c r="CO93" i="2"/>
  <c r="CO94" i="2" s="1"/>
  <c r="CO90" i="2"/>
  <c r="BT94" i="1" l="1"/>
  <c r="BT104" i="61" s="1"/>
  <c r="BT97" i="1"/>
  <c r="BT9" i="61" s="1"/>
  <c r="BT106" i="61" l="1"/>
  <c r="BT119" i="61"/>
  <c r="BT147" i="61" s="1"/>
  <c r="BT179" i="61" s="1"/>
  <c r="BT37" i="61"/>
  <c r="BT110" i="1"/>
  <c r="BT98" i="1"/>
  <c r="BT113" i="1"/>
  <c r="BT116" i="1" s="1"/>
  <c r="BT106" i="1"/>
  <c r="BT95" i="1"/>
  <c r="BT69" i="61" l="1"/>
  <c r="BT110" i="61"/>
  <c r="BT111" i="61" s="1"/>
  <c r="BT119" i="1"/>
  <c r="BT117" i="1"/>
  <c r="BT166" i="1"/>
  <c r="BT69" i="2"/>
  <c r="BT9" i="2" l="1"/>
  <c r="BT168" i="2"/>
  <c r="BT71" i="2"/>
  <c r="BT42" i="2" s="1"/>
  <c r="BT182" i="61" l="1"/>
  <c r="BT15" i="2"/>
  <c r="BT23" i="2" s="1"/>
  <c r="BT72" i="61"/>
  <c r="BT86" i="2"/>
  <c r="BT88" i="2" s="1"/>
  <c r="BT82" i="2"/>
  <c r="BT83" i="2" s="1"/>
  <c r="BT73" i="2"/>
  <c r="BT74" i="2" s="1"/>
  <c r="BT153" i="2"/>
  <c r="BT81" i="2"/>
  <c r="BT46" i="2"/>
  <c r="BT48" i="2" l="1"/>
  <c r="BT90" i="2"/>
  <c r="BT93" i="2"/>
  <c r="BT94" i="2" s="1"/>
  <c r="BU145" i="2"/>
  <c r="BU146" i="2" s="1"/>
  <c r="BU77" i="1" s="1"/>
  <c r="BT151" i="2"/>
  <c r="BT83" i="61"/>
  <c r="BT150" i="2"/>
  <c r="BT154" i="2"/>
  <c r="BU105" i="61" l="1"/>
  <c r="BU75" i="1"/>
  <c r="BU87" i="1" s="1"/>
  <c r="BU85" i="1"/>
  <c r="BU88" i="1" s="1"/>
  <c r="BU90" i="1" l="1"/>
  <c r="BU94" i="1" s="1"/>
  <c r="BU106" i="1" s="1"/>
  <c r="BU97" i="1" l="1"/>
  <c r="BU110" i="1" s="1"/>
  <c r="BU117" i="1"/>
  <c r="BU119" i="1"/>
  <c r="BU95" i="1"/>
  <c r="BU104" i="61"/>
  <c r="BU9" i="61" l="1"/>
  <c r="BU119" i="61" s="1"/>
  <c r="BU147" i="61" s="1"/>
  <c r="BU179" i="61" s="1"/>
  <c r="BU113" i="1"/>
  <c r="BU116" i="1" s="1"/>
  <c r="BU98" i="1"/>
  <c r="BU106" i="61"/>
  <c r="BU166" i="1"/>
  <c r="BU69" i="2"/>
  <c r="BU37" i="61" l="1"/>
  <c r="BU69" i="61" s="1"/>
  <c r="BU168" i="2"/>
  <c r="BU71" i="2"/>
  <c r="BU42" i="2" s="1"/>
  <c r="BU110" i="61" l="1"/>
  <c r="BU111" i="61" s="1"/>
  <c r="BU73" i="2"/>
  <c r="BU74" i="2" s="1"/>
  <c r="BU81" i="2"/>
  <c r="BU82" i="2"/>
  <c r="BU83" i="2" s="1"/>
  <c r="BU46" i="2"/>
  <c r="BU9" i="2"/>
  <c r="BU153" i="2" s="1"/>
  <c r="BU154" i="2" s="1"/>
  <c r="BU72" i="61" l="1"/>
  <c r="BU15" i="2"/>
  <c r="BU23" i="2" s="1"/>
  <c r="BU182" i="61"/>
  <c r="BU86" i="2"/>
  <c r="BU88" i="2" s="1"/>
  <c r="BU93" i="2" l="1"/>
  <c r="BU94" i="2" s="1"/>
  <c r="BU90" i="2"/>
  <c r="BV145" i="2"/>
  <c r="BV146" i="2" s="1"/>
  <c r="BV77" i="1" s="1"/>
  <c r="BU83" i="61"/>
  <c r="BU151" i="2"/>
  <c r="BU150" i="2"/>
  <c r="BU48" i="2"/>
  <c r="BV105" i="61" l="1"/>
  <c r="BV85" i="1"/>
  <c r="BV88" i="1" s="1"/>
  <c r="BV75" i="1"/>
  <c r="BV87" i="1" s="1"/>
  <c r="BV90" i="1" l="1"/>
  <c r="BV94" i="1" s="1"/>
  <c r="BV95" i="1" l="1"/>
  <c r="BV104" i="61"/>
  <c r="BV97" i="1"/>
  <c r="BV106" i="1"/>
  <c r="BV106" i="61" l="1"/>
  <c r="BV119" i="1"/>
  <c r="BV117" i="1"/>
  <c r="BV110" i="1"/>
  <c r="BV98" i="1"/>
  <c r="BV9" i="61"/>
  <c r="BV113" i="1"/>
  <c r="BV116" i="1" s="1"/>
  <c r="BV119" i="61" l="1"/>
  <c r="BV147" i="61" s="1"/>
  <c r="BV179" i="61" s="1"/>
  <c r="BV37" i="61"/>
  <c r="BV69" i="2"/>
  <c r="BV166" i="1"/>
  <c r="BV110" i="61" l="1"/>
  <c r="BV111" i="61" s="1"/>
  <c r="BV69" i="61"/>
  <c r="BV71" i="2"/>
  <c r="BV42" i="2" s="1"/>
  <c r="BV168" i="2"/>
  <c r="BV9" i="2" l="1"/>
  <c r="BV73" i="2"/>
  <c r="BV74" i="2" s="1"/>
  <c r="BV82" i="2"/>
  <c r="BV83" i="2" s="1"/>
  <c r="BV46" i="2"/>
  <c r="BV81" i="2"/>
  <c r="BV182" i="61" l="1"/>
  <c r="BV86" i="2"/>
  <c r="BV88" i="2" s="1"/>
  <c r="BV72" i="61"/>
  <c r="BV15" i="2"/>
  <c r="BV23" i="2" s="1"/>
  <c r="BV48" i="2" s="1"/>
  <c r="BV153" i="2"/>
  <c r="BV154" i="2" s="1"/>
  <c r="BV151" i="2" l="1"/>
  <c r="BV83" i="61"/>
  <c r="BV150" i="2"/>
  <c r="BW145" i="2"/>
  <c r="BW146" i="2" s="1"/>
  <c r="BW77" i="1" s="1"/>
  <c r="BV90" i="2"/>
  <c r="BV93" i="2"/>
  <c r="BV94" i="2" s="1"/>
  <c r="CP77" i="1" l="1"/>
  <c r="BW75" i="1"/>
  <c r="BW87" i="1" s="1"/>
  <c r="BW90" i="1" s="1"/>
  <c r="BW105" i="61"/>
  <c r="CP105" i="61" s="1"/>
  <c r="BW85" i="1"/>
  <c r="BW88" i="1" s="1"/>
  <c r="BW97" i="1" l="1"/>
  <c r="BW94" i="1"/>
  <c r="CP90" i="1"/>
  <c r="CP146" i="2"/>
  <c r="CP147" i="2" s="1"/>
  <c r="CP85" i="1"/>
  <c r="CP88" i="1" s="1"/>
  <c r="CP75" i="1"/>
  <c r="CP87" i="1" s="1"/>
  <c r="CP94" i="1" l="1"/>
  <c r="CP95" i="1" s="1"/>
  <c r="CP91" i="1"/>
  <c r="BW9" i="61"/>
  <c r="CP9" i="61" s="1"/>
  <c r="BW98" i="1"/>
  <c r="BW113" i="1"/>
  <c r="BW116" i="1" s="1"/>
  <c r="BW110" i="1"/>
  <c r="CP97" i="1"/>
  <c r="BW95" i="1"/>
  <c r="BW104" i="61"/>
  <c r="BW106" i="1"/>
  <c r="BW106" i="61" l="1"/>
  <c r="CP104" i="61"/>
  <c r="CP106" i="61" s="1"/>
  <c r="CP37" i="61"/>
  <c r="CP119" i="61"/>
  <c r="CP98" i="1"/>
  <c r="CP113" i="1"/>
  <c r="CP116" i="1" s="1"/>
  <c r="CP110" i="1"/>
  <c r="CP166" i="1" s="1"/>
  <c r="BW119" i="61"/>
  <c r="BW147" i="61" s="1"/>
  <c r="BW179" i="61" s="1"/>
  <c r="BW37" i="61"/>
  <c r="BW117" i="1"/>
  <c r="BW119" i="1"/>
  <c r="BW166" i="1"/>
  <c r="BW69" i="2"/>
  <c r="CP106" i="1"/>
  <c r="CP69" i="61" l="1"/>
  <c r="CP110" i="61"/>
  <c r="CP111" i="61" s="1"/>
  <c r="CP108" i="61"/>
  <c r="CP119" i="1"/>
  <c r="CP117" i="1"/>
  <c r="CP69" i="2"/>
  <c r="BW71" i="2"/>
  <c r="BW42" i="2" s="1"/>
  <c r="BW168" i="2"/>
  <c r="BW69" i="61"/>
  <c r="BW110" i="61"/>
  <c r="BW111" i="61" s="1"/>
  <c r="BW9" i="2" l="1"/>
  <c r="CP42" i="2"/>
  <c r="BW81" i="2"/>
  <c r="BW46" i="2"/>
  <c r="BW73" i="2"/>
  <c r="BW74" i="2" s="1"/>
  <c r="BW82" i="2"/>
  <c r="BW83" i="2" s="1"/>
  <c r="CP168" i="2"/>
  <c r="CP71" i="2"/>
  <c r="BW153" i="2" l="1"/>
  <c r="BW154" i="2" s="1"/>
  <c r="BW182" i="61"/>
  <c r="BW72" i="61"/>
  <c r="BW15" i="2"/>
  <c r="BW23" i="2" s="1"/>
  <c r="CP9" i="2"/>
  <c r="BW86" i="2"/>
  <c r="BW88" i="2" s="1"/>
  <c r="CP73" i="2"/>
  <c r="CP74" i="2" s="1"/>
  <c r="CP46" i="2"/>
  <c r="CP81" i="2"/>
  <c r="CP82" i="2"/>
  <c r="CP83" i="2" s="1"/>
  <c r="CP182" i="61" l="1"/>
  <c r="CP72" i="61"/>
  <c r="BW90" i="2"/>
  <c r="BW93" i="2"/>
  <c r="BW94" i="2" s="1"/>
  <c r="BW48" i="2"/>
  <c r="BW83" i="61"/>
  <c r="BW151" i="2"/>
  <c r="BW150" i="2"/>
  <c r="CP15" i="2"/>
  <c r="CP23" i="2" s="1"/>
  <c r="CP86" i="2"/>
  <c r="CP88" i="2" s="1"/>
  <c r="CP48" i="2" l="1"/>
  <c r="CP83" i="61"/>
  <c r="CP90" i="2"/>
  <c r="CP93" i="2"/>
  <c r="CP94" i="2" s="1"/>
  <c r="BG28" i="61" l="1"/>
  <c r="CL28" i="61"/>
  <c r="CL138" i="61" s="1"/>
  <c r="CL147" i="61" s="1"/>
  <c r="CL179" i="61" s="1"/>
  <c r="CL180" i="61" s="1"/>
  <c r="CL183" i="61" s="1"/>
  <c r="BG37" i="61"/>
  <c r="CL37" i="61"/>
  <c r="BG69" i="61"/>
  <c r="CL69" i="61"/>
  <c r="BG70" i="61"/>
  <c r="BH67" i="61" s="1"/>
  <c r="BH70" i="61" s="1"/>
  <c r="BI67" i="61" s="1"/>
  <c r="BI70" i="61" s="1"/>
  <c r="CL70" i="61"/>
  <c r="CM67" i="61" s="1"/>
  <c r="BG73" i="61"/>
  <c r="BH73" i="61"/>
  <c r="CL73" i="61"/>
  <c r="BG108" i="61"/>
  <c r="CL108" i="61"/>
  <c r="BG110" i="61"/>
  <c r="CL110" i="61"/>
  <c r="BG111" i="61"/>
  <c r="CL111" i="61"/>
  <c r="BG147" i="61"/>
  <c r="BG179" i="61" s="1"/>
  <c r="BG180" i="61" s="1"/>
  <c r="BH177" i="61" l="1"/>
  <c r="BG183" i="61"/>
  <c r="CM177" i="61"/>
  <c r="BJ67" i="61"/>
  <c r="BJ70" i="61" s="1"/>
  <c r="BI73" i="61"/>
  <c r="CN177" i="61" l="1"/>
  <c r="BJ73" i="61"/>
  <c r="BI177" i="61"/>
  <c r="BH180" i="61"/>
  <c r="BH183" i="61" s="1"/>
  <c r="BI180" i="61" l="1"/>
  <c r="BI183" i="61" s="1"/>
  <c r="BJ177" i="61"/>
  <c r="CO177" i="61"/>
  <c r="CP177" i="61" l="1"/>
  <c r="BK177" i="61"/>
  <c r="BJ180" i="61"/>
  <c r="BJ183" i="61" s="1"/>
  <c r="BK139" i="61" l="1"/>
  <c r="CM29" i="61"/>
  <c r="CM139" i="61" s="1"/>
  <c r="CN139" i="61" s="1"/>
  <c r="CO139" i="61" s="1"/>
  <c r="CP139" i="61" s="1"/>
  <c r="BK140" i="61"/>
  <c r="CM30" i="61"/>
  <c r="CM140" i="61" s="1"/>
  <c r="CN140" i="61" s="1"/>
  <c r="CO140" i="61" s="1"/>
  <c r="CP140" i="61" s="1"/>
  <c r="BK141" i="61"/>
  <c r="CM31" i="61"/>
  <c r="CM141" i="61" s="1"/>
  <c r="CN141" i="61" s="1"/>
  <c r="CO141" i="61" s="1"/>
  <c r="CP141" i="61" s="1"/>
  <c r="BK142" i="61"/>
  <c r="CM32" i="61"/>
  <c r="CM142" i="61"/>
  <c r="CN142" i="61" s="1"/>
  <c r="CO142" i="61" s="1"/>
  <c r="CP142" i="61" s="1"/>
  <c r="BK138" i="61"/>
  <c r="CM28" i="61"/>
  <c r="CM138" i="61" s="1"/>
  <c r="CN138" i="61" s="1"/>
  <c r="CO138" i="61" l="1"/>
  <c r="CP138" i="61" l="1"/>
  <c r="BK144" i="61"/>
  <c r="CM34" i="61"/>
  <c r="CM144" i="61" s="1"/>
  <c r="CN144" i="61" s="1"/>
  <c r="CO144" i="61" s="1"/>
  <c r="CP144" i="61" s="1"/>
  <c r="BK145" i="61"/>
  <c r="CM35" i="61"/>
  <c r="CM145" i="61"/>
  <c r="CN145" i="61" s="1"/>
  <c r="CO145" i="61" s="1"/>
  <c r="CP145" i="61" s="1"/>
  <c r="BK143" i="61"/>
  <c r="CM33" i="61"/>
  <c r="CM143" i="61" l="1"/>
  <c r="BK146" i="61"/>
  <c r="BK36" i="61" s="1"/>
  <c r="BK147" i="61" l="1"/>
  <c r="BK179" i="61" s="1"/>
  <c r="BK180" i="61" s="1"/>
  <c r="BL177" i="61" s="1"/>
  <c r="BK37" i="61"/>
  <c r="CM36" i="61"/>
  <c r="CN143" i="61"/>
  <c r="BK183" i="61" l="1"/>
  <c r="CO143" i="61"/>
  <c r="CM146" i="61"/>
  <c r="CM37" i="61"/>
  <c r="BL180" i="61"/>
  <c r="BL183" i="61" s="1"/>
  <c r="BM177" i="61"/>
  <c r="BK108" i="61"/>
  <c r="BK69" i="61"/>
  <c r="BK70" i="61" s="1"/>
  <c r="BK110" i="61"/>
  <c r="BK111" i="61" s="1"/>
  <c r="BL67" i="61" l="1"/>
  <c r="BL70" i="61" s="1"/>
  <c r="BK73" i="61"/>
  <c r="BM180" i="61"/>
  <c r="BM183" i="61" s="1"/>
  <c r="BN177" i="61"/>
  <c r="CM108" i="61"/>
  <c r="CM110" i="61"/>
  <c r="CM111" i="61" s="1"/>
  <c r="CM69" i="61"/>
  <c r="CM70" i="61" s="1"/>
  <c r="CP143" i="61"/>
  <c r="CN146" i="61"/>
  <c r="CM147" i="61"/>
  <c r="CM179" i="61" s="1"/>
  <c r="CM180" i="61" s="1"/>
  <c r="CM183" i="61" s="1"/>
  <c r="CO146" i="61" l="1"/>
  <c r="CN147" i="61"/>
  <c r="CN179" i="61" s="1"/>
  <c r="CN180" i="61" s="1"/>
  <c r="CN183" i="61" s="1"/>
  <c r="BN180" i="61"/>
  <c r="BN183" i="61" s="1"/>
  <c r="BO177" i="61"/>
  <c r="BO180" i="61" s="1"/>
  <c r="CM73" i="61"/>
  <c r="CN67" i="61"/>
  <c r="CN70" i="61" s="1"/>
  <c r="BM67" i="61"/>
  <c r="BM70" i="61" s="1"/>
  <c r="BL73" i="61"/>
  <c r="BN67" i="61" l="1"/>
  <c r="BN70" i="61" s="1"/>
  <c r="BM73" i="61"/>
  <c r="CP146" i="61"/>
  <c r="CP147" i="61" s="1"/>
  <c r="CP179" i="61" s="1"/>
  <c r="CP180" i="61" s="1"/>
  <c r="CP183" i="61" s="1"/>
  <c r="CO147" i="61"/>
  <c r="CO179" i="61" s="1"/>
  <c r="CO180" i="61" s="1"/>
  <c r="CO183" i="61" s="1"/>
  <c r="CN73" i="61"/>
  <c r="CO67" i="61"/>
  <c r="CO70" i="61" s="1"/>
  <c r="BP177" i="61"/>
  <c r="BO183" i="61"/>
  <c r="BP180" i="61" l="1"/>
  <c r="BP183" i="61" s="1"/>
  <c r="BQ177" i="61"/>
  <c r="CO73" i="61"/>
  <c r="CP67" i="61"/>
  <c r="CP70" i="61" s="1"/>
  <c r="CP73" i="61" s="1"/>
  <c r="BO67" i="61"/>
  <c r="BO70" i="61" s="1"/>
  <c r="BN73" i="61"/>
  <c r="BO73" i="61" l="1"/>
  <c r="BP67" i="61"/>
  <c r="BP70" i="61" s="1"/>
  <c r="BQ180" i="61"/>
  <c r="BQ183" i="61" s="1"/>
  <c r="BR177" i="61"/>
  <c r="BR180" i="61" l="1"/>
  <c r="BR183" i="61" s="1"/>
  <c r="BS177" i="61"/>
  <c r="BS180" i="61" s="1"/>
  <c r="BQ67" i="61"/>
  <c r="BQ70" i="61" s="1"/>
  <c r="BP73" i="61"/>
  <c r="BR67" i="61" l="1"/>
  <c r="BR70" i="61" s="1"/>
  <c r="BQ73" i="61"/>
  <c r="BS183" i="61"/>
  <c r="BT177" i="61"/>
  <c r="BR73" i="61" l="1"/>
  <c r="BS67" i="61"/>
  <c r="BS70" i="61" s="1"/>
  <c r="BU177" i="61"/>
  <c r="BT180" i="61"/>
  <c r="BT183" i="61" s="1"/>
  <c r="BU180" i="61" l="1"/>
  <c r="BU183" i="61" s="1"/>
  <c r="BV177" i="61"/>
  <c r="BS73" i="61"/>
  <c r="BT67" i="61"/>
  <c r="BT70" i="61" s="1"/>
  <c r="BU67" i="61" l="1"/>
  <c r="BU70" i="61" s="1"/>
  <c r="BT73" i="61"/>
  <c r="BW177" i="61"/>
  <c r="BW180" i="61" s="1"/>
  <c r="BW183" i="61" s="1"/>
  <c r="BV180" i="61"/>
  <c r="BV183" i="61" s="1"/>
  <c r="BU73" i="61" l="1"/>
  <c r="BV67" i="61"/>
  <c r="BV70" i="61" s="1"/>
  <c r="BV73" i="61" l="1"/>
  <c r="BW67" i="61"/>
  <c r="BW70" i="61" s="1"/>
  <c r="BW73" i="61" s="1"/>
</calcChain>
</file>

<file path=xl/comments1.xml><?xml version="1.0" encoding="utf-8"?>
<comments xmlns="http://schemas.openxmlformats.org/spreadsheetml/2006/main">
  <authors>
    <author>josuev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卟䙄_x0003_＀＀줔今A噎䅄䙞彅卅䥔䅍䕔✨䍆❆✬䕍乁Ⱗ䌧䱁❁✬〲㤰ⰧⰰⰬⰧ啃剒久奃唽䑓✬착!＀＀ ＀＀	＀＀_x0008_＀＀_x0001_＀＀_x0001_＀＀_x0001_＀＀ધ╆彵䁱찀鎦丹_x0014_䱁剔䙞彇剐䍉⡅〴㔷⤸!＀＀ ＀＀	＀＀_x0008_＀＀_x0001_＀＀_x0001_＀＀_x0001_＀＀＀＀＀＀ꀀ䁃찀줕今C噎䅄䙞彅卅䥔䅍䕔✨偅䉓❇✬䕍乁Ⱗ䌧䱁❁✬〲㐱ⰧⰰⰬⰧ啃剒久奃唽䑓✬착!＀＀ ＀＀	＀＀_x0008_＀＀_x0001_＀＀_x0001_＀＀_x0001_＀＀豀碵꼝쐕찀亱_x001A_剁䡍䙞彇剐䍉⡅〴㐸ⰹⰬ单⥄!＀＀ ＀＀	＀＀_x0008_＀＀_x0001_＀＀_x0001_＀＀_x0001_＀＀轜尨䀼찀鎦丹_x001A_剁䡍䙞彇剐䍉⡅〴㔷ⰸⰬ单⥄!＀＀ ＀＀	＀＀_x0008_＀＀_x0001_＀＀_x0001_＀＀_x0001_＀＀휊炣訽䀻찀줗今_x001C_䑁幉䙆䍟十彈呓儨剔〬ⰬⰬ单⥄ċ＀＀ ＀＀ó＀＀_x0008_＀＀_x0001_＀＀_x0001_＀＀_x0001_＀＀橿璼甓䂫摦畳㩰⼯楄敲瑣潩獮䘯捡却瑥䄠摵瑩湩⁧楖睥牥愿瑣潩㵮啁䥄彔䅖啌♅䉄ㄽ㤲䤦ㅄ〽㈳㔶ㄴ☰䅖啌䥅㵄㈰〰☱䑓呁㵅〲ㄱ㌰倦剅佉呄偙㵅呑归呓♄䍓呆㌽眦湩潤㵷潰異彰潮扟牡眦摩桴㌽㔸栦楥桧㵴㈱☰呓剁彔䅍䥘䥍䕚㵄䅆卌♅牣慥潴㵲慦瑣敳♴楤灳慬役瑳楲杮䄽摵瑩찀崛仆_x001A_噎䅄䙞彇剐䍉⡅〴㘸ⰵⰬ单⥄!＀＀ ＀＀	＀＀_x0008_＀＀_x0001_＀＀_x0001_＀＀_x0001_＀＀蔟凫Ẹ䀬찀样仁_x0014_䱁剔䙞彇剐䍉⡅〴㘸⤱!＀＀ ＀＀	＀＀_x0008_＀＀_x0001_＀＀_x0001_＀＀_x0001_＀＀竡긔ꅇ䁂찀줌今C剁䡍䙞彅卅䥔䅍䕔✨偅䉓❇✬䕍乁Ⱗ䌧䱁❁✬〲㜰ⰧⰰⰬⰧ啃剒久奃唽䑓✬착!＀＀ ＀＀	＀＀_x0008_＀＀_x0001_＀＀_x0001_＀＀_x0001_＀＀猅뉏ἰ㿑찀_xDC01_亱B呓幍䕆䕟呓䵉呁⡅䔧卐䝂Ⱗ䴧䅅❎✬䅃䅌Ⱗ㈧〰✸〬Ⱜ✬䌬剕䕒䍎㵙单ⱄ⤧!＀＀ ＀＀	＀＀_x0008_＀＀_x0001_＀＀_x0001_＀＀_x0001_＀＀痈ჸ叹㿖찀줇今_x0013_塍幌䝆偟䥒䕃㐨㠰㠶착!＀＀ ＀＀	＀＀_x0008_＀＀_x0001_＀＀_x0001_＀＀_x0001_＀＀凬Ẹ䀒찀亱_x0014_䕎䱔䙞彇剐䍉⡅〴㐸⤹!＀＀ ＀＀	＀＀_x0008_＀＀_x0001_＀＀_x0001_＀＀_x0001_＀＀쳍쳌곌䁈찀중今L㐲㐵吭䥁䙞彅卅䥔䅍䕔✨啃呓䵏䕟卐Ⱗ䴧䅅❎✬䅃䅌Ⱗ㈧㄰✰〬Ⱜ✬䌬剕䕒䍎㵙单ⱄ⤧!＀＀ ＀＀	＀＀_x0008_＀＀_x0001_＀＀_x0001_＀＀_x0001_＀＀豀碵꼝쐕찀왐亭_x001A_义䍔䙞彇剐䍉⡅〴㐸ⰶⰬ单⥄!＀＀ ＀＀	＀＀_x0008_＀＀_x0001_＀＀_x0001_＀＀_x0001_＀＀ᑻ䞮﫡䀸찀줌今C剁䡍䙞彅卅䥔䅍䕔✨䅓䕌❓✬䕍乁Ⱗ䌧䱁❁✬〲㜰ⰧⰰⰬⰧ啃剒久奃唽䑓✬착!＀＀ ＀＀	＀＀_x0008_＀＀_x0001_＀＀_x0001_＀＀_x0001_＀＀癠ṏẖ䂀찀_xDC01_亱B呓幍䕆䕟呓䵉呁⡅匧䱁卅Ⱗ䴧䅅❎✬䅃䅌Ⱗ㈧〰✸〬Ⱜ✬䌬剕䕒䍎㵙单ⱄ⤧!＀＀ ＀＀	＀＀_x0008_＀＀_x0001_＀＀_x0001_＀＀_x0001_＀＀＀＀＀＀㤀䃃찀줓今G噎䅄䙞彅卅䥔䅍䕔✨义彃則协❓✬䕍乁Ⱗ䌧䱁❁✬〲ㄱⰧⰰⰬⰧ啃剒久奃唽䑓✬착!＀＀ ＀＀	＀＀_x0008_＀＀_x0001_＀＀_x0001_＀＀_x0001_＀＀_xDB23_绹⎪䂠찀줇今_x0017_偉䥈偞灟楲散江睯㕟眲〨착!＀＀ ＀＀	＀＀_x0008_＀＀_x0001_＀＀_x0001_＀＀_x0001_＀＀＀＀＀＀耀䀜찀亱_x001A_䍑䵏䙞彇剐䍉⡅〴㐸ⰹⰬ单⥄!＀＀ ＀＀	＀＀_x0008_＀＀_x0001_＀＀_x0001_＀＀_x0001_＀＀ꏗ㵰ᜊ䁊찀줚今C呓ⵍ剆䙞彅卅䥔䅍䕔✨䍆❆✬䕍乁Ⱗ䌧䱁❁✬〲〱ⰧⰰⰬⰧ啃剒久奃唽䑓✬착!＀＀ ＀＀	＀＀_x0008_＀＀_x0001_＀＀_x0001_＀＀_x0001_＀＀⋐呛䂐찀줗今$呓ⵍ剆䙞彆佃彍䡓当問彔偅当䥄⡌呑ⱒ⤰!＀＀ ＀＀	＀＀_x0008_＀＀_x0001_＀＀_x0001_＀＀_x0001_＀＀∔რ䴪䂌찀줌今C剁䡍䙞彅卅䥔䅍䕔✨䅃䕐❘✬䕍乁Ⱗ䌧䱁❁✬〲㜰ⰧⰰⰬⰧ啃剒久奃唽䑓✬착!＀＀ ＀＀	＀＀_x0008_＀＀_x0001_＀＀_x0001_＀＀_x0001_＀＀믽猾䟖䀩찀_xDC01_亱B呓幍䕆䕟呓䵉呁⡅䌧偁塅Ⱗ䴧䅅❎✬䅃䅌Ⱗ㈧〰✸〬Ⱜ✬䌬剕䕒䍎㵙单ⱄ⤧!＀＀ ＀＀	＀＀_x0008_＀＀_x0001_＀＀_x0001_＀＀_x0001_＀＀㧀䂏찀줔今A噎䅄䙞彅卅䥔䅍䕔✨䍆❆✬䕍乁Ⱗ䌧䱁❁✬〲㘰ⰧⰰⰬⰧ啃剒久奃唽䑓✬착!＀＀ ＀＀	＀＀_x0008_＀＀_x0001_＀＀_x0001_＀＀_x0001_＀＀㓗㣯빅䂀찀鷽仅_x001A_前䱖䙞彇剐䍉⡅〴㘸ⰴⰬ单⥄!＀＀ ＀＀	＀＀_x0008_＀＀_x0001_＀＀_x0001_＀＀_x0001_＀＀롑蔞䀫찀줐今E㐲㐵吭䥁䙞彅卅䥔䅍䕔✨䍆❆✬䕍乁Ⱗ䌧䱁❁✬〲㜰ⰧⰰⰬⰧ啃剒久奃唽䑓✬착!＀＀ ＀＀	＀＀_x0008_＀＀_x0001_＀＀_x0001_＀＀_x0001_＀＀棜漀咁䂆찀줕今C噎䅄䙞彅卅䥔䅍䕔✨偅䉓❇✬䕍乁Ⱗ䌧䱁❁✬〲ㄱⰧⰰⰬⰧ啃剒久奃唽䑓✬착!＀＀ ＀＀	＀＀_x0008_＀＀_x0001_＀＀_x0001_＀＀_x0001_＀＀䐠㫘㿳찀줗今_x001A_义䍔䙞彇剐䍉⡅〴㐵ⰴⰬ单⥄!＀＀ ＀＀	＀＀_x0008_＀＀_x0001_＀＀_x0001_＀＀_x0001_＀＀ᑺޮ䀵찀중今G㐲㐵吭䥁䙞彅卅䥔䅍䕔✨偅䉓❇✬䕍乁Ⱗ䌧䱁❁✬〲㈱ⰧⰰⰬⰧ啃剒久奃唽䑓✬착!＀＀ ＀＀	＀＀_x0008_＀＀_x0001_＀＀_x0001_＀＀_x0001_＀＀ꁼ᠕몲㿡찀䮌亴)䱁剔唭幓啊䥌乁䘨彇剐䍉⡅低ⱗⰬ单⥄搮瑡獥착_x001D_＀＀ ＀＀_x0005_＀＀_x0004_＀＀_x0001_＀＀_x0001_＀＀_x0003_＀＀龓＀＀찀䮈亴_x001A_义䍔䙞彇剐䍉⡅〴㔸ⰱⰬ单⥄!＀＀ ＀＀	＀＀_x0008_＀＀_x0001_＀＀_x0001_＀＀_x0001_＀＀਽ꏗ뵰䀷찀鍇仂B义䍔䙞彅卅䥔䅍䕔✨䅓䕌❓✬䕍乁Ⱗ儧䅕呒剅奌剟䱏❌✬〲㈱ㄯ❆〬Ⱜ✬⤧!＀＀ ＀＀	＀＀_x0008_＀＀_x0001_＀＀_x0001_＀＀_x0001_＀＀摚_xDF3B_졟䃊찀-丯_x0013_塍幌䝆偟䥒䕃㐨㜰〵착!＀＀ ＀＀	＀＀_x0008_＀＀_x0001_＀＀_x0001_＀＀_x0001_＀＀晦晦晦䀜찀줎今G㐲㐵吭䥁䙞彅卅䥔䅍䕔✨䅓䕌❓✬䕍乁Ⱗ䌧䱁❁✬〲㠰ⰧⰰⰬⰧ啃剒久奃唽䑓✬착!＀＀ ＀＀	＀＀_x0008_＀＀_x0001_＀＀_x0001_＀＀_x0001_＀＀赐溗蓒䂥찀稿仁@义䍔䙞彅卅䥔䅍䕔✨偅❓✬䕍乁Ⱗ儧䅕呒剅奌剟䱏❌✬〲ㄱ㐯❃〬Ⱜ✬⤧!＀＀ ＀＀	＀＀_x0008_＀＀_x0001_＀＀_x0001_＀＀_x0001_＀＀בֿﻦ㇪㿦찀줒今C噎䅄䙞彅卅䥔䅍䕔✨䅓䕌❓✬䕍乁Ⱗ䌧䱁❁✬〲ㄱⰧⰰⰬⰧ啃剒久奃唽䑓✬착!＀＀ ＀＀	＀＀_x0008_＀＀_x0001_＀＀_x0001_＀＀_x0001_＀＀蜫_xD916_많䂯찀鍇仂B义䍔䙞彅卅䥔䅍䕔✨䅓䕌❓✬䕍乁Ⱗ儧䅕呒剅奌剟䱏❌✬〲ㄱ㐯❆〬Ⱜ✬⤧!＀＀ ＀＀	＀＀_x0008_＀＀_x0001_＀＀_x0001_＀＀_x0001_＀＀삃ꇊ龅䃌찀줐今G㐲㐵吭䥁䙞彅卅䥔䅍䕔✨䅃䕐❘✬䕍乁Ⱗ䌧䱁❁✬〲㠰ⰧⰰⰬⰧ啃剒久奃唽䑓✬착!＀＀ ＀＀	＀＀_x0008_＀＀_x0001_＀＀_x0001_＀＀_x0001_＀＀䤽暺秲䁎찀줌今C剁䡍䙞彅卅䥔䅍䕔✨偅䉓❇✬䕍乁Ⱗ䌧䱁❁✬〲㐱ⰧⰰⰬⰧ啃剒久奃唽䑓✬착!＀＀ ＀＀	＀＀_x0008_＀＀_x0001_＀＀_x0001_＀＀_x0001_＀＀䚙讓㿲찀줔今C噎䅄䙞彅卅䥔䅍䕔✨䅃䕐❘✬䕍乁Ⱗ䌧䱁❁✬〲ㄱⰧⰰⰬⰧ啃剒久奃唽䑓✬착!＀＀ ＀＀	＀＀_x0008_＀＀_x0001_＀＀_x0001_＀＀_x0001_＀＀틲才㰐䁟찀줇今_x0014_偉䥈䙞彇剐䍉⡅〴㘸⤸!＀＀ ＀＀	＀＀_x0008_＀＀_x0001_＀＀_x0001_＀＀_x0001_＀＀＀＀＀＀耀䀤찀줒今"噎䅄䙞彆佃彍䡓当問彔偅当䥄⡌呑ⱒ⤰ċ＀＀ ＀＀ó＀＀_x0008_＀＀_x0001_＀＀_x0001_＀＀_x0001_＀＀긔ⱺ䂃摦畳㩰⼯楄敲瑣潩獮䘯捡却瑥䄠摵瑩湩⁧楖睥牥愿瑣潩㵮啁䥄彔䅖啌♅䉄ㄽ㤲䤦ㅄ㘽〷㘶ㅇ☰䅖啌䥅㵄㔰㤱☴䑓呁㵅〲ㄱ㌰倦剅佉呄偙㵅呑归呓♄䍓呆㌽眦湩潤㵷潰異彰潮扟牡眦摩桴㌽㔸栦楥桧㵴㈱☰呓剁彔䅍䥘䥍䕚㵄䅆卌♅牣慥潴㵲慦瑣敳♴楤灳慬役瑳楲杮䄽摵瑩찀줛今E呓ⵍ剆䙞彅卅䥔䅍䕔✨偅䉓❇✬䕍乁Ⱗ䌧䱁❁✬〲㘰ⰧⰰⰬⰧ啃剒久奃唽䑓✬착!＀＀ ＀＀	＀＀_x0008_＀＀_x0001_＀＀_x0001_＀＀_x0001_＀＀搲힆᤿㿭찀줚今C呓ⵍ剆䙞彅卅䥔䅍䕔✨䍆❆✬䕍乁Ⱗ䌧䱁❁✬〲㌱ⰧⰰⰬⰧ啃剒久奃唽䑓✬착!＀＀ ＀＀	＀＀_x0008_＀＀_x0001_＀＀_x0001_＀＀_x0001_＀＀㎜뒢尷䂁찀줎今G义䍔䙞彅卅䥔䅍䕔✨义彃則协❓✬䕍乁Ⱗ䌧䱁❁✬〲㈱ⰧⰰⰬⰧ啃剒久奃唽䑓✬착!＀＀ ＀＀	＀＀_x0008_＀＀_x0001_＀＀_x0001_＀＀_x0001_＀＀＀＀＀＀휸䃡찀줇今_x0018_䅃䵖偞灟楲散桟杩彨㈵⡷⤰!＀＀ ＀＀	＀＀_x0008_＀＀_x0001_＀＀_x0001_＀＀_x0001_＀＀晧晦♦䁈찀줘今F䑁幉䕆䕟呓䵉呁⡅䤧䍎䝟佒卓Ⱗ䴧䅅❎✬䅃䅌Ⱗ㈧〰✶〬Ⱜ✬䌬剕䕒䍎㵙单ⱄ⤧!＀＀ ＀＀	＀＀_x0008_＀＀_x0001_＀＀_x0001_＀＀_x0001_＀＀豀碵꼝쐕찀줌今&amp;㐲㐵吭䥁䙞彆佃彍䡓当問彔偅当䥄⡌呑ⱒ⤰ĉ＀＀ ＀＀ñ＀＀_x0008_＀＀_x0001_＀＀_x0001_＀＀_x0001_＀＀棨䭕㱪䂑摦畳㩰⼯楄敲瑣潩獮䘯捡却瑥䄠摵瑩湩⁧楖睥牥愿瑣潩㵮啁䥄彔䅖啌♅䉄ㄽ㤲䤦ㅄ㘽㜳㐲☸䅖啌䥅㵄㔰㤱☴䑓呁㵅〲ㄱ㌰倦剅佉呄偙㵅呑归呓♄䍓呆㌽眦湩潤㵷潰異彰潮扟牡眦摩桴㌽㔸栦楥桧㵴㈱☰呓剁彔䅍䥘䥍䕚㵄䅆卌♅牣慥潴㵲慦瑣敳♴楤灳慬役瑳楲杮䄽摵瑩찀鉦仂_x001C_呓ⵍ剆䙞彇剐䍉⡅〴㘸ⰲⰬ单⥄!＀＀ ＀＀	＀＀_x0008_＀＀_x0001_＀＀_x0001_＀＀_x0001_＀＀잟켨貼䀜찀왐亭_x0014_䱁剔䙞彇剐䍉⡅〴㐸⤶!＀＀ ＀＀	＀＀_x0008_＀＀_x0001_＀＀_x0001_＀＀_x0001_＀＀Ẹ䁃찀줐今E㐲㐵吭䥁䙞彅卅䥔䅍䕔✨䍆❆✬䕍乁Ⱗ䌧䱁❁✬〲㐱ⰧⰰⰬⰧ啃剒久奃唽䑓✬착!＀＀ ＀＀	＀＀_x0008_＀＀_x0001_＀＀_x0001_＀＀_x0001_＀＀豀碵꼝쐕찀줕今C䍑䵏䙞彅卅䥔䅍䕔✨偅䉓❇✬䕍乁Ⱗ䌧䱁❁✬〲㜰ⰧⰰⰬⰧ啃剒久奃唽䑓✬착!＀＀ ＀＀	＀＀_x0008_＀＀_x0001_＀＀_x0001_＀＀_x0001_＀＀ଜ茊贲䀀찀줐今A义䍔䙞彅卅䥔䅍䕔✨䍆❆✬䕍乁Ⱗ䌧䱁❁✬〲㜰ⰧⰰⰬⰧ啃剒久奃唽䑓✬착!＀＀ ＀＀	＀＀_x0008_＀＀_x0001_＀＀_x0001_＀＀_x0001_＀＀㽼덕䂽찀栲仁C噎䅄䙞彅卅䥔䅍䕔✨䅓䕌❓✬䕍乁Ⱗ䌧䱁❁✬〲㐱ⰧⰰⰬⰧ啃剒久奃唽䑓✬착!＀＀ ＀＀	＀＀_x0008_＀＀_x0001_＀＀_x0001_＀＀_x0001_＀＀豀碵꼝쐕찀줙今A䑁幉䕆䕟呓䵉呁⡅攧楢❴✬䕍乁Ⱗ䌧䱁❁✬〲㘰ⰧⰰⰬⰧ啃剒久奃唽䑓✬착!＀＀ ＀＀	＀＀_x0008_＀＀_x0001_＀＀_x0001_＀＀_x0001_＀＀䯇褷ꥁ䂂찀鉦仂_x0014_䱁剔䙞彇剐䍉⡅〴㘸⤲!＀＀ ＀＀	＀＀_x0008_＀＀_x0001_＀＀_x0001_＀＀_x0001_＀＀轜鰨䁂찀-丯_x0014_偉䥈䙞彇剐䍉⡅〴㔷⤰!＀＀ ＀＀	＀＀_x0008_＀＀_x0001_＀＀_x0001_＀＀_x0001_＀＀尨䊏䀱찀줌今C剁䡍䙞彅卅䥔䅍䕔✨偅䉓❇✬䕍乁Ⱗ䌧䱁❁✬〲ㄱⰧⰰⰬⰧ啃剒久奃唽䑓✬착!＀＀ ＀＀	＀＀_x0008_＀＀_x0001_＀＀_x0001_＀＀_x0001_＀＀ㄮ〻㿠찀_xDC01_亱B呓幍䕆䕟呓䵉呁⡅䔧卐䝂Ⱗ䴧䅅❎✬䅃䅌Ⱗ㈧㄰✲〬Ⱜ✬䌬剕䕒䍎㵙单ⱄ⤧!＀＀ ＀＀	＀＀_x0008_＀＀_x0001_＀＀_x0001_＀＀_x0001_＀＀㜔砓旌㿛찀줓今C䍑䵏䙞彅卅䥔䅍䕔✨䅓䕌❓✬䕍乁Ⱗ䌧䱁❁✬〲㜰ⰧⰰⰬⰧ啃剒久奃唽䑓✬착!＀＀ ＀＀	＀＀_x0008_＀＀_x0001_＀＀_x0001_＀＀_x0001_＀＀빷᪟淟䃂찀줌今C剁䡍䙞彅卅䥔䅍䕔✨䅓䕌❓✬䕍乁Ⱗ䌧䱁❁✬〲ㄱⰧⰰⰬⰧ啃剒久奃唽䑓✬착!＀＀ ＀＀	＀＀_x0008_＀＀_x0001_＀＀_x0001_＀＀_x0001_＀＀葍伍잯䂇찀줏今B义䍔䙞彅卅䥔䅍䕔✨扥瑩Ⱗ䴧䅅❎✬䅃䅌Ⱗ㈧〰✷〬Ⱜ✬䌬剕䕒䍎㵙单ⱄ⤧!＀＀ ＀＀	＀＀_x0008_＀＀_x0001_＀＀_x0001_＀＀_x0001_＀＀䷓ၢ똸䃀찀줔今C噎䅄䙞彅卅䥔䅍䕔✨䅃䕐❘✬䕍乁Ⱗ䌧䱁❁✬〲㐱ⰧⰰⰬⰧ啃剒久奃唽䑓✬착!＀＀ ＀＀	＀＀_x0008_＀＀_x0001_＀＀_x0001_＀＀_x0001_＀＀豀碵꼝쐕찀鎦丹_x001A_䍑䵏䙞彇剐䍉⡅〴㔷ⰸⰬ单⥄!＀＀ ＀＀	＀＀_x0008_＀＀_x0001_＀＀_x0001_＀＀_x0001_＀＀㌳㌳댳䁊찀줔今C䍑䵏䙞彅卅䥔䅍䕔✨䅃䕐❘✬䕍乁Ⱗ䌧䱁❁✬〲㜰ⰧⰰⰬⰧ啃剒久奃唽䑓✬착!＀＀ ＀＀	＀＀_x0008_＀＀_x0001_＀＀_x0001_＀＀_x0001_＀＀Ƥּ餒䂌찀왐亭_x001A_噎䅄䙞彇剐䍉⡅〴㐸ⰶⰬ单⥄!＀＀ ＀＀	＀＀_x0008_＀＀_x0001_＀＀_x0001_＀＀_x0001_＀＀㌳㌳㌳䀯찀줌今C剁䡍䙞彅卅䥔䅍䕔✨䅃䕐❘✬䕍乁Ⱗ䌧䱁❁✬〲ㄱⰧⰰⰬⰧ啃剒久奃唽䑓✬착!＀＀ ＀＀	＀＀_x0008_＀＀_x0001_＀＀_x0001_＀＀_x0001_＀＀廙㦖九䀱찀_xDC01_亱B呓幍䕆䕟呓䵉呁⡅䌧偁塅Ⱗ䴧䅅❎✬䅃䅌Ⱗ㈧㄰✲〬Ⱜ✬䌬剕䕒䍎㵙单ⱄ⤧!＀＀ ＀＀	＀＀_x0008_＀＀_x0001_＀＀_x0001_＀＀_x0001_＀＀≨硬ꧺ䂊찀稿仁@义䍔䙞彅卅䥔䅍䕔✨偅❓✬䕍乁Ⱗ儧䅕呒剅奌剟䱏❌✬〲㈱ㄯ❃〬Ⱜ✬⤧!＀＀ ＀＀	＀＀_x0008_＀＀_x0001_＀＀_x0001_＀＀_x0001_＀＀랫똆끊㿢찀줛今E呓ⵍ剆䙞彅卅䥔䅍䕔✨偅䉓❇✬䕍乁Ⱗ䌧䱁❁✬〲㤰ⰧⰰⰬⰧ啃剒久奃唽䑓✬착!＀＀ ＀＀	＀＀_x0008_＀＀_x0001_＀＀_x0001_＀＀_x0001_＀＀㫮뿪찀줔今A噎䅄䙞彅卅䥔䅍䕔✨䍆❆✬䕍乁Ⱗ䌧䱁❁✬〲〱ⰧⰰⰬⰧ啃剒久奃唽䑓✬착!＀＀ ＀＀	＀＀_x0008_＀＀_x0001_＀＀_x0001_＀＀_x0001_＀＀_xDABA_ﶊ쿥䂀찀줐今E㐲㐵吭䥁䙞彅卅䥔䅍䕔✨䍆❆✬䕍乁Ⱗ䌧䱁❁✬〲ㄱⰧⰰⰬⰧ啃剒久奃唽䑓✬착!＀＀ ＀＀	＀＀_x0008_＀＀_x0001_＀＀_x0001_＀＀_x0001_＀＀⵷ἡ赴䂀찀줗今_x001E_䍑䵏偞灟楲散桟杩彨㈵⡷ⰰⰬ单⥄!＀＀ ＀＀	＀＀_x0008_＀＀_x0001_＀＀_x0001_＀＀_x0001_＀＀凬Ẹ䁍찀줙今D呓ⵍ剆䙞彅卅䥔䅍䕔✨扥瑩Ⱗ䴧䅅❎✬䅃䅌Ⱗ㈧〰✷〬Ⱜ✬䌬剕䕒䍎㵙单ⱄ⤧!＀＀ ＀＀	＀＀_x0008_＀＀_x0001_＀＀_x0001_＀＀_x0001_＀＀さꤪ搓삀찀줘今F䑁幉䕆䕟呓䵉呁⡅䤧䍎䝟佒卓Ⱗ䴧䅅❎✬䅃䅌Ⱗ㈧〰✹〬Ⱜ✬䌬剕䕒䍎㵙单ⱄ⤧!＀＀ ＀＀	＀＀_x0008_＀＀_x0001_＀＀_x0001_＀＀_x0001_＀＀좴빶䆟䂓찀줛今@䑁幉䕆䕟呓䵉呁⡅䐧卐Ⱗ䴧䅅❎✬䅃䅌Ⱗ㈧㄰✱〬Ⱜ✬䌬剕䕒䍎㵙单ⱄ⤧!＀＀ ＀＀	＀＀_x0008_＀＀_x0001_＀＀_x0001_＀＀_x0001_＀＀宲ꭰ쳅㿭찀줕今H噎䅄䙞彅卅䥔䅍䕔✨啃呓䵏䕟卐Ⱗ䴧䅅❎✬䅃䅌Ⱗ㈧㄰✲〬Ⱜ✬䌬剕䕒䍎㵙单ⱄ⤧!＀＀ ＀＀	＀＀_x0008_＀＀_x0001_＀＀_x0001_＀＀_x0001_＀＀餽_xDA4D_㿱찀줘今E呓ⵍ剆䙞彅卅䥔䅍䕔✨䅓䕌❓✬䕍乁Ⱗ䌧䱁❁✬〲㤰ⰧⰰⰬⰧ啃剒久奃唽䑓✬착!＀＀ ＀＀	＀＀_x0008_＀＀_x0001_＀＀_x0001_＀＀_x0001_＀＀酩糭衿䃀찀줎今G㐲㐵吭䥁䙞彅卅䥔䅍䕔✨䅓䕌❓✬䕍乁Ⱗ䌧䱁❁✬〲㈱ⰧⰰⰬⰧ啃剒久奃唽䑓✬착!＀＀ ＀＀	＀＀_x0008_＀＀_x0001_＀＀_x0001_＀＀_x0001_＀＀쫁䖡᏶䂫찀줗今_x001A_噎䅄䙞彇剐䍉⡅〴㐵ⰴⰬ单⥄!＀＀ ＀＀	＀＀_x0008_＀＀_x0001_＀＀_x0001_＀＀_x0001_＀＀쳍쳌쳌䀮찀_xDC01_亱G呓幍䕆䕟呓䵉呁⡅䌧单佔彍偅❓✬䕍乁Ⱗ䌧䱁❁✬〲㜰ⰧⰰⰬⰧ啃剒久奃唽䑓✬착!＀＀ ＀＀	＀＀_x0008_＀＀_x0001_＀＀_x0001_＀＀_x0001_＀＀豀碵꼝쐕찀䮈亴_x001A_噎䅄䙞彇剐䍉⡅〴㔸ⰱⰬ单⥄!＀＀ ＀＀	＀＀_x0008_＀＀_x0001_＀＀_x0001_＀＀_x0001_＀＀炤਽ꏗ䀭찀줙今A䑁幉䕆䕟呓䵉呁⡅攧楢❴✬䕍乁Ⱗ䌧䱁❁✬〲㤰ⰧⰰⰬⰧ啃剒久奃唽䑓✬착!＀＀ ＀＀	＀＀_x0008_＀＀_x0001_＀＀_x0001_＀＀_x0001_＀＀혹淅昴䁺찀줛今J呓ⵍ剆䙞彅卅䥔䅍䕔✨啃呓䵏䕟卐Ⱗ䴧䅅❎✬䅃䅌Ⱗ㈧〰✷〬Ⱜ✬䌬剕䕒䍎㵙单ⱄ⤧!＀＀ ＀＀	＀＀_x0008_＀＀_x0001_＀＀_x0001_＀＀_x0001_＀＀豀碵꼝쐕찀줕今C䍑䵏䙞彅卅䥔䅍䕔✨偅䉓❇✬䕍乁Ⱗ䌧䱁❁✬〲㐱ⰧⰰⰬⰧ啃剒久奃唽䑓✬착!＀＀ ＀＀	＀＀_x0008_＀＀_x0001_＀＀_x0001_＀＀_x0001_＀＀ᘖ࿜選䀒찀줚今B䑁幉䕆䕟呓䵉呁⡅䔧卐䝂Ⱗ䴧䅅❎✬䅃䅌Ⱗ㈧〰✸〬Ⱜ✬䌬剕䕒䍎㵙单ⱄ⤧!＀＀ ＀＀	＀＀_x0008_＀＀_x0001_＀＀_x0001_＀＀_x0001_＀＀壪潌㿼찀줚今E呓ⵍ剆䙞彅卅䥔䅍䕔✨䅃䕐❘✬䕍乁Ⱗ䌧䱁❁✬〲㤰ⰧⰰⰬⰧ啃剒久奃唽䑓✬착!＀＀ ＀＀	＀＀_x0008_＀＀_x0001_＀＀_x0001_＀＀_x0001_＀＀趹䁼찀줐今G㐲㐵吭䥁䙞彅卅䥔䅍䕔✨䅃䕐❘✬䕍乁Ⱗ䌧䱁❁✬〲㈱ⰧⰰⰬⰧ啃剒久奃唽䑓✬착!＀＀ ＀＀	＀＀_x0008_＀＀_x0001_＀＀_x0001_＀＀_x0001_＀＀㞵싸롤䁓찀줐今A义䍔䙞彅卅䥔䅍䕔✨䍆❆✬䕍乁Ⱗ䌧䱁❁✬〲㐱ⰧⰰⰬⰧ啃剒久奃唽䑓✬착!＀＀ ＀＀	＀＀_x0008_＀＀_x0001_＀＀_x0001_＀＀_x0001_＀＀＀＀＀＀은䃌찀줗今!㐲㐵吭䥁偞灟楲散江睯㕟眲〨Ⱜ唬䑓착!＀＀ ＀＀	＀＀_x0008_＀＀_x0001_＀＀_x0001_＀＀_x0001_＀＀駵㺳磥䀞찀줌今C剁䡍䙞彅卅䥔䅍䕔✨䅓䕌❓✬䕍乁Ⱗ䌧䱁❁✬〲㐱ⰧⰰⰬⰧ啃剒久奃唽䑓✬착!＀＀ ＀＀	＀＀_x0008_＀＀_x0001_＀＀_x0001_＀＀_x0001_＀＀竡긔둇䂓찀瀍享_x0019_呓幍䝆偟䥒䕃㐨㠰㐴Ⱜ唬䑓착!＀＀ ＀＀	＀＀_x0008_＀＀_x0001_＀＀_x0001_＀＀_x0001_＀＀轜尨䀝찀鷽仅_x001E_㐲㐵吭䥁䙞彇剐䍉⡅〴㘸ⰴⰬ单⥄!＀＀ ＀＀	＀＀_x0008_＀＀_x0001_＀＀_x0001_＀＀_x0001_＀＀刷䢶淚䀤찀_xDC01_亱F呓幍䕆䕟呓䵉呁⡅䤧䍎䝟佒卓Ⱗ䴧䅅❎✬䅃䅌Ⱗ㈧〰✸〬Ⱜ✬䌬剕䕒䍎㵙单ⱄ⤧!＀＀ ＀＀	＀＀_x0008_＀＀_x0001_＀＀_x0001_＀＀_x0001_＀＀㽽帵珺䂮찀줙今I呓ⵍ剆䙞彅卅䥔䅍䕔✨义彃則协❓✬䕍乁Ⱗ䌧䱁❁✬〲㠰ⰧⰰⰬⰧ啃剒久奃唽䑓✬착!＀＀ ＀＀	＀＀_x0008_＀＀_x0001_＀＀_x0001_＀＀_x0001_＀＀摚_xDF3B_問䂯찀줛今E呓ⵍ剆䙞彅卅䥔䅍䕔✨偅䉓❇✬䕍乁Ⱗ䌧䱁❁✬〲〱ⰧⰰⰬⰧ啃剒久奃唽䑓✬착!＀＀ ＀＀	＀＀_x0008_＀＀_x0001_＀＀_x0001_＀＀_x0001_＀＀咽䣦챸㿨찀줔今B䍑䵏䙞彅卅䥔䅍䕔✨扥瑩Ⱗ䴧䅅❎✬䅃䅌Ⱗ㈧〰✶〬Ⱜ✬䌬剕䕒䍎㵙单ⱄ⤧!＀＀ ＀＀	＀＀_x0008_＀＀_x0001_＀＀_x0001_＀＀_x0001_＀＀率橾燼䂩찀줌今C剁䡍䙞彅卅䥔䅍䕔✨䅃䕐❘✬䕍乁Ⱗ䌧䱁❁✬〲㐱ⰧⰰⰬⰧ啃剒久奃唽䑓✬착!＀＀ ＀＀	＀＀_x0008_＀＀_x0001_＀＀_x0001_＀＀_x0001_＀＀豀碵꼝쐕찀중今H义䍔䙞彅卅䥔䅍䕔✨啃呓䵏䕟卐Ⱗ䴧䅅❎✬䅃䅌Ⱗ㈧〰✸〬Ⱜ✬䌬剕䕒䍎㵙单ⱄ⤧!＀＀ ＀＀	＀＀_x0008_＀＀_x0001_＀＀_x0001_＀＀_x0001_＀＀㵱휊炣㿭찀줘今E呓ⵍ剆䙞彅卅䥔䅍䕔✨䅓䕌❓✬䕍乁Ⱗ䌧䱁❁✬〲㘰ⰧⰰⰬⰧ啃剒久奃唽䑓✬착!＀＀ ＀＀	＀＀_x0008_＀＀_x0001_＀＀_x0001_＀＀_x0001_＀＀尨㻿䃃찀줔今A噎䅄䙞彅卅䥔䅍䕔✨䍆❆✬䕍乁Ⱗ䌧䱁❁✬〲㌱ⰧⰰⰬⰧ啃剒久奃唽䑓✬착!＀＀ ＀＀	＀＀_x0008_＀＀_x0001_＀＀_x0001_＀＀_x0001_＀＀뇅渮쨣䂊찀줘今F䑁幉䕆䕟呓䵉呁⡅䤧䍎䝟佒卓Ⱗ䴧䅅❎✬䅃䅌Ⱗ㈧㄰✰〬Ⱜ✬䌬剕䕒䍎㵙单ⱄ⤧!＀＀ ＀＀	＀＀_x0008_＀＀_x0001_＀＀_x0001_＀＀_x0001_＀＀蔟凫ꚸ䂜찀줕今C䍑䵏䙞彅卅䥔䅍䕔✨偅䉓❇✬䕍乁Ⱗ䌧䱁❁✬〲ㄱⰧⰰⰬⰧ啃剒久奃唽䑓✬착!＀＀ ＀＀	＀＀_x0008_＀＀_x0001_＀＀_x0001_＀＀_x0001_＀＀┏婸䀊찀줚今E呓ⵍ剆䙞彅卅䥔䅍䕔✨䅃䕐❘✬䕍乁Ⱗ䌧䱁❁✬〲㘰ⰧⰰⰬⰧ啃剒久奃唽䑓✬착!＀＀ ＀＀	＀＀_x0008_＀＀_x0001_＀＀_x0001_＀＀_x0001_＀＀璽ᢓ焄䂘찀줐今A义䍔䙞彅卅䥔䅍䕔✨䍆❆✬䕍乁Ⱗ䌧䱁❁✬〲ㄱⰧⰰⰬⰧ啃剒久奃唽䑓✬착!＀＀ ＀＀	＀＀_x0008_＀＀_x0001_＀＀_x0001_＀＀_x0001_＀＀茓쫀ġ䃁찀줙今A䑁幉䕆䕟呓䵉呁⡅攧楢❴✬䕍乁Ⱗ䌧䱁❁✬〲〱ⰧⰰⰬⰧ啃剒久奃唽䑓✬착!＀＀ ＀＀	＀＀_x0008_＀＀_x0001_＀＀_x0001_＀＀_x0001_＀＀붥េ稦䂍찀줖今_x001E_剁䡍偞灟楲散桟杩彨㈵⡷ⰰⰬ单⥄!＀＀ ＀＀	＀＀_x0008_＀＀_x0001_＀＀_x0001_＀＀_x0001_＀＀ꏗ㵰ᜊ䁀찀줈今"剁䡍䙞彆佃彍䡓当問彔偅当䥄⡌呑ⱒ⤰!＀＀ ＀＀	＀＀_x0008_＀＀_x0001_＀＀_x0001_＀＀_x0001_＀＀鼊坡ꪀ䁼찀줓今C䍑䵏䙞彅卅䥔䅍䕔✨䅓䕌❓✬䕍乁Ⱗ䌧䱁❁✬〲ㄱⰧⰰⰬⰧ啃剒久奃唽䑓✬착!＀＀ ＀＀	＀＀_x0008_＀＀_x0001_＀＀_x0001_＀＀_x0001_＀＀脆䎕䃎찀_xDC01_亱B呓幍䕆䕟呓䵉呁⡅匧䱁卅Ⱗ䴧䅅❎✬䅃䅌Ⱗ㈧㄰✲〬Ⱜ✬䌬剕䕒䍎㵙单ⱄ⤧!＀＀ ＀＀	＀＀_x0008_＀＀_x0001_＀＀_x0001_＀＀_x0001_＀＀尨遟䃃찀_xDC01_亱G呓幍䕆䕟呓䵉呁⡅䌧单佔彍偅❓✬䕍乁Ⱗ䌧䱁❁✬〲㐱ⰧⰰⰬⰧ啃剒久奃唽䑓✬착!＀＀ ＀＀	＀＀_x0008_＀＀_x0001_＀＀_x0001_＀＀_x0001_＀＀豀碵꼝쐕찀줌今B剁䡍䙞彅卅䥔䅍䕔✨扥瑩Ⱗ䴧䅅❎✬䅃䅌Ⱗ㈧〰✸〬Ⱜ✬䌬剕䕒䍎㵙单ⱄ⤧!＀＀ ＀＀	＀＀_x0008_＀＀_x0001_＀＀_x0001_＀＀_x0001_＀＀钰补㵣䁞찀줏今B义䍔䙞彅卅䥔䅍䕔✨扥瑩Ⱗ䴧䅅❎✬䅃䅌Ⱗ㈧㄰✱〬Ⱜ✬䌬剕䕒䍎㵙单ⱄ⤧!＀＀ ＀＀	＀＀_x0008_＀＀_x0001_＀＀_x0001_＀＀_x0001_＀＀㌳㌳뻃䃑찀_xDE28_亱_x001C_呓幍䙆䍟十彈呓儨剔〬ⰬⰬ单⥄!＀＀ ＀＀	＀＀_x0008_＀＀_x0001_＀＀_x0001_＀＀_x0001_＀＀㭞蓜볨䃀찀줔今C䍑䵏䙞彅卅䥔䅍䕔✨䅃䕐❘✬䕍乁Ⱗ䌧䱁❁✬〲ㄱⰧⰰⰬⰧ啃剒久奃唽䑓✬착!＀＀ ＀＀	＀＀_x0008_＀＀_x0001_＀＀_x0001_＀＀_x0001_＀＀ၢ㥘릴䂄찀鷽仅_x001A_剁䡍䙞彇剐䍉⡅〴㘸ⰴⰬ单⥄!＀＀ ＀＀	＀＀_x0008_＀＀_x0001_＀＀_x0001_＀＀_x0001_＀＀蔟凫_xDEB8_䀼찀줗今_x001F_呓ⵍ剆偞灟楲散江睯㕟眲〨Ⱜ唬䑓착!＀＀ ＀＀	＀＀_x0008_＀＀_x0001_＀＀_x0001_＀＀_x0001_＀＀⋪늅㗰䀖찀䮈亴_x0014_剂䵃䙞彇剐䍉⡅〴㔸⤱!＀＀ ＀＀	＀＀_x0008_＀＀_x0001_＀＀_x0001_＀＀_x0001_＀＀竡긔Ň䁂찀줛今E呓ⵍ剆䙞彅卅䥔䅍䕔✨偅䉓❇✬䕍乁Ⱗ䌧䱁❁✬〲㌱ⰧⰰⰬⰧ啃剒久奃唽䑓✬착!＀＀ ＀＀	＀＀_x0008_＀＀_x0001_＀＀_x0001_＀＀_x0001_＀＀砏䜅㿢찀줌今A剁䡍䙞彅卅䥔䅍䕔✨䍆❆✬䕍乁Ⱗ䌧䱁❁✬〲㜰ⰧⰰⰬⰧ啃剒久奃唽䑓✬착!＀＀ ＀＀	＀＀_x0008_＀＀_x0001_＀＀_x0001_＀＀_x0001_＀＀ꃹ덧㏪䁤찀줔今B䍑䵏䙞彅卅䥔䅍䕔✨扥瑩Ⱗ䴧䅅❎✬䅃䅌Ⱗ㈧〰✹〬Ⱜ✬䌬剕䕒䍎㵙单ⱄ⤧!＀＀ ＀＀	＀＀_x0008_＀＀_x0001_＀＀_x0001_＀＀_x0001_＀＀ᚇ컙ﻷ䂪찀줚今@䑁幉䕆䕟呓䵉呁⡅䘧䙃Ⱗ䴧䅅❎✬䅃䅌Ⱗ㈧〰✸〬Ⱜ✬䌬剕䕒䍎㵙单ⱄ⤧!＀＀ ＀＀	＀＀_x0008_＀＀_x0001_＀＀_x0001_＀＀_x0001_＀＀땳閕䂃찀줙今D呓ⵍ剆䙞彅卅䥔䅍䕔✨扥瑩Ⱗ䴧䅅❎✬䅃䅌Ⱗ㈧㄰✱〬Ⱜ✬䌬剕䕒䍎㵙单ⱄ⤧!＀＀ ＀＀	＀＀_x0008_＀＀_x0001_＀＀_x0001_＀＀_x0001_＀＀闩䁣찀줘今F䑁幉䕆䕟呓䵉呁⡅䤧䍎䝟佒卓Ⱗ䴧䅅❎✬䅃䅌Ⱗ㈧㄰✳〬Ⱜ✬䌬剕䕒䍎㵙单ⱄ⤧!＀＀ ＀＀	＀＀_x0008_＀＀_x0001_＀＀_x0001_＀＀_x0001_＀＀إ閁뽃䂠찀瀌享_x001A_义䍔䙞彇剐䍉⡅〴㐸ⰴⰬ单⥄!＀＀ ＀＀	＀＀_x0008_＀＀_x0001_＀＀_x0001_＀＀_x0001_＀＀ᑻ䞮﫡䀸찀줇今_x0017_䅃䵖偞灟楲散江睯㕟眲〨착!＀＀ ＀＀	＀＀_x0008_＀＀_x0001_＀＀_x0001_＀＀_x0001_＀＀㌴㌳㌳䀸찀중今C义䍔䙞彅卅䥔䅍䕔✨偅䉓❇✬䕍乁Ⱗ䌧䱁❁✬〲㠰ⰧⰰⰬⰧ啃剒久奃唽䑓✬착!＀＀ ＀＀	＀＀_x0008_＀＀_x0001_＀＀_x0001_＀＀_x0001_＀＀尩슏⣵㿰찀_xDC01_亱G呓幍䕆䕟呓䵉呁⡅䌧单佔彍偅❓✬䕍乁Ⱗ䌧䱁❁✬〲ㄱⰧⰰⰬⰧ啃剒久奃唽䑓✬착!＀＀ ＀＀	＀＀_x0008_＀＀_x0001_＀＀_x0001_＀＀_x0001_＀＀豀碵꼝쐕찀줓今B噎䅄䙞彅卅䥔䅍䕔✨扥瑩Ⱗ䴧䅅❎✬䅃䅌Ⱗ㈧〰✹〬Ⱜ✬䌬剕䕒䍎㵙单ⱄ⤧!＀＀ ＀＀	＀＀_x0008_＀＀_x0001_＀＀_x0001_＀＀_x0001_＀＀泋䦐ቆ䁝찀줙今A䑁幉䕆䕟呓䵉呁⡅攧楢❴✬䕍乁Ⱗ䌧䱁❁✬〲㌱ⰧⰰⰬⰧ啃剒久奃唽䑓✬착!＀＀ ＀＀	＀＀_x0008_＀＀_x0001_＀＀_x0001_＀＀_x0001_＀＀㌳㌳朳䂒찀鍇仂@义䍔䙞彅卅䥔䅍䕔✨偅❓✬䕍乁Ⱗ儧䅕呒剅奌剟䱏❌✬〲ㄱ㐯❆〬Ⱜ✬⤧!＀＀ ＀＀	＀＀_x0008_＀＀_x0001_＀＀_x0001_＀＀_x0001_＀＀בֿﻦ㇪㿦찀줛今J呓ⵍ剆䙞彅卅䥔䅍䕔✨啃呓䵏䕟卐Ⱗ䴧䅅❎✬䅃䅌Ⱗ㈧㄰✱〬Ⱜ✬䌬剕䕒䍎㵙单ⱄ⤧!＀＀ ＀＀	＀＀_x0008_＀＀_x0001_＀＀_x0001_＀＀_x0001_＀＀豀碵꼝쐕찀줚今B䑁幉䕆䕟呓䵉呁⡅䔧卐䝂Ⱗ䴧䅅❎✬䅃䅌Ⱗ㈧㄰✲〬Ⱜ✬䌬剕䕒䍎㵙单ⱄ⤧!＀＀ ＀＀	＀＀_x0008_＀＀_x0001_＀＀_x0001_＀＀_x0001_＀＀躵⚪愈䀅찀줚今E呓ⵍ剆䙞彅卅䥔䅍䕔✨䅃䕐❘✬䕍乁Ⱗ䌧䱁❁✬〲㌱ⰧⰰⰬⰧ啃剒久奃唽䑓✬착!＀＀ ＀＀	＀＀_x0008_＀＀_x0001_＀＀_x0001_＀＀_x0001_＀＀揲巌왋䂌찀줗今_x0018_䱘塎偞灟楲散桟杩彨㈵⡷⤰!＀＀ ＀＀	＀＀_x0008_＀＀_x0001_＀＀_x0001_＀＀_x0001_＀＀슏⣵꽜䁂찀줎今K㐲㐵吭䥁䙞彅卅䥔䅍䕔✨义彃則协❓✬䕍乁Ⱗ䌧䱁❁✬〲㠰ⰧⰰⰬⰧ啃剒久奃唽䑓✬착!＀＀ ＀＀	＀＀_x0008_＀＀_x0001_＀＀_x0001_＀＀_x0001_＀＀⃅犰䫨䂗찀줓今C䍑䵏䙞彅卅䥔䅍䕔✨䅓䕌❓✬䕍乁Ⱗ䌧䱁❁✬〲㐱ⰧⰰⰬⰧ啃剒久奃唽䑓✬착!＀＀ ＀＀	＀＀_x0008_＀＀_x0001_＀＀_x0001_＀＀_x0001_＀＀롒蔞招䃗찀줘今B䑁幉䕆䕟呓䵉呁⡅匧䱁卅Ⱗ䴧䅅❎✬䅃䅌Ⱗ㈧〰✸〬Ⱜ✬䌬剕䕒䍎㵙单ⱄ⤧!＀＀ ＀＀	＀＀_x0008_＀＀_x0001_＀＀_x0001_＀＀_x0001_＀＀⋐牛䂣찀鉦仂_x001A_前䱖䙞彇剐䍉⡅〴㘸ⰲⰬ单⥄!＀＀ ＀＀	＀＀_x0008_＀＀_x0001_＀＀_x0001_＀＀_x0001_＀＀㌳㌳댳䀭찀줌今H剁䡍䙞彅卅䥔䅍䕔✨啃呓䵏䕟卐Ⱗ䴧䅅❎✬䅃䅌Ⱗ㈧〰✸〬Ⱜ✬䌬剕䕒䍎㵙单ⱄ⤧!＀＀ ＀＀	＀＀_x0008_＀＀_x0001_＀＀_x0001_＀＀_x0001_＀＀豀碵꼝쐕찀亱_x0017_䕎䱔偞灟楲散江睯㕟眲〨착!＀＀ ＀＀	＀＀_x0008_＀＀_x0001_＀＀_x0001_＀＀_x0001_＀＀긕푺䀹찀줏今B义䍔䙞彅卅䥔䅍䕔✨扥瑩Ⱗ䴧䅅❎✬䅃䅌Ⱗ㈧㄰✴〬Ⱜ✬䌬剕䕒䍎㵙单ⱄ⤧!＀＀ ＀＀	＀＀_x0008_＀＀_x0001_＀＀_x0001_＀＀_x0001_＀＀晧晦稦䃔찀M丯_x0019_䑁幉䝆偟䥒䕃㐨㜰〵Ⱜ唬䑓착!＀＀ ＀＀	＀＀_x0008_＀＀_x0001_＀＀_x0001_＀＀_x0001_＀＀⣶轜痂䁂찀_xDC01_亱F呓幍䕆䕟呓䵉呁⡅䤧䍎䝟佒卓Ⱗ䴧䅅❎✬䅃䅌Ⱗ㈧㄰✲〬Ⱜ✬䌬剕䕒䍎㵙单ⱄ⤧!＀＀ ＀＀	＀＀_x0008_＀＀_x0001_＀＀_x0001_＀＀_x0001_＀＀삃ꇊ➅䂬찀줙今I呓ⵍ剆䙞彅卅䥔䅍䕔✨义彃則协❓✬䕍乁Ⱗ䌧䱁❁✬〲㈱ⰧⰰⰬⰧ啃剒久奃唽䑓✬착!＀＀ ＀＀	＀＀_x0008_＀＀_x0001_＀＀_x0001_＀＀_x0001_＀＀Წ摚졻䂫찀줔今C䍑䵏䙞彅卅䥔䅍䕔✨䅃䕐❘✬䕍乁Ⱗ䌧䱁❁✬〲㐱ⰧⰰⰬⰧ啃剒久奃唽䑓✬착!＀＀ ＀＀	＀＀_x0008_＀＀_x0001_＀＀_x0001_＀＀_x0001_＀＀⚁蛂_xDCA7_䂏찀줕今A䍑䵏䙞彅卅䥔䅍䕔✨䍆❆✬䕍乁Ⱗ䌧䱁❁✬〲㘰ⰧⰰⰬⰧ啃剒久奃唽䑓✬착!＀＀ ＀＀	＀＀_x0008_＀＀_x0001_＀＀_x0001_＀＀_x0001_＀＀Წ摚牻䂤찀줙今B䑁幉䕆䕟呓䵉呁⡅䌧偁塅Ⱗ䴧䅅❎✬䅃䅌Ⱗ㈧〰✸〬Ⱜ✬䌬剕䕒䍎㵙单ⱄ⤧!＀＀ ＀＀	＀＀_x0008_＀＀_x0001_＀＀_x0001_＀＀_x0001_＀＀ꏗ㵰䌊䁡찀줔今B䍑䵏䙞彅卅䥔䅍䕔✨扥瑩Ⱗ䴧䅅❎✬䅃䅌Ⱗ㈧㄰✰〬Ⱜ✬䌬剕䕒䍎㵙单ⱄ⤧!＀＀ ＀＀	＀＀_x0008_＀＀_x0001_＀＀_x0001_＀＀_x0001_＀＀司ꗣ⤛䂱찀줏今F㐲㐵吭䥁䙞彅卅䥔䅍䕔✨扥瑩Ⱗ䴧䅅❎✬䅃䅌Ⱗ㈧〰✸〬Ⱜ✬䌬剕䕒䍎㵙单ⱄ⤧!＀＀ ＀＀	＀＀_x0008_＀＀_x0001_＀＀_x0001_＀＀_x0001_＀＀⛪࠱▬䂅찀중今H义䍔䙞彅卅䥔䅍䕔✨啃呓䵏䕟卐Ⱗ䴧䅅❎✬䅃䅌Ⱗ㈧㄰✲〬Ⱜ✬䌬剕䕒䍎㵙单ⱄ⤧!＀＀ ＀＀	＀＀_x0008_＀＀_x0001_＀＀_x0001_＀＀_x0001_＀＀ᜉࣲ쑮䀄찀줒今"䍑䵏䙞彆佃彍䡓当問彔偅当䥄⡌呑ⱒ⤰ċ＀＀ ＀＀ó＀＀_x0008_＀＀_x0001_＀＀_x0001_＀＀_x0001_＀＀＀＀＀＀氀䂚摦畳㩰⼯楄敲瑣潩獮䘯捡却瑥䄠摵瑩湩⁧楖睥牥愿瑣潩㵮啁䥄彔䅖啌♅䉄ㄽ㤲䤦ㅄ㜽㜴㈵ㄵ☰䅖啌䥅㵄㔰㤱☴䑓呁㵅〲ㄱ㐰倦剅佉呄偙㵅呑归呓♄䍓呆㌽眦湩潤㵷潰異彰潮扟牡眦摩桴㌽㔸栦楥桧㵴㈱☰呓剁彔䅍䥘䥍䕚㵄䅆卌♅牣慥潴㵲慦瑣敳♴楤灳慬役瑳楲杮䄽摵瑩찀줘今E呓ⵍ剆䙞彅卅䥔䅍䕔✨䅓䕌❓✬䕍乁Ⱗ䌧䱁❁✬〲〱ⰧⰰⰬⰧ啃剒久奃唽䑓✬착!＀＀ ＀＀	＀＀_x0008_＀＀_x0001_＀＀_x0001_＀＀_x0001_＀＀빷᪟㓿䃄찀줙今D呓ⵍ剆䙞彅卅䥔䅍䕔✨扥瑩Ⱗ䴧䅅❎✬䅃䅌Ⱗ㈧㄰✴〬Ⱜ✬䌬剕䕒䍎㵙单ⱄ⤧!＀＀ ＀＀	＀＀_x0008_＀＀_x0001_＀＀_x0001_＀＀_x0001_＀＀탦_xDB22_䷹䂗찀鷽仅_x0014_䱁剔䙞彇剐䍉⡅〴㘸⤴!＀＀ ＀＀	＀＀_x0008_＀＀_x0001_＀＀_x0001_＀＀_x0001_＀＀쳍쳌곌䁁찀줓今B噎䅄䙞彅卅䥔䅍䕔✨扥瑩Ⱗ䴧䅅❎✬䅃䅌Ⱗ㈧〰✶〬Ⱜ✬䌬剕䕒䍎㵙单ⱄ⤧!＀＀ ＀＀	＀＀_x0008_＀＀_x0001_＀＀_x0001_＀＀_x0001_＀＀덨珪辵䁾찀줗今_x001A_义䍔䙞彇剐䍉⡅〴㘸ⰸⰬ单⥄!＀＀ ＀＀	＀＀_x0008_＀＀_x0001_＀＀_x0001_＀＀_x0001_＀＀롒蔞釫䀷찀줚今E呓ⵍ剆䙞彅卅䥔䅍䕔✨䅃䕐❘✬䕍乁Ⱗ䌧䱁❁✬〲〱ⰧⰰⰬⰧ啃剒久奃唽䑓✬착!＀＀ ＀＀	＀＀_x0008_＀＀_x0001_＀＀_x0001_＀＀_x0001_＀＀痷鳠ﲑ䂎찀줛今J呓ⵍ剆䙞彅卅䥔䅍䕔✨啃呓䵏䕟卐Ⱗ䴧䅅❎✬䅃䅌Ⱗ㈧㄰✴〬Ⱜ✬䌬剕䕒䍎㵙单ⱄ⤧!＀＀ ＀＀	＀＀_x0008_＀＀_x0001_＀＀_x0001_＀＀_x0001_＀＀豀碵꼝쐕찀줖今H䍑䵏䙞彅卅䥔䅍䕔✨啃呓䵏䕟卐Ⱗ䴧䅅❎✬䅃䅌Ⱗ㈧〰✷〬Ⱜ✬䌬剕䕒䍎㵙单ⱄ⤧!＀＀ ＀＀	＀＀_x0008_＀＀_x0001_＀＀_x0001_＀＀_x0001_＀＀ꈍꊵ㿽찀줌今B剁䡍䙞彅卅䥔䅍䕔✨扥瑩Ⱗ䴧䅅❎✬䅃䅌Ⱗ㈧㄰✲〬Ⱜ✬䌬剕䕒䍎㵙单ⱄ⤧!＀＀ ＀＀	＀＀_x0008_＀＀_x0001_＀＀_x0001_＀＀_x0001_＀＀煶ഛ㇠䁷찀瀌享_x0014_剂䵃䙞彇剐䍉⡅〴㐸⤴!＀＀ ＀＀	＀＀_x0008_＀＀_x0001_＀＀_x0001_＀＀_x0001_＀＀롒蔞凫䁂찀줌今G剁䡍䙞彅卅䥔䅍䕔✨义彃則协❓✬䕍乁Ⱗ䌧䱁❁✬〲㠰ⰧⰰⰬⰧ啃剒久奃唽䑓✬착!＀＀ ＀＀	＀＀_x0008_＀＀_x0001_＀＀_x0001_＀＀_x0001_＀＀縨릌扫䁸찀줓今G䍑䵏䙞彅卅䥔䅍䕔✨义彃則协❓✬䕍乁Ⱗ䌧䱁❁✬〲㠰ⰧⰰⰬⰧ啃剒久奃唽䑓✬착!＀＀ ＀＀	＀＀_x0008_＀＀_x0001_＀＀_x0001_＀＀_x0001_＀＀삃ꇊ㏅䂾찀崛仆_x0019_䑁幉䝆偟䥒䕃㐨㠰㔶Ⱜ唬䑓착!＀＀ ＀＀	＀＀_x0008_＀＀_x0001_＀＀_x0001_＀＀_x0001_＀＀＀＀＀＀쀀䁁찀_xDC01_亱A呓幍䕆䕟呓䵉呁⡅攧楢❴✬䕍乁Ⱗ䌧䱁❁✬〲㜰ⰧⰰⰬⰧ啃剒久奃唽䑓✬착!＀＀ ＀＀	＀＀_x0008_＀＀_x0001_＀＀_x0001_＀＀_x0001_＀＀㯍텎焑삀찀줕今A䍑䵏䙞彅卅䥔䅍䕔✨䍆❆✬䕍乁Ⱗ䌧䱁❁✬〲㤰ⰧⰰⰬⰧ啃剒久奃唽䑓✬착!＀＀ ＀＀	＀＀_x0008_＀＀_x0001_＀＀_x0001_＀＀_x0001_＀＀褷恁싥䂳찀줔今B䍑䵏䙞彅卅䥔䅍䕔✨扥瑩Ⱗ䴧䅅❎✬䅃䅌Ⱗ㈧㄰✳〬Ⱜ✬䌬剕䕒䍎㵙单ⱄ⤧!＀＀ ＀＀	＀＀_x0008_＀＀_x0001_＀＀_x0001_＀＀_x0001_＀＀틲才蹐䂿찀줛今G䑁幉䕆䕟呓䵉呁⡅䌧单佔彍偅❓✬䕍乁Ⱗ䌧䱁❁✬〲㠰ⰧⰰⰬⰧ啃剒久奃唽䑓✬착!＀＀ ＀＀	＀＀_x0008_＀＀_x0001_＀＀_x0001_＀＀_x0001_＀＀䗡䅟㆚㿺찀줚今@䑁幉䕆䕟呓䵉呁⡅䘧䙃Ⱗ䴧䅅❎✬䅃䅌Ⱗ㈧㄰✲〬Ⱜ✬䌬剕䕒䍎㵙单ⱄ⤧!＀＀ ＀＀	＀＀_x0008_＀＀_x0001_＀＀_x0001_＀＀_x0001_＀＀ⷠꂐ佸䂋찀줘今E呓ⵍ剆䙞彅卅䥔䅍䕔✨䅓䕌❓✬䕍乁Ⱗ䌧䱁❁✬〲㌱ⰧⰰⰬⰧ啃剒久奃唽䑓✬착!＀＀ ＀＀	＀＀_x0008_＀＀_x0001_＀＀_x0001_＀＀_x0001_＀＀晧晦볦䃄찀鍇仂@义䍔䙞彅卅䥔䅍䕔✨偅❓✬䕍乁Ⱗ儧䅕呒剅奌剟䱏❌✬〲㈱ㄯ❆〬Ⱜ✬⤧!＀＀ ＀＀	＀＀_x0008_＀＀_x0001_＀＀_x0001_＀＀_x0001_＀＀랫똆끊㿢찀样仁_x001A_义䍔䙞彇剐䍉⡅〴㘸ⰱⰬ单⥄!＀＀ ＀＀	＀＀_x0008_＀＀_x0001_＀＀_x0001_＀＀_x0001_＀＀슏⣵轜䀸찀-丯_x0014_䕎䱔䙞彇剐䍉⡅〴㔷⤰!＀＀ ＀＀	＀＀_x0008_＀＀_x0001_＀＀_x0001_＀＀_x0001_＀＀蔟凫㺸䁃찀줓今G噎䅄䙞彅卅䥔䅍䕔✨义彃則协❓✬䕍乁Ⱗ䌧䱁❁✬〲㘰ⰧⰰⰬⰧ啃剒久奃唽䑓✬착!＀＀ ＀＀	＀＀_x0008_＀＀_x0001_＀＀_x0001_＀＀_x0001_＀＀豀碵꼝쐕찀중今C义䍔䙞彅卅䥔䅍䕔✨偅䉓❇✬䕍乁Ⱗ䌧䱁❁✬〲㈱ⰧⰰⰬⰧ啃剒久奃唽䑓✬착!＀＀ ＀＀	＀＀_x0008_＀＀_x0001_＀＀_x0001_＀＀_x0001_＀＀㋆ዽ盱䀅찀鷽仅_x001A_䍑䵏䙞彇剐䍉⡅〴㘸ⰴⰬ单⥄!＀＀ ＀＀	＀＀_x0008_＀＀_x0001_＀＀_x0001_＀＀_x0001_＀＀㵱휊ィ䁌찀줗今_x0014_剂䵃䙞彇剐䍉⡅〴㐵⤴!＀＀ ＀＀	＀＀_x0008_＀＀_x0001_＀＀_x0001_＀＀_x0001_＀＀晦晦왦䁅찀줍今C义䍔䙞彅卅䥔䅍䕔✨䅓䕌❓✬䕍乁Ⱗ䌧䱁❁✬〲㠰ⰧⰰⰬⰧ啃剒久奃唽䑓✬착!＀＀ ＀＀	＀＀_x0008_＀＀_x0001_＀＀_x0001_＀＀_x0001_＀＀＀＀＀＀婀䃢찀줓今B噎䅄䙞彅卅䥔䅍䕔✨扥瑩Ⱗ䴧䅅❎✬䅃䅌Ⱗ㈧㄰✳〬Ⱜ✬䌬剕䕒䍎㵙单ⱄ⤧!＀＀ ＀＀	＀＀_x0008_＀＀_x0001_＀＀_x0001_＀＀_x0001_＀＀᣽흳璒䂌찀瀌享_x001A_噎䅄䙞彇剐䍉⡅〴㐸ⰴⰬ单⥄!＀＀ ＀＀	＀＀_x0008_＀＀_x0001_＀＀_x0001_＀＀_x0001_＀＀㌳㌳㌳䀯찀줕今C噎䅄䙞彅卅䥔䅍䕔✨偅䉓❇✬䕍乁Ⱗ䌧䱁❁✬〲㘰ⰧⰰⰬⰧ啃剒久奃唽䑓✬착!＀＀ ＀＀	＀＀_x0008_＀＀_x0001_＀＀_x0001_＀＀_x0001_＀＀豀碵꼝쐕찀_xDC01_亱_x0019_呓幍䝆偟䥒䕃㐨㠰㤴Ⱜ唬䑓착!＀＀ ＀＀	＀＀_x0008_＀＀_x0001_＀＀_x0001_＀＀_x0001_＀＀ꏗ㵰휊䀚찀줎今K㐲㐵吭䥁䙞彅卅䥔䅍䕔✨义彃則协❓✬䕍乁Ⱗ䌧䱁❁✬〲㈱ⰧⰰⰬⰧ啃剒久奃唽䑓✬착!＀＀ ＀＀	＀＀_x0008_＀＀_x0001_＀＀_x0001_＀＀_x0001_＀＀쫁䖡씶䂘찀줘今B䑁幉䕆䕟呓䵉呁⡅匧䱁卅Ⱗ䴧䅅❎✬䅃䅌Ⱗ㈧㄰✲〬Ⱜ✬䌬剕䕒䍎㵙单ⱄ⤧!＀＀ ＀＀	＀＀_x0008_＀＀_x0001_＀＀_x0001_＀＀_x0001_＀＀ᢔ嘄箎䂧찀줐今C义䍔䙞彅卅䥔䅍䕔✨䅃䕐❘✬䕍乁Ⱗ䌧䱁❁✬〲㠰ⰧⰰⰬⰧ啃剒久奃唽䑓✬착!＀＀ ＀＀	＀＀_x0008_＀＀_x0001_＀＀_x0001_＀＀_x0001_＀＀＀＀＀＀䷀䂴찀줖今H䍑䵏䙞彅卅䥔䅍䕔✨啃呓䵏䕟卐Ⱗ䴧䅅❎✬䅃䅌Ⱗ㈧㄰✴〬Ⱜ✬䌬剕䕒䍎㵙单ⱄ⤧!＀＀ ＀＀	＀＀_x0008_＀＀_x0001_＀＀_x0001_＀＀_x0001_＀＀豀碵꼝쐕찀줗今_x001E_噎䅄偞灟楲散桟杩彨㈵⡷ⰰⰬ单⥄!＀＀ ＀＀	＀＀_x0008_＀＀_x0001_＀＀_x0001_＀＀_x0001_＀＀凬Ẹ⮅䀺찀줕今A䍑䵏䙞彅卅䥔䅍䕔✨䍆❆✬䕍乁Ⱗ䌧䱁❁✬〲〱ⰧⰰⰬⰧ啃剒久奃唽䑓✬착!＀＀ ＀＀	＀＀_x0008_＀＀_x0001_＀＀_x0001_＀＀_x0001_＀＀龿⼚䨝䂮찀줙今B䑁幉䕆䕟呓䵉呁⡅䌧偁塅Ⱗ䴧䅅❎✬䅃䅌Ⱗ㈧㄰✲〬Ⱜ✬䌬剕䕒䍎㵙单ⱄ⤧!＀＀ ＀＀	＀＀_x0008_＀＀_x0001_＀＀_x0001_＀＀_x0001_＀＀螔媅㣓䁡찀줏今F㐲㐵吭䥁䙞彅卅䥔䅍䕔✨扥瑩Ⱗ䴧䅅❎✬䅃䅌Ⱗ㈧㄰✲〬Ⱜ✬䌬剕䕒䍎㵙单ⱄ⤧!＀＀ ＀＀	＀＀_x0008_＀＀_x0001_＀＀_x0001_＀＀_x0001_＀＀䎖沋执䂂찀줌今A剁䡍䙞彅卅䥔䅍䕔✨䍆❆✬䕍乁Ⱗ䌧䱁❁✬〲㐱ⰧⰰⰬⰧ啃剒久奃唽䑓✬착!＀＀ ＀＀	＀＀_x0008_＀＀_x0001_＀＀_x0001_＀＀_x0001_＀＀簜㉡෕䂁찀중今L㐲㐵吭䥁䙞彅卅䥔䅍䕔✨啃呓䵏䕟卐Ⱗ䴧䅅❎✬䅃䅌Ⱗ㈧〰✸〬Ⱜ✬䌬剕䕒䍎㵙单ⱄ⤧!＀＀ ＀＀	＀＀_x0008_＀＀_x0001_＀＀_x0001_＀＀_x0001_＀＀豀碵꼝쐕찀_xDC01_亱@呓幍䕆䕟呓䵉呁⡅䘧䙃Ⱗ䴧䅅❎✬䅃䅌Ⱗ㈧〰✷〬Ⱜ✬䌬剕䕒䍎㵙单ⱄ⤧!＀＀ ＀＀	＀＀_x0008_＀＀_x0001_＀＀_x0001_＀＀_x0001_＀＀텏岑㳾䂅찀亱_x0014_䱁剔䙞彇剐䍉⡅〴㐸⤹!＀＀ ＀＀	＀＀_x0008_＀＀_x0001_＀＀_x0001_＀＀_x0001_＀＀ᑻ䞮竡䁂찀崛仆_x0014_䱁剔䙞彇剐䍉⡅〴㘸⤵!＀＀ ＀＀	＀＀_x0008_＀＀_x0001_＀＀_x0001_＀＀_x0001_＀＀쳍쳌곌䁁찀줓今G噎䅄䙞彅卅䥔䅍䕔✨义彃則协❓✬䕍乁Ⱗ䌧䱁❁✬〲㤰ⰧⰰⰬⰧ啃剒久奃唽䑓✬착!＀＀ ＀＀	＀＀_x0008_＀＀_x0001_＀＀_x0001_＀＀_x0001_＀＀鮦⃄憰䂒찀줓今B噎䅄䙞彅卅䥔䅍䕔✨扥瑩Ⱗ䴧䅅❎✬䅃䅌Ⱗ㈧㄰✰〬Ⱜ✬䌬剕䕒䍎㵙单ⱄ⤧!＀＀ ＀＀	＀＀_x0008_＀＀_x0001_＀＀_x0001_＀＀_x0001_＀＀땴ﬕ䁴찀줜今C呓ⵍ剆䙞彅卅䥔䅍䕔✨偄❓✬䕍乁Ⱗ䌧䱁❁✬〲ㄱⰧⰰⰬⰧ啃剒久奃唽䑓✬착!＀＀ ＀＀	＀＀_x0008_＀＀_x0001_＀＀_x0001_＀＀_x0001_＀＀᣿볟㟝㿙찀줗今_x001A_䑁幉杦摟扥彴潴慴⡬ⰰⰬ单⥄!＀＀ ＀＀	＀＀_x0008_＀＀_x0001_＀＀_x0001_＀＀_x0001_＀＀ꗣ쒛툠䂋찀줚今C呓ⵍ剆䙞彅卅䥔䅍䕔✨䍆❆✬䕍乁Ⱗ䌧䱁❁✬〲㠰ⰧⰰⰬⰧ啃剒久奃唽䑓✬착!＀＀ ＀＀	＀＀_x0008_＀＀_x0001_＀＀_x0001_＀＀_x0001_＀＀Ƥּ鄒䂂찀鉦仂_x001E_㐲㐵吭䥁䙞彇剐䍉⡅〴㘸ⰲⰬ单⥄!＀＀ ＀＀	＀＀_x0008_＀＀_x0001_＀＀_x0001_＀＀_x0001_＀＀鄐皚_xDD31_䀤찀줕今C噎䅄䙞彅卅䥔䅍䕔✨偅䉓❇✬䕍乁Ⱗ䌧䱁❁✬〲㤰ⰧⰰⰬⰧ啃剒久奃唽䑓✬착!＀＀ ＀＀	＀＀_x0008_＀＀_x0001_＀＀_x0001_＀＀_x0001_＀＀ኋ៴㿛찀줗今_x001A_噎䅄䙞彇剐䍉⡅〴㘸ⰸⰬ单⥄!＀＀ ＀＀	＀＀_x0008_＀＀_x0001_＀＀_x0001_＀＀_x0001_＀＀尨䊏䀭찀줖今H䍑䵏䙞彅卅䥔䅍䕔✨啃呓䵏䕟卐Ⱗ䴧䅅❎✬䅃䅌Ⱗ㈧㄰✱〬Ⱜ✬䌬剕䕒䍎㵙单ⱄ⤧!＀＀ ＀＀	＀＀_x0008_＀＀_x0001_＀＀_x0001_＀＀_x0001_＀＀슨嫍䀇찀鎦丹_x0014_剂䵃䙞彇剐䍉⡅〴㔷⤸!＀＀ ＀＀	＀＀_x0008_＀＀_x0001_＀＀_x0001_＀＀_x0001_＀＀炤਽䁁찀줒今C噎䅄䙞彅卅䥔䅍䕔✨䅓䕌❓✬䕍乁Ⱗ䌧䱁❁✬〲㤰ⰧⰰⰬⰧ啃剒久奃唽䑓✬착!＀＀ ＀＀	＀＀_x0008_＀＀_x0001_＀＀_x0001_＀＀_x0001_＀＀䯇褷ఁ䂪찀样仁_x0014_剂䵃䙞彇剐䍉⡅〴㘸⤱!＀＀ ＀＀	＀＀_x0008_＀＀_x0001_＀＀_x0001_＀＀_x0001_＀＀㌳㌳匳䁁찀줌今G剁䡍䙞彅卅䥔䅍䕔✨义彃則协❓✬䕍乁Ⱗ䌧䱁❁✬〲㈱ⰧⰰⰬⰧ啃剒久奃唽䑓✬착!＀＀ ＀＀	＀＀_x0008_＀＀_x0001_＀＀_x0001_＀＀_x0001_＀＀庞쬩欐䂉찀줓今G䍑䵏䙞彅卅䥔䅍䕔✨义彃則协❓✬䕍乁Ⱗ䌧䱁❁✬〲㈱ⰧⰰⰬⰧ啃剒久奃唽䑓✬착!＀＀ ＀＀	＀＀_x0008_＀＀_x0001_＀＀_x0001_＀＀_x0001_＀＀ᚇ컙⹧䃈찀䭴亴_x0014_䅃䵖䙞彇剐䍉⡅〴㔸⤱!＀＀ ＀＀	＀＀_x0008_＀＀_x0001_＀＀_x0001_＀＀_x0001_＀＀晦晦晦䁁찀줌今A剁䡍䙞彅卅䥔䅍䕔✨䍆❆✬䕍乁Ⱗ䌧䱁❁✬〲ㄱⰧⰰⰬⰧ啃剒久奃唽䑓✬착!＀＀ ＀＀	＀＀_x0008_＀＀_x0001_＀＀_x0001_＀＀_x0001_＀＀ꣂ交쁀䁰찀_xDC01_亱A呓幍䕆䕟呓䵉呁⡅攧楢❴✬䕍乁Ⱗ䌧䱁❁✬〲ㄱⰧⰰⰬⰧ啃剒久奃唽䑓✬착!＀＀ ＀＀	＀＀_x0008_＀＀_x0001_＀＀_x0001_＀＀_x0001_＀＀ﲹ뗛䁥찀亱_x001A_义䍔䙞彇剐䍉⡅〴㐸ⰹⰬ单⥄!＀＀ ＀＀	＀＀_x0008_＀＀_x0001_＀＀_x0001_＀＀_x0001_＀＀馚香_xD999_䀷찀줕今A䍑䵏䙞彅卅䥔䅍䕔✨䍆❆✬䕍乁Ⱗ䌧䱁❁✬〲㌱ⰧⰰⰬⰧ啃剒久奃唽䑓✬착!＀＀ ＀＀	＀＀_x0008_＀＀_x0001_＀＀_x0001_＀＀_x0001_＀＀扎堐뿙䂻찀줛今G䑁幉䕆䕟呓䵉呁⡅䌧单佔彍偅❓✬䕍乁Ⱗ䌧䱁❁✬〲㈱ⰧⰰⰬⰧ啃剒久奃唽䑓✬착!＀＀ ＀＀	＀＀_x0008_＀＀_x0001_＀＀_x0001_＀＀_x0001_＀＀接㏎䗶䀅찀줔今C噎䅄䙞彅卅䥔䅍䕔✨䅃䕐❘✬䕍乁Ⱗ䌧䱁❁✬〲㤰ⰧⰰⰬⰧ啃剒久奃唽䑓✬착!＀＀ ＀＀	＀＀_x0008_＀＀_x0001_＀＀_x0001_＀＀_x0001_＀＀蒡뚙_xD97F_䁘찀줒今_x001B_䍑䵏晞彧敤瑢瑟瑯污〨Ⱜ唬䑓착!＀＀ ＀＀	＀＀_x0008_＀＀_x0001_＀＀_x0001_＀＀_x0001_＀＀＀＀＀＀က䂏찀䮈亴_x0014_䱘塎䙞彇剐䍉⡅〴㔸⤱!＀＀ ＀＀	＀＀_x0008_＀＀_x0001_＀＀_x0001_＀＀_x0001_＀＀쳍쳌泌䁀찀왐亭_x0019_䑁幉䝆偟䥒䕃㐨㠰㘴Ⱜ唬䑓착!＀＀ ＀＀	＀＀_x0008_＀＀_x0001_＀＀_x0001_＀＀_x0001_＀＀馚香_xD999_䁂찀样仁_x001A_噎䅄䙞彇剐䍉⡅〴㘸ⰱⰬ单⥄!＀＀ ＀＀	＀＀_x0008_＀＀_x0001_＀＀_x0001_＀＀_x0001_＀＀휊炣訽䀭찀鎧丹_x0019_呓幍䝆偟䥒䕃㐨㜰㠵Ⱜ唬䑓착!＀＀ ＀＀	＀＀_x0008_＀＀_x0001_＀＀_x0001_＀＀_x0001_＀＀馚香香䀜찀줍今C义䍔䙞彅卅䥔䅍䕔✨䅓䕌❓✬䕍乁Ⱗ䌧䱁❁✬〲㈱ⰧⰰⰬⰧ啃剒久奃唽䑓✬착!＀＀ ＀＀	＀＀_x0008_＀＀_x0001_＀＀_x0001_＀＀_x0001_＀＀ꏗ㵰Ḳ䃬찀중今G㐲㐵吭䥁䙞彅卅䥔䅍䕔✨偅䉓❇✬䕍乁Ⱗ䌧䱁❁✬〲㜰ⰧⰰⰬⰧ啃剒久奃唽䑓✬착!＀＀ ＀＀	＀＀_x0008_＀＀_x0001_＀＀_x0001_＀＀_x0001_＀＀貀韊ⵡ㿫찀鉦仂_x001A_剁䡍䙞彇剐䍉⡅〴㘸ⰲⰬ单⥄!＀＀ ＀＀	＀＀_x0008_＀＀_x0001_＀＀_x0001_＀＀_x0001_＀＀䞮竡䀽찀줐今E㐲㐵吭䥁䙞彅卅䥔䅍䕔✨䍆❆✬䕍乁Ⱗ䌧䱁❁✬〲㘰ⰧⰰⰬⰧ啃剒久奃唽䑓✬착!＀＀ ＀＀	＀＀_x0008_＀＀_x0001_＀＀_x0001_＀＀_x0001_＀＀儚ᯚ뛼䂃찀줕今C噎䅄䙞彅卅䥔䅍䕔✨偅䉓❇✬䕍乁Ⱗ䌧䱁❁✬〲〱ⰧⰰⰬⰧ啃剒久奃唽䑓✬착!＀＀ ＀＀	＀＀_x0008_＀＀_x0001_＀＀_x0001_＀＀_x0001_＀＀厙풸탷㿤찀줌今H剁䡍䙞彅卅䥔䅍䕔✨啃呓䵏䕟卐Ⱗ䴧䅅❎✬䅃䅌Ⱗ㈧㄰✲〬Ⱜ✬䌬剕䕒䍎㵙单ⱄ⤧!＀＀ ＀＀	＀＀_x0008_＀＀_x0001_＀＀_x0001_＀＀_x0001_＀＀豀碵꼝쐕찀줒今C噎䅄䙞彅卅䥔䅍䕔✨䅓䕌❓✬䕍乁Ⱗ䌧䱁❁✬〲㘰ⰧⰰⰬⰧ啃剒久奃唽䑓✬착!＀＀ ＀＀	＀＀_x0008_＀＀_x0001_＀＀_x0001_＀＀_x0001_＀＀尨菏䂧찀줕今H噎䅄䙞彅卅䥔䅍䕔✨啃呓䵏䕟卐Ⱗ䴧䅅❎✬䅃䅌Ⱗ㈧〰✷〬Ⱜ✬䌬剕䕒䍎㵙单ⱄ⤧!＀＀ ＀＀	＀＀_x0008_＀＀_x0001_＀＀_x0001_＀＀_x0001_＀＀꟣潱;㿵찀줗今"㐲㐵吭䥁偞灟楲散桟杩彨㈵⡷ⰰⰬ单⥄!＀＀ ＀＀	＀＀_x0008_＀＀_x0001_＀＀_x0001_＀＀_x0001_＀＀㺅왘了䀭찀줎今G㐲㐵吭䥁䙞彅卅䥔䅍䕔✨䅓䕌❓✬䕍乁Ⱗ䌧䱁❁✬〲㜰ⰧⰰⰬⰧ啃剒久奃唽䑓✬착!＀＀ ＀＀	＀＀_x0008_＀＀_x0001_＀＀_x0001_＀＀_x0001_＀＀⃅犰⵨䂣찀줐今C义䍔䙞彅卅䥔䅍䕔✨䅃䕐❘✬䕍乁Ⱗ䌧䱁❁✬〲㈱ⰧⰰⰬⰧ啃剒久奃唽䑓✬착!＀＀ ＀＀	＀＀_x0008_＀＀_x0001_＀＀_x0001_＀＀_x0001_＀＀璽ᢓ酄䃀찀줗今_x0019_䑁幉䝆偟䥒䕃㐨㔰㐴Ⱜ唬䑓착!＀＀ ＀＀	＀＀_x0008_＀＀_x0001_＀＀_x0001_＀＀_x0001_＀＀⣶轜헂䁂찀䮈亴_x0019_䑁幉䝆偟䥒䕃㐨㠰ㄵⰬ唬䑓착!＀＀ ＀＀	＀＀_x0008_＀＀_x0001_＀＀_x0001_＀＀_x0001_＀＀＀＀＀＀ꀀ䁂찀줌今C剁䡍䙞彅卅䥔䅍䕔✨偅䉓❇✬䕍乁Ⱗ䌧䱁❁✬〲㤰ⰧⰰⰬⰧ啃剒久奃唽䑓✬착!＀＀ ＀＀	＀＀_x0008_＀＀_x0001_＀＀_x0001_＀＀_x0001_＀＀ᘣꖌ瞣㿐찀줔今C噎䅄䙞彅卅䥔䅍䕔✨䅃䕐❘✬䕍乁Ⱗ䌧䱁❁✬〲㘰ⰧⰰⰬⰧ啃剒久奃唽䑓✬착!＀＀ ＀＀	＀＀_x0008_＀＀_x0001_＀＀_x0001_＀＀_x0001_＀＀凗ӕꝑ䁞찀줐今G㐲㐵吭䥁䙞彅卅䥔䅍䕔✨䅃䕐❘✬䕍乁Ⱗ䌧䱁❁✬〲㜰ⰧⰰⰬⰧ啃剒久奃唽䑓✬착!＀＀ ＀＀	＀＀_x0008_＀＀_x0001_＀＀_x0001_＀＀_x0001_＀＀꒔♫죟䁉찀_xDC01_亱A呓幍䕆䕟呓䵉呁⡅攧楢❴✬䕍乁Ⱗ䌧䱁❁✬〲㐱ⰧⰰⰬⰧ啃剒久奃唽䑓✬착!＀＀ ＀＀	＀＀_x0008_＀＀_x0001_＀＀_x0001_＀＀_x0001_＀＀탦_xDB22_䷹䂗찀중今L㐲㐵吭䥁䙞彅卅䥔䅍䕔✨啃呓䵏䕟卐Ⱗ䴧䅅❎✬䅃䅌Ⱗ㈧㄰✲〬Ⱜ✬䌬剕䕒䍎㵙单ⱄ⤧!＀＀ ＀＀	＀＀_x0008_＀＀_x0001_＀＀_x0001_＀＀_x0001_＀＀豀碵꼝쐕찀_xDC01_亱@呓幍䕆䕟呓䵉呁⡅䘧䙃Ⱗ䴧䅅❎✬䅃䅌Ⱗ㈧㄰✱〬Ⱜ✬䌬剕䕒䍎㵙单ⱄ⤧!＀＀ ＀＀	＀＀_x0008_＀＀_x0001_＀＀_x0001_＀＀_x0001_＀＀婇漪ᑇ䁚찀줎今G义䍔䙞彅卅䥔䅍䕔✨义彃則协❓✬䕍乁Ⱗ䌧䱁❁✬〲㜰ⰧⰰⰬⰧ啃剒久奃唽䑓✬착!＀＀ ＀＀	＀＀_x0008_＀＀_x0001_＀＀_x0001_＀＀_x0001_＀＀䞮竡愴䃓찀줓今G噎䅄䙞彅卅䥔䅍䕔✨义彃則协❓✬䕍乁Ⱗ䌧䱁❁✬〲㌱ⰧⰰⰬⰧ啃剒久奃唽䑓✬착!＀＀ ＀＀	＀＀_x0008_＀＀_x0001_＀＀_x0001_＀＀_x0001_＀＀휊炣㫽䂣찀줖今A噎䅄䙞彅卅䥔䅍䕔✨偄❓✬䕍乁Ⱗ䌧䱁❁✬〲ㄱⰧⰰⰬⰧ啃剒久奃唽䑓✬착!＀＀ ＀＀	＀＀_x0008_＀＀_x0001_＀＀_x0001_＀＀_x0001_＀＀＀＀＀＀＀＀＀＀찀崛仆_x001C_呓ⵍ剆䙞彇剐䍉⡅〴㘸ⰵⰬ单⥄!＀＀ ＀＀	＀＀_x0008_＀＀_x0001_＀＀_x0001_＀＀_x0001_＀＀뛿Ƃ惟䀛찀줔今A噎䅄䙞彅卅䥔䅍䕔✨䍆❆✬䕍乁Ⱗ䌧䱁❁✬〲㠰ⰧⰰⰬⰧ啃剒久奃唽䑓✬착!＀＀ ＀＀	＀＀_x0008_＀＀_x0001_＀＀_x0001_＀＀_x0001_＀＀營躊⣤䁔찀줐今E㐲㐵吭䥁䙞彅卅䥔䅍䕔✨䍆❆✬䕍乁Ⱗ䌧䱁❁✬〲㤰ⰧⰰⰬⰧ啃剒久奃唽䑓✬착!＀＀ ＀＀	＀＀_x0008_＀＀_x0001_＀＀_x0001_＀＀_x0001_＀＀鮦⃄㞰䂘찀줕今C噎䅄䙞彅卅䥔䅍䕔✨偅䉓❇✬䕍乁Ⱗ䌧䱁❁✬〲㌱ⰧⰰⰬⰧ啃剒久奃唽䑓✬착!＀＀ ＀＀	＀＀_x0008_＀＀_x0001_＀＀_x0001_＀＀_x0001_＀＀_xFFFF_｜쾮㖜㿵찀왐亭_x0014_剂䵃䙞彇剐䍉⡅〴㐸⤶!＀＀ ＀＀	＀＀_x0008_＀＀_x0001_＀＀_x0001_＀＀_x0001_＀＀롒蔞凫䁂찀줌今C剁䡍䙞彅卅䥔䅍䕔✨偅䉓❇✬䕍乁Ⱗ䌧䱁❁✬〲㘰ⰧⰰⰬⰧ啃剒久奃唽䑓✬착!＀＀ ＀＀	＀＀_x0008_＀＀_x0001_＀＀_x0001_＀＀_x0001_＀＀䦶捅㿐찀_xDC01_亱B呓幍䕆䕟呓䵉呁⡅䔧卐䝂Ⱗ䴧䅅❎✬䅃䅌Ⱗ㈧〰✷〬Ⱜ✬䌬剕䕒䍎㵙单ⱄ⤧!＀＀ ＀＀	＀＀_x0008_＀＀_x0001_＀＀_x0001_＀＀_x0001_＀＀갃Ǻኴ㿨찀瀀享_x0014_䅃䵖䙞彇剐䍉⡅〴㐸⤴!＀＀ ＀＀	＀＀_x0008_＀＀_x0001_＀＀_x0001_＀＀_x0001_＀＀炤਽ϗ䁁찀줐今A义䍔䙞彅卅䥔䅍䕔✨䍆❆✬䕍乁Ⱗ䌧䱁❁✬〲㘰ⰧⰰⰬⰧ啃剒久奃唽䑓✬착!＀＀ ＀＀	＀＀_x0008_＀＀_x0001_＀＀_x0001_＀＀_x0001_＀＀＀＀＀＀䂲찀줒今C噎䅄䙞彅卅䥔䅍䕔✨䅓䕌❓✬䕍乁Ⱗ䌧䱁❁✬〲㌱ⰧⰰⰬⰧ啃剒久奃唽䑓✬착!＀＀ ＀＀	＀＀_x0008_＀＀_x0001_＀＀_x0001_＀＀_x0001_＀＀⋑率㸾䂲찀줖今_x0018_䱁剔偞灟楲散桟杩彨㈵⡷⤰!＀＀ ＀＀	＀＀_x0008_＀＀_x0001_＀＀_x0001_＀＀_x0001_＀＀凬Ẹ쮅䁈찀鉦仂_x0014_剂䵃䙞彇剐䍉⡅〴㘸⤲!＀＀ ＀＀	＀＀_x0008_＀＀_x0001_＀＀_x0001_＀＀_x0001_＀＀芪䥑碝䁁찀鎦丹_x001A_义䍔䙞彇剐䍉⡅〴㔷ⰸⰬ单⥄!＀＀ ＀＀	＀＀_x0008_＀＀_x0001_＀＀_x0001_＀＀_x0001_＀＀＀＀＀＀쀀䀵찀줌今C剁䡍䙞彅卅䥔䅍䕔✨䅓䕌❓✬䕍乁Ⱗ䌧䱁❁✬〲㘰ⰧⰰⰬⰧ啃剒久奃唽䑓✬착!＀＀ ＀＀	＀＀_x0008_＀＀_x0001_＀＀_x0001_＀＀_x0001_＀＀ẹ᧑䂀찀_xDC01_亱B呓幍䕆䕟呓䵉呁⡅匧䱁卅Ⱗ䴧䅅❎✬䅃䅌Ⱗ㈧〰✷〬Ⱜ✬䌬剕䕒䍎㵙单ⱄ⤧!＀＀ ＀＀	＀＀_x0008_＀＀_x0001_＀＀_x0001_＀＀_x0001_＀＀绺뱪䃃찀줓今G噎䅄䙞彅卅䥔䅍䕔✨义彃則协❓✬䕍乁Ⱗ䌧䱁❁✬〲〱ⰧⰰⰬⰧ啃剒久奃唽䑓✬착!＀＀ ＀＀	＀＀_x0008_＀＀_x0001_＀＀_x0001_＀＀_x0001_＀＀譄땻䂕찀줔今C噎䅄䙞彅卅䥔䅍䕔✨䅃䕐❘✬䕍乁Ⱗ䌧䱁❁✬〲㌱ⰧⰰⰬⰧ啃剒久奃唽䑓✬착!＀＀ ＀＀	＀＀_x0008_＀＀_x0001_＀＀_x0001_＀＀_x0001_＀＀愓폃䌫䁢찀_xDC01_亱@呓幍䕆䕟呓䵉呁⡅䘧䙃Ⱗ䴧䅅❎✬䅃䅌Ⱗ㈧㄰✴〬Ⱜ✬䌬剕䕒䍎㵙单ⱄ⤧!＀＀ ＀＀	＀＀_x0008_＀＀_x0001_＀＀_x0001_＀＀_x0001_＀＀＀＀＀＀吀䂐찀瀍享_x0014_䱘塎䙞彇剐䍉⡅〴㐸⤴!＀＀ ＀＀	＀＀_x0008_＀＀_x0001_＀＀_x0001_＀＀_x0001_＀＀Ẹ顑䁀찀亱_x001A_噎䅄䙞彇剐䍉⡅〴㐸ⰹⰬ单⥄!＀＀ ＀＀	＀＀_x0008_＀＀_x0001_＀＀_x0001_＀＀_x0001_＀＀竡긔ꅇ䀫찀줌今C剁䡍䙞彅卅䥔䅍䕔✨䅃䕐❘✬䕍乁Ⱗ䌧䱁❁✬〲㘰ⰧⰰⰬⰧ啃剒久奃唽䑓✬착!＀＀ ＀＀	＀＀_x0008_＀＀_x0001_＀＀_x0001_＀＀_x0001_＀＀ꐕ鬙䀶찀_xDC01_亱B呓幍䕆䕟呓䵉呁⡅䌧偁塅Ⱗ䴧䅅❎✬䅃䅌Ⱗ㈧〰✷〬Ⱜ✬䌬剕䕒䍎㵙单ⱄ⤧!＀＀ ＀＀	＀＀_x0008_＀＀_x0001_＀＀_x0001_＀＀_x0001_＀＀鮥쩄䂓찀줇今_x0014_䅃䵖䙞彇剐䍉⡅〴㐵⤴!＀＀ ＀＀	＀＀_x0008_＀＀_x0001_＀＀_x0001_＀＀_x0001_＀＀ꏗ㵰휊䁂찀중今G㐲㐵吭䥁䙞彅卅䥔䅍䕔✨偅䉓❇✬䕍乁Ⱗ䌧䱁❁✬〲ㄱⰧⰰⰬⰧ啃剒久奃唽䑓✬착!＀＀ ＀＀	＀＀_x0008_＀＀_x0001_＀＀_x0001_＀＀_x0001_＀＀篜撸㿛찀줈今_x001D_剁䡍䙞彆䅃䡓卟⡔呑ⱒⰰⰬ唬䑓착!＀＀ ＀＀	＀＀_x0008_＀＀_x0001_＀＀_x0001_＀＀_x0001_＀＀ᶵ鏉䁿찀줒今C噎䅄䙞彅卅䥔䅍䕔✨䅓䕌❓✬䕍乁Ⱗ䌧䱁❁✬〲〱ⰧⰰⰬⰧ啃剒久奃唽䑓✬착!＀＀ ＀＀	＀＀_x0008_＀＀_x0001_＀＀_x0001_＀＀_x0001_＀＀إ閁觃䂫찀줕今H噎䅄䙞彅卅䥔䅍䕔✨啃呓䵏䕟卐Ⱗ䴧䅅❎✬䅃䅌Ⱗ㈧㄰✱〬Ⱜ✬䌬剕䕒䍎㵙单ⱄ⤧!＀＀ ＀＀	＀＀_x0008_＀＀_x0001_＀＀_x0001_＀＀_x0001_＀＀┵蝙⮣㿰찀稿仁9义䍔䙞彅卅䥔䅍䕔䤨䍎䝟佒卓䴬䅅ⱎ啑剁䕔䱒ⱙ〲ㄱ㐯ⱃⰰⰬ✧착!＀＀ ＀＀	＀＀_x0008_＀＀_x0001_＀＀_x0001_＀＀_x0001_＀＀㭤俟鰍䃂찀줗今_x0014_䱘塎䙞彇剐䍉⡅〴㐵⤴!＀＀ ＀＀	＀＀_x0008_＀＀_x0001_＀＀_x0001_＀＀_x0001_＀＀ᑻ䞮﫡䀼찀줕今C䍑䵏䙞彅卅䥔䅍䕔✨偅䉓❇✬䕍乁Ⱗ䌧䱁❁✬〲㤰ⰧⰰⰬⰧ啃剒久奃唽䑓✬착!＀＀ ＀＀	＀＀_x0008_＀＀_x0001_＀＀_x0001_＀＀_x0001_＀＀듔榋ﮦ㿾찀줗今!䑁幉䙆䍟䵏卟午佟呕䕟卐䑟䱉儨剔〬착ċ＀＀ ＀＀ó＀＀_x0008_＀＀_x0001_＀＀_x0001_＀＀_x0001_＀＀䎖沋䯧䁳摦畳㩰⼯楄敲瑣潩獮䘯捡却瑥䄠摵瑩湩⁧楖睥牥愿瑣潩㵮啁䥄彔䅖啌♅䉄ㄽ㤲䤦ㅄ〽㈳㔶ㄴ☰䅖啌䥅㵄㔰㤱☴䑓呁㵅〲ㄱ㌰倦剅佉呄偙㵅呑归呓♄䍓呆㌽眦湩潤㵷潰異彰潮扟牡眦摩桴㌽㔸栦楥桧㵴㈱☰呓剁彔䅍䥘䥍䕚㵄䅆卌♅牣慥潴㵲慦瑣敳♴楤灳慬役瑳楲杮䄽摵瑩찀_xDC01_亱G呓幍䕆䕟呓䵉呁⡅䌧单佔彍偅❓✬䕍乁Ⱗ䌧䱁❁✬〲㘰ⰧⰰⰬⰧ啃剒久奃唽䑓✬착!＀＀ ＀＀	＀＀_x0008_＀＀_x0001_＀＀_x0001_＀＀_x0001_＀＀豀碵꼝쐕찀줐今A义䍔䙞彅卅䥔䅍䕔✨䍆❆✬䕍乁Ⱗ䌧䱁❁✬〲㤰ⰧⰰⰬⰧ啃剒久奃唽䑓✬착!＀＀ ＀＀	＀＀_x0008_＀＀_x0001_＀＀_x0001_＀＀_x0001_＀＀鮥졄䂴찀줙今A䑁幉䕆䕟呓䵉呁⡅攧楢❴✬䕍乁Ⱗ䌧䱁❁✬〲㠰ⰧⰰⰬⰧ啃剒久奃唽䑓✬착!＀＀ ＀＀	＀＀_x0008_＀＀_x0001_＀＀_x0001_＀＀_x0001_＀＀앮닾⵻䂂찀鍇仂9义䍔䙞彅卅䥔䅍䕔䤨䍎䝟佒卓䴬䅅ⱎ啑剁䕔䱒ⱙ〲㈱ㄯⱆⰰⰬ✧착!＀＀ ＀＀	＀＀_x0008_＀＀_x0001_＀＀_x0001_＀＀_x0001_＀＀_xD805_䃀찀줌今C剁䡍䙞彅卅䥔䅍䕔✨偅䉓❇✬䕍乁Ⱗ䌧䱁❁✬〲㌱ⰧⰰⰬⰧ啃剒久奃唽䑓✬착!＀＀ ＀＀	＀＀_x0008_＀＀_x0001_＀＀_x0001_＀＀_x0001_＀＀迶⼪ꚞ㿨찀줔今C噎䅄䙞彅卅䥔䅍䕔✨䅃䕐❘✬䕍乁Ⱗ䌧䱁❁✬〲〱ⰧⰰⰬⰧ啃剒久奃唽䑓✬착!＀＀ ＀＀	＀＀_x0008_＀＀_x0001_＀＀_x0001_＀＀_x0001_＀＀꽥罷䁗찀_xDC01_亱B呓幍䕆䕟呓䵉呁⡅䔧卐䝂Ⱗ䴧䅅❎✬䅃䅌Ⱗ㈧㄰✴〬Ⱜ✬䌬剕䕒䍎㵙单ⱄ⤧!＀＀ ＀＀	＀＀_x0008_＀＀_x0001_＀＀_x0001_＀＀_x0001_＀＀ᑻ䞮竡㿴찀鉦仂_x001A_䍑䵏䙞彇剐䍉⡅〴㘸ⰲⰬ单⥄!＀＀ ＀＀	＀＀_x0008_＀＀_x0001_＀＀_x0001_＀＀_x0001_＀＀슏⣵潜䁌찀줌今C剁䡍䙞彅卅䥔䅍䕔✨䅓䕌❓✬䕍乁Ⱗ䌧䱁❁✬〲㤰ⰧⰰⰬⰧ啃剒久奃唽䑓✬착!＀＀ ＀＀	＀＀_x0008_＀＀_x0001_＀＀_x0001_＀＀_x0001_＀＀豿殹줉䁾찀砉仁B义䍔䙞彅卅䥔䅍䕔✨䅓䕌❓✬䕍乁Ⱗ儧䅕呒剅奌剟䱏❌✬〲ㄱ㌯❃〬Ⱜ✬⤧!＀＀ ＀＀	＀＀_x0008_＀＀_x0001_＀＀_x0001_＀＀_x0001_＀＀＀＀＀＀첀䃋찀줒今_x001D_䍑䵏䙞彆䅃䡓卟⡔呑ⱒⰰⰬ唬䑓착ċ＀＀ ＀＀ó＀＀_x0008_＀＀_x0001_＀＀_x0001_＀＀_x0001_＀＀＀＀＀＀숀䃆摦畳㩰⼯楄敲瑣潩獮䘯捡却瑥䄠摵瑩湩⁧楖睥牥愿瑣潩㵮啁䥄彔䅖啌♅䉄ㄽ㤲䤦ㅄ㜽㜴㈵ㄵ☰䅖啌䥅㵄㈰〰☱䑓呁㵅〲ㄱ㐰倦剅佉呄偙㵅呑归呓♄䍓呆㌽眦湩潤㵷潰異彰潮扟牡眦摩桴㌽㔸栦楥桧㵴㈱☰呓剁彔䅍䥘䥍䕚㵄䅆卌♅牣慥潴㵲慦瑣敳♴楤灳慬役瑳楲杮䄽摵瑩찀줏今B义䍔䙞彅卅䥔䅍䕔✨扥瑩Ⱗ䴧䅅❎✬䅃䅌Ⱗ㈧〰✹〬Ⱜ✬䌬剕䕒䍎㵙单ⱄ⤧!＀＀ ＀＀	＀＀_x0008_＀＀_x0001_＀＀_x0001_＀＀_x0001_＀＀ొ⬂އ䂼찀_xDC01_亱_x001D_呓幍彐牰捩彥楨桧㕟眲〨Ⱜ唬䑓착!＀＀ ＀＀	＀＀_x0008_＀＀_x0001_＀＀_x0001_＀＀_x0001_＀＀슐⣵ཛྷ䀫찀줚今C呓ⵍ剆䙞彅卅䥔䅍䕔✨䍆❆✬䕍乁Ⱗ䌧䱁❁✬〲㈱ⰧⰰⰬⰧ啃剒久奃唽䑓✬착!＀＀ ＀＀	＀＀_x0008_＀＀_x0001_＀＀_x0001_＀＀_x0001_＀＀緀㠝ᅧ䁽찀줎今G义䍔䙞彅卅䥔䅍䕔✨义彃則协❓✬䕍乁Ⱗ䌧䱁❁✬〲ㄱⰧⰰⰬⰧ啃剒久奃唽䑓✬착!＀＀ ＀＀	＀＀_x0008_＀＀_x0001_＀＀_x0001_＀＀_x0001_＀＀晧晦쮆䃠찀줉今_x001B_剁䡍晞彧敤瑢瑟瑯污〨Ⱜ唬䑓착!＀＀ ＀＀	＀＀_x0008_＀＀_x0001_＀＀_x0001_＀＀_x0001_＀＀＀＀＀＀＀＀＀＀찀줌今C剁䡍䙞彅卅䥔䅍䕔✨䅃䕐❘✬䕍乁Ⱗ䌧䱁❁✬〲㤰ⰧⰰⰬⰧ啃剒久奃唽䑓✬착!＀＀ ＀＀	＀＀_x0008_＀＀_x0001_＀＀_x0001_＀＀_x0001_＀＀돻⤟쌢䀩찀중今G㐲㐵吭䥁䙞彅卅䥔䅍䕔✨偅䉓❇✬䕍乁Ⱗ䌧䱁❁✬〲㐱ⰧⰰⰬⰧ啃剒久奃唽䑓✬착!＀＀ ＀＀	＀＀_x0008_＀＀_x0001_＀＀_x0001_＀＀_x0001_＀＀㙐૥㿧찀줔今A噎䅄䙞彅卅䥔䅍䕔✨䍆❆✬䕍乁Ⱗ䌧䱁❁✬〲㈱ⰧⰰⰬⰧ啃剒久奃唽䑓✬착!＀＀ ＀＀	＀＀_x0008_＀＀_x0001_＀＀_x0001_＀＀_x0001_＀＀븎餰騪䂉찀줐今E㐲㐵吭䥁䙞彅卅䥔䅍䕔✨䍆❆✬䕍乁Ⱗ䌧䱁❁✬〲㌱ⰧⰰⰬⰧ啃剒久奃唽䑓✬착!＀＀ ＀＀	＀＀_x0008_＀＀_x0001_＀＀_x0001_＀＀_x0001_＀＀厏⑴찗䂆찀줙今D呓ⵍ剆䙞彅卅䥔䅍䕔✨扥瑩Ⱗ䴧䅅❎✬䅃䅌Ⱗ㈧〰✹〬Ⱜ✬䌬剕䕒䍎㵙单ⱄ⤧!＀＀ ＀＀	＀＀_x0008_＀＀_x0001_＀＀_x0001_＀＀_x0001_＀＀⚁蛂괧삋찀鎃丹_x0014_䅃䵖䙞彇剐䍉⡅〴㔷⤸!＀＀ ＀＀	＀＀_x0008_＀＀_x0001_＀＀_x0001_＀＀_x0001_＀＀炤਽ꏗ䁀찀줕今C䍑䵏䙞彅卅䥔䅍䕔✨偅䉓❇✬䕍乁Ⱗ䌧䱁❁✬〲㘰ⰧⰰⰬⰧ啃剒久奃唽䑓✬착!＀＀ ＀＀	＀＀_x0008_＀＀_x0001_＀＀_x0001_＀＀_x0001_＀＀灻홷뭮㿻찀曄仁_x001A_义䍔偞䉟呅彁佌䥃塄⴨䄳ⱍ⤰!＀＀ ＀＀	＀＀_x0008_＀＀_x0001_＀＀_x0001_＀＀_x0001_＀＀닞껹㿨찀줕今H噎䅄䙞彅卅䥔䅍䕔✨啃呓䵏䕟卐Ⱗ䴧䅅❎✬䅃䅌Ⱗ㈧㄰✴〬Ⱜ✬䌬剕䕒䍎㵙单ⱄ⤧!＀＀ ＀＀	＀＀_x0008_＀＀_x0001_＀＀_x0001_＀＀_x0001_＀＀豀碵꼝쐕찀줌今C剁䡍䙞彅卅䥔䅍䕔✨偅䉓❇✬䕍乁Ⱗ䌧䱁❁✬〲〱ⰧⰰⰬⰧ啃剒久奃唽䑓✬착!＀＀ ＀＀	＀＀_x0008_＀＀_x0001_＀＀_x0001_＀＀_x0001_＀＀蝠登̊㿛찀줎今G㐲㐵吭䥁䙞彅卅䥔䅍䕔✨䅓䕌❓✬䕍乁Ⱗ䌧䱁❁✬〲㐱ⰧⰰⰬⰧ啃剒久奃唽䑓✬착!＀＀ ＀＀	＀＀_x0008_＀＀_x0001_＀＀_x0001_＀＀_x0001_＀＀閁譃䂯찀M丯_x001A_前䱖䙞彇剐䍉⡅〴㔷ⰰⰬ单⥄!＀＀ ＀＀	＀＀_x0008_＀＀_x0001_＀＀_x0001_＀＀_x0001_＀＀㌳㌳㌳䀯찀_xDC01_亱B呓幍䕆䕟呓䵉呁⡅䔧卐䝂Ⱗ䴧䅅❎✬䅃䅌Ⱗ㈧㄰✱〬Ⱜ✬䌬剕䕒䍎㵙单ⱄ⤧!＀＀ ＀＀	＀＀_x0008_＀＀_x0001_＀＀_x0001_＀＀_x0001_＀＀ꑕ_xD8C2_偂㿡찀栤仁_x0014_䅃䵖䙞彇剐䍉⡅〴㘸⤱!＀＀ ＀＀	＀＀_x0008_＀＀_x0001_＀＀_x0001_＀＀_x0001_＀＀馚香_xD999_䁁찀줇今_x0016_塍幌彐牰捩彥潬彷㈵⡷⤰!＀＀ ＀＀	＀＀_x0008_＀＀_x0001_＀＀_x0001_＀＀_x0001_＀＀ਾꏗ㵰䀓찀줓今C䍑䵏䙞彅卅䥔䅍䕔✨䅓䕌❓✬䕍乁Ⱗ䌧䱁❁✬〲㘰ⰧⰰⰬⰧ啃剒久奃唽䑓✬착!＀＀ ＀＀	＀＀_x0008_＀＀_x0001_＀＀_x0001_＀＀_x0001_＀＀إ閁뤃䂾찀_xDC01_亱G呓幍䕆䕟呓䵉呁⡅䌧单佔彍偅❓✬䕍乁Ⱗ䌧䱁❁✬〲㤰ⰧⰰⰬⰧ啃剒久奃唽䑓✬착!＀＀ ＀＀	＀＀_x0008_＀＀_x0001_＀＀_x0001_＀＀_x0001_＀＀豀碵꼝쐕찀줗今_x0018_剂䵃偞灟楲散桟杩彨㈵⡷⤰!＀＀ ＀＀	＀＀_x0008_＀＀_x0001_＀＀_x0001_＀＀_x0001_＀＀롒蔞뇫䁇찀줛今J呓ⵍ剆䙞彅卅䥔䅍䕔✨啃呓䵏䕟卐Ⱗ䴧䅅❎✬䅃䅌Ⱗ㈧〰✹〬Ⱜ✬䌬剕䕒䍎㵙单ⱄ⤧!＀＀ ＀＀	＀＀_x0008_＀＀_x0001_＀＀_x0001_＀＀_x0001_＀＀豀碵꼝쐕찀줌今C剁䡍䙞彅卅䥔䅍䕔✨䅓䕌❓✬䕍乁Ⱗ䌧䱁❁✬〲〱ⰧⰰⰬⰧ啃剒久奃唽䑓✬착!＀＀ ＀＀	＀＀_x0008_＀＀_x0001_＀＀_x0001_＀＀_x0001_＀＀䂃찀줏今B义䍔䙞彅卅䥔䅍䕔✨扥瑩Ⱗ䴧䅅❎✬䅃䅌Ⱗ㈧〰✶〬Ⱜ✬䌬剕䕒䍎㵙单ⱄ⤧!＀＀ ＀＀	＀＀_x0008_＀＀_x0001_＀＀_x0001_＀＀_x0001_＀＀磕⛩ꘑ䂸찀_xDC01_亱B呓幍䕆䕟呓䵉呁⡅匧䱁卅Ⱗ䴧䅅❎✬䅃䅌Ⱗ㈧㄰✱〬Ⱜ✬䌬剕䕒䍎㵙单ⱄ⤧!＀＀ ＀＀	＀＀_x0008_＀＀_x0001_＀＀_x0001_＀＀_x0001_＀＀晧晦搦䃃찀鎦丹_x0014_䱘塎䙞彇剐䍉⡅〴㔷⤸!＀＀ ＀＀	＀＀_x0008_＀＀_x0001_＀＀_x0001_＀＀_x0001_＀＀쳍쳌䳌䀿찀줐今G㐲㐵吭䥁䙞彅卅䥔䅍䕔✨䅃䕐❘✬䕍乁Ⱗ䌧䱁❁✬〲㐱ⰧⰰⰬⰧ啃剒久奃唽䑓✬착!＀＀ ＀＀	＀＀_x0008_＀＀_x0001_＀＀_x0001_＀＀_x0001_＀＀쒜뀠呲䁕찀䭴亴_x0013_塍幌䝆偟䥒䕃㐨㠰ㄵ착!＀＀ ＀＀	＀＀_x0008_＀＀_x0001_＀＀_x0001_＀＀_x0001_＀＀쳍쳌쳌䀕찀鎦丹_x001A_噎䅄䙞彇剐䍉⡅〴㔷ⰸⰬ单⥄!＀＀ ＀＀	＀＀_x0008_＀＀_x0001_＀＀_x0001_＀＀_x0001_＀＀轜尨䀭찀줔今C䍑䵏䙞彅卅䥔䅍䕔✨䅃䕐❘✬䕍乁Ⱗ䌧䱁❁✬〲㘰ⰧⰰⰬⰧ啃剒久奃唽䑓✬착!＀＀ ＀＀	＀＀_x0008_＀＀_x0001_＀＀_x0001_＀＀_x0001_＀＀嵤䛜ꮃ䂃찀样仁_x0014_䱘塎䙞彇剐䍉⡅〴㘸⤱!＀＀ ＀＀	＀＀_x0008_＀＀_x0001_＀＀_x0001_＀＀_x0001_＀＀⨰Ꭹ䳐䁀찀줌今C剁䡍䙞彅卅䥔䅍䕔✨䅃䕐❘✬䕍乁Ⱗ䌧䱁❁✬〲〱ⰧⰰⰬⰧ啃剒久奃唽䑓✬착!＀＀ ＀＀	＀＀_x0008_＀＀_x0001_＀＀_x0001_＀＀_x0001_＀＀ټ쏔䀫찀_xDC01_亱B呓幍䕆䕟呓䵉呁⡅䌧偁塅Ⱗ䴧䅅❎✬䅃䅌Ⱗ㈧㄰✱〬Ⱜ✬䌬剕䕒䍎㵙单ⱄ⤧!＀＀ ＀＀	＀＀_x0008_＀＀_x0001_＀＀_x0001_＀＀_x0001_＀＀㌴㌳ଳ䂔찀줛今E呓ⵍ剆䙞彅卅䥔䅍䕔✨偅䉓❇✬䕍乁Ⱗ䌧䱁❁✬〲㠰ⰧⰰⰬⰧ啃剒久奃唽䑓✬착!＀＀ ＀＀	＀＀_x0008_＀＀_x0001_＀＀_x0001_＀＀_x0001_＀＀ဌꖻ΋㿕찀줎今G义䍔䙞彅卅䥔䅍䕔✨义彃則协❓✬䕍乁Ⱗ䌧䱁❁✬〲㐱ⰧⰰⰬⰧ啃剒久奃唽䑓✬착!＀＀ ＀＀	＀＀_x0008_＀＀_x0001_＀＀_x0001_＀＀_x0001_＀＀㌴㌳䂓䃣찀줗今_x001C_呓ⵍ剆䙞彇剐䍉⡅〴㐵ⰴⰬ单⥄!＀＀ ＀＀	＀＀_x0008_＀＀_x0001_＀＀_x0001_＀＀_x0001_＀＀晉໵쎷䀤찀줐今E㐲㐵吭䥁䙞彅卅䥔䅍䕔✨䍆❆✬䕍乁Ⱗ䌧䱁❁✬〲〱ⰧⰰⰬⰧ啃剒久奃唽䑓✬착!＀＀ ＀＀	＀＀_x0008_＀＀_x0001_＀＀_x0001_＀＀_x0001_＀＀ᢔ嘄쮎䂎찀줙今D呓ⵍ剆䙞彅卅䥔䅍䕔✨扥瑩Ⱗ䴧䅅❎✬䅃䅌Ⱗ㈧〰✶〬Ⱜ✬䌬剕䕒䍎㵙单ⱄ⤧!＀＀ ＀＀	＀＀_x0008_＀＀_x0001_＀＀_x0001_＀＀_x0001_＀＀歑瞚릜䂆찀줔今B䍑䵏䙞彅卅䥔䅍䕔✨扥瑩Ⱗ䴧䅅❎✬䅃䅌Ⱗ㈧〰✸〬Ⱜ✬䌬剕䕒䍎㵙单ⱄ⤧!＀＀ ＀＀	＀＀_x0008_＀＀_x0001_＀＀_x0001_＀＀_x0001_＀＀꟰䯆ط䂰찀줘今F䑁幉䕆䕟呓䵉呁⡅䤧䍎䝟佒卓Ⱗ䴧䅅❎✬䅃䅌Ⱗ㈧〰✸〬Ⱜ✬䌬剕䕒䍎㵙单ⱄ⤧!＀＀ ＀＀	＀＀_x0008_＀＀_x0001_＀＀_x0001_＀＀_x0001_＀＀龿⼚畝䂗찀䮈亴_x001C_呓ⵍ剆䙞彇剐䍉⡅〴㔸ⰱⰬ单⥄!＀＀ ＀＀	＀＀_x0008_＀＀_x0001_＀＀_x0001_＀＀_x0001_＀＀껷彁쭺䀜찀줘今E呓ⵍ剆䙞彅卅䥔䅍䕔✨䅓䕌❓✬䕍乁Ⱗ䌧䱁❁✬〲㠰ⰧⰰⰬⰧ啃剒久奃唽䑓✬착!＀＀ ＀＀	＀＀_x0008_＀＀_x0001_＀＀_x0001_＀＀_x0001_＀＀＀＀＀＀㤀䃃찀줎今G㐲㐵吭䥁䙞彅卅䥔䅍䕔✨䅓䕌❓✬䕍乁Ⱗ䌧䱁❁✬〲ㄱⰧⰰⰬⰧ啃剒久奃唽䑓✬착!＀＀ ＀＀	＀＀_x0008_＀＀_x0001_＀＀_x0001_＀＀_x0001_＀＀빷᪟뱯䂦찀䮌亴_x001B_䱁剔唭幓䝆偟䥒䕃丨坏Ⱜ唬䑓착!＀＀ ＀＀	＀＀_x0008_＀＀_x0001_＀＀_x0001_＀＀_x0001_＀＀晦晦虦䁃찀줛今J呓ⵍ剆䙞彅卅䥔䅍䕔✨啃呓䵏䕟卐Ⱗ䴧䅅❎✬䅃䅌Ⱗ㈧〰✶〬Ⱜ✬䌬剕䕒䍎㵙单ⱄ⤧!＀＀ ＀＀	＀＀_x0008_＀＀_x0001_＀＀_x0001_＀＀_x0001_＀＀豀碵꼝쐕찀줕今C䍑䵏䙞彅卅䥔䅍䕔✨偅䉓❇✬䕍乁Ⱗ䌧䱁❁✬〲㌱ⰧⰰⰬⰧ啃剒久奃唽䑓✬착!＀＀ ＀＀	＀＀_x0008_＀＀_x0001_＀＀_x0001_＀＀_x0001_＀＀񐧫漟䀐찀줚今B䑁幉䕆䕟呓䵉呁⡅䔧卐䝂Ⱗ䴧䅅❎✬䅃䅌Ⱗ㈧〰✷〬Ⱜ✬䌬剕䕒䍎㵙单ⱄ⤧!＀＀ ＀＀	＀＀_x0008_＀＀_x0001_＀＀_x0001_＀＀_x0001_＀＀ᖱⴴ㿺찀줚今E呓ⵍ剆䙞彅卅䥔䅍䕔✨䅃䕐❘✬䕍乁Ⱗ䌧䱁❁✬〲㠰ⰧⰰⰬⰧ啃剒久奃唽䑓✬착!＀＀ ＀＀	＀＀_x0008_＀＀_x0001_＀＀_x0001_＀＀_x0001_＀＀멞౉ং䂐찀줐今G㐲㐵吭䥁䙞彅卅䥔䅍䕔✨䅃䕐❘✬䕍乁Ⱗ䌧䱁❁✬〲ㄱⰧⰰⰬⰧ啃剒久奃唽䑓✬착!＀＀ ＀＀	＀＀_x0008_＀＀_x0001_＀＀_x0001_＀＀_x0001_＀＀㤚笋濚䁔찀줐今A义䍔䙞彅卅䥔䅍䕔✨䍆❆✬䕍乁Ⱗ䌧䱁❁✬〲㌱ⰧⰰⰬⰧ啃剒久奃唽䑓✬착!＀＀ ＀＀	＀＀_x0008_＀＀_x0001_＀＀_x0001_＀＀_x0001_＀＀빷᪟춟䃈찀줗今_x001D_前䱖偞灟楲散江睯㕟眲〨Ⱜ唬䑓착!＀＀ ＀＀	＀＀_x0008_＀＀_x0001_＀＀_x0001_＀＀_x0001_＀＀⣶轜痂䀦찀崛仆_x001A_前䱖䙞彇剐䍉⡅〴㘸ⰵⰬ单⥄!＀＀ ＀＀	＀＀_x0008_＀＀_x0001_＀＀_x0001_＀＀_x0001_＀＀롑蔞䀫찀줓今C䍑䵏䙞彅卅䥔䅍䕔✨䅓䕌❓✬䕍乁Ⱗ䌧䱁❁✬〲㤰ⰧⰰⰬⰧ啃剒久奃唽䑓✬착!＀＀ ＀＀	＀＀_x0008_＀＀_x0001_＀＀_x0001_＀＀_x0001_＀＀꟰䯆ꁷ䃄찀瀍享_x0019_䑁幉䝆偟䥒䕃㐨㠰㐴Ⱜ唬䑓착!＀＀ ＀＀	＀＀_x0008_＀＀_x0001_＀＀_x0001_＀＀_x0001_＀＀馚香_xD999_䁂찀줖今_x0014_䱁剔䙞彇剐䍉⡅〴㘸⤸!＀＀ ＀＀	＀＀_x0008_＀＀_x0001_＀＀_x0001_＀＀_x0001_＀＀롒蔞釫䁁찀줌今C剁䡍䙞彅卅䥔䅍䕔✨䅓䕌❓✬䕍乁Ⱗ䌧䱁❁✬〲㌱ⰧⰰⰬⰧ啃剒久奃唽䑓✬착!＀＀ ＀＀	＀＀_x0008_＀＀_x0001_＀＀_x0001_＀＀_x0001_＀＀ꀨ낉덡䂎찀줎今K㐲㐵吭䥁䙞彅卅䥔䅍䕔✨义彃則协❓✬䕍乁Ⱗ䌧䱁❁✬〲㜰ⰧⰰⰬⰧ啃剒久奃唽䑓✬착!＀＀ ＀＀	＀＀_x0008_＀＀_x0001_＀＀_x0001_＀＀_x0001_＀＀좴빶휟䂕찀_xDC01_亱B呓幍䕆䕟呓䵉呁⡅匧䱁卅Ⱗ䴧䅅❎✬䅃䅌Ⱗ㈧㄰✴〬Ⱜ✬䌬剕䕒䍎㵙单ⱄ⤧!＀＀ ＀＀	＀＀_x0008_＀＀_x0001_＀＀_x0001_＀＀_x0001_＀＀빷᪟ꗿ䃆찀,丯F㘰㔳䉔䔭䙞彅卅䥔䅍䕔✨䅓䕌❓✬䕍乁Ⱗ儧䅕呒剅奌剟䱏❌✬〲ㄱ㈯❃〬Ⱜ✬⤧!＀＀ ＀＀	＀＀_x0008_＀＀_x0001_＀＀_x0001_＀＀_x0001_＀＀豀碵꼝쐕찀_xDC01_亱F呓幍䕆䕟呓䵉呁⡅䤧䍎䝟佒卓Ⱗ䴧䅅❎✬䅃䅌Ⱗ㈧〰✷〬Ⱜ✬䌬剕䕒䍎㵙单ⱄ⤧!＀＀ ＀＀	＀＀_x0008_＀＀_x0001_＀＀_x0001_＀＀_x0001_＀＀䖢䷽䂯찀줙今I呓ⵍ剆䙞彅卅䥔䅍䕔✨义彃則协❓✬䕍乁Ⱗ䌧䱁❁✬〲㜰ⰧⰰⰬⰧ啃剒久奃唽䑓✬착!＀＀ ＀＀	＀＀_x0008_＀＀_x0001_＀＀_x0001_＀＀_x0001_＀＀⋑率鉾䂰찀줔今C䍑䵏䙞彅卅䥔䅍䕔✨䅃䕐❘✬䕍乁Ⱗ䌧䱁❁✬〲㤰ⰧⰰⰬⰧ啃剒久奃唽䑓✬착!＀＀ ＀＀	＀＀_x0008_＀＀_x0001_＀＀_x0001_＀＀_x0001_＀＀奋㢆ᅖ䂅찀줗今_x001E_义䍔偞灟楲散桟杩彨㈵⡷ⰰⰬ单⥄!＀＀ ＀＀	＀＀_x0008_＀＀_x0001_＀＀_x0001_＀＀_x0001_＀＀蔟凫纸䀹찀䭴亴_x0014_偉䥈䙞彇剐䍉⡅〴㔸⤱!＀＀ ＀＀	＀＀_x0008_＀＀_x0001_＀＀_x0001_＀＀_x0001_＀＀晦晦䀧찀줌今C剁䡍䙞彅卅䥔䅍䕔✨䅃䕐❘✬䕍乁Ⱗ䌧䱁❁✬〲㌱ⰧⰰⰬⰧ啃剒久奃唽䑓✬착!＀＀ ＀＀	＀＀_x0008_＀＀_x0001_＀＀_x0001_＀＀_x0001_＀＀틝䡪揜䀰찀중今H义䍔䙞彅卅䥔䅍䕔✨啃呓䵏䕟卐Ⱗ䴧䅅❎✬䅃䅌Ⱗ㈧〰✷〬Ⱜ✬䌬剕䕒䍎㵙单ⱄ⤧!＀＀ ＀＀	＀＀_x0008_＀＀_x0001_＀＀_x0001_＀＀_x0001_＀＀ᑺ䞮㿳찀_xDC01_亱B呓幍䕆䕟呓䵉呁⡅䌧偁塅Ⱗ䴧䅅❎✬䅃䅌Ⱗ㈧㄰✴〬Ⱜ✬䌬剕䕒䍎㵙单ⱄ⤧!＀＀ ＀＀	＀＀_x0008_＀＀_x0001_＀＀_x0001_＀＀_x0001_＀＀擃悪㵔䂋찀줙今D呓ⵍ剆䙞彅卅䥔䅍䕔✨扥瑩Ⱗ䴧䅅❎✬䅃䅌Ⱗ㈧㄰✳〬Ⱜ✬䌬剕䕒䍎㵙单ⱄ⤧!＀＀ ＀＀	＀＀_x0008_＀＀_x0001_＀＀_x0001_＀＀_x0001_＀＀퓾ద䂀찀왆亭_x0014_䅃䵖䙞彇剐䍉⡅〴㐸⤶!＀＀ ＀＀	＀＀_x0008_＀＀_x0001_＀＀_x0001_＀＀_x0001_＀＀炤਽ϗ䁁찀줕今C䍑䵏䙞彅卅䥔䅍䕔✨偅䉓❇✬䕍乁Ⱗ䌧䱁❁✬〲〱ⰧⰰⰬⰧ啃剒久奃唽䑓✬착!＀＀ ＀＀	＀＀_x0008_＀＀_x0001_＀＀_x0001_＀＀_x0001_＀＀櫰㎹Ⱃ䀅찀鷽仅_x0014_剂䵃䙞彇剐䍉⡅〴㘸⤴!＀＀ ＀＀	＀＀_x0008_＀＀_x0001_＀＀_x0001_＀＀_x0001_＀＀ꏗ㵰眊䁀찀줐今A义䍔䙞彅卅䥔䅍䕔✨䍆❆✬䕍乁Ⱗ䌧䱁❁✬〲〱ⰧⰰⰬⰧ啃剒久奃唽䑓✬착!＀＀ ＀＀	＀＀_x0008_＀＀_x0001_＀＀_x0001_＀＀_x0001_＀＀晧晦㏦䃂찀鉖仂_x0014_䅃䵖䙞彇剐䍉⡅〴㘸⤲!＀＀ ＀＀	＀＀_x0008_＀＀_x0001_＀＀_x0001_＀＀_x0001_＀＀＀＀＀＀䁁찀줗今 呓ⵍ剆偞灟楲散桟杩彨㈵⡷ⰰⰬ单⥄!＀＀ ＀＀	＀＀_x0008_＀＀_x0001_＀＀_x0001_＀＀_x0001_＀＀갭᜛䀫찀M丯_x0014_䱁剔䙞彇剐䍉⡅〴㔷⤰!＀＀ ＀＀	＀＀_x0008_＀＀_x0001_＀＀_x0001_＀＀_x0001_＀＀䞮竡䁄찀,丯D㘰㔳䉔䔭䙞彅卅䥔䅍䕔✨偅❓✬䕍乁Ⱗ儧䅕呒剅奌剟䱏❌✬〲ㄱ㌯❃〬Ⱜ✬⤧!＀＀ ＀＀	＀＀_x0008_＀＀_x0001_＀＀_x0001_＀＀_x0001_＀＀豀碵꼝쐕찀줓今C䍑䵏䙞彅卅䥔䅍䕔✨䅓䕌❓✬䕍乁Ⱗ䌧䱁❁✬〲〱ⰧⰰⰬⰧ啃剒久奃唽䑓✬착!＀＀ ＀＀	＀＀_x0008_＀＀_x0001_＀＀_x0001_＀＀_x0001_＀＀鞍ቮ歓䃇찀_xDC01_亱G呓幍䕆䕟呓䵉呁⡅䌧单佔彍偅❓✬䕍乁Ⱗ䌧䱁❁✬〲㌱ⰧⰰⰬⰧ啃剒久奃唽䑓✬착!＀＀ ＀＀	＀＀_x0008_＀＀_x0001_＀＀_x0001_＀＀_x0001_＀＀豀碵꼝쐕찀瀀享_x0013_塍幌䝆偟䥒䕃㐨㠰㐴착!＀＀ ＀＀	＀＀_x0008_＀＀_x0001_＀＀_x0001_＀＀_x0001_＀＀＀＀＀＀＀＀䀙찀줛今J呓ⵍ剆䙞彅卅䥔䅍䕔✨啃呓䵏䕟卐Ⱗ䴧䅅❎✬䅃䅌Ⱗ㈧㄰✳〬Ⱜ✬䌬剕䕒䍎㵙单ⱄ⤧!＀＀ ＀＀	＀＀_x0008_＀＀_x0001_＀＀_x0001_＀＀_x0001_＀＀豀碵꼝쐕찀줌今B剁䡍䙞彅卅䥔䅍䕔✨扥瑩Ⱗ䴧䅅❎✬䅃䅌Ⱗ㈧〰✷〬Ⱜ✬䌬剕䕒䍎㵙单ⱄ⤧!＀＀ ＀＀	＀＀_x0008_＀＀_x0001_＀＀_x0001_＀＀_x0001_＀＀壢뜗壑䁡찀줏今B义䍔䙞彅卅䥔䅍䕔✨扥瑩Ⱗ䴧䅅❎✬䅃䅌Ⱗ㈧㄰✰〬Ⱜ✬䌬剕䕒䍎㵙单ⱄ⤧!＀＀ ＀＀	＀＀_x0008_＀＀_x0001_＀＀_x0001_＀＀_x0001_＀＀㌴㌳_xDBB3_䃎찀왐亭_x0014_䱘塎䙞彇剐䍉⡅〴㐸⤶!＀＀ ＀＀	＀＀_x0008_＀＀_x0001_＀＀_x0001_＀＀_x0001_＀＀Ẹ顑䁀찀줖今H䍑䵏䙞彅卅䥔䅍䕔✨啃呓䵏䕟卐Ⱗ䴧䅅❎✬䅃䅌Ⱗ㈧〰✶〬Ⱜ✬䌬剕䕒䍎㵙单ⱄ⤧!＀＀ ＀＀	＀＀_x0008_＀＀_x0001_＀＀_x0001_＀＀_x0001_＀＀饰旓넱㿸찀줗今_x0019_䑁幉䝆偟䥒䕃㐨㠰㠶Ⱜ唬䑓착!＀＀ ＀＀	＀＀_x0008_＀＀_x0001_＀＀_x0001_＀＀_x0001_＀＀凬Ẹ⮅䁁찀줔今C䍑䵏䙞彅卅䥔䅍䕔✨䅃䕐❘✬䕍乁Ⱗ䌧䱁❁✬〲〱ⰧⰰⰬⰧ啃剒久奃唽䑓✬착!＀＀ ＀＀	＀＀_x0008_＀＀_x0001_＀＀_x0001_＀＀_x0001_＀＀茓쫀஡䁽찀鉦仂_x0014_䱘塎䙞彇剐䍉⡅〴㘸⤲!＀＀ ＀＀	＀＀_x0008_＀＀_x0001_＀＀_x0001_＀＀_x0001_＀＀匦ꌅ抒䁀찀줛今E呓ⵍ剆䙞彅卅䥔䅍䕔✨偅䉓❇✬䕍乁Ⱗ䌧䱁❁✬〲㈱ⰧⰰⰬⰧ啃剒久奃唽䑓✬착!＀＀ ＀＀	＀＀_x0008_＀＀_x0001_＀＀_x0001_＀＀_x0001_＀＀脋鮷픻㿗찀줌今A剁䡍䙞彅卅䥔䅍䕔✨䍆❆✬䕍乁Ⱗ䌧䱁❁✬〲㘰ⰧⰰⰬⰧ啃剒久奃唽䑓✬착!＀＀ ＀＀	＀＀_x0008_＀＀_x0001_＀＀_x0001_＀＀_x0001_＀＀슐⣵赜䁠찀줖今A䍑䵏䙞彅卅䥔䅍䕔✨偄❓✬䕍乁Ⱗ䌧䱁❁✬〲ㄱⰧⰰⰬⰧ啃剒久奃唽䑓✬착!＀＀ ＀＀	＀＀_x0008_＀＀_x0001_＀＀_x0001_＀＀_x0001_＀＀ﱧ뤌㭣㿩찀_xDC01_亱F呓幍䕆䕟呓䵉呁⡅䤧䍎䝟佒卓Ⱗ䴧䅅❎✬䅃䅌Ⱗ㈧㄰✴〬Ⱜ✬䌬剕䕒䍎㵙单ⱄ⤧!＀＀ ＀＀	＀＀_x0008_＀＀_x0001_＀＀_x0001_＀＀_x0001_＀＀豀碵꼝쐕찀줕今A䍑䵏䙞彅卅䥔䅍䕔✨䍆❆✬䕍乁Ⱗ䌧䱁❁✬〲㠰ⰧⰰⰬⰧ啃剒久奃唽䑓✬착!＀＀ ＀＀	＀＀_x0008_＀＀_x0001_＀＀_x0001_＀＀_x0001_＀＀㌴㌳砳䂧찀줚今@䑁幉䕆䕟呓䵉呁⡅䘧䙃Ⱗ䴧䅅❎✬䅃䅌Ⱗ㈧〰✷〬Ⱜ✬䌬剕䕒䍎㵙单ⱄ⤧!＀＀ ＀＀	＀＀_x0008_＀＀_x0001_＀＀_x0001_＀＀_x0001_＀＀ᚇ컙⿷䂅찀鷽仅_x001A_义䍔䙞彇剐䍉⡅〴㘸ⰴⰬ单⥄!＀＀ ＀＀	＀＀_x0008_＀＀_x0001_＀＀_x0001_＀＀_x0001_＀＀ꏗ㵰圊䀸찀줙今D呓ⵍ剆䙞彅卅䥔䅍䕔✨扥瑩Ⱗ䴧䅅❎✬䅃䅌Ⱗ㈧㄰✰〬Ⱜ✬䌬剕䕒䍎㵙单ⱄ⤧!＀＀ ＀＀	＀＀_x0008_＀＀_x0001_＀＀_x0001_＀＀_x0001_＀＀摚_xDF3B_䧏䂁찀줘今F䑁幉䕆䕟呓䵉呁⡅䤧䍎䝟佒卓Ⱗ䴧䅅❎✬䅃䅌Ⱗ㈧㄰✲〬Ⱜ✬䌬剕䕒䍎㵙单ⱄ⤧!＀＀ ＀＀	＀＀_x0008_＀＀_x0001_＀＀_x0001_＀＀_x0001_＀＀晧晦ᑦ䂟찀줇今_x0013_塍幌䝆偟䥒䕃㐨㔰㐴착!＀＀ ＀＀	＀＀_x0008_＀＀_x0001_＀＀_x0001_＀＀_x0001_＀＀롑蔞䀥찀M丯_x001E_㐲㐵吭䥁䙞彇剐䍉⡅〴㔷ⰰⰬ单⥄!＀＀ ＀＀	＀＀_x0008_＀＀_x0001_＀＀_x0001_＀＀_x0001_＀＀鿽糃腹䀣찀줘今E呓ⵍ剆䙞彅卅䥔䅍䕔✨䅓䕌❓✬䕍乁Ⱗ䌧䱁❁✬〲㈱ⰧⰰⰬⰧ啃剒久奃唽䑓✬착!＀＀ ＀＀	＀＀_x0008_＀＀_x0001_＀＀_x0001_＀＀_x0001_＀＀⬂ᚇ拉䃃찀중今C义䍔䙞彅卅䥔䅍䕔✨偅䉓❇✬䕍乁Ⱗ䌧䱁❁✬〲㜰ⰧⰰⰬⰧ啃剒久奃唽䑓✬착!＀＀ ＀＀	＀＀_x0008_＀＀_x0001_＀＀_x0001_＀＀_x0001_＀＀豀碵꼝쐕찀_xDC01_亱G呓幍䕆䕟呓䵉呁⡅䌧单佔彍偅❓✬䕍乁Ⱗ䌧䱁❁✬〲〱ⰧⰰⰬⰧ啃剒久奃唽䑓✬착!＀＀ ＀＀	＀＀_x0008_＀＀_x0001_＀＀_x0001_＀＀_x0001_＀＀豀碵꼝쐕찀줓今B噎䅄䙞彅卅䥔䅍䕔✨扥瑩Ⱗ䴧䅅❎✬䅃䅌Ⱗ㈧〰✸〬Ⱜ✬䌬剕䕒䍎㵙单ⱄ⤧!＀＀ ＀＀	＀＀_x0008_＀＀_x0001_＀＀_x0001_＀＀_x0001_＀＀錋悩䁫찀줙今A䑁幉䕆䕟呓䵉呁⡅攧楢❴✬䕍乁Ⱗ䌧䱁❁✬〲㈱ⰧⰰⰬⰧ啃剒久奃唽䑓✬착!＀＀ ＀＀	＀＀_x0008_＀＀_x0001_＀＀_x0001_＀＀_x0001_＀＀إ閁饃䂐찀줛今J呓ⵍ剆䙞彅卅䥔䅍䕔✨啃呓䵏䕟卐Ⱗ䴧䅅❎✬䅃䅌Ⱗ㈧㄰✰〬Ⱜ✬䌬剕䕒䍎㵙单ⱄ⤧!＀＀ ＀＀	＀＀_x0008_＀＀_x0001_＀＀_x0001_＀＀_x0001_＀＀豀碵꼝쐕찀줚今B䑁幉䕆䕟呓䵉呁⡅䔧卐䝂Ⱗ䴧䅅❎✬䅃䅌Ⱗ㈧㄰✱〬Ⱜ✬䌬剕䕒䍎㵙单ⱄ⤧!＀＀ ＀＀	＀＀_x0008_＀＀_x0001_＀＀_x0001_＀＀_x0001_＀＀ଛ茊ല䀇찀줚今E呓ⵍ剆䙞彅卅䥔䅍䕔✨䅃䕐❘✬䕍乁Ⱗ䌧䱁❁✬〲㈱ⰧⰰⰬⰧ啃剒久奃唽䑓✬착!＀＀ ＀＀	＀＀_x0008_＀＀_x0001_＀＀_x0001_＀＀_x0001_＀＀ἢ泴诖䂉찀줍今C义䍔䙞彅卅䥔䅍䕔✨䅓䕌❓✬䕍乁Ⱗ䌧䱁❁✬〲㜰ⰧⰰⰬⰧ啃剒久奃唽䑓✬착!＀＀ ＀＀	＀＀_x0008_＀＀_x0001_＀＀_x0001_＀＀_x0001_＀＀＀＀＀＀럀䃢찀罊仁_x001D_义䍔偞偟䥒䕃䅟䝖㐨㘰㌳㐬㜰㐲착!＀＀ ＀＀	＀＀_x0008_＀＀_x0001_＀＀_x0001_＀＀_x0001_＀＀寫瓦챙䀵찀样仁_x0019_䑁幉䝆偟䥒䕃㐨㠰ㄶⰬ唬䑓착!＀＀ ＀＀	＀＀_x0008_＀＀_x0001_＀＀_x0001_＀＀_x0001_＀＀긔㑺䁂찀줓今C䍑䵏䙞彅卅䥔䅍䕔✨䅓䕌❓✬䕍乁Ⱗ䌧䱁❁✬〲㌱ⰧⰰⰬⰧ啃剒久奃唽䑓✬착!＀＀ ＀＀	＀＀_x0008_＀＀_x0001_＀＀_x0001_＀＀_x0001_＀＀䞮竡_xDFD4_䃔찀줘今B䑁幉䕆䕟呓䵉呁⡅匧䱁卅Ⱗ䴧䅅❎✬䅃䅌Ⱗ㈧〰✷〬Ⱜ✬䌬剕䕒䍎㵙单ⱄ⤧!＀＀ ＀＀	＀＀_x0008_＀＀_x0001_＀＀_x0001_＀＀_x0001_＀＀䦺Ȍ䂣찀줌今H剁䡍䙞彅卅䥔䅍䕔✨啃呓䵏䕟卐Ⱗ䴧䅅❎✬䅃䅌Ⱗ㈧〰✷〬Ⱜ✬䌬剕䕒䍎㵙单ⱄ⤧!＀＀ ＀＀	＀＀_x0008_＀＀_x0001_＀＀_x0001_＀＀_x0001_＀＀豀碵꼝쐕찀줗今_x001D_噎䅄偞灟楲散江睯㕟眲〨Ⱜ唬䑓착!＀＀ ＀＀	＀＀_x0008_＀＀_x0001_＀＀_x0001_＀＀_x0001_＀＀㵱휊䀦찀줎今K㐲㐵吭䥁䙞彅卅䥔䅍䕔✨义彃則协❓✬䕍乁Ⱗ䌧䱁❁✬〲ㄱⰧⰰⰬⰧ啃剒久奃唽䑓✬착!＀＀ ＀＀	＀＀_x0008_＀＀_x0001_＀＀_x0001_＀＀_x0001_＀＀犰酨꯭䂔찀줏今B义䍔䙞彅卅䥔䅍䕔✨扥瑩Ⱗ䴧䅅❎✬䅃䅌Ⱗ㈧㄰✳〬Ⱜ✬䌬剕䕒䍎㵙单ⱄ⤧!＀＀ ＀＀	＀＀_x0008_＀＀_x0001_＀＀_x0001_＀＀_x0001_＀＀蔟凫䊈䃓찀줖今H䍑䵏䙞彅卅䥔䅍䕔✨啃呓䵏䕟卐Ⱗ䴧䅅❎✬䅃䅌Ⱗ㈧〰✹〬Ⱜ✬䌬剕䕒䍎㵙单ⱄ⤧!＀＀ ＀＀	＀＀_x0008_＀＀_x0001_＀＀_x0001_＀＀_x0001_＀＀鄲泒䜞㿵찀瀀享_x0014_偉䥈䙞彇剐䍉⡅〴㐸⤴!＀＀ ＀＀	＀＀_x0008_＀＀_x0001_＀＀_x0001_＀＀_x0001_＀＀쳍쳌쳌䀧찀翱仁_x001D_义䍔偞偟䥒䕃䅟䝖㐨㠰㘱㐬㤰㠰착!＀＀ ＀＀	＀＀_x0008_＀＀_x0001_＀＀_x0001_＀＀_x0001_＀＀樖鎎䀷찀줌今B剁䡍䙞彅卅䥔䅍䕔✨扥瑩Ⱗ䴧䅅❎✬䅃䅌Ⱗ㈧㄰✴〬Ⱜ✬䌬剕䕒䍎㵙单ⱄ⤧!＀＀ ＀＀	＀＀_x0008_＀＀_x0001_＀＀_x0001_＀＀_x0001_＀＀鶲꟯쓆䂆찀줐今C义䍔䙞彅卅䥔䅍䕔✨䅃䕐❘✬䕍乁Ⱗ䌧䱁❁✬〲㜰ⰧⰰⰬⰧ啃剒久奃唽䑓✬착!＀＀ ＀＀	＀＀_x0008_＀＀_x0001_＀＀_x0001_＀＀_x0001_＀＀＀＀＀＀蠀䂳찀_xDC01_亱F呓幍䕆䕟呓䵉呁⡅䤧䍎䝟佒卓Ⱗ䴧䅅❎✬䅃䅌Ⱗ㈧㄰✱〬Ⱜ✬䌬剕䕒䍎㵙单ⱄ⤧!＀＀ ＀＀	＀＀_x0008_＀＀_x0001_＀＀_x0001_＀＀_x0001_＀＀ၢ㥘螴䂬찀줙今I呓ⵍ剆䙞彅卅䥔䅍䕔✨义彃則协❓✬䕍乁Ⱗ䌧䱁❁✬〲ㄱⰧⰰⰬⰧ啃剒久奃唽䑓✬착!＀＀ ＀＀	＀＀_x0008_＀＀_x0001_＀＀_x0001_＀＀_x0001_＀＀᪠_xDD2F_稤䂬찀줔今C䍑䵏䙞彅卅䥔䅍䕔✨䅃䕐❘✬䕍乁Ⱗ䌧䱁❁✬〲㌱ⰧⰰⰬⰧ啃剒久奃唽䑓✬착!＀＀ ＀＀	＀＀_x0008_＀＀_x0001_＀＀_x0001_＀＀_x0001_＀＀쐳⺱糮䂌찀줙今B䑁幉䕆䕟呓䵉呁⡅䌧偁塅Ⱗ䴧䅅❎✬䅃䅌Ⱗ㈧〰✷〬Ⱜ✬䌬剕䕒䍎㵙单ⱄ⤧!＀＀ ＀＀	＀＀_x0008_＀＀_x0001_＀＀_x0001_＀＀_x0001_＀＀攬_xFFFF_ｘ䁡찀줏今F㐲㐵吭䥁䙞彅卅䥔䅍䕔✨扥瑩Ⱗ䴧䅅❎✬䅃䅌Ⱗ㈧〰✷〬Ⱜ✬䌬剕䕒䍎㵙单ⱄ⤧!＀＀ ＀＀	＀＀_x0008_＀＀_x0001_＀＀_x0001_＀＀_x0001_＀＀凬Ẹ붅䂎찀중今H义䍔䙞彅卅䥔䅍䕔✨啃呓䵏䕟卐Ⱗ䴧䅅❎✬䅃䅌Ⱗ㈧㄰✱〬Ⱜ✬䌬剕䕒䍎㵙单ⱄ⤧!＀＀ ＀＀	＀＀_x0008_＀＀_x0001_＀＀_x0001_＀＀_x0001_＀＀좴빶᪟䀄찀왐亭_x001A_前䱖䙞彇剐䍉⡅〴㐸ⰶⰬ单⥄!＀＀ ＀＀	＀＀_x0008_＀＀_x0001_＀＀_x0001_＀＀_x0001_＀＀䞮竡⸔䀬찀줌今A剁䡍䙞彅卅䥔䅍䕔✨䍆❆✬䕍乁Ⱗ䌧䱁❁✬〲㤰ⰧⰰⰬⰧ啃剒久奃唽䑓✬착!＀＀ ＀＀	＀＀_x0008_＀＀_x0001_＀＀_x0001_＀＀_x0001_＀＀㲟퐬沚䁠찀_xDC01_亱A呓幍䕆䕟呓䵉呁⡅攧楢❴✬䕍乁Ⱗ䌧䱁❁✬〲㤰ⰧⰰⰬⰧ啃剒久奃唽䑓✬착!＀＀ ＀＀	＀＀_x0008_＀＀_x0001_＀＀_x0001_＀＀_x0001_＀＀艁쟢삋찀줌今!㐲㐵吭䥁䙞彆䅃䡓卟⡔呑ⱒⰰⰬ唬䑓착ĉ＀＀ ＀＀ñ＀＀_x0008_＀＀_x0001_＀＀_x0001_＀＀_x0001_＀＀뀐_xDC04_詧䂣摦畳㩰⼯楄敲瑣潩獮䘯捡却瑥䄠摵瑩湩⁧楖睥牥愿瑣潩㵮啁䥄彔䅖啌♅䉄ㄽ㤲䤦ㅄ㘽㜳㐲☸䅖啌䥅㵄㈰〰☱䑓呁㵅〲ㄱ㌰倦剅佉呄偙㵅呑归呓♄䍓呆㌽眦湩潤㵷潰異彰潮扟牡眦摩桴㌽㔸栦楥桧㵴㈱☰呓剁彔䅍䥘䥍䕚㵄䅆卌♅牣慥潴㵲慦瑣敳♴楤灳慬役瑳楲杮䄽摵瑩찀亱_x0014_剂䵃䙞彇剐䍉⡅〴㐸⤹!＀＀ ＀＀	＀＀_x0008_＀＀_x0001_＀＀_x0001_＀＀_x0001_＀＀轜ᰨ䁁찀M丯_x001A_剁䡍䙞彇剐䍉⡅〴㔷ⰰⰬ单⥄!＀＀ ＀＀	＀＀_x0008_＀＀_x0001_＀＀_x0001_＀＀_x0001_＀＀炤਽揗䀽찀崛仆_x0014_剂䵃䙞彇剐䍉⡅〴㘸⤵!＀＀ ＀＀	＀＀_x0008_＀＀_x0001_＀＀_x0001_＀＀_x0001_＀＀ꏗ㵰眊䁀찀崛仆_x001E_㐲㐵吭䥁䙞彇剐䍉⡅〴㘸ⰵⰬ单⥄!＀＀ ＀＀	＀＀_x0008_＀＀_x0001_＀＀_x0001_＀＀_x0001_＀＀㛊ݰ峪䀤찀줇今_x0014_偉䥈䙞彇剐䍉⡅〴㐵⤴!＀＀ ＀＀	＀＀_x0008_＀＀_x0001_＀＀_x0001_＀＀_x0001_＀＀ꏗ㵰ᜊ䀴찀줗今_x001D_义䍔偞灟楲散江睯㕟眲〨Ⱜ唬䑓착!＀＀ ＀＀	＀＀_x0008_＀＀_x0001_＀＀_x0001_＀＀_x0001_＀＀尩슏⣵䀳찀鎄丹_x0013_塍幌䝆偟䥒䕃㐨㜰㠵착!＀＀ ＀＀	＀＀_x0008_＀＀_x0001_＀＀_x0001_＀＀_x0001_＀＀䞮竡긔䀗찀줗今_x001A_前䱖䙞彇剐䍉⡅〴㐵ⰴⰬ单⥄!＀＀ ＀＀	＀＀_x0008_＀＀_x0001_＀＀_x0001_＀＀_x0001_＀＀쳍쳌賌䀲찀줚今B䑁幉䕆䕟呓䵉呁⡅䔧卐䝂Ⱗ䴧䅅❎✬䅃䅌Ⱗ㈧㄰✴〬Ⱜ✬䌬剕䕒䍎㵙单ⱄ⤧!＀＀ ＀＀	＀＀_x0008_＀＀_x0001_＀＀_x0001_＀＀_x0001_＀＀豀碵꼝쐕찀䮈亴_x001A_前䱖䙞彇剐䍉⡅〴㔸ⰱⰬ单⥄!＀＀ ＀＀	＀＀_x0008_＀＀_x0001_＀＀_x0001_＀＀_x0001_＀＀ᑻ䞮竡䀬찀栤仁_x0013_塍幌䝆偟䥒䕃㐨㠰ㄶ착!＀＀ ＀＀	＀＀_x0008_＀＀_x0001_＀＀_x0001_＀＀_x0001_＀＀쳍쳌쳌䀓찀줌今B剁䡍䙞彅卅䥔䅍䕔✨扥瑩Ⱗ䴧䅅❎✬䅃䅌Ⱗ㈧㄰✱〬Ⱜ✬䌬剕䕒䍎㵙单ⱄ⤧!＀＀ ＀＀	＀＀_x0008_＀＀_x0001_＀＀_x0001_＀＀_x0001_＀＀톷_xDE00_ꘂ䁲찀줎今K㐲㐵吭䥁䙞彅卅䥔䅍䕔✨义彃則协❓✬䕍乁Ⱗ䌧䱁❁✬〲㐱ⰧⰰⰬⰧ啃剒久奃唽䑓✬착!＀＀ ＀＀	＀＀_x0008_＀＀_x0001_＀＀_x0001_＀＀_x0001_＀＀Ẹ걑䂜찀样仁B䑁幉䕆䕟呓䵉呁⡅匧䱁卅Ⱗ䴧䅅❎✬䅃䅌Ⱗ㈧㄰✴〬Ⱜ✬䌬剕䕒䍎㵙单ⱄ⤧!＀＀ ＀＀	＀＀_x0008_＀＀_x0001_＀＀_x0001_＀＀_x0001_＀＀豀碵꼝쐕찀줌今G剁䡍䙞彅卅䥔䅍䕔✨义彃則协❓✬䕍乁Ⱗ䌧䱁❁✬〲㜰ⰧⰰⰬⰧ啃剒久奃唽䑓✬착!＀＀ ＀＀	＀＀_x0008_＀＀_x0001_＀＀_x0001_＀＀_x0001_＀＀䷒퉢䁼찀줓今G䍑䵏䙞彅卅䥔䅍䕔✨义彃則协❓✬䕍乁Ⱗ䌧䱁❁✬〲㜰ⰧⰰⰬⰧ啃剒久奃唽䑓✬착!＀＀ ＀＀	＀＀_x0008_＀＀_x0001_＀＀_x0001_＀＀_x0001_＀＀탦_xDB22_ཙ䂺찀_xDC01_亱A呓幍䕆䕟呓䵉呁⡅攧楢❴✬䕍乁Ⱗ䌧䱁❁✬〲㘰ⰧⰰⰬⰧ啃剒久奃唽䑓✬착!＀＀ ＀＀	＀＀_x0008_＀＀_x0001_＀＀_x0001_＀＀_x0001_＀＀_xD8AE_癟껏䂆찀줙今I呓ⵍ剆䙞彅卅䥔䅍䕔✨义彃則协❓✬䕍乁Ⱗ䌧䱁❁✬〲㐱ⰧⰰⰬⰧ啃剒久奃唽䑓✬착!＀＀ ＀＀	＀＀_x0008_＀＀_x0001_＀＀_x0001_＀＀_x0001_＀＀豀碵꼝쐕찀줌今A剁䡍䙞彅卅䥔䅍䕔✨䍆❆✬䕍乁Ⱗ䌧䱁❁✬〲〱ⰧⰰⰬⰧ啃剒久奃唽䑓✬착!＀＀ ＀＀	＀＀_x0008_＀＀_x0001_＀＀_x0001_＀＀_x0001_＀＀ધ╆≵䁫찀줔今B䍑䵏䙞彅卅䥔䅍䕔✨扥瑩Ⱗ䴧䅅❎✬䅃䅌Ⱗ㈧㄰✲〬Ⱜ✬䌬剕䕒䍎㵙单ⱄ⤧!＀＀ ＀＀	＀＀_x0008_＀＀_x0001_＀＀_x0001_＀＀_x0001_＀＀凬Ẹ鑅䂻찀줛今G䑁幉䕆䕟呓䵉呁⡅䌧单佔彍偅❓✬䕍乁Ⱗ䌧䱁❁✬〲㜰ⰧⰰⰬⰧ啃剒久奃唽䑓✬착!＀＀ ＀＀	＀＀_x0008_＀＀_x0001_＀＀_x0001_＀＀_x0001_＀＀遵菗煉㿸찀중今H义䍔䙞彅卅䥔䅍䕔✨啃呓䵏䕟卐Ⱗ䴧䅅❎✬䅃䅌Ⱗ㈧㄰✴〬Ⱜ✬䌬剕䕒䍎㵙单ⱄ⤧!＀＀ ＀＀	＀＀_x0008_＀＀_x0001_＀＀_x0001_＀＀_x0001_＀＀豀碵꼝쐕찀줗今_x0017_䱘塎偞灟楲散江睯㕟眲〨착!＀＀ ＀＀	＀＀_x0008_＀＀_x0001_＀＀_x0001_＀＀_x0001_＀＀쳍쳌賌䀺찀줙今B䑁幉䕆䕟呓䵉呁⡅䌧偁塅Ⱗ䴧䅅❎✬䅃䅌Ⱗ㈧㄰✴〬Ⱜ✬䌬剕䕒䍎㵙单ⱄ⤧!＀＀ ＀＀	＀＀_x0008_＀＀_x0001_＀＀_x0001_＀＀_x0001_＀＀豀碵꼝쐕찀줚今@䑁幉䕆䕟呓䵉呁⡅䘧䙃Ⱗ䴧䅅❎✬䅃䅌Ⱗ㈧㄰✱〬Ⱜ✬䌬剕䕒䍎㵙单ⱄ⤧!＀＀ ＀＀	＀＀_x0008_＀＀_x0001_＀＀_x0001_＀＀_x0001_＀＀곚峺í䂉찀亱_x0018_䕎䱔偞灟楲散桟杩彨㈵⡷⤰!＀＀ ＀＀	＀＀_x0008_＀＀_x0001_＀＀_x0001_＀＀_x0001_＀＀㵱휊낣䁈찀_xDC01_亱@呓幍䕆䕟呓䵉呁⡅䘧䙃Ⱗ䴧䅅❎✬䅃䅌Ⱗ㈧〰✹〬Ⱜ✬䌬剕䕒䍎㵙单ⱄ⤧!＀＀ ＀＀	＀＀_x0008_＀＀_x0001_＀＀_x0001_＀＀_x0001_＀＀珫ᖵ㿻䁥찀중今C义䍔䙞彅卅䥔䅍䕔✨偅䉓❇✬䕍乁Ⱗ䌧䱁❁✬〲ㄱⰧⰰⰬⰧ啃剒久奃唽䑓✬착!＀＀ ＀＀	＀＀_x0008_＀＀_x0001_＀＀_x0001_＀＀_x0001_＀＀濉집⭒䀅찀亱_x0019_䑁幉䝆偟䥒䕃㐨㠰㤴Ⱜ唬䑓착!＀＀ ＀＀	＀＀_x0008_＀＀_x0001_＀＀_x0001_＀＀_x0001_＀＀＀＀＀＀쀀䁁찀鷽仅_x001A_噎䅄䙞彇剐䍉⡅〴㘸ⰴⰬ单⥄!＀＀ ＀＀	＀＀_x0008_＀＀_x0001_＀＀_x0001_＀＀_x0001_＀＀蔟凫Ẹ䀬찀*丯!㘰㔳䉔䔭偞偟䥒䕃䅟䝖㐨㔰㌴㐬㘰㌳착!＀＀ ＀＀	＀＀_x0008_＀＀_x0001_＀＀_x0001_＀＀_x0001_＀＀豀碵꼝쐕찀崛仆_x001A_剁䡍䙞彇剐䍉⡅〴㘸ⰵⰬ单⥄!＀＀ ＀＀	＀＀_x0008_＀＀_x0001_＀＀_x0001_＀＀_x0001_＀＀蔟凫_xDEB8_䀼찀줓今B噎䅄䙞彅卅䥔䅍䕔✨扥瑩Ⱗ䴧䅅❎✬䅃䅌Ⱗ㈧㄰✲〬Ⱜ✬䌬剕䕒䍎㵙单ⱄ⤧!＀＀ ＀＀	＀＀_x0008_＀＀_x0001_＀＀_x0001_＀＀_x0001_＀＀ᨶ籀䂉찀줗今_x001F_呓ⵍ剆䙞彆䅃䡓卟⡔呑ⱒⰰⰬ唬䑓착ĉ＀＀ ＀＀ñ＀＀_x0008_＀＀_x0001_＀＀_x0001_＀＀_x0001_＀＀퓞@였䂣摦畳㩰⼯楄敲瑣潩獮䘯捡却瑥䄠摵瑩湩⁧楖睥牥愿瑣潩㵮啁䥄彔䅖啌♅䉄ㄽ㤲䤦ㅄ㔽㘹㌲☳䅖啌䥅㵄㈰〰☱䑓呁㵅〲ㄱ㌰倦剅佉呄偙㵅呑归呓♄䍓呆㌽眦湩潤㵷潰異彰潮扟牡眦摩桴㌽㔸栦楥桧㵴㈱☰呓剁彔䅍䥘䥍䕚㵄䅆卌♅牣慥潴㵲慦瑣敳♴楤灳慬役瑳楲杮䄽摵瑩찀줘今B䑁幉䕆䕟呓䵉呁⡅匧䱁卅Ⱗ䴧䅅❎✬䅃䅌Ⱗ㈧㄰✱〬Ⱜ✬䌬剕䕒䍎㵙单ⱄ⤧!＀＀ ＀＀	＀＀_x0008_＀＀_x0001_＀＀_x0001_＀＀_x0001_＀＀㌴㌳渳䂧찀鎄丹_x0014_偉䥈䙞彇剐䍉⡅〴㔷⤸!＀＀ ＀＀	＀＀_x0008_＀＀_x0001_＀＀_x0001_＀＀_x0001_＀＀馚香ᦙ䀨찀줌今H剁䡍䙞彅卅䥔䅍䕔✨啃呓䵏䕟卐Ⱗ䴧䅅❎✬䅃䅌Ⱗ㈧㄰✱〬Ⱜ✬䌬剕䕒䍎㵙单ⱄ⤧!＀＀ ＀＀	＀＀_x0008_＀＀_x0001_＀＀_x0001_＀＀_x0001_＀＀豀碵꼝쐕찀砉仁@义䍔䙞彅卅䥔䅍䕔✨偅❓✬䕍乁Ⱗ儧䅕呒剅奌剟䱏❌✬〲ㄱ㌯❃〬Ⱜ✬⤧!＀＀ ＀＀	＀＀_x0008_＀＀_x0001_＀＀_x0001_＀＀_x0001_＀＀쳍쳌쳌㿤찀줇今_x0018_偉䥈偞灟楲散桟杩彨㈵⡷⤰!＀＀ ＀＀	＀＀_x0008_＀＀_x0001_＀＀_x0001_＀＀_x0001_＀＀㌴㌳㌳䀻찀줖今H䍑䵏䙞彅卅䥔䅍䕔✨啃呓䵏䕟卐Ⱗ䴧䅅❎✬䅃䅌Ⱗ㈧㄰✳〬Ⱜ✬䌬剕䕒䍎㵙单ⱄ⤧!＀＀ ＀＀	＀＀_x0008_＀＀_x0001_＀＀_x0001_＀＀_x0001_＀＀ᤕ逝분䀎찀栤仁_x0014_偉䥈䙞彇剐䍉⡅〴㘸⤱!＀＀ ＀＀	＀＀_x0008_＀＀_x0001_＀＀_x0001_＀＀_x0001_＀＀਽ꏗ㵰䀦찀줙今B䑁幉䕆䕟呓䵉呁⡅䌧偁塅Ⱗ䴧䅅❎✬䅃䅌Ⱗ㈧㄰✱〬Ⱜ✬䌬剕䕒䍎㵙单ⱄ⤧!＀＀ ＀＀	＀＀_x0008_＀＀_x0001_＀＀_x0001_＀＀_x0001_＀＀噬♽䁠찀줌今G剁䡍䙞彅卅䥔䅍䕔✨义彃則协❓✬䕍乁Ⱗ䌧䱁❁✬〲㐱ⰧⰰⰬⰧ啃剒久奃唽䑓✬착!＀＀ ＀＀	＀＀_x0008_＀＀_x0001_＀＀_x0001_＀＀_x0001_＀＀豀碵꼝쐕찀줏今F㐲㐵吭䥁䙞彅卅䥔䅍䕔✨扥瑩Ⱗ䴧䅅❎✬䅃䅌Ⱗ㈧㄰✱〬Ⱜ✬䌬剕䕒䍎㵙单ⱄ⤧!＀＀ ＀＀	＀＀_x0008_＀＀_x0001_＀＀_x0001_＀＀_x0001_＀＀ﷴ磔哩䁻찀줌今A剁䡍䙞彅卅䥔䅍䕔✨䍆❆✬䕍乁Ⱗ䌧䱁❁✬〲㌱ⰧⰰⰬⰧ啃剒久奃唽䑓✬착!＀＀ ＀＀	＀＀_x0008_＀＀_x0001_＀＀_x0001_＀＀_x0001_＀＀竢긔㡇䁷찀중今L㐲㐵吭䥁䙞彅卅䥔䅍䕔✨啃呓䵏䕟卐Ⱗ䴧䅅❎✬䅃䅌Ⱗ㈧〰✷〬Ⱜ✬䌬剕䕒䍎㵙单ⱄ⤧!＀＀ ＀＀	＀＀_x0008_＀＀_x0001_＀＀_x0001_＀＀_x0001_＀＀豀碵꼝쐕찀_xDC01_亱@呓幍䕆䕟呓䵉呁⡅䘧䙃Ⱗ䴧䅅❎✬䅃䅌Ⱗ㈧〰✶〬Ⱜ✬䌬剕䕒䍎㵙单ⱄ⤧!＀＀ ＀＀	＀＀_x0008_＀＀_x0001_＀＀_x0001_＀＀_x0001_＀＀瞛ꊜ椣䂇찀줚今@䑁幉䕆䕟呓䵉呁⡅䘧䙃Ⱗ䴧䅅❎✬䅃䅌Ⱗ㈧㄰✴〬Ⱜ✬䌬剕䕒䍎㵙单ⱄ⤧!＀＀ ＀＀	＀＀_x0008_＀＀_x0001_＀＀_x0001_＀＀_x0001_＀＀豀碵꼝쐕찀줛今G䑁幉䕆䕟呓䵉呁⡅䌧单佔彍偅❓✬䕍乁Ⱗ䌧䱁❁✬〲㐱ⰧⰰⰬⰧ啃剒久奃唽䑓✬착!＀＀ ＀＀	＀＀_x0008_＀＀_x0001_＀＀_x0001_＀＀_x0001_＀＀豀碵꼝쐕찀줓今G噎䅄䙞彅卅䥔䅍䕔✨义彃則协❓✬䕍乁Ⱗ䌧䱁❁✬〲㠰ⰧⰰⰬⰧ啃剒久奃唽䑓✬착!＀＀ ＀＀	＀＀_x0008_＀＀_x0001_＀＀_x0001_＀＀_x0001_＀＀䖢䥽䂓찀鷯仅_x0014_䅃䵖䙞彇剐䍉⡅〴㘸⤴!＀＀ ＀＀	＀＀_x0008_＀＀_x0001_＀＀_x0001_＀＀_x0001_＀＀휊炣꨽䁀찀줗今_x001C_呓ⵍ剆䙞彇剐䍉⡅〴㘸ⰸⰬ单⥄!＀＀ ＀＀	＀＀_x0008_＀＀_x0001_＀＀_x0001_＀＀_x0001_＀＀뇄渮冣䀙찀줚今C呓ⵍ剆䙞彅卅䥔䅍䕔✨䍆❆✬䕍乁Ⱗ䌧䱁❁✬〲㜰ⰧⰰⰬⰧ啃剒久奃唽䑓✬착!＀＀ ＀＀	＀＀_x0008_＀＀_x0001_＀＀_x0001_＀＀_x0001_＀＀轜芨䂄찀중今C义䍔䙞彅卅䥔䅍䕔✨偅䉓❇✬䕍乁Ⱗ䌧䱁❁✬〲㐱ⰧⰰⰬⰧ啃剒久奃唽䑓✬착!＀＀ ＀＀	＀＀_x0008_＀＀_x0001_＀＀_x0001_＀＀_x0001_＀＀豀碵꼝쐕찀왆亭_x0013_塍幌䝆偟䥒䕃㐨㠰㘴착!＀＀ ＀＀	＀＀_x0008_＀＀_x0001_＀＀_x0001_＀＀_x0001_＀＀＀＀＀＀＀＀䀙찀줕今C噎䅄䙞彅卅䥔䅍䕔✨偅䉓❇✬䕍乁Ⱗ䌧䱁❁✬〲㠰ⰧⰰⰬⰧ啃剒久奃唽䑓✬착!＀＀ ＀＀	＀＀_x0008_＀＀_x0001_＀＀_x0001_＀＀_x0001_＀＀쮨ᮽ썦㿣찀줍今C义䍔䙞彅卅䥔䅍䕔✨䅓䕌❓✬䕍乁Ⱗ䌧䱁❁✬〲㐱ⰧⰰⰬⰧ啃剒久奃唽䑓✬착!＀＀ ＀＀	＀＀_x0008_＀＀_x0001_＀＀_x0001_＀＀_x0001_＀＀晧晦⿦䃯찀중今G㐲㐵吭䥁䙞彅卅䥔䅍䕔✨偅䉓❇✬䕍乁Ⱗ䌧䱁❁✬〲㤰ⰧⰰⰬⰧ啃剒久奃唽䑓✬착!＀＀ ＀＀	＀＀_x0008_＀＀_x0001_＀＀_x0001_＀＀_x0001_＀＀尵黤㿰찀줒今E㐲㐵吭䥁䙞彅卅䥔䅍䕔✨偄❓✬䕍乁Ⱗ䌧䱁❁✬〲ㄱⰧⰰⰬⰧ啃剒久奃唽䑓✬착!＀＀ ＀＀	＀＀_x0008_＀＀_x0001_＀＀_x0001_＀＀_x0001_＀＀䃠峭꾽㿝찀줖今H䍑䵏䙞彅卅䥔䅍䕔✨啃呓䵏䕟卐Ⱗ䴧䅅❎✬䅃䅌Ⱗ㈧㄰✰〬Ⱜ✬䌬剕䕒䍎㵙单ⱄ⤧!＀＀ ＀＀	＀＀_x0008_＀＀_x0001_＀＀_x0001_＀＀_x0001_＀＀섁㴜콾䀂찀鉖仂_x0013_塍幌䝆偟䥒䕃㐨㠰㈶착!＀＀ ＀＀	＀＀_x0008_＀＀_x0001_＀＀_x0001_＀＀_x0001_＀＀凬Ẹ䀓찀鷽仅_x0014_䱘塎䙞彇剐䍉⡅〴㘸⤴!＀＀ ＀＀	＀＀_x0008_＀＀_x0001_＀＀_x0001_＀＀_x0001_＀＀尨슏䀿찀줌今H剁䡍䙞彅卅䥔䅍䕔✨啃呓䵏䕟卐Ⱗ䴧䅅❎✬䅃䅌Ⱗ㈧㄰✴〬Ⱜ✬䌬剕䕒䍎㵙单ⱄ⤧!＀＀ ＀＀	＀＀_x0008_＀＀_x0001_＀＀_x0001_＀＀_x0001_＀＀豀碵꼝쐕찀M丯_x001A_䍑䵏䙞彇剐䍉⡅〴㔷ⰰⰬ单⥄!＀＀ ＀＀	＀＀_x0008_＀＀_x0001_＀＀_x0001_＀＀_x0001_＀＀蔟凫庸䁌찀줒今C噎䅄䙞彅卅䥔䅍䕔✨䅓䕌❓✬䕍乁Ⱗ䌧䱁❁✬〲㠰ⰧⰰⰬⰧ啃剒久奃唽䑓✬착!＀＀ ＀＀	＀＀_x0008_＀＀_x0001_＀＀_x0001_＀＀_x0001_＀＀司ꗣ㖛䂫찀왐亭_x001E_㐲㐵吭䥁䙞彇剐䍉⡅〴㐸ⰶⰬ单⥄!＀＀ ＀＀	＀＀_x0008_＀＀_x0001_＀＀_x0001_＀＀_x0001_＀＀಄_xD9E4_돥䀥찀줌今G剁䡍䙞彅卅䥔䅍䕔✨义彃則协❓✬䕍乁Ⱗ䌧䱁❁✬〲ㄱⰧⰰⰬⰧ啃剒久奃唽䑓✬착!＀＀ ＀＀	＀＀_x0008_＀＀_x0001_＀＀_x0001_＀＀_x0001_＀＀䉛摙䂆찀줓今G䍑䵏䙞彅卅䥔䅍䕔✨义彃則协❓✬䕍乁Ⱗ䌧䱁❁✬〲ㄱⰧⰰⰬⰧ啃剒久奃唽䑓✬착!＀＀ ＀＀	＀＀_x0008_＀＀_x0001_＀＀_x0001_＀＀_x0001_＀＀갈娜ꩄ䃄찀_xDC01_亱B呓幍䕆䕟呓䵉呁⡅䔧卐䝂Ⱗ䴧䅅❎✬䅃䅌Ⱗ㈧〰✶〬Ⱜ✬䌬剕䕒䍎㵙单ⱄ⤧!＀＀ ＀＀	＀＀_x0008_＀＀_x0001_＀＀_x0001_＀＀_x0001_＀＀۝_xDFB5_짚㿬찀줐今C义䍔䙞彅卅䥔䅍䕔✨䅃䕐❘✬䕍乁Ⱗ䌧䱁❁✬〲㐱ⰧⰰⰬⰧ啃剒久奃唽䑓✬착!＀＀ ＀＀	＀＀_x0008_＀＀_x0001_＀＀_x0001_＀＀_x0001_＀＀㌳㌳ꢳ䃀찀_xDC01_亱A呓幍䕆䕟呓䵉呁⡅攧楢❴✬䕍乁Ⱗ䌧䱁❁✬〲〱ⰧⰰⰬⰧ啃剒久奃唽䑓✬착!＀＀ ＀＀	＀＀_x0008_＀＀_x0001_＀＀_x0001_＀＀_x0001_＀＀溘茒獀䂁찀줕今A䍑䵏䙞彅卅䥔䅍䕔✨䍆❆✬䕍乁Ⱗ䌧䱁❁✬〲㈱ⰧⰰⰬⰧ啃剒久奃唽䑓✬착!＀＀ ＀＀	＀＀_x0008_＀＀_x0001_＀＀_x0001_＀＀_x0001_＀＀삃ꇊᔥ䂹찀줛今G䑁幉䕆䕟呓䵉呁⡅䌧单佔彍偅❓✬䕍乁Ⱗ䌧䱁❁✬〲ㄱⰧⰰⰬⰧ啃剒久奃唽䑓✬착!＀＀ ＀＀	＀＀_x0008_＀＀_x0001_＀＀_x0001_＀＀_x0001_＀＀閚䏭䀅찀줏今F㐲㐵吭䥁䙞彅卅䥔䅍䕔✨扥瑩Ⱗ䴧䅅❎✬䅃䅌Ⱗ㈧㄰✴〬Ⱜ✬䌬剕䕒䍎㵙单ⱄ⤧!＀＀ ＀＀	＀＀_x0008_＀＀_x0001_＀＀_x0001_＀＀_x0001_＀＀ᘟ䵪䂅찀줔今C噎䅄䙞彅卅䥔䅍䕔✨䅃䕐❘✬䕍乁Ⱗ䌧䱁❁✬〲㠰ⰧⰰⰬⰧ啃剒久奃唽䑓✬착!＀＀ ＀＀	＀＀_x0008_＀＀_x0001_＀＀_x0001_＀＀_x0001_＀＀楅墅䁷찀줗今_x001C_䑁幉彐牰捩彥潬彷㈵⡷ⰰⰬ单⥄!＀＀ ＀＀	＀＀_x0008_＀＀_x0001_＀＀_x0001_＀＀_x0001_＀＀ᑻ䞮㫡䀽찀样仁_x001C_呓ⵍ剆䙞彇剐䍉⡅〴㘸ⰱⰬ单⥄!＀＀ ＀＀	＀＀_x0008_＀＀_x0001_＀＀_x0001_＀＀_x0001_＀＀ⳙMⲴ䀝찀鎦丹_x0019_䑁幉䝆偟䥒䕃㐨㜰㠵Ⱜ唬䑓착!＀＀ ＀＀	＀＀_x0008_＀＀_x0001_＀＀_x0001_＀＀_x0001_＀＀ᑺꞮ䁀찀줗今_x001E_㐲㐵吭䥁䙞彇剐䍉⡅〴㐵ⰴⰬ单⥄!＀＀ ＀＀	＀＀_x0008_＀＀_x0001_＀＀_x0001_＀＀_x0001_＀＀ꨢ柰ꍸ䀬찀䮈亴_x001E_㐲㐵吭䥁䙞彇剐䍉⡅〴㔸ⰱⰬ单⥄!＀＀ ＀＀	＀＀_x0008_＀＀_x0001_＀＀_x0001_＀＀_x0001_＀＀ୖ㇬抑䀥찀줍今C义䍔䙞彅卅䥔䅍䕔✨䅓䕌❓✬䕍乁Ⱗ䌧䱁❁✬〲ㄱⰧⰰⰬⰧ啃剒久奃唽䑓✬착!＀＀ ＀＀	＀＀_x0008_＀＀_x0001_＀＀_x0001_＀＀_x0001_＀＀晧晦덶䃪찀줎今G义䍔䙞彅卅䥔䅍䕔✨义彃則协❓✬䕍乁Ⱗ䌧䱁❁✬〲㤰ⰧⰰⰬⰧ啃剒久奃唽䑓✬착!＀＀ ＀＀	＀＀_x0008_＀＀_x0001_＀＀_x0001_＀＀_x0001_＀＀＀＀＀＀ᩀ䃓찀중今G㐲㐵吭䥁䙞彅卅䥔䅍䕔✨偅䉓❇✬䕍乁Ⱗ䌧䱁❁✬〲㘰ⰧⰰⰬⰧ啃剒久奃唽䑓✬착!＀＀ ＀＀	＀＀_x0008_＀＀_x0001_＀＀_x0001_＀＀_x0001_＀＀ᆈꏂ⎍㿤찀줕今H噎䅄䙞彅卅䥔䅍䕔✨啃呓䵏䕟卐Ⱗ䴧䅅❎✬䅃䅌Ⱗ㈧〰✶〬Ⱜ✬䌬剕䕒䍎㵙单ⱄ⤧!＀＀ ＀＀	＀＀_x0008_＀＀_x0001_＀＀_x0001_＀＀_x0001_＀＀豀碵꼝쐕찀왆亭_x0014_偉䥈䙞彇剐䍉⡅〴㐸⤶!＀＀ ＀＀	＀＀_x0008_＀＀_x0001_＀＀_x0001_＀＀_x0001_＀＀쳍쳌쳌䀧찀줎今G㐲㐵吭䥁䙞彅卅䥔䅍䕔✨䅓䕌❓✬䕍乁Ⱗ䌧䱁❁✬〲㘰ⰧⰰⰬⰧ啃剒久奃唽䑓✬착!＀＀ ＀＀	＀＀_x0008_＀＀_x0001_＀＀_x0001_＀＀_x0001_＀＀ꧻ_xDFF1_䂙찀鉦仂_x001A_义䍔䙞彇剐䍉⡅〴㘸ⰲⰬ单⥄!＀＀ ＀＀	＀＀_x0008_＀＀_x0001_＀＀_x0001_＀＀_x0001_＀＀契枠荒䀸찀줐今C义䍔䙞彅卅䥔䅍䕔✨䅃䕐❘✬䕍乁Ⱗ䌧䱁❁✬〲ㄱⰧⰰⰬⰧ啃剒久奃唽䑓✬착!＀＀ ＀＀	＀＀_x0008_＀＀_x0001_＀＀_x0001_＀＀_x0001_＀＀堐됹嶘䃃찀鉖仂_x0014_偉䥈䙞彇剐䍉⡅〴㘸⤲!＀＀ ＀＀	＀＀_x0008_＀＀_x0001_＀＀_x0001_＀＀_x0001_＀＀ꏗ㵰圊䀦찀崛仆_x001A_䍑䵏䙞彇剐䍉⡅〴㘸ⰵⰬ单⥄!＀＀ ＀＀	＀＀_x0008_＀＀_x0001_＀＀_x0001_＀＀_x0001_＀＀㵱휊ィ䁌찀왐亭_x001A_剁䡍䙞彇剐䍉⡅〴㐸ⰶⰬ单⥄!＀＀ ＀＀	＀＀_x0008_＀＀_x0001_＀＀_x0001_＀＀_x0001_＀＀炤਽⏗䀽찀줌今C剁䡍䙞彅卅䥔䅍䕔✨偅䉓❇✬䕍乁Ⱗ䌧䱁❁✬〲㠰ⰧⰰⰬⰧ啃剒久奃唽䑓✬착!＀＀ ＀＀	＀＀_x0008_＀＀_x0001_＀＀_x0001_＀＀_x0001_＀＀္֒㿎찀줒今A义䍔䙞彅卅䥔䅍䕔✨偄❓✬䕍乁Ⱗ䌧䱁❁✬〲ㄱⰧⰰⰬⰧ啃剒久奃唽䑓✬착!＀＀ ＀＀	＀＀_x0008_＀＀_x0001_＀＀_x0001_＀＀_x0001_＀＀ᴐ䜂䴂㿩찀줓今G䍑䵏䙞彅卅䥔䅍䕔✨义彃則协❓✬䕍乁Ⱗ䌧䱁❁✬〲㐱ⰧⰰⰬⰧ啃剒久奃唽䑓✬착!＀＀ ＀＀	＀＀_x0008_＀＀_x0001_＀＀_x0001_＀＀_x0001_＀＀㽼ૅ䃎찀_xDC01_亱B呓幍䕆䕟呓䵉呁⡅䔧卐䝂Ⱗ䴧䅅❎✬䅃䅌Ⱗ㈧〰✹〬Ⱜ✬䌬剕䕒䍎㵙单ⱄ⤧!＀＀ ＀＀	＀＀_x0008_＀＀_x0001_＀＀_x0001_＀＀_x0001_＀＀놠䯥፞뿫찀줐今G㐲㐵吭䥁䙞彅卅䥔䅍䕔✨䅃䕐❘✬䕍乁Ⱗ䌧䱁❁✬〲㘰ⰧⰰⰬⰧ啃剒久奃唽䑓✬착!＀＀ ＀＀	＀＀_x0008_＀＀_x0001_＀＀_x0001_＀＀_x0001_＀＀Ꝉ粮䁈찀_xDC01_亱A呓幍䕆䕟呓䵉呁⡅攧楢❴✬䕍乁Ⱗ䌧䱁❁✬〲㌱ⰧⰰⰬⰧ啃剒久奃唽䑓✬착!＀＀ ＀＀	＀＀_x0008_＀＀_x0001_＀＀_x0001_＀＀_x0001_＀＀짯䋃舭䂁찀중今L㐲㐵吭䥁䙞彅卅䥔䅍䕔✨啃呓䵏䕟卐Ⱗ䴧䅅❎✬䅃䅌Ⱗ㈧㄰✱〬Ⱜ✬䌬剕䕒䍎㵙单ⱄ⤧!＀＀ ＀＀	＀＀_x0008_＀＀_x0001_＀＀_x0001_＀＀_x0001_＀＀豀碵꼝쐕찀_xDC01_亱@呓幍䕆䕟呓䵉呁⡅䘧䙃Ⱗ䴧䅅❎✬䅃䅌Ⱗ㈧㄰✰〬Ⱜ✬䌬剕䕒䍎㵙单ⱄ⤧!＀＀ ＀＀	＀＀_x0008_＀＀_x0001_＀＀_x0001_＀＀_x0001_＀＀䖢䂐찀줌今C剁䡍䙞彅卅䥔䅍䕔✨䅓䕌❓✬䕍乁Ⱗ䌧䱁❁✬〲㠰ⰧⰰⰬⰧ啃剒久奃唽䑓✬착!＀＀ ＀＀	＀＀_x0008_＀＀_x0001_＀＀_x0001_＀＀_x0001_＀＀낊_xDC95_䁺찀亱_x0014_䅃䵖䙞彇剐䍉⡅〴㐸⤹!＀＀ ＀＀	＀＀_x0008_＀＀_x0001_＀＀_x0001_＀＀_x0001_＀＀蔟凫纸䁀찀줎今G义䍔䙞彅卅䥔䅍䕔✨义彃則协❓✬䕍乁Ⱗ䌧䱁❁✬〲㘰ⰧⰰⰬⰧ啃剒久奃唽䑓✬착!＀＀ ＀＀	＀＀_x0008_＀＀_x0001_＀＀_x0001_＀＀_x0001_＀＀豀碵꼝쐕찀줓今G噎䅄䙞彅卅䥔䅍䕔✨义彃則协❓✬䕍乁Ⱗ䌧䱁❁✬〲㈱ⰧⰰⰬⰧ啃剒久奃唽䑓✬착!＀＀ ＀＀	＀＀_x0008_＀＀_x0001_＀＀_x0001_＀＀_x0001_＀＀鞍ቮﮃ䂡찀崎仆_x0014_䅃䵖䙞彇剐䍉⡅〴㘸⤵!＀＀ ＀＀	＀＀_x0008_＀＀_x0001_＀＀_x0001_＀＀_x0001_＀＀휊炣꨽䁀찀줖今_x001A_剁䡍䙞彇剐䍉⡅〴㐵ⰴⰬ单⥄!＀＀ ＀＀	＀＀_x0008_＀＀_x0001_＀＀_x0001_＀＀_x0001_＀＀＀＀＀＀쀀䀴찀줚今C呓ⵍ剆䙞彅卅䥔䅍䕔✨䍆❆✬䕍乁Ⱗ䌧䱁❁✬〲ㄱⰧⰰⰬⰧ啃剒久奃唽䑓✬착!＀＀ ＀＀	＀＀_x0008_＀＀_x0001_＀＀_x0001_＀＀_x0001_＀＀ー䁐찀줌今C剁䡍䙞彅卅䥔䅍䕔✨䅃䕐❘✬䕍乁Ⱗ䌧䱁❁✬〲㠰ⰧⰰⰬⰧ啃剒久奃唽䑓✬착!＀＀ ＀＀	＀＀_x0008_＀＀_x0001_＀＀_x0001_＀＀_x0001_＀＀덫኱㳳䀭찀_xDC01_亱B呓幍䕆䕟呓䵉呁⡅䌧偁塅Ⱗ䴧䅅❎✬䅃䅌Ⱗ㈧〰✹〬Ⱜ✬䌬剕䕒䍎㵙单ⱄ⤧!＀＀ ＀＀	＀＀_x0008_＀＀_x0001_＀＀_x0001_＀＀_x0001_＀＀趹䁼찀줔今A噎䅄䙞彅卅䥔䅍䕔✨䍆❆✬䕍乁Ⱗ䌧䱁❁✬〲㜰ⰧⰰⰬⰧ啃剒久奃唽䑓✬착!＀＀ ＀＀	＀＀_x0008_＀＀_x0001_＀＀_x0001_＀＀_x0001_＀＀낊ﺕ䂉찀줗今_x0017_剂䵃偞灟楲散江睯㕟眲〨착!＀＀ ＀＀	＀＀_x0008_＀＀_x0001_＀＀_x0001_＀＀_x0001_＀＀⣶轜뗂䀾찀줐今E㐲㐵吭䥁䙞彅卅䥔䅍䕔✨䍆❆✬䕍乁Ⱗ䌧䱁❁✬〲㠰ⰧⰰⰬⰧ啃剒久奃唽䑓✬착!＀＀ ＀＀	＀＀_x0008_＀＀_x0001_＀＀_x0001_＀＀_x0001_＀＀鵊⚀_xD942_䂋찀줕今C噎䅄䙞彅卅䥔䅍䕔✨偅䉓❇✬䕍乁Ⱗ䌧䱁❁✬〲㈱ⰧⰰⰬⰧ啃剒久奃唽䑓✬착!＀＀ ＀＀	＀＀_x0008_＀＀_x0001_＀＀_x0001_＀＀_x0001_＀＀筣놽㿴찀瀀享_x0014_䕎䱔䙞彇剐䍉⡅〴㐸⤴!＀＀ ＀＀	＀＀_x0008_＀＀_x0001_＀＀_x0001_＀＀_x0001_＀＀炤਽ꏗ䁈찀亱_x0014_䱘塎䙞彇剐䍉⡅〴㐸⤹!＀＀ ＀＀	＀＀_x0008_＀＀_x0001_＀＀_x0001_＀＀_x0001_＀＀슏⣵콜䀿찀중今G㐲㐵吭䥁䙞彅卅䥔䅍䕔✨偅䉓❇✬䕍乁Ⱗ䌧䱁❁✬〲㌱ⰧⰰⰬⰧ啃剒久奃唽䑓✬착!＀＀ ＀＀	＀＀_x0008_＀＀_x0001_＀＀_x0001_＀＀_x0001_＀＀୪鉴畒㿥찀_xDC01_亱!呓幍䙆䍟䵏卟午佟呕䕟卐䑟䱉儨剔〬착!＀＀ ＀＀	＀＀_x0008_＀＀_x0001_＀＀_x0001_＀＀_x0001_＀＀쳍쳌䳌䂌찀瀌享_x001A_前䱖䙞彇剐䍉⡅〴㐸ⰴⰬ单⥄!＀＀ ＀＀	＀＀_x0008_＀＀_x0001_＀＀_x0001_＀＀_x0001_＀＀䞮竡⸔䀬찀줕今H噎䅄䙞彅卅䥔䅍䕔✨啃呓䵏䕟卐Ⱗ䴧䅅❎✬䅃䅌Ⱗ㈧〰✹〬Ⱜ✬䌬剕䕒䍎㵙单ⱄ⤧!＀＀ ＀＀	＀＀_x0008_＀＀_x0001_＀＀_x0001_＀＀_x0001_＀＀贻咴軞㿐찀崛仆_x0014_䱘塎䙞彇剐䍉⡅〴㘸⤵!＀＀ ＀＀	＀＀_x0008_＀＀_x0001_＀＀_x0001_＀＀_x0001_＀＀尨슏䀿찀样仁_x001A_前䱖䙞彇剐䍉⡅〴㘸ⰱⰬ单⥄!＀＀ ＀＀	＀＀_x0008_＀＀_x0001_＀＀_x0001_＀＀_x0001_＀＀凬Ẹꮅ䀭찀줎今G㐲㐵吭䥁䙞彅卅䥔䅍䕔✨䅓䕌❓✬䕍乁Ⱗ䌧䱁❁✬〲㤰ⰧⰰⰬⰧ啃剒久奃唽䑓✬착!＀＀ ＀＀	＀＀_x0008_＀＀_x0001_＀＀_x0001_＀＀_x0001_＀＀퓾㧦䂬찀줒今C噎䅄䙞彅卅䥔䅍䕔✨䅓䕌❓✬䕍乁Ⱗ䌧䱁❁✬〲㈱ⰧⰰⰬⰧ啃剒久奃唽䑓✬착!＀＀ ＀＀	＀＀_x0008_＀＀_x0001_＀＀_x0001_＀＀_x0001_＀＀溘茒〠䂱찀亱_x001C_呓ⵍ剆䙞彇剐䍉⡅〴㐸ⰹⰬ单⥄!＀＀ ＀＀	＀＀_x0008_＀＀_x0001_＀＀_x0001_＀＀_x0001_＀＀蚙_xDD3C_ﯔ䀚찀_xDC01_亱B呓幍䕆䕟呓䵉呁⡅匧䱁卅Ⱗ䴧䅅❎✬䅃䅌Ⱗ㈧〰✶〬Ⱜ✬䌬剕䕒䍎㵙单ⱄ⤧!＀＀ ＀＀	＀＀_x0008_＀＀_x0001_＀＀_x0001_＀＀_x0001_＀＀尨㻿䃃찀줐今G㐲㐵吭䥁䙞彅卅䥔䅍䕔✨䅃䕐❘✬䕍乁Ⱗ䌧䱁❁✬〲㤰ⰧⰰⰬⰧ啃剒久奃唽䑓✬착!＀＀ ＀＀	＀＀_x0008_＀＀_x0001_＀＀_x0001_＀＀_x0001_＀＀괮쒆긽䁄찀줇今_x0017_塍幌彐牰捩彥楨桧㕟眲〨착!＀＀ ＀＀	＀＀_x0008_＀＀_x0001_＀＀_x0001_＀＀_x0001_＀＀尩슏ꣵ䀩찀줔今C噎䅄䙞彅卅䥔䅍䕔✨䅃䕐❘✬䕍乁Ⱗ䌧䱁❁✬〲㈱ⰧⰰⰬⰧ啃剒久奃唽䑓✬착!＀＀ ＀＀	＀＀_x0008_＀＀_x0001_＀＀_x0001_＀＀_x0001_＀＀᭲렭䁡찀䮌亴_x0019_䱁剔唭幓䝆䍟䵏䅐奎也䵁⡅착&amp;＀＀ ＀＀_x000E_＀＀_x000D_＀＀_x0001_＀＀_x0001_＀＀_x0008_＀＀汁整慲䌠牯⹰＀＀亱_x0014_䕎䱔䙞彇剐䍉⡅〴㐵⤴!＀＀ ＀＀	＀＀_x0008_＀＀_x0001_＀＀_x0001_＀＀_x0001_＀＀尩슏棵䀿찀중今L㐲㐵吭䥁䙞彅卅䥔䅍䕔✨啃呓䵏䕟卐Ⱗ䴧䅅❎✬䅃䅌Ⱗ㈧㄰✴〬Ⱜ✬䌬剕䕒䍎㵙单ⱄ⤧!＀＀ ＀＀	＀＀_x0008_＀＀_x0001_＀＀_x0001_＀＀_x0001_＀＀豀碵꼝쐕찀_xDC01_亱@呓幍䕆䕟呓䵉呁⡅䘧䙃Ⱗ䴧䅅❎✬䅃䅌Ⱗ㈧㄰✳〬Ⱜ✬䌬剕䕒䍎㵙单ⱄ⤧!＀＀ ＀＀	＀＀_x0008_＀＀_x0001_＀＀_x0001_＀＀_x0001_＀＀ែ匦䌅䂄찀_xDC01_亱B呓幍䕆䕟呓䵉呁⡅䌧偁塅Ⱗ䴧䅅❎✬䅃䅌Ⱗ㈧〰✶〬Ⱜ✬䌬剕䕒䍎㵙单ⱄ⤧!＀＀ ＀＀	＀＀_x0008_＀＀_x0001_＀＀_x0001_＀＀_x0001_＀＀俟鞍乮䂘찀줛今E呓ⵍ剆䙞彅卅䥔䅍䕔✨偅䉓❇✬䕍乁Ⱗ䌧䱁❁✬〲㜰ⰧⰰⰬⰧ啃剒久奃唽䑓✬착!＀＀ ＀＀	＀＀_x0008_＀＀_x0001_＀＀_x0001_＀＀_x0001_＀＀⌇৶ᢠ㿨찀줚今C呓ⵍ剆䙞彅卅䥔䅍䕔✨䍆❆✬䕍乁Ⱗ䌧䱁❁✬〲㐱ⰧⰰⰬⰧ啃剒久奃唽䑓✬착!＀＀ ＀＀	＀＀_x0008_＀＀_x0001_＀＀_x0001_＀＀_x0001_＀＀＀＀＀＀吀䂐찀줎今G义䍔䙞彅卅䥔䅍䕔✨义彃則协❓✬䕍乁Ⱗ䌧䱁❁✬〲㌱ⰧⰰⰬⰧ啃剒久奃唽䑓✬착!＀＀ ＀＀	＀＀_x0008_＀＀_x0001_＀＀_x0001_＀＀_x0001_＀＀ꏗ㵰薚䃢찀중今G㐲㐵吭䥁䙞彅卅䥔䅍䕔✨偅䉓❇✬䕍乁Ⱗ䌧䱁❁✬〲〱ⰧⰰⰬⰧ啃剒久奃唽䑓✬착!＀＀ ＀＀	＀＀_x0008_＀＀_x0001_＀＀_x0001_＀＀_x0001_＀＀毠䝣䨾㿯찀_xDC01_亱_x001C_呓幍彐牰捩彥潬彷㈵⡷ⰰⰬ单⥄!＀＀ ＀＀	＀＀_x0008_＀＀_x0001_＀＀_x0001_＀＀_x0001_＀＀凬Ẹ殅䀖찀줘今F䑁幉䕆䕟呓䵉呁⡅䤧䍎䝟佒卓Ⱗ䴧䅅❎✬䅃䅌Ⱗ㈧〰✷〬Ⱜ✬䌬剕䕒䍎㵙单ⱄ⤧!＀＀ ＀＀	＀＀_x0008_＀＀_x0001_＀＀_x0001_＀＀_x0001_＀＀绺뱪䂗찀줕今H噎䅄䙞彅卅䥔䅍䕔✨啃呓䵏䕟卐Ⱗ䴧䅅❎✬䅃䅌Ⱗ㈧㄰✰〬Ⱜ✬䌬剕䕒䍎㵙单ⱄ⤧!＀＀ ＀＀	＀＀_x0008_＀＀_x0001_＀＀_x0001_＀＀_x0001_＀＀䋊㒅뵴㿣찀줎今G㐲㐵吭䥁䙞彅卅䥔䅍䕔✨䅓䕌❓✬䕍乁Ⱗ䌧䱁❁✬〲〱ⰧⰰⰬⰧ啃剒久奃唽䑓✬착!＀＀ ＀＀	＀＀_x0008_＀＀_x0001_＀＀_x0001_＀＀_x0001_＀＀삃ꇊ汅䂮찀줗今_x001A_前䱖䙞彇剐䍉⡅〴㘸ⰸⰬ单⥄!＀＀ ＀＀	＀＀_x0008_＀＀_x0001_＀＀_x0001_＀＀_x0001_＀＀尨슏䀬찀줒今_x001B_噎䅄晞彧敤瑢瑟瑯污〨Ⱜ唬䑓착!＀＀ ＀＀	＀＀_x0008_＀＀_x0001_＀＀_x0001_＀＀_x0001_＀＀ꧻ䀵찀줕今C䍑䵏䙞彅卅䥔䅍䕔✨偅䉓❇✬䕍乁Ⱗ䌧䱁❁✬〲㠰ⰧⰰⰬⰧ啃剒久奃唽䑓✬착!＀＀ ＀＀	＀＀_x0008_＀＀_x0001_＀＀_x0001_＀＀_x0001_＀＀_xDA94_梋ػ䀁찀줐今A义䍔䙞彅卅䥔䅍䕔✨䍆❆✬䕍乁Ⱗ䌧䱁❁✬〲㠰ⰧⰰⰬⰧ啃剒久奃唽䑓✬착!＀＀ ＀＀	＀＀_x0008_＀＀_x0001_＀＀_x0001_＀＀_x0001_＀＀㽼_xD955_䂺찀줙今A䑁幉䕆䕟呓䵉呁⡅攧楢❴✬䕍乁Ⱗ䌧䱁❁✬〲㜰ⰧⰰⰬⰧ啃剒久奃唽䑓✬착!＀＀ ＀＀	＀＀_x0008_＀＀_x0001_＀＀_x0001_＀＀_x0001_＀＀唳⨰枩䂂찀줌今C剁䡍䙞彅卅䥔䅍䕔✨偅䉓❇✬䕍乁Ⱗ䌧䱁❁✬〲㈱ⰧⰰⰬⰧ啃剒久奃唽䑓✬착!＀＀ ＀＀	＀＀_x0008_＀＀_x0001_＀＀_x0001_＀＀_x0001_＀＀曉환煇㿤찀_xDC01_亱B呓幍䕆䕟呓䵉呁⡅䔧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44923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卐䝂Ⱗ䴧䅅❎✬䅃䅌Ⱗ㈧㄰✳〬Ⱜ✬䌬剕䕒䍎㵙单ⱄ⤧!＀＀ ＀＀	＀＀_x0008_＀＀_x0001_＀＀_x0001_＀＀_x0001_＀＀෵湌餔㿤찀鉦仂_x001A_噎䅄䙞彇剐䍉⡅〴㘸ⰲⰬ单⥄!＀＀ ＀＀	＀＀_x0008_＀＀_x0001_＀＀_x0001_＀＀_x0001_＀＀晦晦晦䀭찀줐今G㐲㐵吭䥁䙞彅卅䥔䅍䕔✨䅃䕐❘✬䕍乁Ⱗ䌧䱁❁✬〲〱ⰧⰰⰬⰧ啃剒久奃唽䑓✬착!＀＀ ＀＀	＀＀_x0008_＀＀_x0001_＀＀_x0001_＀＀_x0001_＀＀呡❒솠䁌찀줓今C䍑䵏䙞彅卅䥔䅍䕔✨䅓䕌❓✬䕍乁Ⱗ䌧䱁❁✬〲㠰ⰧⰰⰬⰧ啃剒久奃唽䑓✬착!＀＀ ＀＀	＀＀_x0008_＀＀_x0001_＀＀_x0001_＀＀_x0001_＀＀ొ⬂歗䃅찀줖今_x0017_䱁剔偞灟楲散江睯㕟眲〨착!＀＀ ＀＀	＀＀_x0008_＀＀_x0001_＀＀_x0001_＀＀_x0001_＀＀炤਽揗䀾찀_xDC01_亱B呓幍䕆䕟呓䵉呁⡅匧䱁卅Ⱗ䴧䅅❎✬䅃䅌Ⱗ㈧〰✹〬Ⱜ✬䌬剕䕒䍎㵙单ⱄ⤧!＀＀ ＀＀	＀＀_x0008_＀＀_x0001_＀＀_x0001_＀＀_x0001_＀＀酩糭衿䃀찀줗今_x0014_剂䵃䙞彇剐䍉⡅〴㘸⤸!＀＀ ＀＀	＀＀_x0008_＀＀_x0001_＀＀_x0001_＀＀_x0001_＀＀긔ᑺ䁀찀줍今_x001F_㐲㐵吭䥁晞彧敤瑢瑟瑯污〨Ⱜ唬䑓착!＀＀ ＀＀	＀＀_x0008_＀＀_x0001_＀＀_x0001_＀＀_x0001_＀＀＀＀＀＀＀＀＀＀찀줏今B义䍔䙞彅卅䥔䅍䕔✨扥瑩Ⱗ䴧䅅❎✬䅃䅌Ⱗ㈧〰✸〬Ⱜ✬䌬剕䕒䍎㵙单ⱄ⤧!＀＀ ＀＀	＀＀_x0008_＀＀_x0001_＀＀_x0001_＀＀_x0001_＀＀盉龾퍊䃁찀줎今G义䍔䙞彅卅䥔䅍䕔✨义彃則协❓✬䕍乁Ⱗ䌧䱁❁✬〲〱ⰧⰰⰬⰧ啃剒久奃唽䑓✬착!＀＀ ＀＀	＀＀_x0008_＀＀_x0001_＀＀_x0001_＀＀_x0001_＀＀＀＀＀＀⏀䃜찀_xDC01_亱F呓幍䕆䕟呓䵉呁⡅䤧䍎䝟佒卓Ⱗ䴧䅅❎✬䅃䅌Ⱗ㈧〰✶〬Ⱜ✬䌬剕䕒䍎㵙单ⱄ⤧!＀＀ ＀＀	＀＀_x0008_＀＀_x0001_＀＀_x0001_＀＀_x0001_＀＀豀碵꼝쐕찀䮈亴_x001A_剁䡍䙞彇剐䍉⡅〴㔸ⰱⰬ单⥄!＀＀ ＀＀	＀＀_x0008_＀＀_x0001_＀＀_x0001_＀＀_x0001_＀＀⣶轜㗂䀿찀줔今C䍑䵏䙞彅卅䥔䅍䕔✨䅃䕐❘✬䕍乁Ⱗ䌧䱁❁✬〲㠰ⰧⰰⰬⰧ啃剒久奃唽䑓✬착!＀＀ ＀＀	＀＀_x0008_＀＀_x0001_＀＀_x0001_＀＀_x0001_＀＀䎖沋埧䂓찀왐亭_x001A_䍑䵏䙞彇剐䍉⡅〴㐸ⰶⰬ单⥄!＀＀ ＀＀	＀＀_x0008_＀＀_x0001_＀＀_x0001_＀＀_x0001_＀＀਽ꏗ鵰䁊찀鎄丹_x0014_䕎䱔䙞彇剐䍉⡅〴㔷⤸!＀＀ ＀＀	＀＀_x0008_＀＀_x0001_＀＀_x0001_＀＀_x0001_＀＀凬Ẹ쮅䁀찀鷯仅_x0013_塍幌䝆偟䥒䕃㐨㠰㐶착!＀＀ ＀＀	＀＀_x0008_＀＀_x0001_＀＀_x0001_＀＀_x0001_＀＀䞮竡긔䀓찀줔今A噎䅄䙞彅卅䥔䅍䕔✨䍆❆✬䕍乁Ⱗ䌧䱁❁✬〲ㄱⰧⰰⰬⰧ啃剒久奃唽䑓✬착!＀＀ ＀＀	＀＀_x0008_＀＀_x0001_＀＀_x0001_＀＀_x0001_＀＀緀㠝띧䂃찀줐今E㐲㐵吭䥁䙞彅卅䥔䅍䕔✨䍆❆✬䕍乁Ⱗ䌧䱁❁✬〲㈱ⰧⰰⰬⰧ啃剒久奃唽䑓✬착!＀＀ ＀＀	＀＀_x0008_＀＀_x0001_＀＀_x0001_＀＀_x0001_＀＀潪藰ᝉ䂄찀줙今D呓ⵍ剆䙞彅卅䥔䅍䕔✨扥瑩Ⱗ䴧䅅❎✬䅃䅌Ⱗ㈧〰✸〬Ⱜ✬䌬剕䕒䍎㵙单ⱄ⤧!＀＀ ＀＀	＀＀_x0008_＀＀_x0001_＀＀_x0001_＀＀_x0001_＀＀陓踡扵䁰찀줕今H噎䅄䙞彅卅䥔䅍䕔✨啃呓䵏䕟卐Ⱗ䴧䅅❎✬䅃䅌Ⱗ㈧㄰✳〬Ⱜ✬䌬剕䕒䍎㵙单ⱄ⤧!＀＀ ＀＀	＀＀_x0008_＀＀_x0001_＀＀_x0001_＀＀_x0001_＀＀⋕颢Ƽ㿳찀줎今G㐲㐵吭䥁䙞彅卅䥔䅍䕔✨䅓䕌❓✬䕍乁Ⱗ䌧䱁❁✬〲㌱ⰧⰰⰬⰧ啃剒久奃唽䑓✬착!＀＀ ＀＀	＀＀_x0008_＀＀_x0001_＀＀_x0001_＀＀_x0001_＀＀㥘좴瘶䂮찀_xDC01_亱B呓幍䕆䕟呓䵉呁⡅䔧卐䝂Ⱗ䴧䅅❎✬䅃䅌Ⱗ㈧㄰✰〬Ⱜ✬䌬剕䕒䍎㵙单ⱄ⤧!＀＀ ＀＀	＀＀_x0008_＀＀_x0001_＀＀_x0001_＀＀_x0001_＀＀音柌턯㿨찀줗今_x001A_䍑䵏䙞彇剐䍉⡅〴㐵ⰴⰬ单⥄!＀＀ ＀＀	＀＀_x0008_＀＀_x0001_＀＀_x0001_＀＀_x0001_＀＀蔟凫뺸䁈찀_xDC01_亱G呓幍䕆䕟呓䵉呁⡅䌧单佔彍偅❓✬䕍乁Ⱗ䌧䱁❁✬〲㠰ⰧⰰⰬⰧ啃剒久奃唽䑓✬착!＀＀ ＀＀	＀＀_x0008_＀＀_x0001_＀＀_x0001_＀＀_x0001_＀＀豀碵꼝쐕찀䮈亴_x001A_䍑䵏䙞彇剐䍉⡅〴㔸ⰱⰬ单⥄!＀＀ ＀＀	＀＀_x0008_＀＀_x0001_＀＀_x0001_＀＀_x0001_＀＀＀＀＀＀䀀䁌찀M丯_x0014_剂䵃䙞彇剐䍉⡅〴㔷⤰!＀＀ ＀＀	＀＀_x0008_＀＀_x0001_＀＀_x0001_＀＀_x0001_＀＀ꧼ틱≍䁃찀줛今J呓ⵍ剆䙞彅卅䥔䅍䕔✨啃呓䵏䕟卐Ⱗ䴧䅅❎✬䅃䅌Ⱗ㈧〰✸〬Ⱜ✬䌬剕䕒䍎㵙单ⱄ⤧!＀＀ ＀＀	＀＀_x0008_＀＀_x0001_＀＀_x0001_＀＀_x0001_＀＀豀碵꼝쐕찀_xDC01_亱B呓幍䕆䕟呓䵉呁⡅匧䱁卅Ⱗ䴧䅅❎✬䅃䅌Ⱗ㈧㄰✰〬Ⱜ✬䌬剕䕒䍎㵙单ⱄ⤧!＀＀ ＀＀	＀＀_x0008_＀＀_x0001_＀＀_x0001_＀＀_x0001_＀＀빷᪟㓿䃄찀줚今B䑁幉䕆䕟呓䵉呁⡅䔧卐䝂Ⱗ䴧䅅❎✬䅃䅌Ⱗ㈧〰✹〬Ⱜ✬䌬剕䕒䍎㵙单ⱄ⤧!＀＀ ＀＀	＀＀_x0008_＀＀_x0001_＀＀_x0001_＀＀_x0001_＀＀좧铦㿵찀줐今G㐲㐵吭䥁䙞彅卅䥔䅍䕔✨䅃䕐❘✬䕍乁Ⱗ䌧䱁❁✬〲㌱ⰧⰰⰬⰧ啃剒久奃唽䑓✬착!＀＀ ＀＀	＀＀_x0008_＀＀_x0001_＀＀_x0001_＀＀_x0001_＀＀䤨䳗醾䁑찀줌今B剁䡍䙞彅卅䥔䅍䕔✨扥瑩Ⱗ䴧䅅❎✬䅃䅌Ⱗ㈧〰✶〬Ⱜ✬䌬剕䕒䍎㵙单ⱄ⤧!＀＀ ＀＀	＀＀_x0008_＀＀_x0001_＀＀_x0001_＀＀_x0001_＀＀뗲陧㠄䁝찀줌今"义䍔䙞彆佃彍䡓当問彔偅当䥄⡌呑ⱒ⤰ċ＀＀ ＀＀ó＀＀_x0008_＀＀_x0001_＀＀_x0001_＀＀_x0001_＀＀＀＀＀＀_xDC00_䂴摦畳㩰⼯楄敲瑣潩獮䘯捡却瑥䄠摵瑩湩⁧楖睥牥愿瑣潩㵮啁䥄彔䅖啌♅䉄ㄽ㤲䤦ㅄ㐽㠵㐱㄰☰䅖啌䥅㵄㔰㤱☴䑓呁㵅〲ㄱ㌰倦剅佉呄偙㵅呑归呓♄䍓呆㌽眦湩潤㵷潰異彰潮扟牡眦摩桴㌽㔸栦楥桧㵴㈱☰呓剁彔䅍䥘䥍䕚㵄䅆卌♅牣慥潴㵲慦瑣敳♴楤灳慬役瑳楲杮䄽摵瑩찀_xDC01_亱B呓幍䕆䕟呓䵉呁⡅䌧偁塅Ⱗ䴧䅅❎✬䅃䅌Ⱗ㈧㄰✰〬Ⱜ✬䌬剕䕒䍎㵙单ⱄ⤧!＀＀ ＀＀	＀＀_x0008_＀＀_x0001_＀＀_x0001_＀＀_x0001_＀＀㥘좴㽶䂏찀_xDC01_亱F呓幍䕆䕟呓䵉呁⡅䤧䍎䝟佒卓Ⱗ䴧䅅❎✬䅃䅌Ⱗ㈧〰✹〬Ⱜ✬䌬剕䕒䍎㵙单ⱄ⤧!＀＀ ＀＀	＀＀_x0008_＀＀_x0001_＀＀_x0001_＀＀_x0001_＀＀桳菼䂤찀줙今I呓ⵍ剆䙞彅卅䥔䅍䕔✨义彃則协❓✬䕍乁Ⱗ䌧䱁❁✬〲㤰ⰧⰰⰬⰧ啃剒久奃唽䑓✬착!＀＀ ＀＀	＀＀_x0008_＀＀_x0001_＀＀_x0001_＀＀_x0001_＀＀桳菼䂤찀瀌享_x001E_㐲㐵吭䥁䙞彇剐䍉⡅〴㐸ⰴⰬ单⥄!＀＀ ＀＀	＀＀_x0008_＀＀_x0001_＀＀_x0001_＀＀_x0001_＀＀಄_xD9E4_돥䀥찀줔今B䍑䵏䙞彅卅䥔䅍䕔✨扥瑩Ⱗ䴧䅅❎✬䅃䅌Ⱗ㈧〰✷〬Ⱜ✬䌬剕䕒䍎㵙单ⱄ⤧!＀＀ ＀＀	＀＀_x0008_＀＀_x0001_＀＀_x0001_＀＀_x0001_＀＀褷恁薥䂬찀중今H义䍔䙞彅卅䥔䅍䕔✨啃呓䵏䕟卐Ⱗ䴧䅅❎✬䅃䅌Ⱗ㈧〰✹〬Ⱜ✬䌬剕䕒䍎㵙单ⱄ⤧!＀＀ ＀＀	＀＀_x0008_＀＀_x0001_＀＀_x0001_＀＀_x0001_＀＀Ẹ롑㿲찀줘今E呓ⵍ剆䙞彅卅䥔䅍䕔✨䅓䕌❓✬䕍乁Ⱗ䌧䱁❁✬〲㜰ⰧⰰⰬⰧ啃剒久奃唽䑓✬착!＀＀ ＀＀	＀＀_x0008_＀＀_x0001_＀＀_x0001_＀＀_x0001_＀＀＀＀＀＀䃃찀줔今A噎䅄䙞彅卅䥔䅍䕔✨䍆❆✬䕍乁Ⱗ䌧䱁❁✬〲㐱ⰧⰰⰬⰧ啃剒久奃唽䑓✬착!＀＀ ＀＀	＀＀_x0008_＀＀_x0001_＀＀_x0001_＀＀_x0001_＀＀豀碵꼝쐕찀鷯仅_x0014_偉䥈䙞彇剐䍉⡅〴㘸⤴!＀＀ ＀＀	＀＀_x0008_＀＀_x0001_＀＀_x0001_＀＀_x0001_＀＀롒蔞퇫䀥찀줕今C䍑䵏䙞彅卅䥔䅍䕔✨偅䉓❇✬䕍乁Ⱗ䌧䱁❁✬〲㈱ⰧⰰⰬⰧ啃剒久奃唽䑓✬착!＀＀ ＀＀	＀＀_x0008_＀＀_x0001_＀＀_x0001_＀＀_x0001_＀＀䵙Ꮧ睝䀍찀줚今B䑁幉䕆䕟呓䵉呁⡅䔧卐䝂Ⱗ䴧䅅❎✬䅃䅌Ⱗ㈧〰✶〬Ⱜ✬䌬剕䕒䍎㵙单ⱄ⤧!＀＀ ＀＀	＀＀_x0008_＀＀_x0001_＀＀_x0001_＀＀_x0001_＀＀_xD894_붵鋝㿹찀鷽仅_x0019_䑁幉䝆偟䥒䕃㐨㠰㐶Ⱜ唬䑓착!＀＀ ＀＀	＀＀_x0008_＀＀_x0001_＀＀_x0001_＀＀_x0001_＀＀＀＀＀＀쀀䁁찀줚今E呓ⵍ剆䙞彅卅䥔䅍䕔✨䅃䕐❘✬䕍乁Ⱗ䌧䱁❁✬〲㜰ⰧⰰⰬⰧ啃剒久奃唽䑓✬착!＀＀ ＀＀	＀＀_x0008_＀＀_x0001_＀＀_x0001_＀＀_x0001_＀＀鶲꟯緆䂓찀줐今A义䍔䙞彅卅䥔䅍䕔✨䍆❆✬䕍乁Ⱗ䌧䱁❁✬〲㈱ⰧⰰⰬⰧ啃剒久奃唽䑓✬착!＀＀ ＀＀	＀＀_x0008_＀＀_x0001_＀＀_x0001_＀＀_x0001_＀＀䷓ၢ똈䃅찀줙今A䑁幉䕆䕟呓䵉呁⡅攧楢❴✬䕍乁Ⱗ䌧䱁❁✬〲ㄱⰧⰰⰬⰧ啃剒久奃唽䑓✬착!＀＀ ＀＀	＀＀_x0008_＀＀_x0001_＀＀_x0001_＀＀_x0001_＀＀_xDB23_绹䂐찀줌今C剁䡍䙞彅卅䥔䅍䕔✨䅓䕌❓✬䕍乁Ⱗ䌧䱁❁✬〲㈱ⰧⰰⰬⰧ啃剒久奃唽䑓✬착!＀＀ ＀＀	＀＀_x0008_＀＀_x0001_＀＀_x0001_＀＀_x0001_＀＀馚香ங䂋찀줎今K㐲㐵吭䥁䙞彅卅䥔䅍䕔✨义彃則协❓✬䕍乁Ⱗ䌧䱁❁✬〲㘰ⰧⰰⰬⰧ啃剒久奃唽䑓✬착!＀＀ ＀＀	＀＀_x0008_＀＀_x0001_＀＀_x0001_＀＀_x0001_＀＀豀碵꼝쐕찀줘今B䑁幉䕆䕟呓䵉呁⡅匧䱁卅Ⱗ䴧䅅❎✬䅃䅌Ⱗ㈧〰✶〬Ⱜ✬䌬剕䕒䍎㵙单ⱄ⤧!＀＀ ＀＀	＀＀_x0008_＀＀_x0001_＀＀_x0001_＀＀_x0001_＀＀脆䎕ᅋ䂤찀_xDC01_亱B呓幍䕆䕟呓䵉呁⡅匧䱁卅Ⱗ䴧䅅❎✬䅃䅌Ⱗ㈧㄰✳〬Ⱜ✬䌬剕䕒䍎㵙单ⱄ⤧!＀＀ ＀＀	＀＀_x0008_＀＀_x0001_＀＀_x0001_＀＀_x0001_＀＀盉龾䃄찀줌今B剁䡍䙞彅卅䥔䅍䕔✨扥瑩Ⱗ䴧䅅❎✬䅃䅌Ⱗ㈧〰✹〬Ⱜ✬䌬剕䕒䍎㵙单ⱄ⤧!＀＀ ＀＀	＀＀_x0008_＀＀_x0001_＀＀_x0001_＀＀_x0001_＀＀蒶큼厳䁠찀줏今B义䍔䙞彅卅䥔䅍䕔✨扥瑩Ⱗ䴧䅅❎✬䅃䅌Ⱗ㈧㄰✲〬Ⱜ✬䌬剕䕒䍎㵙单ⱄ⤧!＀＀ ＀＀	＀＀_x0008_＀＀_x0001_＀＀_x0001_＀＀_x0001_＀＀竡긔ꊗ䃒찀줙今I呓ⵍ剆䙞彅卅䥔䅍䕔✨义彃則协❓✬䕍乁Ⱗ䌧䱁❁✬〲㘰ⰧⰰⰬⰧ啃剒久奃唽䑓✬착!＀＀ ＀＀	＀＀_x0008_＀＀_x0001_＀＀_x0001_＀＀_x0001_＀＀豀碵꼝쐕찀_xDC01_亱F呓幍䕆䕟呓䵉呁⡅䤧䍎䝟佒卓Ⱗ䴧䅅❎✬䅃䅌Ⱗ㈧㄰✰〬Ⱜ✬䌬剕䕒䍎㵙单ⱄ⤧!＀＀ ＀＀	＀＀_x0008_＀＀_x0001_＀＀_x0001_＀＀_x0001_＀＀㕀멞岉䂯찀줌今C剁䡍䙞彅卅䥔䅍䕔✨䅃䕐❘✬䕍乁Ⱗ䌧䱁❁✬〲㈱ⰧⰰⰬⰧ啃剒久奃唽䑓✬착!＀＀ ＀＀	＀＀_x0008_＀＀_x0001_＀＀_x0001_＀＀_x0001_＀＀騭从漆䀰찀중今H义䍔䙞彅卅䥔䅍䕔✨啃呓䵏䕟卐Ⱗ䴧䅅❎✬䅃䅌Ⱗ㈧〰✶〬Ⱜ✬䌬剕䕒䍎㵙单ⱄ⤧!＀＀ ＀＀	＀＀_x0008_＀＀_x0001_＀＀_x0001_＀＀_x0001_＀＀롑蔞㿫찀줙今B䑁幉䕆䕟呓䵉呁⡅䌧偁塅Ⱗ䴧䅅❎✬䅃䅌Ⱗ㈧〰✶〬Ⱜ✬䌬剕䕒䍎㵙单ⱄ⤧!＀＀ ＀＀	＀＀_x0008_＀＀_x0001_＀＀_x0001_＀＀_x0001_＀＀珫ᖵ忻䁠찀_xDC01_亱B呓幍䕆䕟呓䵉呁⡅䌧偁塅Ⱗ䴧䅅❎✬䅃䅌Ⱗ㈧㄰✳〬Ⱜ✬䌬剕䕒䍎㵙单ⱄ⤧!＀＀ ＀＀	＀＀_x0008_＀＀_x0001_＀＀_x0001_＀＀_x0001_＀＀ﬖ瓉䂍찀亱_x0013_塍幌䝆偟䥒䕃㐨㠰㤴착!＀＀ ＀＀	＀＀_x0008_＀＀_x0001_＀＀_x0001_＀＀_x0001_＀＀ᑻ䞮竡䀖찀亱_x001A_前䱖䙞彇剐䍉⡅〴㐸ⰹⰬ单⥄!＀＀ ＀＀	＀＀_x0008_＀＀_x0001_＀＀_x0001_＀＀_x0001_＀＀㌳㌳㌳䀫찀鎦丹_x001A_前䱖䙞彇剐䍉⡅〴㔷ⰸⰬ单⥄!＀＀ ＀＀	＀＀_x0008_＀＀_x0001_＀＀_x0001_＀＀_x0001_＀＀ꏗ㵰圊䀬찀왆亭_x0014_䕎䱔䙞彇剐䍉⡅〴㐸⤶!＀＀ ＀＀	＀＀_x0008_＀＀_x0001_＀＀_x0001_＀＀_x0001_＀＀炤਽ꏗ䁈찀줌今A剁䡍䙞彅卅䥔䅍䕔✨偄❓✬䕍乁Ⱗ䌧䱁❁✬〲ㄱⰧⰰⰬⰧ啃剒久奃唽䑓✬착!＀＀ ＀＀	＀＀_x0008_＀＀_x0001_＀＀_x0001_＀＀_x0001_＀＀ꠔ❪裯㿄찀瀌享_x001A_剁䡍䙞彇剐䍉⡅〴㐸ⰴⰬ单⥄!＀＀ ＀＀	＀＀_x0008_＀＀_x0001_＀＀_x0001_＀＀_x0001_＀＀炤਽⏗䀽찀崎仆_x0013_塍幌䝆偟䥒䕃㐨㠰㔶착!＀＀ ＀＀	＀＀_x0008_＀＀_x0001_＀＀_x0001_＀＀_x0001_＀＀䞮竡긔䀓찀줛今E呓ⵍ剆䙞彅卅䥔䅍䕔✨偅䉓❇✬䕍乁Ⱗ䌧䱁❁✬〲㐱ⰧⰰⰬⰧ啃剒久奃唽䑓✬착!＀＀ ＀＀	＀＀_x0008_＀＀_x0001_＀＀_x0001_＀＀_x0001_＀＀ᑻ䞮竡㿴찀줗今_x001E_㐲㐵吭䥁䙞彇剐䍉⡅〴㘸ⰸⰬ单⥄!＀＀ ＀＀	＀＀_x0008_＀＀_x0001_＀＀_x0001_＀＀_x0001_＀＀⛡쪣䀣찀줚今@䑁幉䕆䕟呓䵉呁⡅䘧䙃Ⱗ䴧䅅❎✬䅃䅌Ⱗ㈧〰✹〬Ⱜ✬䌬剕䕒䍎㵙单ⱄ⤧!＀＀ ＀＀	＀＀_x0008_＀＀_x0001_＀＀_x0001_＀＀_x0001_＀＀賧嗀䁻찀줙今D呓ⵍ剆䙞彅卅䥔䅍䕔✨扥瑩Ⱗ䴧䅅❎✬䅃䅌Ⱗ㈧㄰✲〬Ⱜ✬䌬剕䕒䍎㵙单ⱄ⤧!＀＀ ＀＀	＀＀_x0008_＀＀_x0001_＀＀_x0001_＀＀_x0001_＀＀旾퍡䁠찀줘今F䑁幉䕆䕟呓䵉呁⡅䤧䍎䝟佒卓Ⱗ䴧䅅❎✬䅃䅌Ⱗ㈧㄰✴〬Ⱜ✬䌬剕䕒䍎㵙单ⱄ⤧!＀＀ ＀＀	＀＀_x0008_＀＀_x0001_＀＀_x0001_＀＀_x0001_＀＀豀碵꼝쐕찀중今C义䍔䙞彅卅䥔䅍䕔✨偅䉓❇✬䕍乁Ⱗ䌧䱁❁✬〲㤰ⰧⰰⰬⰧ啃剒久奃唽䑓✬착!＀＀ ＀＀	＀＀_x0008_＀＀_x0001_＀＀_x0001_＀＀_x0001_＀＀蔟凫Ẹ㿵찀_xDC01_亱G呓幍䕆䕟呓䵉呁⡅䌧单佔彍偅❓✬䕍乁Ⱗ䌧䱁❁✬〲㈱ⰧⰰⰬⰧ啃剒久奃唽䑓✬착!＀＀ ＀＀	＀＀_x0008_＀＀_x0001_＀＀_x0001_＀＀_x0001_＀＀豀碵꼝쐕찀核仁A䑁幉䕆䕟呓䵉呁⡅攧楢❴✬䕍乁Ⱗ䌧䱁❁✬〲㐱ⰧⰰⰬⰧ啃剒久奃唽䑓✬착!＀＀ ＀＀	＀＀_x0008_＀＀_x0001_＀＀_x0001_＀＀_x0001_＀＀豀碵꼝쐕찀줛今J呓ⵍ剆䙞彅卅䥔䅍䕔✨啃呓䵏䕟卐Ⱗ䴧䅅❎✬䅃䅌Ⱗ㈧㄰✲〬Ⱜ✬䌬剕䕒䍎㵙单ⱄ⤧!＀＀ ＀＀	＀＀_x0008_＀＀_x0001_＀＀_x0001_＀＀_x0001_＀＀豀碵꼝쐕찀줌今_x001B_义䍔晞彧敤瑢瑟瑯污〨Ⱜ唬䑓착!＀＀ ＀＀	＀＀_x0008_＀＀_x0001_＀＀_x0001_＀＀_x0001_＀＀＀＀＀＀䂻찀줎今K㐲㐵吭䥁䙞彅卅䥔䅍䕔✨义彃則协❓✬䕍乁Ⱗ䌧䱁❁✬〲㤰ⰧⰰⰬⰧ啃剒久奃唽䑓✬착!＀＀ ＀＀	＀＀_x0008_＀＀_x0001_＀＀_x0001_＀＀_x0001_＀＀㌳㌳ꜳ䂠찀줘今B䑁幉䕆䕟呓䵉呁⡅匧䱁卅Ⱗ䴧䅅❎✬䅃䅌Ⱗ㈧〰✹〬Ⱜ✬䌬剕䕒䍎㵙单ⱄ⤧!＀＀ ＀＀	＀＀_x0008_＀＀_x0001_＀＀_x0001_＀＀_x0001_＀＀⬂ᚇ띙䂠찀줌今G剁䡍䙞彅卅䥔䅍䕔✨义彃則协❓✬䕍乁Ⱗ䌧䱁❁✬〲㘰ⰧⰰⰬⰧ啃剒久奃唽䑓✬착!＀＀ ＀＀	＀＀_x0008_＀＀_x0001_＀＀_x0001_＀＀_x0001_＀＀豀碵꼝쐕찀줛今E呓ⵍ剆䙞彅卅䥔䅍䕔✨偅䉓❇✬䕍乁Ⱗ䌧䱁❁✬〲ㄱⰧⰰⰬⰧ啃剒久奃唽䑓✬착!＀＀ ＀＀	＀＀_x0008_＀＀_x0001_＀＀_x0001_＀＀_x0001_＀＀飽갾㿠찀_xDC01_亱F呓幍䕆䕟呓䵉呁⡅䤧䍎䝟佒卓Ⱗ䴧䅅❎✬䅃䅌Ⱗ㈧㄰✳〬Ⱜ✬䌬剕䕒䍎㵙单ⱄ⤧!＀＀ ＀＀	＀＀_x0008_＀＀_x0001_＀＀_x0001_＀＀_x0001_＀＀㕀멞㪉䂰찀样仁_x001E_㐲㐵吭䥁䙞彇剐䍉⡅〴㘸ⰱⰬ单⥄!＀＀ ＀＀	＀＀_x0008_＀＀_x0001_＀＀_x0001_＀＀_x0001_＀＀뭅⤊䤿䀥찀줕今A䍑䵏䙞彅卅䥔䅍䕔✨䍆❆✬䕍乁Ⱗ䌧䱁❁✬〲㜰ⰧⰰⰬⰧ啃剒久奃唽䑓✬착!＀＀ ＀＀	＀＀_x0008_＀＀_x0001_＀＀_x0001_＀＀_x0001_＀＀桳쥼䂤찀M丯_x0019_呓幍䝆偟䥒䕃㐨㜰〵Ⱜ唬䑓착!＀＀ ＀＀	＀＀_x0008_＀＀_x0001_＀＀_x0001_＀＀_x0001_＀＀炤਽ꏗ䀠찀줙今B䑁幉䕆䕟呓䵉呁⡅䌧偁塅Ⱗ䴧䅅❎✬䅃䅌Ⱗ㈧〰✹〬Ⱜ✬䌬剕䕒䍎㵙单ⱄ⤧!＀＀ ＀＀	＀＀_x0008_＀＀_x0001_＀＀_x0001_＀＀_x0001_＀＀ㄑ堥䁐찀줚今@䑁幉䕆䕟呓䵉呁⡅䘧䙃Ⱗ䴧䅅❎✬䅃䅌Ⱗ㈧〰✶〬Ⱜ✬䌬剕䕒䍎㵙单ⱄ⤧!＀＀ ＀＀	＀＀_x0008_＀＀_x0001_＀＀_x0001_＀＀_x0001_＀＀࢚鸛䩞䁽찀줔今B䍑䵏䙞彅卅䥔䅍䕔✨扥瑩Ⱗ䴧䅅❎✬䅃䅌Ⱗ㈧㄰✱〬Ⱜ✬䌬剕䕒䍎㵙单ⱄ⤧!＀＀ ＀＀	＀＀_x0008_＀＀_x0001_＀＀_x0001_＀＀_x0001_＀＀褷恁≅䂷찀_xDE28_亱_x001A_呓幍杦摟扥彴潴慴⡬ⰰⰬ单⥄!＀＀ ＀＀	＀＀_x0008_＀＀_x0001_＀＀_x0001_＀＀_x0001_＀＀＀＀＀＀됀䂚찀줘今F䑁幉䕆䕟呓䵉呁⡅䤧䍎䝟佒卓Ⱗ䴧䅅❎✬䅃䅌Ⱗ㈧㄰✱〬Ⱜ✬䌬剕䕒䍎㵙单ⱄ⤧!＀＀ ＀＀	＀＀_x0008_＀＀_x0001_＀＀_x0001_＀＀_x0001_＀＀틲才㐐䂟찀줛今G䑁幉䕆䕟呓䵉呁⡅䌧单佔彍偅❓✬䕍乁Ⱗ䌧䱁❁✬〲㘰ⰧⰰⰬⰧ啃剒久奃唽䑓✬착!＀＀ ＀＀	＀＀_x0008_＀＀_x0001_＀＀_x0001_＀＀_x0001_＀＀俧픛䃩㿷찀줏今F㐲㐵吭䥁䙞彅卅䥔䅍䕔✨扥瑩Ⱗ䴧䅅❎✬䅃䅌Ⱗ㈧〰✹〬Ⱜ✬䌬剕䕒䍎㵙单ⱄ⤧!＀＀ ＀＀	＀＀_x0008_＀＀_x0001_＀＀_x0001_＀＀_x0001_＀＀_xDF3B_赏씗䂑찀亱_x0014_偉䥈䙞彇剐䍉⡅〴㐸⤹!＀＀ ＀＀	＀＀_x0008_＀＀_x0001_＀＀_x0001_＀＀_x0001_＀＀ꏗ㵰휊䀥찀줘今E呓ⵍ剆䙞彅卅䥔䅍䕔✨䅓䕌❓✬䕍乁Ⱗ䌧䱁❁✬〲ㄱⰧⰰⰬⰧ啃剒久奃唽䑓✬착!＀＀ ＀＀	＀＀_x0008_＀＀_x0001_＀＀_x0001_＀＀_x0001_＀＀娝㭤嘏䃃찀중今C义䍔䙞彅卅䥔䅍䕔✨偅䉓❇✬䕍乁Ⱗ䌧䱁❁✬〲㘰ⰧⰰⰬⰧ啃剒久奃唽䑓✬착!＀＀ ＀＀	＀＀_x0008_＀＀_x0001_＀＀_x0001_＀＀_x0001_＀＀豀碵꼝쐕찀崎仆_x0014_偉䥈䙞彇剐䍉⡅〴㘸⤵!＀＀ ＀＀	＀＀_x0008_＀＀_x0001_＀＀_x0001_＀＀_x0001_＀＀롒蔞퇫䀥찀줓今B噎䅄䙞彅卅䥔䅍䕔✨扥瑩Ⱗ䴧䅅❎✬䅃䅌Ⱗ㈧〰✷〬Ⱜ✬䌬剕䕒䍎㵙单ⱄ⤧!＀＀ ＀＀	＀＀_x0008_＀＀_x0001_＀＀_x0001_＀＀_x0001_＀＀릍५廹䂋찀줚今B䑁幉䕆䕟呓䵉呁⡅䔧卐䝂Ⱗ䴧䅅❎✬䅃䅌Ⱗ㈧㄰✰〬Ⱜ✬䌬剕䕒䍎㵙单ⱄ⤧!＀＀ ＀＀	＀＀_x0008_＀＀_x0001_＀＀_x0001_＀＀_x0001_＀＀씑෤팰䀄찀줚今E呓ⵍ剆䙞彅卅䥔䅍䕔✨䅃䕐❘✬䕍乁Ⱗ䌧䱁❁✬〲ㄱⰧⰰⰬⰧ啃剒久奃唽䑓✬착!＀＀ ＀＀	＀＀_x0008_＀＀_x0001_＀＀_x0001_＀＀_x0001_＀＀ⓝ脆䂓찀줍今C义䍔䙞彅卅䥔䅍䕔✨䅓䕌❓✬䕍乁Ⱗ䌧䱁❁✬〲㘰ⰧⰰⰬⰧ啃剒久奃唽䑓✬착!＀＀ ＀＀	＀＀_x0008_＀＀_x0001_＀＀_x0001_＀＀_x0001_＀＀＀＀＀＀䛀䃡찀줗今_x001E_前䱖偞灟楲散桟杩彨㈵⡷ⰰⰬ单⥄!＀＀ ＀＀	＀＀_x0008_＀＀_x0001_＀＀_x0001_＀＀_x0001_＀＀尨ʏ䀶찀鍇仂9义䍔䙞彅卅䥔䅍䕔䤨䍎䝟佒卓䴬䅅ⱎ啑剁䕔䱒ⱙ〲ㄱ㐯ⱆⰰⰬ✧착!＀＀ ＀＀	＀＀_x0008_＀＀_x0001_＀＀_x0001_＀＀_x0001_＀＀㭤俟鰍䃂찀줓今C䍑䵏䙞彅卅䥔䅍䕔✨䅓䕌❓✬䕍乁Ⱗ䌧䱁❁✬〲㈱ⰧⰰⰬⰧ啃剒久奃唽䑓✬착!＀＀ ＀＀	＀＀_x0008_＀＀_x0001_＀＀_x0001_＀＀_x0001_＀＀긕踚䃒찀줌今H剁䡍䙞彅卅䥔䅍䕔✨啃呓䵏䕟卐Ⱗ䴧䅅❎✬䅃䅌Ⱗ㈧〰✶〬Ⱜ✬䌬剕䕒䍎㵙单ⱄ⤧!＀＀ ＀＀	＀＀_x0008_＀＀_x0001_＀＀_x0001_＀＀_x0001_＀＀豀碵꼝쐕찀줎今K㐲㐵吭䥁䙞彅卅䥔䅍䕔✨义彃則协❓✬䕍乁Ⱗ䌧䱁❁✬〲〱ⰧⰰⰬⰧ啃剒久奃唽䑓✬착!＀＀ ＀＀	＀＀_x0008_＀＀_x0001_＀＀_x0001_＀＀_x0001_＀＀ᑺ낮䂠찀줇今_x0014_䅃䵖䙞彇剐䍉⡅〴㘸⤸!＀＀ ＀＀	＀＀_x0008_＀＀_x0001_＀＀_x0001_＀＀_x0001_＀＀凬Ẹ⮅䀿찀줖今H䍑䵏䙞彅卅䥔䅍䕔✨啃呓䵏䕟卐Ⱗ䴧䅅❎✬䅃䅌Ⱗ㈧〰✸〬Ⱜ✬䌬剕䕒䍎㵙单ⱄ⤧!＀＀ ＀＀	＀＀_x0008_＀＀_x0001_＀＀_x0001_＀＀_x0001_＀＀띅퍞芃㿼찀줌今B剁䡍䙞彅卅䥔䅍䕔✨扥瑩Ⱗ䴧䅅❎✬䅃䅌Ⱗ㈧㄰✳〬Ⱜ✬䌬剕䕒䍎㵙单ⱄ⤧!＀＀ ＀＀	＀＀_x0008_＀＀_x0001_＀＀_x0001_＀＀_x0001_＀＀寀䄠竱䁼찀줐今C义䍔䙞彅卅䥔䅍䕔✨䅃䕐❘✬䕍乁Ⱗ䌧䱁❁✬〲㘰ⰧⰰⰬⰧ啃剒久奃唽䑓✬착!＀＀ ＀＀	＀＀_x0008_＀＀_x0001_＀＀_x0001_＀＀_x0001_＀＀＀＀＀＀꬀䂶찀줙今I呓ⵍ剆䙞彅卅䥔䅍䕔✨义彃則协❓✬䕍乁Ⱗ䌧䱁❁✬〲〱ⰧⰰⰬⰧ啃剒久奃唽䑓✬착!＀＀ ＀＀	＀＀_x0008_＀＀_x0001_＀＀_x0001_＀＀_x0001_＀＀_xDF3C_赏岗䂯찀줔今C䍑䵏䙞彅卅䥔䅍䕔✨䅃䕐❘✬䕍乁Ⱗ䌧䱁❁✬〲㈱ⰧⰰⰬⰧ啃剒久奃唽䑓✬착!＀＀ ＀＀	＀＀_x0008_＀＀_x0001_＀＀_x0001_＀＀_x0001_＀＀꾸ଌ䂊찀䮈亴_x0014_䱁剔䙞彇剐䍉⡅〴㔸⤱!＀＀ ＀＀	＀＀_x0008_＀＀_x0001_＀＀_x0001_＀＀_x0001_＀＀晦晦虦䁃찀줌今G剁䡍䙞彅卅䥔䅍䕔✨义彃則协❓✬䕍乁Ⱗ䌧䱁❁✬〲㤰ⰧⰰⰬⰧ啃剒久奃唽䑓✬착!＀＀ ＀＀	＀＀_x0008_＀＀_x0001_＀＀_x0001_＀＀_x0001_＀＀_xD980_礽䡘䁼찀줏今F㐲㐵吭䥁䙞彅卅䥔䅍䕔✨扥瑩Ⱗ䴧䅅❎✬䅃䅌Ⱗ㈧〰✶〬Ⱜ✬䌬剕䕒䍎㵙单ⱄ⤧!＀＀ ＀＀	＀＀_x0008_＀＀_x0001_＀＀_x0001_＀＀_x0001_＀＀⁜ౣ䂆찀중今H义䍔䙞彅卅䥔䅍䕔✨啃呓䵏䕟卐Ⱗ䴧䅅❎✬䅃䅌Ⱗ㈧㄰✰〬Ⱜ✬䌬剕䕒䍎㵙单ⱄ⤧!＀＀ ＀＀	＀＀_x0008_＀＀_x0001_＀＀_x0001_＀＀_x0001_＀＀晦晦晦䀀찀줓今G䍑䵏䙞彅卅䥔䅍䕔✨义彃則协❓✬䕍乁Ⱗ䌧䱁❁✬〲㤰ⰧⰰⰬⰧ啃剒久奃唽䑓✬착!＀＀ ＀＀	＀＀_x0008_＀＀_x0001_＀＀_x0001_＀＀_x0001_＀＀슐⣵䂼찀줙今B䑁幉䕆䕟呓䵉呁⡅䌧偁塅Ⱗ䴧䅅❎✬䅃䅌Ⱗ㈧㄰✰〬Ⱜ✬䌬剕䕒䍎㵙单ⱄ⤧!＀＀ ＀＀	＀＀_x0008_＀＀_x0001_＀＀_x0001_＀＀_x0001_＀＀攘젶鬤䁜찀줌今A剁䡍䙞彅卅䥔䅍䕔✨䍆❆✬䕍乁Ⱗ䌧䱁❁✬〲㠰ⰧⰰⰬⰧ啃剒久奃唽䑓✬착!＀＀ ＀＀	＀＀_x0008_＀＀_x0001_＀＀_x0001_＀＀_x0001_＀＀_xD9E9_窱ꍜ䁕찀_xDC01_亱A呓幍䕆䕟呓䵉呁⡅攧楢❴✬䕍乁Ⱗ䌧䱁❁✬〲㠰ⰧⰰⰬⰧ啃剒久奃唽䑓✬착!＀＀ ＀＀	＀＀_x0008_＀＀_x0001_＀＀_x0001_＀＀_x0001_＀＀i腯팄䁬찀样仁_x001A_剁䡍䙞彇剐䍉⡅〴㘸ⰱⰬ单⥄!＀＀ ＀＀	＀＀_x0008_＀＀_x0001_＀＀_x0001_＀＀_x0001_＀＀晦晦왦䀽찀줗今_x0014_䱘塎䙞彇剐䍉⡅〴㘸⤸!＀＀ ＀＀	＀＀_x0008_＀＀_x0001_＀＀_x0001_＀＀_x0001_＀＀ᑻ䞮㫡䀿찀줔今B䍑䵏䙞彅卅䥔䅍䕔✨扥瑩Ⱗ䴧䅅❎✬䅃䅌Ⱗ㈧㄰✴〬Ⱜ✬䌬剕䕒䍎㵙单ⱄ⤧!＀＀ ＀＀	＀＀_x0008_＀＀_x0001_＀＀_x0001_＀＀_x0001_＀＀Ȍ蜫ഖ䃂찀줛今G䑁幉䕆䕟呓䵉呁⡅䌧单佔彍偅❓✬䕍乁Ⱗ䌧䱁❁✬〲㤰ⰧⰰⰬⰧ啃剒久奃唽䑓✬착!＀＀ ＀＀	＀＀_x0008_＀＀_x0001_＀＀_x0001_＀＀_x0001_＀＀䖪ㅄ䍹㿳찀줚今@䑁幉䕆䕟呓䵉呁⡅䘧䙃Ⱗ䴧䅅❎✬䅃䅌Ⱗ㈧㄰✳〬Ⱜ✬䌬剕䕒䍎㵙单ⱄ⤧!＀＀ ＀＀	＀＀_x0008_＀＀_x0001_＀＀_x0001_＀＀_x0001_＀＀쫁䖡状䂍찀줘今E呓ⵍ剆䙞彅卅䥔䅍䕔✨䅓䕌❓✬䕍乁Ⱗ䌧䱁❁✬〲㐱ⰧⰰⰬⰧ啃剒久奃唽䑓✬착!＀＀ ＀＀	＀＀_x0008_＀＀_x0001_＀＀_x0001_＀＀_x0001_＀＀빷᪟ꗿ䃆찀중今C义䍔䙞彅卅䥔䅍䕔✨偅䉓❇✬䕍乁Ⱗ䌧䱁❁✬〲㌱ⰧⰰⰬⰧ啃剒久奃唽䑓✬착!＀＀ ＀＀	＀＀_x0008_＀＀_x0001_＀＀_x0001_＀＀_x0001_＀＀ꏗ㵰圊䀆찀M丯_x001A_义䍔䙞彇剐䍉⡅〴㔷ⰰⰬ单⥄!＀＀ ＀＀	＀＀_x0008_＀＀_x0001_＀＀_x0001_＀＀_x0001_＀＀晦晦䀶찀稿仁B义䍔䙞彅卅䥔䅍䕔✨䅓䕌❓✬䕍乁Ⱗ儧䅕呒剅奌剟䱏❌✬〲㈱ㄯ❃〬Ⱜ✬⤧!＀＀ ＀＀	＀＀_x0008_＀＀_x0001_＀＀_x0001_＀＀_x0001_＀＀摚_xDF3B_졟䃊찀-丯_x0014_䅃䵖䙞彇剐䍉⡅〴㔷⤰!＀＀ ＀＀	＀＀_x0008_＀＀_x0001_＀＀_x0001_＀＀_x0001_＀＀蔟凫麸䁂찀줚今B䑁幉䕆䕟呓䵉呁⡅䔧卐䝂Ⱗ䴧䅅❎✬䅃䅌Ⱗ㈧㄰✳〬Ⱜ✬䌬剕䕒䍎㵙单ⱄ⤧!＀＀ ＀＀	＀＀_x0008_＀＀_x0001_＀＀_x0001_＀＀_x0001_＀＀豀碵꼝쐕찀줚今E呓ⵍ剆䙞彅卅䥔䅍䕔✨䅃䕐❘✬䕍乁Ⱗ䌧䱁❁✬〲㐱ⰧⰰⰬⰧ啃剒久奃唽䑓✬착!＀＀ ＀＀	＀＀_x0008_＀＀_x0001_＀＀_x0001_＀＀_x0001_＀＀擃悪㵔䂋찀줍今C义䍔䙞彅卅䥔䅍䕔✨䅓䕌❓✬䕍乁Ⱗ䌧䱁❁✬〲㤰ⰧⰰⰬⰧ啃剒久奃唽䑓✬착!＀＀ ＀＀	＀＀_x0008_＀＀_x0001_＀＀_x0001_＀＀_x0001_＀＀＀＀＀＀⛠䃡찀瀌享_x001A_䍑䵏䙞彇剐䍉⡅〴㐸ⰴⰬ单⥄!＀＀ ＀＀	＀＀_x0008_＀＀_x0001_＀＀_x0001_＀＀_x0001_＀＀਽ꏗ鵰䁊찀줌今B剁䡍䙞彅卅䥔䅍䕔✨扥瑩Ⱗ䴧䅅❎✬䅃䅌Ⱗ㈧㄰✰〬Ⱜ✬䌬剕䕒䍎㵙单ⱄ⤧!＀＀ ＀＀	＀＀_x0008_＀＀_x0001_＀＀_x0001_＀＀_x0001_＀＀菥춞侪䁭찀줕今C噎䅄䙞彅卅䥔䅍䕔✨偅䉓❇✬䕍乁Ⱗ䌧䱁❁✬〲㜰ⰧⰰⰬⰧ啃剒久奃唽䑓✬착!＀＀ ＀＀	＀＀_x0008_＀＀_x0001_＀＀_x0001_＀＀_x0001_＀＀ꑲ〳㋲㿸찀稿仁B义䍔䙞彅卅䥔䅍䕔✨䅓䕌❓✬䕍乁Ⱗ儧䅕呒剅奌剟䱏❌✬〲ㄱ㐯❃〬Ⱜ✬⤧!＀＀ ＀＀	＀＀_x0008_＀＀_x0001_＀＀_x0001_＀＀_x0001_＀＀삃ꇊ龅䃌찀줌今H剁䡍䙞彅卅䥔䅍䕔✨啃呓䵏䕟卐Ⱗ䴧䅅❎✬䅃䅌Ⱗ㈧〰✹〬Ⱜ✬䌬剕䕒䍎㵙单ⱄ⤧!＀＀ ＀＀	＀＀_x0008_＀＀_x0001_＀＀_x0001_＀＀_x0001_＀＀豀碵꼝쐕찀줎今K㐲㐵吭䥁䙞彅卅䥔䅍䕔✨义彃則协❓✬䕍乁Ⱗ䌧䱁❁✬〲㌱ⰧⰰⰬⰧ啃剒久奃唽䑓✬착!＀＀ ＀＀	＀＀_x0008_＀＀_x0001_＀＀_x0001_＀＀_x0001_＀＀龿⼚姝䂜찀줘今B䑁幉䕆䕟呓䵉呁⡅匧䱁卅Ⱗ䴧䅅❎✬䅃䅌Ⱗ㈧㄰✳〬Ⱜ✬䌬剕䕒䍎㵙单ⱄ⤧!＀＀ ＀＀	＀＀_x0008_＀＀_x0001_＀＀_x0001_＀＀_x0001_＀＀ొ⬂䂨찀亱_x001E_㐲㐵吭䥁䙞彇剐䍉⡅〴㐸ⰹⰬ单⥄!＀＀ ＀＀	＀＀_x0008_＀＀_x0001_＀＀_x0001_＀＀_x0001_＀＀龜掔ꢲ䀥찀줓今G䍑䵏䙞彅卅䥔䅍䕔✨义彃則协❓✬䕍乁Ⱗ䌧䱁❁✬〲㘰ⰧⰰⰬⰧ啃剒久奃唽䑓✬착!＀＀ ＀＀	＀＀_x0008_＀＀_x0001_＀＀_x0001_＀＀_x0001_＀＀豀碵꼝쐕찀稿仁9义䍔䙞彅卅䥔䅍䕔䤨䍎䝟佒卓䴬䅅ⱎ啑剁䕔䱒ⱙ〲㈱ㄯⱃⰰⰬ✧착!＀＀ ＀＀	＀＀_x0008_＀＀_x0001_＀＀_x0001_＀＀_x0001_＀＀_xD805_䃀찀줐今C义䍔䙞彅卅䥔䅍䕔✨䅃䕐❘✬䕍乁Ⱗ䌧䱁❁✬〲㤰ⰧⰰⰬⰧ啃剒久奃唽䑓✬착!＀＀ ＀＀	＀＀_x0008_＀＀_x0001_＀＀_x0001_＀＀_x0001_＀＀＀＀＀＀ꌀ䂱찀줙今I呓ⵍ剆䙞彅卅䥔䅍䕔✨义彃則协❓✬䕍乁Ⱗ䌧䱁❁✬〲㌱ⰧⰰⰬⰧ啃剒久奃唽䑓✬착!＀＀ ＀＀	＀＀_x0008_＀＀_x0001_＀＀_x0001_＀＀_x0001_＀＀䆉剐䂰찀M丯_x0014_䱘塎䙞彇剐䍉⡅〴㔷⤰!＀＀ ＀＀	＀＀_x0008_＀＀_x0001_＀＀_x0001_＀＀_x0001_＀＀⣶轜헂䁀찀중今H义䍔䙞彅卅䥔䅍䕔✨啃呓䵏䕟卐Ⱗ䴧䅅❎✬䅃䅌Ⱗ㈧㄰✳〬Ⱜ✬䌬剕䕒䍎㵙单ⱄ⤧!＀＀ ＀＀	＀＀_x0008_＀＀_x0001_＀＀_x0001_＀＀_x0001_＀＀썡⯓饥䀅찀줕今A䍑䵏䙞彅卅䥔䅍䕔✨䍆❆✬䕍乁Ⱗ䌧䱁❁✬〲ㄱⰧⰰⰬⰧ啃剒久奃唽䑓✬착!＀＀ ＀＀	＀＀_x0008_＀＀_x0001_＀＀_x0001_＀＀_x0001_＀＀摚_xDF3B_ꍯ䂲찀줙今B䑁幉䕆䕟呓䵉呁⡅䌧偁塅Ⱗ䴧䅅❎✬䅃䅌Ⱗ㈧㄰✳〬Ⱜ✬䌬剕䕒䍎㵙单ⱄ⤧!＀＀ ＀＀	＀＀_x0008_＀＀_x0001_＀＀_x0001_＀＀_x0001_＀＀헐洯䁢찀줚今@䑁幉䕆䕟呓䵉呁⡅䘧䙃Ⱗ䴧䅅❎✬䅃䅌Ⱗ㈧㄰✰〬Ⱜ✬䌬剕䕒䍎㵙单ⱄ⤧!＀＀ ＀＀	＀＀_x0008_＀＀_x0001_＀＀_x0001_＀＀_x0001_＀＀亥ፀա䂋찀鷽仅_x001C_呓ⵍ剆䙞彇剐䍉⡅〴㘸ⰴⰬ单⥄!＀＀ ＀＀	＀＀_x0008_＀＀_x0001_＀＀_x0001_＀＀_x0001_＀＀_xDA3C_戸縭䀛찀줖今_x001A_剁䡍䙞彇剐䍉⡅〴㘸ⰸⰬ单⥄!＀＀ ＀＀	＀＀_x0008_＀＀_x0001_＀＀_x0001_＀＀_x0001_＀＀㵱휊䀺찀줏今F㐲㐵吭䥁䙞彅卅䥔䅍䕔✨扥瑩Ⱗ䴧䅅❎✬䅃䅌Ⱗ㈧㄰✳〬Ⱜ✬䌬剕䕒䍎㵙单ⱄ⤧!＀＀ ＀＀	＀＀_x0008_＀＀_x0001_＀＀_x0001_＀＀_x0001_＀＀즅䂅찀_xDC01_亱@呓幍䕆䕟呓䵉呁⡅䐧卐Ⱗ䴧䅅❎✬䅃䅌Ⱗ㈧㄰✱〬Ⱜ✬䌬剕䕒䍎㵙单ⱄ⤧!＀＀ ＀＀	＀＀_x0008_＀＀_x0001_＀＀_x0001_＀＀_x0001_＀＀炂ᐅ槪㿙찀중今L㐲㐵吭䥁䙞彅卅䥔䅍䕔✨啃呓䵏䕟卐Ⱗ䴧䅅❎✬䅃䅌Ⱗ㈧〰✹〬Ⱜ✬䌬剕䕒䍎㵙单ⱄ⤧!＀＀ ＀＀	＀＀_x0008_＀＀_x0001_＀＀_x0001_＀＀_x0001_＀＀豀碵꼝쐕찀_xDC01_亱@呓幍䕆䕟呓䵉呁⡅䘧䙃Ⱗ䴧䅅❎✬䅃䅌Ⱗ㈧〰✸〬Ⱜ✬䌬剕䕒䍎㵙单ⱄ⤧!＀＀ ＀＀	＀＀_x0008_＀＀_x0001_＀＀_x0001_＀＀_x0001_＀＀봼陒㚡䂃찀중今C义䍔䙞彅卅䥔䅍䕔✨偅䉓❇✬䕍乁Ⱗ䌧䱁❁✬〲〱ⰧⰰⰬⰧ啃剒久奃唽䑓✬착!＀＀ ＀＀	＀＀_x0008_＀＀_x0001_＀＀_x0001_＀＀_x0001_＀＀焍讬棛䀁찀줓今B噎䅄䙞彅卅䥔䅍䕔✨扥瑩Ⱗ䴧䅅❎✬䅃䅌Ⱗ㈧㄰✱〬Ⱜ✬䌬剕䕒䍎㵙单ⱄ⤧!＀＀ ＀＀	＀＀_x0008_＀＀_x0001_＀＀_x0001_＀＀_x0001_＀＀㓗㣯蝅䂆찀줍今C义䍔䙞彅卅䥔䅍䕔✨䅓䕌❓✬䕍乁Ⱗ䌧䱁❁✬〲〱ⰧⰰⰬⰧ啃剒久奃唽䑓✬착!＀＀ ＀＀	＀＀_x0008_＀＀_x0001_＀＀_x0001_＀＀_x0001_＀＀＀＀＀＀䳠䃥찀줘今B䑁幉䕆䕟呓䵉呁⡅匧䱁卅Ⱗ䴧䅅❎✬䅃䅌Ⱗ㈧㄰✰〬Ⱜ✬䌬剕䕒䍎㵙单ⱄ⤧!＀＀ ＀＀	＀＀_x0008_＀＀_x0001_＀＀_x0001_＀＀_x0001_＀＀晧晦䂥찀崛仆_x001A_义䍔䙞彇剐䍉⡅〴㘸ⰵⰬ单⥄!＀＀ ＀＀	＀＀_x0008_＀＀_x0001_＀＀_x0001_＀＀_x0001_＀＀ꏗ㵰圊䀸찀줌今H剁䡍䙞彅卅䥔䅍䕔✨啃呓䵏䕟卐Ⱗ䴧䅅❎✬䅃䅌Ⱗ㈧㄰✰〬Ⱜ✬䌬剕䕒䍎㵙单ⱄ⤧!＀＀ ＀＀	＀＀_x0008_＀＀_x0001_＀＀_x0001_＀＀_x0001_＀＀豀碵꼝쐕찀줗今_x001D_䑁幉彐牰捩彥楨桧㕟眲〨Ⱜ唬䑓착!＀＀ ＀＀	＀＀_x0008_＀＀_x0001_＀＀_x0001_＀＀_x0001_＀＀炤਽ꏗ䁅찀줗今_x001A_䍑䵏䙞彇剐䍉⡅〴㘸ⰸⰬ单⥄!＀＀ ＀＀	＀＀_x0008_＀＀_x0001_＀＀_x0001_＀＀_x0001_＀＀尨⊏䁋찀줖今H䍑䵏䙞彅卅䥔䅍䕔✨啃呓䵏䕟卐Ⱗ䴧䅅❎✬䅃䅌Ⱗ㈧㄰✲〬Ⱜ✬䌬剕䕒䍎㵙单ⱄ⤧!＀＀ ＀＀	＀＀_x0008_＀＀_x0001_＀＀_x0001_＀＀_x0001_＀＀쐢뎕虷䀊찀줐今C义䍔䙞彅卅䥔䅍䕔✨䅃䕐❘✬䕍乁Ⱗ䌧䱁❁✬〲〱ⰧⰰⰬⰧ啃剒久奃唽䑓✬착!＀＀ ＀＀	＀＀_x0008_＀＀_x0001_＀＀_x0001_＀＀_x0001_＀＀＀＀＀＀啀䂴찀瀌享_x0014_䱁剔䙞彇剐䍉⡅〴㐸⤴!＀＀ ＀＀	＀＀_x0008_＀＀_x0001_＀＀_x0001_＀＀_x0001_＀＀Ẹ䁃찀줌今G剁䡍䙞彅卅䥔䅍䕔✨义彃則协❓✬䕍乁Ⱗ䌧䱁❁✬〲㌱ⰧⰰⰬⰧ啃剒久奃唽䑓✬착!＀＀ ＀＀	＀＀_x0008_＀＀_x0001_＀＀_x0001_＀＀_x0001_＀＀_xDFA5_຾쌜䂌찀줏今F㐲㐵吭䥁䙞彅卅䥔䅍䕔✨扥瑩Ⱗ䴧䅅❎✬䅃䅌Ⱗ㈧㄰✰〬Ⱜ✬䌬剕䕒䍎㵙单ⱄ⤧!＀＀ ＀＀	＀＀_x0008_＀＀_x0001_＀＀_x0001_＀＀_x0001_＀＀ᚇ컙ꝷ䂐찀줓今G䍑䵏䙞彅卅䥔䅍䕔✨义彃則协❓✬䕍乁Ⱗ䌧䱁❁✬〲㌱ⰧⰰⰬⰧ啃剒久奃唽䑓✬착!＀＀ ＀＀	＀＀_x0008_＀＀_x0001_＀＀_x0001_＀＀_x0001_＀＀_xD917_ᔣ䃋찀줌今A剁䡍䙞彅卅䥔䅍䕔✨䍆❆✬䕍乁Ⱗ䌧䱁❁✬〲㈱ⰧⰰⰬⰧ啃剒久奃唽䑓✬착!＀＀ ＀＀	＀＀_x0008_＀＀_x0001_＀＀_x0001_＀＀_x0001_＀＀쮒䡿늿䁲찀중今L㐲㐵吭䥁䙞彅卅䥔䅍䕔✨啃呓䵏䕟卐Ⱗ䴧䅅❎✬䅃䅌Ⱗ㈧〰✶〬Ⱜ✬䌬剕䕒䍎㵙单ⱄ⤧!＀＀ ＀＀	＀＀_x0008_＀＀_x0001_＀＀_x0001_＀＀_x0001_＀＀豀碵꼝쐕찀_xDC01_亱A呓幍䕆䕟呓䵉呁⡅攧楢❴✬䕍乁Ⱗ䌧䱁❁✬〲㈱ⰧⰰⰬⰧ啃剒久奃唽䑓✬착!＀＀ ＀＀	＀＀_x0008_＀＀_x0001_＀＀_x0001_＀＀_x0001_＀＀蟽_xDBF4_䁧찀鉦仂_x0019_䑁幉䝆偟䥒䕃㐨㠰㈶Ⱜ唬䑓착!＀＀ ＀＀	＀＀_x0008_＀＀_x0001_＀＀_x0001_＀＀_x0001_＀＀馚香㦙䁂찀줕今A䍑䵏䙞彅卅䥔䅍䕔✨䍆❆✬䕍乁Ⱗ䌧䱁❁✬〲㐱ⰧⰰⰬⰧ啃剒久奃唽䑓✬착!＀＀ ＀＀	＀＀_x0008_＀＀_x0001_＀＀_x0001_＀＀_x0001_＀＀譄᣻䂽찀줖今_x001D_剁䡍偞灟楲散江睯㕟眲〨Ⱜ唬䑓착!＀＀ ＀＀	＀＀_x0008_＀＀_x0001_＀＀_x0001_＀＀_x0001_＀＀尩슏ꣵ䀱찀줛今G䑁幉䕆䕟呓䵉呁⡅䌧单佔彍偅❓✬䕍乁Ⱗ䌧䱁❁✬〲㌱ⰧⰰⰬⰧ啃剒久奃唽䑓✬착!＀＀ ＀＀	＀＀_x0008_＀＀_x0001_＀＀_x0001_＀＀_x0001_＀＀枡ᕳ䀈찀줓今G噎䅄䙞彅卅䥔䅍䕔✨义彃則协❓✬䕍乁Ⱗ䌧䱁❁✬〲㜰ⰧⰰⰬⰧ啃剒久奃唽䑓✬착!＀＀ ＀＀	＀＀_x0008_＀＀_x0001_＀＀_x0001_＀＀_x0001_＀＀豀碵꼝쐕찀줒今_x001D_噎䅄䙞彆䅃䡓卟⡔呑ⱒⰰⰬ唬䑓착ċ＀＀ ＀＀ó＀＀_x0008_＀＀_x0001_＀＀_x0001_＀＀_x0001_＀＀㽼碵䂥摦畳㩰⼯楄敲瑣潩獮䘯捡却瑥䄠摵瑩湩⁧楖睥牥愿瑣潩㵮啁䥄彔䅖啌♅䉄ㄽ㤲䤦ㅄ㘽〷㘶ㅇ☰䅖啌䥅㵄㈰〰☱䑓呁㵅〲ㄱ㌰倦剅佉呄偙㵅呑归呓♄䍓呆㌽眦湩潤㵷潰異彰潮扟牡眦摩桴㌽㔸栦楥桧㵴㈱☰呓剁彔䅍䥘䥍䕚㵄䅆卌♅牣慥潴㵲慦瑣敳♴楤灳慬役瑳楲杮䄽摵瑩찀줚今C呓ⵍ剆䙞彅卅䥔䅍䕔✨䍆❆✬䕍乁Ⱗ䌧䱁❁✬〲㘰ⰧⰰⰬⰧ啃剒久奃唽䑓✬착!＀＀ ＀＀	＀＀_x0008_＀＀_x0001_＀＀_x0001_＀＀_x0001_＀＀욧擋䂆찀줘今_x001D_呓ⵍ剆晞彧敤瑢瑟瑯污〨Ⱜ唬䑓착!＀＀ ＀＀	＀＀_x0008_＀＀_x0001_＀＀_x0001_＀＀_x0001_＀＀赐W됀䂚찀줖今_x0014_䱁剔䙞彇剐䍉⡅〴㐵⤴!＀＀ ＀＀	＀＀_x0008_＀＀_x0001_＀＀_x0001_＀＀_x0001_＀＀휊炣쨽䁁찀栳仁B噎䅄䙞彅卅䥔䅍䕔✨扥瑩Ⱗ䴧䅅❎✬䅃䅌Ⱗ㈧㄰✴〬Ⱜ✬䌬剕䕒䍎㵙单ⱄ⤧!＀＀ ＀＀	＀＀_x0008_＀＀_x0001_＀＀_x0001_＀＀_x0001_＀＀豀碵꼝쐕찀样仁_x001A_䍑䵏䙞彇剐䍉⡅〴㘸ⰱⰬ单⥄!＀＀ ＀＀	＀＀_x0008_＀＀_x0001_＀＀_x0001_＀＀_x0001_＀＀尨ꊏ䁌찀줍今C义䍔䙞彅卅䥔䅍䕔✨䅓䕌❓✬䕍乁Ⱗ䌧䱁❁✬〲㌱ⰧⰰⰬⰧ啃剒久奃唽䑓✬착!＀＀ ＀＀	＀＀_x0008_＀＀_x0001_＀＀_x0001_＀＀_x0001_＀＀롒蔞꫋䃭찀중今G㐲㐵吭䥁䙞彅卅䥔䅍䕔✨偅䉓❇✬䕍乁Ⱗ䌧䱁❁✬〲㠰ⰧⰰⰬⰧ啃剒久奃唽䑓✬착!＀＀ ＀＀	＀＀_x0008_＀＀_x0001_＀＀_x0001_＀＀_x0001_＀＀꘺堸㿡찀줗今_x001D_䍑䵏偞灟楲散江睯㕟眲〨Ⱜ唬䑓착!＀＀ ＀＀	＀＀_x0008_＀＀_x0001_＀＀_x0001_＀＀_x0001_＀＀ਾꏗﵰ䁆찀왐亭_x0019_呓幍䝆偟䥒䕃㐨㠰㘴Ⱜ唬䑓착!＀＀ ＀＀	＀＀_x0008_＀＀_x0001_＀＀_x0001_＀＀_x0001_＀＀轜尨䀝찀鎦丹_x001E_㐲㐵吭䥁䙞彇剐䍉⡅〴㔷ⰸⰬ单⥄!＀＀ ＀＀	＀＀_x0008_＀＀_x0001_＀＀_x0001_＀＀_x0001_＀＀稵䀵桩䀡찀,丯F㘰㔳䉔䔭䙞彅卅䥔䅍䕔✨䅓䕌❓✬䕍乁Ⱗ儧䅕呒剅奌剟䱏❌✬〲ㄱ㌯❃〬Ⱜ✬⤧!＀＀ ＀＀	＀＀_x0008_＀＀_x0001_＀＀_x0001_＀＀_x0001_＀＀豀碵꼝쐕찀줌今H剁䡍䙞彅卅䥔䅍䕔✨啃呓䵏䕟卐Ⱗ䴧䅅❎✬䅃䅌Ⱗ㈧㄰✳〬Ⱜ✬䌬剕䕒䍎㵙单ⱄ⤧!＀＀ ＀＀	＀＀_x0008_＀＀_x0001_＀＀_x0001_＀＀_x0001_＀＀豀碵꼝쐕찀M丯_x001A_噎䅄䙞彇剐䍉⡅〴㔷ⰰⰬ单⥄!＀＀ ＀＀	＀＀_x0008_＀＀_x0001_＀＀_x0001_＀＀_x0001_＀＀凬Ẹ䀬찀줒今C噎䅄䙞彅卅䥔䅍䕔✨䅓䕌❓✬䕍乁Ⱗ䌧䱁❁✬〲㜰ⰧⰰⰬⰧ啃剒久奃唽䑓✬착!＀＀ ＀＀	＀＀_x0008_＀＀_x0001_＀＀_x0001_＀＀_x0001_＀＀_xDB23_绹哪䂯찀줕今H噎䅄䙞彅卅䥔䅍䕔✨啃呓䵏䕟卐Ⱗ䴧䅅❎✬䅃䅌Ⱗ㈧〰✸〬Ⱜ✬䌬剕䕒䍎㵙单ⱄ⤧!＀＀ ＀＀	＀＀_x0008_＀＀_x0001_＀＀_x0001_＀＀_x0001_＀＀腠痹죱㿕찀줌今G剁䡍䙞彅卅䥔䅍䕔✨义彃則协❓✬䕍乁Ⱗ䌧䱁❁✬〲〱ⰧⰰⰬⰧ啃剒久奃唽䑓✬착!＀＀ ＀＀	＀＀_x0008_＀＀_x0001_＀＀_x0001_＀＀_x0001_＀＀묰༧눋䂂찀줓今G䍑䵏䙞彅卅䥔䅍䕔✨义彃則协❓✬䕍乁Ⱗ䌧䱁❁✬〲〱ⰧⰰⰬⰧ啃剒久奃唽䑓✬착!＀＀ ＀＀	＀＀_x0008_＀＀_x0001_＀＀_x0001_＀＀_x0001_＀＀퓾➶䃀찀줐今C义䍔䙞彅卅䥔䅍䕔✨䅃䕐❘✬䕍乁Ⱗ䌧䱁❁✬〲㌱ⰧⰰⰬⰧ啃剒久奃唽䑓✬착!＀＀ ＀＀	＀＀_x0008_＀＀_x0001_＀＀_x0001_＀＀_x0001_＀＀᪠_xDD2F_彴䃀찀줛今G䑁幉䕆䕟呓䵉呁⡅䌧单佔彍偅❓✬䕍乁Ⱗ䌧䱁❁✬〲〱ⰧⰰⰬⰧ啃剒久奃唽䑓✬착!＀＀ ＀＀	＀＀_x0008_＀＀_x0001_＀＀_x0001_＀＀_x0001_＀＀铻뉣羸䀃찀,丯D㘰㔳䉔䔭䙞彅卅䥔䅍䕔✨偅❓✬䕍乁Ⱗ儧䅕呒剅奌剟䱏❌✬〲ㄱ㈯❃〬Ⱜ✬⤧!＀＀ ＀＀	＀＀_x0008_＀＀_x0001_＀＀_x0001_＀＀_x0001_＀＀豀碵꼝쐕찀줌今_x001D_义䍔䙞彆䅃䡓卟⡔呑ⱒⰰⰬ唬䑓착ċ＀＀ ＀＀ó＀＀_x0008_＀＀_x0001_＀＀_x0001_＀＀_x0001_＀＀＀＀＀＀媀䃅摦畳㩰⼯楄敲瑣潩獮䘯捡却瑥䄠摵瑩湩⁧楖睥牥愿瑣潩㵮啁䥄彔䅖啌♅䉄ㄽ㤲䤦ㅄ㐽㠵㐱㄰☰䅖啌䥅㵄㈰〰☱䑓呁㵅〲ㄱ㌰倦剅佉呄偙㵅呑归呓♄䍓呆㌽眦湩潤㵷潰異彰潮扟牡眦摩桴㌽㔸栦楥桧㵴㈱☰呓剁彔䅍䥘䥍䕚㵄䅆卌♅牣慥潴㵲慦瑣敳♴楤灳慬役瑳楲杮䄽摵瑩찀줔今C噎䅄䙞彅卅䥔䅍䕔✨䅃䕐❘✬䕍乁Ⱗ䌧䱁❁✬〲㜰ⰧⰰⰬⰧ啃剒久奃唽䑓✬착!＀＀ ＀＀	＀＀_x0008_＀＀_x0001_＀＀_x0001_＀＀_x0001_＀＀╆ɵ劚䁥찀_xDC01_亱_x0019_呓幍䝆偟䥒䕃㐨㔰㐴Ⱜ唬䑓착!＀＀ ＀＀	＀＀_x0008_＀＀_x0001_＀＀_x0001_＀＀_x0001_＀＀竡긔䀤찀중今L㐲㐵吭䥁䙞彅卅䥔䅍䕔✨啃呓䵏䕟卐Ⱗ䴧䅅❎✬䅃䅌Ⱗ㈧㄰✳〬Ⱜ✬䌬剕䕒䍎㵙单ⱄ⤧!＀＀ ＀＀	＀＀_x0008_＀＀_x0001_＀＀_x0001_＀＀_x0001_＀＀豀碵꼝쐕찀_xDC01_亱@呓幍䕆䕟呓䵉呁⡅䘧䙃Ⱗ䴧䅅❎✬䅃䅌Ⱗ㈧㄰✲〬Ⱜ✬䌬剕䕒䍎㵙单ⱄ⤧!＀＀ ＀＀	＀＀_x0008_＀＀_x0001_＀＀_x0001_＀＀_x0001_＀＀ቯ삃ᯊ䁾찀줚今C呓ⵍ剆䙞彅卅䥔䅍䕔✨䍆❆✬䕍乁Ⱗ䌧䱁❁✬〲㤰ⰧⰰⰬⰧ啃剒久奃唽䑓✬착!＀＀ ＀＀	＀＀_x0008_＀＀_x0001_＀＀_x0001_＀＀_x0001_＀＀⹉⇿忽䁱찀줎今G义䍔䙞彅卅䥔䅍䕔✨义彃則协❓✬䕍乁Ⱗ䌧䱁❁✬〲㠰ⰧⰰⰬⰧ啃剒久奃唽䑓✬착!＀＀ ＀＀	＀＀_x0008_＀＀_x0001_＀＀_x0001_＀＀_x0001_＀＀＀＀＀＀嬀䃔찀줓今G噎䅄䙞彅卅䥔䅍䕔✨义彃則协❓✬䕍乁Ⱗ䌧䱁❁✬〲㐱ⰧⰰⰬⰧ啃剒久奃唽䑓✬착!＀＀ ＀＀	＀＀_x0008_＀＀_x0001_＀＀_x0001_＀＀_x0001_＀＀豀碵꼝쐕찀</t>
        </r>
      </text>
    </comment>
  </commentList>
</comments>
</file>

<file path=xl/comments2.xml><?xml version="1.0" encoding="utf-8"?>
<comments xmlns="http://schemas.openxmlformats.org/spreadsheetml/2006/main">
  <authors>
    <author>Chang, Diana (Research)</author>
  </authors>
  <commentList>
    <comment ref="BH8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$155.1mn disti adjustment, non GAAP revenue at $1281.6mn</t>
        </r>
      </text>
    </comment>
    <comment ref="BH26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34-36%</t>
        </r>
      </text>
    </comment>
    <comment ref="BI26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 34.7%-36.7%</t>
        </r>
      </text>
    </comment>
    <comment ref="BH65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271-285mn</t>
        </r>
      </text>
    </comment>
    <comment ref="BH75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G:37-41mn</t>
        </r>
      </text>
    </comment>
    <comment ref="BH85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Guidance: 33-35mn</t>
        </r>
      </text>
    </comment>
    <comment ref="BI149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20-22mn</t>
        </r>
      </text>
    </comment>
  </commentList>
</comments>
</file>

<file path=xl/comments3.xml><?xml version="1.0" encoding="utf-8"?>
<comments xmlns="http://schemas.openxmlformats.org/spreadsheetml/2006/main">
  <authors>
    <author>Linden, Sarah (Research)</author>
  </authors>
  <commentList>
    <comment ref="BF54" authorId="0">
      <text>
        <r>
          <rPr>
            <b/>
            <sz val="9"/>
            <color indexed="81"/>
            <rFont val="Tahoma"/>
            <family val="2"/>
          </rPr>
          <t>Linden, Sarah (Research):</t>
        </r>
        <r>
          <rPr>
            <sz val="9"/>
            <color indexed="81"/>
            <rFont val="Tahoma"/>
            <family val="2"/>
          </rPr>
          <t xml:space="preserve">
157 including impact from fairchild</t>
        </r>
      </text>
    </comment>
  </commentList>
</comments>
</file>

<file path=xl/comments4.xml><?xml version="1.0" encoding="utf-8"?>
<comments xmlns="http://schemas.openxmlformats.org/spreadsheetml/2006/main">
  <authors>
    <author>Chang, Diana (Research)</author>
  </authors>
  <commentList>
    <comment ref="BH11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up q/q</t>
        </r>
      </text>
    </comment>
    <comment ref="BH22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down q/q</t>
        </r>
      </text>
    </comment>
    <comment ref="BH33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down q/q</t>
        </r>
      </text>
    </comment>
    <comment ref="BH44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up q/q</t>
        </r>
      </text>
    </comment>
    <comment ref="BH55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down q/q</t>
        </r>
      </text>
    </comment>
    <comment ref="BH81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sell-through to sell-in adjustment of $155.1mn</t>
        </r>
      </text>
    </comment>
    <comment ref="BH102" authorId="0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non GAAP revenue
</t>
        </r>
      </text>
    </comment>
  </commentList>
</comments>
</file>

<file path=xl/sharedStrings.xml><?xml version="1.0" encoding="utf-8"?>
<sst xmlns="http://schemas.openxmlformats.org/spreadsheetml/2006/main" count="2273" uniqueCount="1047">
  <si>
    <t>On Semiconductor Corporation Statement of Cash Flows</t>
  </si>
  <si>
    <t>FCS</t>
  </si>
  <si>
    <t>C1Q13A</t>
  </si>
  <si>
    <t>C2Q13A</t>
  </si>
  <si>
    <t>C3Q13A</t>
  </si>
  <si>
    <t>C4Q13A</t>
  </si>
  <si>
    <t>F4Q13A</t>
  </si>
  <si>
    <t xml:space="preserve">  </t>
  </si>
  <si>
    <t>Image Sensor Group Revenue</t>
  </si>
  <si>
    <t>Image Sensor Group Gross Profit</t>
  </si>
  <si>
    <t>Image Sensor Group Operating Income (loss)</t>
  </si>
  <si>
    <t>`</t>
  </si>
  <si>
    <t>C3Q14A</t>
  </si>
  <si>
    <t>F3Q14A</t>
  </si>
  <si>
    <t>% of Total</t>
  </si>
  <si>
    <t>Industrial/Medical/Mil-Aero Revenue</t>
  </si>
  <si>
    <t>FY2013A</t>
  </si>
  <si>
    <t>C2Q15E</t>
  </si>
  <si>
    <t>F1Q14A</t>
  </si>
  <si>
    <t>C1Q14A</t>
  </si>
  <si>
    <t>Capex</t>
  </si>
  <si>
    <t>C2Q14A</t>
  </si>
  <si>
    <t>F2Q14A</t>
  </si>
  <si>
    <t>Preferred Stock</t>
  </si>
  <si>
    <t>C1Q03A</t>
  </si>
  <si>
    <t>F1Q03A</t>
  </si>
  <si>
    <t>C2Q03A</t>
  </si>
  <si>
    <t>F2Q03A</t>
  </si>
  <si>
    <t>C3Q03A</t>
  </si>
  <si>
    <t>F3Q03A</t>
  </si>
  <si>
    <t>C4Q03A</t>
  </si>
  <si>
    <t>F4Q03A</t>
  </si>
  <si>
    <t>C1Q04A</t>
  </si>
  <si>
    <t>F1Q04A</t>
  </si>
  <si>
    <t>C2Q04A</t>
  </si>
  <si>
    <t>F2Q04A</t>
  </si>
  <si>
    <t>C3Q04A</t>
  </si>
  <si>
    <t>F3Q04A</t>
  </si>
  <si>
    <t>C4Q04A</t>
  </si>
  <si>
    <t>F4Q04A</t>
  </si>
  <si>
    <t>On Semiconductor Corporation Balance Sheet</t>
  </si>
  <si>
    <t>Inventories</t>
  </si>
  <si>
    <t>Receivables, net</t>
  </si>
  <si>
    <t>Deferred income taxes</t>
  </si>
  <si>
    <t>Accrued expenses</t>
  </si>
  <si>
    <t>Accrued interest</t>
  </si>
  <si>
    <t>Deferred income on sales to distributors</t>
  </si>
  <si>
    <t>Current portion of long-term debt</t>
  </si>
  <si>
    <t>Treasury stock, at cost</t>
  </si>
  <si>
    <t>Non-controlling interest in consolidated subsidiary</t>
  </si>
  <si>
    <t>Total Liabilities</t>
  </si>
  <si>
    <t>Intangible assets, net</t>
  </si>
  <si>
    <t>ON Semiconductor Corp.</t>
  </si>
  <si>
    <t>2017-Q1</t>
  </si>
  <si>
    <t>2017-Q2</t>
  </si>
  <si>
    <t>2017-Q3</t>
  </si>
  <si>
    <t>2017-Q4</t>
  </si>
  <si>
    <t>2018-Q1</t>
  </si>
  <si>
    <t>2018-Q2</t>
  </si>
  <si>
    <t>2018-Q3</t>
  </si>
  <si>
    <t>2018-Q4</t>
  </si>
  <si>
    <t>Net income for validation</t>
  </si>
  <si>
    <t>Other One-time Items</t>
  </si>
  <si>
    <t>United States</t>
  </si>
  <si>
    <t>C4Q12A</t>
  </si>
  <si>
    <t>F4Q12A</t>
  </si>
  <si>
    <t>% of Revs.</t>
  </si>
  <si>
    <t>% of Rev. Growth</t>
  </si>
  <si>
    <t>Other OpEx</t>
  </si>
  <si>
    <t>Net Income Margin</t>
  </si>
  <si>
    <t>One-time Items</t>
  </si>
  <si>
    <t>Extraordinary Items</t>
  </si>
  <si>
    <t>Tax Impact</t>
  </si>
  <si>
    <t>Extraordinary Items, net of tax</t>
  </si>
  <si>
    <t>Total Interest Income (net) and Other Income</t>
  </si>
  <si>
    <t>Income Tax Expense (Benefit)</t>
  </si>
  <si>
    <t>Effective tax rate</t>
  </si>
  <si>
    <t>Net Income - MW</t>
  </si>
  <si>
    <t>COGS - MW</t>
  </si>
  <si>
    <t>Gross Profit - MW</t>
  </si>
  <si>
    <t>Gross Margin - MW</t>
  </si>
  <si>
    <t>R&amp;D - MW</t>
  </si>
  <si>
    <t>Other OpEx - MW</t>
  </si>
  <si>
    <t>Operating Expenses - MW</t>
  </si>
  <si>
    <t>Operating Income - MW</t>
  </si>
  <si>
    <t>Operating Margin MW%</t>
  </si>
  <si>
    <t>Total Interest Income (net) and Other Income - MW</t>
  </si>
  <si>
    <t>PBT - MW</t>
  </si>
  <si>
    <t>Taxes-Extraordinary</t>
  </si>
  <si>
    <t>Income Tax Expense (Benefit) - MW</t>
  </si>
  <si>
    <t>Effective tax rate MW</t>
  </si>
  <si>
    <t>EPS - GAAP</t>
  </si>
  <si>
    <t xml:space="preserve">EPS - MW </t>
  </si>
  <si>
    <t>Average Basic Shares - GAAP</t>
  </si>
  <si>
    <t>Average Diluted Shares - GAAP</t>
  </si>
  <si>
    <t>Period-end Shares</t>
  </si>
  <si>
    <t>Statutory Tax (%)</t>
  </si>
  <si>
    <t>Operating Expenses</t>
  </si>
  <si>
    <t>2008-Q1</t>
  </si>
  <si>
    <t>2008-Q2</t>
  </si>
  <si>
    <t>2008-Q3</t>
  </si>
  <si>
    <t>2008-Q4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</si>
  <si>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</si>
  <si>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</si>
  <si>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</si>
  <si>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</si>
  <si>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</si>
  <si>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</si>
  <si>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</si>
  <si>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</si>
  <si>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</si>
  <si>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</si>
  <si>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</si>
  <si>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</si>
  <si>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</si>
  <si>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</si>
  <si>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</si>
  <si>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</si>
  <si>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</si>
  <si>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</si>
  <si>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</si>
  <si>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</si>
  <si>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</si>
  <si>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</si>
  <si>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</si>
  <si>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2014-Q4</t>
  </si>
  <si>
    <t>2007-FY</t>
  </si>
  <si>
    <t>2008-FY</t>
  </si>
  <si>
    <t>2009-FY</t>
  </si>
  <si>
    <t>2010-FY</t>
  </si>
  <si>
    <t>2011-FY</t>
  </si>
  <si>
    <t>2012-FY</t>
  </si>
  <si>
    <t>2013-FY</t>
  </si>
  <si>
    <t>2014-FY</t>
  </si>
  <si>
    <t>2015-FY</t>
  </si>
  <si>
    <t>2016-FY</t>
  </si>
  <si>
    <t>2017-FY</t>
  </si>
  <si>
    <t>2018-FY</t>
  </si>
  <si>
    <t>2019-FY</t>
  </si>
  <si>
    <t>Actual/Estimate Toggle</t>
  </si>
  <si>
    <t>Fiscal Year</t>
  </si>
  <si>
    <t>Fiscal Quarter</t>
  </si>
  <si>
    <t>Calendar Year</t>
  </si>
  <si>
    <t>Calendar Quarter</t>
  </si>
  <si>
    <t>USD</t>
  </si>
  <si>
    <t>A</t>
  </si>
  <si>
    <t>E</t>
  </si>
  <si>
    <t>2015-Q1</t>
  </si>
  <si>
    <t>2015-Q2</t>
  </si>
  <si>
    <t>2015-Q3</t>
  </si>
  <si>
    <t>2015-Q4</t>
  </si>
  <si>
    <t>2016-Q1</t>
  </si>
  <si>
    <t>2016-Q2</t>
  </si>
  <si>
    <t>2016-Q3</t>
  </si>
  <si>
    <t>2016-Q4</t>
  </si>
  <si>
    <t>Assets</t>
  </si>
  <si>
    <t>Cash and cash equivalents</t>
  </si>
  <si>
    <t>Total Current Assets</t>
  </si>
  <si>
    <t>Property and equipment, net</t>
  </si>
  <si>
    <t>Goodwill</t>
  </si>
  <si>
    <t>Total Assets</t>
  </si>
  <si>
    <t>Liabilities &amp; Shareholders' Equity</t>
  </si>
  <si>
    <t>Accounts payable</t>
  </si>
  <si>
    <t>Total Current Liabilities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</si>
  <si>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</si>
  <si>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</si>
  <si>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</si>
  <si>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</si>
  <si>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</si>
  <si>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</si>
  <si>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</si>
  <si>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</si>
  <si>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Revenues</t>
  </si>
  <si>
    <t>Cost of Goods Sold</t>
  </si>
  <si>
    <t>Stockholders Equity</t>
  </si>
  <si>
    <t>Common stock</t>
  </si>
  <si>
    <t>Additional paid-in capital</t>
  </si>
  <si>
    <t>Total share capital</t>
  </si>
  <si>
    <t>Dividends</t>
  </si>
  <si>
    <t>Retained earnings (accumulated deficit)</t>
  </si>
  <si>
    <t>Accumulated other comprehensive income (loss)</t>
  </si>
  <si>
    <t>vs. Balance Sheet</t>
  </si>
  <si>
    <t>Balance Sheet Metrics</t>
  </si>
  <si>
    <t>Book value per share</t>
  </si>
  <si>
    <t>Tangible book value</t>
  </si>
  <si>
    <t>Proceeds/(Payment) from debt issuance</t>
  </si>
  <si>
    <t>Proceeds from issuance of common stock, net of issuance costs</t>
  </si>
  <si>
    <t>Gain/(Loss) on sale or disposal of fixed assets</t>
  </si>
  <si>
    <t>Gain/(Loss) on sale of assets</t>
  </si>
  <si>
    <t>Other current assets % of Revenues</t>
  </si>
  <si>
    <t>On Semiconductor</t>
  </si>
  <si>
    <t>Applications Products Group Revenue</t>
  </si>
  <si>
    <t>Applications Products Group Gross Profit</t>
  </si>
  <si>
    <t>Gross Profit %</t>
  </si>
  <si>
    <t>Applications Products Group Operating Income (loss)</t>
  </si>
  <si>
    <t>Standard Products Group Revenue</t>
  </si>
  <si>
    <t>Standard Products Group Gross Profit</t>
  </si>
  <si>
    <t>Standard Products Group Operating Income (loss)</t>
  </si>
  <si>
    <t>SANYO Semiconductor Products Group Revenue</t>
  </si>
  <si>
    <t>SANYO Semiconductor Products Group Gross Profit</t>
  </si>
  <si>
    <t>SANYO Semiconductor Products Group Operating Income (loss)</t>
  </si>
  <si>
    <t>Total Revenue</t>
  </si>
  <si>
    <t>Gross Profit for reportable segments</t>
  </si>
  <si>
    <t>Unallocated amounts:</t>
  </si>
  <si>
    <t>Other unallocated manufacturing costs</t>
  </si>
  <si>
    <t xml:space="preserve">   % Gross Profit</t>
  </si>
  <si>
    <t>Operating Income for reportable segments</t>
  </si>
  <si>
    <t>Restructuring and other charges</t>
  </si>
  <si>
    <t>Goodwill and intangible impairment</t>
  </si>
  <si>
    <t>Other unallocated operating expenses</t>
  </si>
  <si>
    <t>Operating income (loss)</t>
  </si>
  <si>
    <t>Hardcode Gross Profit from Income Statement</t>
  </si>
  <si>
    <t>Hardcode Operating Income from Income Statement</t>
  </si>
  <si>
    <t>Actual Gross Profit from Income Statement</t>
  </si>
  <si>
    <t>Actual Operating Profit (loss) from Income Statement</t>
  </si>
  <si>
    <t>Other Americas</t>
  </si>
  <si>
    <t>United Kingdom</t>
  </si>
  <si>
    <t>Belgium</t>
  </si>
  <si>
    <t>China</t>
  </si>
  <si>
    <t>Singapore</t>
  </si>
  <si>
    <t>Other Asia/Pacific</t>
  </si>
  <si>
    <t>Automotive &amp; Power Group Revenue</t>
  </si>
  <si>
    <t>Automotive &amp; Power Group Gross Profit</t>
  </si>
  <si>
    <t>Automotive &amp; Power Group Operating Income (loss)</t>
  </si>
  <si>
    <t>Computing &amp; Consumer Group Revenue</t>
  </si>
  <si>
    <t>Computing &amp; Consumer Group Gross Profit</t>
  </si>
  <si>
    <t>Computing &amp; Consumer Group Operating Income (loss)</t>
  </si>
  <si>
    <t>Digital, Mixed-Signal, and Memory Product Group Revenue</t>
  </si>
  <si>
    <t>Digital, Mixed-Signal, and Memory Product Group Gross Profit</t>
  </si>
  <si>
    <t>Digital, Mixed-Signal, and Memory Product Group Operating Income (loss)</t>
  </si>
  <si>
    <t>Standard Products Gross Profit</t>
  </si>
  <si>
    <t>Automotive &amp; Power Regulation Revenue</t>
  </si>
  <si>
    <t>Automotive &amp; Power Regulation Gross Profit</t>
  </si>
  <si>
    <t>Automotive &amp; Power Regulation Operating Income (loss)</t>
  </si>
  <si>
    <t>Computing Products Revenue</t>
  </si>
  <si>
    <t>Computing Products Gross Profit</t>
  </si>
  <si>
    <t>Computing Products Operating Income (loss)</t>
  </si>
  <si>
    <t>Digital &amp; Consumer Products Revenue</t>
  </si>
  <si>
    <t>Digital &amp; Consumer Products Gross Profit</t>
  </si>
  <si>
    <t>Digital &amp; Consumer Products Operating Income (loss)</t>
  </si>
  <si>
    <t>Manufacturing Services &amp; Custom Products Revenue</t>
  </si>
  <si>
    <t>Manufacturing Services &amp; Custom Products Gross Profit</t>
  </si>
  <si>
    <t>Manufacturing Services &amp; Custom Products Operating Income (loss)</t>
  </si>
  <si>
    <t>Integrated Power Group Revenue</t>
  </si>
  <si>
    <t>Integrated Power Group Gross Profit</t>
  </si>
  <si>
    <t>Integrated Power Group Operating Income (loss)</t>
  </si>
  <si>
    <t>Analog Products Revenue</t>
  </si>
  <si>
    <t>Analog Products Gross Profit</t>
  </si>
  <si>
    <t>Analog Products Operating Income (loss)</t>
  </si>
  <si>
    <t>Revenue for all segments</t>
  </si>
  <si>
    <t>2003-Q1</t>
  </si>
  <si>
    <t>2003-Q2</t>
  </si>
  <si>
    <t>2003-Q3</t>
  </si>
  <si>
    <t>2003-Q4</t>
  </si>
  <si>
    <t>2004-Q1</t>
  </si>
  <si>
    <t>2004-Q2</t>
  </si>
  <si>
    <t>2004-Q3</t>
  </si>
  <si>
    <t>2004-Q4</t>
  </si>
  <si>
    <t>2003-FY</t>
  </si>
  <si>
    <t>2004-FY</t>
  </si>
  <si>
    <t>2005-FY</t>
  </si>
  <si>
    <t>Tangible book value per share</t>
  </si>
  <si>
    <t>Unrecorded goodwill from poolings, write-offs, and cumulative amortization</t>
  </si>
  <si>
    <t>ND</t>
  </si>
  <si>
    <t>Change in Share Capital</t>
  </si>
  <si>
    <t>Cash flows provided by (used for) operating activities:</t>
  </si>
  <si>
    <t>Net income</t>
  </si>
  <si>
    <t>Changes in current assets and liabilities:</t>
  </si>
  <si>
    <t>Net cash provided by operating activities</t>
  </si>
  <si>
    <t>Cash flows from investing activities:</t>
  </si>
  <si>
    <t>Other investing activities</t>
  </si>
  <si>
    <t>Net cash used for investing activities</t>
  </si>
  <si>
    <t>Cash flows from financing activities: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</si>
  <si>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</si>
  <si>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</si>
  <si>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</si>
  <si>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</si>
  <si>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</si>
  <si>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</si>
  <si>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</si>
  <si>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</si>
  <si>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One time PPE Plug</t>
  </si>
  <si>
    <t>Percentage of Total Revenues</t>
  </si>
  <si>
    <t>Gross PP&amp;E</t>
  </si>
  <si>
    <t>Percentage of Total Assets</t>
  </si>
  <si>
    <t>Less Accumulated Depreciation and Amortization</t>
  </si>
  <si>
    <t>Net PP&amp;E</t>
  </si>
  <si>
    <t>Depreciation Schedule</t>
  </si>
  <si>
    <t>Percentage of Gross PP&amp;E</t>
  </si>
  <si>
    <t>vs. Cash Flow Statement</t>
  </si>
  <si>
    <t>Cash Flow Statement Metrics</t>
  </si>
  <si>
    <t>Adjusted FCF</t>
  </si>
  <si>
    <t>Other financing activities</t>
  </si>
  <si>
    <t>Gross Margin</t>
  </si>
  <si>
    <t>BRCM.O,mscalc:sedolCodeCalc</t>
  </si>
  <si>
    <t>BRCM.O,mscalc:closePriceCurrencyCalc</t>
  </si>
  <si>
    <t>BRCM.O,mscalc:targetPrice,,,,USD</t>
  </si>
  <si>
    <t>Q-o-Q growth</t>
  </si>
  <si>
    <t>Y-o-Y growth</t>
  </si>
  <si>
    <t>Percent of Revenue</t>
  </si>
  <si>
    <t>Actual Revenue from Income Statement</t>
  </si>
  <si>
    <t>BU / Income Statement Check</t>
  </si>
  <si>
    <t>This sheet contains Factset binary data for use with this workbook's =FDS codes.  Modifying the worksheet's contents may damage the workbook's =FDS functionality.</t>
  </si>
  <si>
    <t>COGS</t>
  </si>
  <si>
    <t>Gross Profit</t>
  </si>
  <si>
    <t>R&amp;D</t>
  </si>
  <si>
    <t>Operating Income</t>
  </si>
  <si>
    <t>Net Income</t>
  </si>
  <si>
    <t>Long-term debt</t>
  </si>
  <si>
    <t>2235822</t>
  </si>
  <si>
    <t>48</t>
  </si>
  <si>
    <t>TXN.N,mscalc:sedolCodeCalc</t>
  </si>
  <si>
    <t>TXN.N,mscalc:closePriceCurrencyCalc</t>
  </si>
  <si>
    <t>TXN.N,mscalc:targetPrice,,,,USD</t>
  </si>
  <si>
    <t>NA</t>
  </si>
  <si>
    <t>Base Case</t>
  </si>
  <si>
    <t>Restricted cash</t>
  </si>
  <si>
    <t>($ in millions; fiscal year ends in December)</t>
  </si>
  <si>
    <t>Hardcode Revenue from Income Statement</t>
  </si>
  <si>
    <t>Net Income to Common Shareholders - GAAP</t>
  </si>
  <si>
    <t>Adjustments to reconcile net income to net cash</t>
  </si>
  <si>
    <t>2005-Q1</t>
  </si>
  <si>
    <t>2005-Q2</t>
  </si>
  <si>
    <t>2005-Q3</t>
  </si>
  <si>
    <t>2005-Q4</t>
  </si>
  <si>
    <t>2006-Q1</t>
  </si>
  <si>
    <t>2006-Q2</t>
  </si>
  <si>
    <t>2006-Q3</t>
  </si>
  <si>
    <t>2006-Q4</t>
  </si>
  <si>
    <t>2006-FY</t>
  </si>
  <si>
    <t>2007-Q1</t>
  </si>
  <si>
    <t>2007-Q2</t>
  </si>
  <si>
    <t>2007-Q3</t>
  </si>
  <si>
    <t>2007-Q4</t>
  </si>
  <si>
    <t>INTC.O,mscalc:targetPrice,,,,USD</t>
  </si>
  <si>
    <t>INTC.O,mscalc:closePriceCurrencyCalc</t>
  </si>
  <si>
    <t>FY2003A</t>
  </si>
  <si>
    <t>FY2004A</t>
  </si>
  <si>
    <t>On Semiconductor Corporation</t>
  </si>
  <si>
    <t>Selling and Marketing</t>
  </si>
  <si>
    <t>Selling and Marketing - MW</t>
  </si>
  <si>
    <t>G&amp;A</t>
  </si>
  <si>
    <t>G&amp;A - MW</t>
  </si>
  <si>
    <t>Amortization of acquisition-related intangible assets</t>
  </si>
  <si>
    <t>Restructuring, asset impairments and other, net</t>
  </si>
  <si>
    <t>Goodwill and intangible asset impairment</t>
  </si>
  <si>
    <t>Loss on debt repurchase or exchange</t>
  </si>
  <si>
    <t>Gain on SANYO Semiconductor acquisition</t>
  </si>
  <si>
    <t>Net income attributable to non-controlling interest</t>
  </si>
  <si>
    <t>Non-cash interest on convertible notes</t>
  </si>
  <si>
    <t>INTC.O,mscalc:sedolCodeCalc</t>
  </si>
  <si>
    <t>Other</t>
  </si>
  <si>
    <t>Short-term investments</t>
  </si>
  <si>
    <t>Other long-term liabilities</t>
  </si>
  <si>
    <t>Other current assets</t>
  </si>
  <si>
    <t>Other long-term assets</t>
  </si>
  <si>
    <t>Income taxes payable</t>
  </si>
  <si>
    <t>Repurchase of common stock</t>
  </si>
  <si>
    <t xml:space="preserve">   % Operating Margin</t>
  </si>
  <si>
    <t>100% Check</t>
  </si>
  <si>
    <t xml:space="preserve">Total </t>
  </si>
  <si>
    <t>Japan</t>
  </si>
  <si>
    <t>Revenues by Geography ($)</t>
  </si>
  <si>
    <t>Revenues by Geography (%)</t>
  </si>
  <si>
    <t>BU / Income Statement Check Operating Margin</t>
  </si>
  <si>
    <t xml:space="preserve">Other </t>
  </si>
  <si>
    <t xml:space="preserve"> </t>
  </si>
  <si>
    <t>Cons Revs</t>
  </si>
  <si>
    <t>Cons EPS</t>
  </si>
  <si>
    <t>INTC.O,mscalc:targetPrice</t>
  </si>
  <si>
    <t>,mscalc:targetPrice,,,,USD</t>
  </si>
  <si>
    <t>,mscalc:closePriceCurrencyCalc</t>
  </si>
  <si>
    <t>,mscalc:sedolCodeCalc</t>
  </si>
  <si>
    <t>Gross Margin %</t>
  </si>
  <si>
    <t>Operating Margin %</t>
  </si>
  <si>
    <t>F1Q07A</t>
  </si>
  <si>
    <t>F2Q07A</t>
  </si>
  <si>
    <t>F3Q07A</t>
  </si>
  <si>
    <t>F4Q07A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</si>
  <si>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</si>
  <si>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</si>
  <si>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</si>
  <si>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</si>
  <si>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</si>
  <si>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</si>
  <si>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</si>
  <si>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</si>
  <si>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</si>
  <si>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</si>
  <si>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</si>
  <si>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</si>
  <si>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</si>
  <si>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</si>
  <si>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FY2007A</t>
  </si>
  <si>
    <t>FY2008A</t>
  </si>
  <si>
    <t>FY2009A</t>
  </si>
  <si>
    <t>FY2010A</t>
  </si>
  <si>
    <t>FY2016E</t>
  </si>
  <si>
    <t>FY2017E</t>
  </si>
  <si>
    <t>FY2018E</t>
  </si>
  <si>
    <t>FY2019E</t>
  </si>
  <si>
    <t>Interest Expense</t>
  </si>
  <si>
    <t>Subtotal</t>
  </si>
  <si>
    <t>Interest Income</t>
  </si>
  <si>
    <t>Y/Y Change</t>
  </si>
  <si>
    <t>Cumulative effect of accounting change</t>
  </si>
  <si>
    <t>On Semiconductor Corporation Statement of Cash Flows (Cumulative)</t>
  </si>
  <si>
    <t>Non-cash manufacturing expenses associated with favorable supply agreement</t>
  </si>
  <si>
    <t>Gain on acquisition of SANYO Semiconductor</t>
  </si>
  <si>
    <t>Amortization of debt issuance costs</t>
  </si>
  <si>
    <t>Provision for excess inventories</t>
  </si>
  <si>
    <t>Non-cash share-based compensation expense</t>
  </si>
  <si>
    <t>Non-cash asset impairment charges</t>
  </si>
  <si>
    <t>Non-cash goodwill and intangible asset impairment charges</t>
  </si>
  <si>
    <t>Recovery from insurance proceeds on property, plant and equipment</t>
  </si>
  <si>
    <t>Non-cash portion of insurance recovery</t>
  </si>
  <si>
    <t>Receivables</t>
  </si>
  <si>
    <t>Other assets</t>
  </si>
  <si>
    <t>Purchases of property, plant and equipment</t>
  </si>
  <si>
    <t>Proceeds from sales of property, plant and equipment</t>
  </si>
  <si>
    <t>Deposits utilized for purchases of property, plant and equipment</t>
  </si>
  <si>
    <t>Recovery from insurance on property, plant and equipment</t>
  </si>
  <si>
    <t>Purchase of businesses, net of cash acquired</t>
  </si>
  <si>
    <t>Proceeds from held-to-maturity securities</t>
  </si>
  <si>
    <t>Purchase of held-to-maturity securities</t>
  </si>
  <si>
    <t>Change in restricted cash</t>
  </si>
  <si>
    <t>Proceeds from issuance of common stock under the employee stock purchase plan</t>
  </si>
  <si>
    <t>Proceeds from exercise of stock options</t>
  </si>
  <si>
    <t>Payments of tax withholding for restricted shares</t>
  </si>
  <si>
    <t>Payment of capital lease obligations</t>
  </si>
  <si>
    <t>Repayment of long-term debt</t>
  </si>
  <si>
    <t>Payments made in connection with repurchase or exchange convertible notes</t>
  </si>
  <si>
    <t>Return on assets</t>
  </si>
  <si>
    <t>Noncash assets</t>
  </si>
  <si>
    <t>Equity, excluding cash assets</t>
  </si>
  <si>
    <t>Return on non-cash equity</t>
  </si>
  <si>
    <t>2463247</t>
  </si>
  <si>
    <t>C1Q05A</t>
  </si>
  <si>
    <t>C2Q05A</t>
  </si>
  <si>
    <t>C3Q05A</t>
  </si>
  <si>
    <t>C4Q05A</t>
  </si>
  <si>
    <t>C1Q06A</t>
  </si>
  <si>
    <t>C2Q06A</t>
  </si>
  <si>
    <t>C3Q06A</t>
  </si>
  <si>
    <t>C4Q06A</t>
  </si>
  <si>
    <t>C1Q07A</t>
  </si>
  <si>
    <t>C2Q07A</t>
  </si>
  <si>
    <t>C3Q07A</t>
  </si>
  <si>
    <t>C4Q07A</t>
  </si>
  <si>
    <t>C1Q08A</t>
  </si>
  <si>
    <t>C2Q08A</t>
  </si>
  <si>
    <t>C3Q08A</t>
  </si>
  <si>
    <t>C4Q08A</t>
  </si>
  <si>
    <t>C1Q09A</t>
  </si>
  <si>
    <t>C2Q09A</t>
  </si>
  <si>
    <t>C3Q09A</t>
  </si>
  <si>
    <t>C4Q09A</t>
  </si>
  <si>
    <t>C1Q10A</t>
  </si>
  <si>
    <t>C2Q10A</t>
  </si>
  <si>
    <t>C3Q10A</t>
  </si>
  <si>
    <t>C4Q10A</t>
  </si>
  <si>
    <t>C1Q11A</t>
  </si>
  <si>
    <t>C2Q11A</t>
  </si>
  <si>
    <t>C3Q11A</t>
  </si>
  <si>
    <t>C4Q11A</t>
  </si>
  <si>
    <t>C1Q12A</t>
  </si>
  <si>
    <t>F1Q05A</t>
  </si>
  <si>
    <t>F2Q05A</t>
  </si>
  <si>
    <t>F3Q05A</t>
  </si>
  <si>
    <t>F4Q05A</t>
  </si>
  <si>
    <t>F1Q06A</t>
  </si>
  <si>
    <t>F2Q06A</t>
  </si>
  <si>
    <t>F3Q06A</t>
  </si>
  <si>
    <t>F4Q06A</t>
  </si>
  <si>
    <t>F3Q11A</t>
  </si>
  <si>
    <t>F4Q11A</t>
  </si>
  <si>
    <t>F1Q12A</t>
  </si>
  <si>
    <t>FY2005A</t>
  </si>
  <si>
    <t>FY2006A</t>
  </si>
  <si>
    <t>FY2011A</t>
  </si>
  <si>
    <t>Q/Q Change</t>
  </si>
  <si>
    <t>Capitalization</t>
  </si>
  <si>
    <t>Book Value</t>
  </si>
  <si>
    <t>Total cash and marketable securities</t>
  </si>
  <si>
    <t>F2Q12A</t>
  </si>
  <si>
    <t>C2Q12A</t>
  </si>
  <si>
    <t>PBT</t>
  </si>
  <si>
    <t>Dividends Declared Per Share</t>
  </si>
  <si>
    <t>Total Cash &amp; Investments</t>
  </si>
  <si>
    <t>Average diluted shares</t>
  </si>
  <si>
    <t>Amortization</t>
  </si>
  <si>
    <t>Share Count and Dividend Summary</t>
  </si>
  <si>
    <t>F3Q12A</t>
  </si>
  <si>
    <t>C3Q12A</t>
  </si>
  <si>
    <t>On Semiconductor Corporation GAAP Income Statement</t>
  </si>
  <si>
    <t>FY2012A</t>
  </si>
  <si>
    <t>20</t>
  </si>
  <si>
    <t>Net issuance</t>
  </si>
  <si>
    <t>Computing &amp; Consumer Products Group</t>
  </si>
  <si>
    <t>Computing &amp; Consumer Products Group Gross Profit</t>
  </si>
  <si>
    <t>Computing &amp; Consumer Products Group Operating Income (loss)</t>
  </si>
  <si>
    <t>Automotive, Industrial, Medical and Mili-Aero Products Group Revenue</t>
  </si>
  <si>
    <t>Automotive, Industrial, Medical and Mili-Aero Products Group Gross Profit</t>
  </si>
  <si>
    <t>Automotive, Industrial, Medical and Mili-Aero Products Group Operating Income (loss)</t>
  </si>
  <si>
    <t>Old Segment Reporting from 1Q10 to 3Q12</t>
  </si>
  <si>
    <t>Old Segment Reporting from 1Q05 to 3Q08</t>
  </si>
  <si>
    <t>Old Segment Reporting from 1Q08 to 3Q11</t>
  </si>
  <si>
    <t>Old Segment Reporting from 1Q04 to 4Q05</t>
  </si>
  <si>
    <t xml:space="preserve">Depreciation </t>
  </si>
  <si>
    <t xml:space="preserve">Total Depreciation </t>
  </si>
  <si>
    <t>Net Income to Common Shareholders - GAAP (for EPS dilution impact)</t>
  </si>
  <si>
    <t>Share price</t>
  </si>
  <si>
    <t>Dividends paid</t>
  </si>
  <si>
    <t>Other unallocated manufacturing costs as a % of gross profit</t>
  </si>
  <si>
    <t>Average Diluted Shares - Non-GAAP</t>
  </si>
  <si>
    <t>EPS -Non-GAAP</t>
  </si>
  <si>
    <t>Adjustments to diluted EPS</t>
  </si>
  <si>
    <t>Net cash (debt)</t>
  </si>
  <si>
    <t>Interest income</t>
  </si>
  <si>
    <t>Total Interest Earning Assets</t>
  </si>
  <si>
    <t>Interest Rate</t>
  </si>
  <si>
    <t>Currency</t>
  </si>
  <si>
    <t>Current Stock Price</t>
  </si>
  <si>
    <t>Count</t>
  </si>
  <si>
    <t>ONNN.O,mscalc:sedolCodeCalc</t>
  </si>
  <si>
    <t>ONNN.O,mscalc:closePriceCurrencyCalc</t>
  </si>
  <si>
    <t>ONNN.O,mscalc:targetPrice,,,,USD</t>
  </si>
  <si>
    <t>Restricted cash / long-term investments</t>
  </si>
  <si>
    <t>Net cash (debt) per share</t>
  </si>
  <si>
    <t>Debt Schedule</t>
  </si>
  <si>
    <t>Revolver</t>
  </si>
  <si>
    <t>Principal Amounts</t>
  </si>
  <si>
    <t>Amortization of non-cash interest</t>
  </si>
  <si>
    <t>Coupon Interest Expense</t>
  </si>
  <si>
    <t>Book Interest Expense</t>
  </si>
  <si>
    <t>Convert A</t>
  </si>
  <si>
    <t>Convert B</t>
  </si>
  <si>
    <t>Convert C</t>
  </si>
  <si>
    <t>Other Debt</t>
  </si>
  <si>
    <t>Capital Leases</t>
  </si>
  <si>
    <t>Implied Amortization</t>
  </si>
  <si>
    <t>Revenues by End Market ($)</t>
  </si>
  <si>
    <t>Revenues by End Market (%)</t>
  </si>
  <si>
    <t>Automotive</t>
  </si>
  <si>
    <t>Communications</t>
  </si>
  <si>
    <t>Consumer</t>
  </si>
  <si>
    <t>Computing</t>
  </si>
  <si>
    <t>Bottoms Up Segment Model Build</t>
  </si>
  <si>
    <t>5 year average Q-o-Q growth</t>
  </si>
  <si>
    <t>Percent Gross Margin</t>
  </si>
  <si>
    <t>Total Bottoms Up Revenue</t>
  </si>
  <si>
    <t>Gross Margins</t>
  </si>
  <si>
    <t>COGS - GAAP</t>
  </si>
  <si>
    <t>COGS Worksheet:</t>
  </si>
  <si>
    <t>Variable cost portion</t>
  </si>
  <si>
    <t>% of Revenues</t>
  </si>
  <si>
    <t>Profit sharing portion</t>
  </si>
  <si>
    <t>Depreciation</t>
  </si>
  <si>
    <t>Other fixed costs</t>
  </si>
  <si>
    <t>Total Bottoms Up Gross Margin</t>
  </si>
  <si>
    <t>Actual Gross Margin from Income Statement</t>
  </si>
  <si>
    <t>Actual Operating Income from Income Statement</t>
  </si>
  <si>
    <t>Company</t>
  </si>
  <si>
    <t>Interest expense</t>
  </si>
  <si>
    <t>COGs</t>
  </si>
  <si>
    <t>Opex</t>
  </si>
  <si>
    <t>Total</t>
  </si>
  <si>
    <t>Cash</t>
  </si>
  <si>
    <t>Debt</t>
  </si>
  <si>
    <t>Industrial/Medical/Mil-Aero</t>
  </si>
  <si>
    <t>Total Costs</t>
  </si>
  <si>
    <t>Total debt</t>
  </si>
  <si>
    <t>Average Debt</t>
  </si>
  <si>
    <t>EBITDA</t>
  </si>
  <si>
    <t>EBIT (MW)</t>
  </si>
  <si>
    <t>EBITDA (from IS)</t>
  </si>
  <si>
    <t>Less: Capex &amp; acqusition of intangibles</t>
  </si>
  <si>
    <t>Less: Taxes</t>
  </si>
  <si>
    <t>Less: Interest</t>
  </si>
  <si>
    <t>Cash Flow from Ops less Capex</t>
  </si>
  <si>
    <t>Cash Flow from Ops less Capex + SBC</t>
  </si>
  <si>
    <t>Stock Based Compensation</t>
  </si>
  <si>
    <t>Taxes-SBC</t>
  </si>
  <si>
    <t>Selling and marketing</t>
  </si>
  <si>
    <t>F1Q13A</t>
  </si>
  <si>
    <t>F2Q13A</t>
  </si>
  <si>
    <t>F3Q13A</t>
  </si>
  <si>
    <t>C4Q14A</t>
  </si>
  <si>
    <t>F4Q14A</t>
  </si>
  <si>
    <t>F1Q17E</t>
  </si>
  <si>
    <t>F2Q17E</t>
  </si>
  <si>
    <t>F3Q17E</t>
  </si>
  <si>
    <t>F4Q17E</t>
  </si>
  <si>
    <t>FY2014A</t>
  </si>
  <si>
    <t>C1Q15A</t>
  </si>
  <si>
    <t>F1Q15A</t>
  </si>
  <si>
    <t>ON.O,mscalc:sedolCodeCalc</t>
  </si>
  <si>
    <t>2583576</t>
  </si>
  <si>
    <t>ON</t>
  </si>
  <si>
    <t>ON.O</t>
  </si>
  <si>
    <t>ON.O,mscalc:closePriceCurrencyCalc</t>
  </si>
  <si>
    <t>ON.O,mscalc:targetPrice,,,,USD</t>
  </si>
  <si>
    <t>F2Q15A</t>
  </si>
  <si>
    <t>F3Q15A</t>
  </si>
  <si>
    <t>C3Q15A</t>
  </si>
  <si>
    <t>Net debt</t>
  </si>
  <si>
    <t>Leverage</t>
  </si>
  <si>
    <t>F4Q15A</t>
  </si>
  <si>
    <t>C4Q15A</t>
  </si>
  <si>
    <t>FY2015A</t>
  </si>
  <si>
    <t>C1Q18E</t>
  </si>
  <si>
    <t>C2Q18E</t>
  </si>
  <si>
    <t>C3Q18E</t>
  </si>
  <si>
    <t>C4Q18E</t>
  </si>
  <si>
    <t>F1Q18E</t>
  </si>
  <si>
    <t>F2Q18E</t>
  </si>
  <si>
    <t>F3Q18E</t>
  </si>
  <si>
    <t>F4Q18E</t>
  </si>
  <si>
    <t>Other Revenue</t>
  </si>
  <si>
    <t>FCF</t>
  </si>
  <si>
    <t>F1Q16A</t>
  </si>
  <si>
    <t>F2Q16A</t>
  </si>
  <si>
    <t>Net Debt/EBITDA</t>
  </si>
  <si>
    <t>Synergies</t>
  </si>
  <si>
    <t>Plus: Depreciation</t>
  </si>
  <si>
    <t>Net Debt to EBITDA</t>
  </si>
  <si>
    <t>$AL$2</t>
  </si>
  <si>
    <t>Gain on divesture of business</t>
  </si>
  <si>
    <t>C1Q16A</t>
  </si>
  <si>
    <t>C2Q16A</t>
  </si>
  <si>
    <t>C3Q16A</t>
  </si>
  <si>
    <t>F3Q16A</t>
  </si>
  <si>
    <t>C4Q16A</t>
  </si>
  <si>
    <t>F4Q16A</t>
  </si>
  <si>
    <t>Automotive Revenue</t>
  </si>
  <si>
    <t>Automotive Gross Margin</t>
  </si>
  <si>
    <t>Communications Revenue</t>
  </si>
  <si>
    <t>Communications Gross Margin</t>
  </si>
  <si>
    <t>Consumer Revenue</t>
  </si>
  <si>
    <t>Consumer Gross Margin</t>
  </si>
  <si>
    <t>Industrial/Medical/Mil-Aero Gross Margin</t>
  </si>
  <si>
    <t>Computing Revenue</t>
  </si>
  <si>
    <t>Computing Gross Margin</t>
  </si>
  <si>
    <t>Other Gross Margin</t>
  </si>
  <si>
    <t>OK</t>
  </si>
  <si>
    <t>Old Segment Reporting before Fairchild acquisition till 3Q16</t>
  </si>
  <si>
    <t>Free Cash Flow</t>
  </si>
  <si>
    <t>F1Q19E</t>
  </si>
  <si>
    <t>F2Q19E</t>
  </si>
  <si>
    <t>F3Q19E</t>
  </si>
  <si>
    <t>F4Q19E</t>
  </si>
  <si>
    <t>C1Q19E</t>
  </si>
  <si>
    <t>C2Q19E</t>
  </si>
  <si>
    <t>C3Q19E</t>
  </si>
  <si>
    <t>C4Q19E</t>
  </si>
  <si>
    <t>2019-Q1</t>
  </si>
  <si>
    <t>2019-Q2</t>
  </si>
  <si>
    <t>2019-Q3</t>
  </si>
  <si>
    <t>2019-Q4</t>
  </si>
  <si>
    <t>F1Q17A</t>
  </si>
  <si>
    <t>C1Q17A</t>
  </si>
  <si>
    <t>FY2016</t>
  </si>
  <si>
    <t>C2Q17A</t>
  </si>
  <si>
    <t>F2Q17A</t>
  </si>
  <si>
    <t>C3Q17A</t>
  </si>
  <si>
    <t>F3Q17A</t>
  </si>
  <si>
    <t>C1Q20E</t>
  </si>
  <si>
    <t>C2Q20E</t>
  </si>
  <si>
    <t>C3Q20E</t>
  </si>
  <si>
    <t>C4Q20E</t>
  </si>
  <si>
    <t>F1Q20E</t>
  </si>
  <si>
    <t>F2Q20E</t>
  </si>
  <si>
    <t>F3Q20E</t>
  </si>
  <si>
    <t>F4Q20E</t>
  </si>
  <si>
    <t>FY2020E</t>
  </si>
  <si>
    <t>2020-FY</t>
  </si>
  <si>
    <t>C4Q17A</t>
  </si>
  <si>
    <t>F4Q17A</t>
  </si>
  <si>
    <t>FY2017A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</si>
  <si>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</si>
  <si>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</si>
  <si>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</si>
  <si>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</si>
  <si>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</si>
  <si>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</si>
  <si>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</si>
  <si>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Craig Hettenbach, Joseph Moore</t>
  </si>
  <si>
    <t>Date: 05 Feb 2018</t>
  </si>
  <si>
    <t>Ticker: ON.O</t>
  </si>
  <si>
    <t>Stock Rating: Equal-Weight</t>
  </si>
  <si>
    <t>Industry: Semiconductors</t>
  </si>
  <si>
    <t>Industry View: In-Line</t>
  </si>
  <si>
    <t>Price as of 05 Feb 2018: 22.64</t>
  </si>
  <si>
    <t>Target Price: 20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</si>
  <si>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</si>
  <si>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</si>
  <si>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</si>
  <si>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</si>
  <si>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ON Semiconductor Corp..</t>
  </si>
  <si>
    <t>STOCK RATINGS</t>
  </si>
  <si>
    <t>Global Stock Ratings Distribution</t>
  </si>
  <si>
    <t>(as of January 31,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</si>
  <si>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</si>
  <si>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</si>
  <si>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</si>
  <si>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</si>
  <si>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</si>
  <si>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</si>
  <si>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</si>
  <si>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</si>
  <si>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</si>
  <si>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</si>
  <si>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</si>
  <si>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</si>
  <si>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</si>
  <si>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</si>
  <si>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</si>
  <si>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</si>
  <si>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</si>
  <si>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</si>
  <si>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</si>
  <si>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</si>
  <si>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</si>
  <si>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</si>
  <si>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</si>
  <si>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</si>
  <si>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</si>
  <si>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</si>
  <si>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</si>
  <si>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</si>
  <si>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</si>
  <si>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</si>
  <si>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</si>
  <si>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</si>
  <si>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</si>
  <si>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</si>
  <si>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</si>
  <si>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</si>
  <si>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</si>
  <si>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</si>
  <si>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</si>
  <si>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</si>
  <si>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</si>
  <si>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</si>
  <si>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</si>
  <si>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</si>
  <si>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</si>
  <si>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</si>
  <si>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</si>
  <si>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</si>
  <si>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</si>
  <si>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</si>
  <si>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</si>
  <si>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</si>
  <si>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</si>
  <si>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</si>
  <si>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</si>
  <si>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</si>
  <si>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</si>
  <si>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</si>
  <si>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</si>
  <si>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</si>
  <si>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</si>
  <si>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</si>
  <si>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</si>
  <si>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</si>
  <si>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</si>
  <si>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</si>
  <si>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</si>
  <si>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</si>
  <si>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</si>
  <si>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</si>
  <si>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</si>
  <si>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</si>
  <si>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</si>
  <si>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</si>
  <si>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</si>
  <si>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</si>
  <si>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</si>
  <si>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</si>
  <si>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</si>
  <si>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</si>
  <si>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</si>
  <si>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</si>
  <si>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</si>
  <si>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</si>
  <si>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</si>
  <si>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</si>
  <si>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</si>
  <si>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</si>
  <si>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</si>
  <si>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</si>
  <si>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</si>
  <si>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</si>
  <si>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</si>
  <si>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</si>
  <si>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</si>
  <si>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</si>
  <si>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</si>
  <si>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</si>
  <si>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</si>
  <si>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</si>
  <si>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</si>
  <si>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</si>
  <si>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</si>
  <si>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</si>
  <si>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</si>
  <si>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</si>
  <si>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</si>
  <si>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</si>
  <si>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</si>
  <si>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</si>
  <si>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</si>
  <si>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</si>
  <si>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</si>
  <si>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</si>
  <si>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</si>
  <si>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</si>
  <si>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</si>
  <si>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</si>
  <si>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</si>
  <si>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</si>
  <si>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</si>
  <si>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</si>
  <si>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</si>
  <si>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</si>
  <si>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</si>
  <si>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</si>
  <si>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</si>
  <si>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</si>
  <si>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</si>
  <si>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</si>
  <si>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</si>
  <si>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</si>
  <si>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</si>
  <si>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</si>
  <si>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</si>
  <si>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</si>
  <si>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</si>
  <si>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</si>
  <si>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</si>
  <si>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</si>
  <si>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</si>
  <si>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</si>
  <si>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</si>
  <si>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</si>
  <si>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</si>
  <si>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</si>
  <si>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</si>
  <si>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</si>
  <si>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</si>
  <si>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</si>
  <si>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</si>
  <si>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</si>
  <si>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</si>
  <si>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</si>
  <si>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</si>
  <si>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</si>
  <si>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</si>
  <si>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</si>
  <si>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</si>
  <si>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</si>
  <si>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</si>
  <si>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</si>
  <si>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</si>
  <si>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</si>
  <si>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</si>
  <si>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</si>
  <si>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</si>
  <si>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</si>
  <si>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</si>
  <si>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</si>
  <si>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</si>
  <si>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</si>
  <si>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ON Semiconductor Corp..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</si>
  <si>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</si>
  <si>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</si>
  <si>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</si>
  <si>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</si>
  <si>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</si>
  <si>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</si>
  <si>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</si>
  <si>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</si>
  <si>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</si>
  <si>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</si>
  <si>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</si>
  <si>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</si>
  <si>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</si>
  <si>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</si>
  <si>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</si>
  <si>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</si>
  <si>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</si>
  <si>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</si>
  <si>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</si>
  <si>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</si>
  <si>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</si>
  <si>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</si>
  <si>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</si>
  <si>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</si>
  <si>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</si>
  <si>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</si>
  <si>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</si>
  <si>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</si>
  <si>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</si>
  <si>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</si>
  <si>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</si>
  <si>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</si>
  <si>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</si>
  <si>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</si>
  <si>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</si>
  <si>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</si>
  <si>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</si>
  <si>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</si>
  <si>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</si>
  <si>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</si>
  <si>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</si>
  <si>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</si>
  <si>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</si>
  <si>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</si>
  <si>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</si>
  <si>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</si>
  <si>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</si>
  <si>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</si>
  <si>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</si>
  <si>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</si>
  <si>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</si>
  <si>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</si>
  <si>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</si>
  <si>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</si>
  <si>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</si>
  <si>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</si>
  <si>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</si>
  <si>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</si>
  <si>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</si>
  <si>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</si>
  <si>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</si>
  <si>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</si>
  <si>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</si>
  <si>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</si>
  <si>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</si>
  <si>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</si>
  <si>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</si>
  <si>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</si>
  <si>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ON Semiconductor Corp..</t>
  </si>
  <si>
    <t>Within the last 12 months, Morgan Stanley has provided or is providing investment banking services to,</t>
  </si>
  <si>
    <t>or has an investment banking client relationship with, the following company: ON Semiconductor Corp..</t>
  </si>
  <si>
    <t>Within the last 12 months, Morgan Stanley has received compensation for products and services other than</t>
  </si>
  <si>
    <t>investment banking services from ON Semiconductor Corp..</t>
  </si>
  <si>
    <t>In the next 3 months, Morgan Stanley expects to receive or intends to seek compensation for investment</t>
  </si>
  <si>
    <t>banking services from ON Semiconductor Corp..</t>
  </si>
  <si>
    <t>Within the last 12 months, Morgan Stanley has received compensation for investment banking services from</t>
  </si>
  <si>
    <t>ON Semiconductor Corp..</t>
  </si>
  <si>
    <t>Within the last 12 months, Morgan Stanley managed or co-managed a public offering (or 144A offering) of</t>
  </si>
  <si>
    <t>securities of ON Semiconductor Corp..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</si>
  <si>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</si>
  <si>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</si>
  <si>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</si>
  <si>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</si>
  <si>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</si>
  <si>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Craig Hettenbach.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</si>
  <si>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</si>
  <si>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</si>
  <si>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</si>
  <si>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</si>
  <si>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</si>
  <si>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</si>
  <si>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</si>
  <si>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</si>
  <si>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</si>
  <si>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</si>
  <si>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</si>
  <si>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</si>
  <si>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</si>
  <si>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</si>
  <si>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</si>
  <si>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</si>
  <si>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</si>
  <si>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</si>
  <si>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</si>
  <si>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</si>
  <si>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</si>
  <si>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</si>
  <si>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</si>
  <si>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</si>
  <si>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</si>
  <si>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</si>
  <si>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</si>
  <si>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</si>
  <si>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</si>
  <si>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</si>
  <si>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</si>
  <si>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</si>
  <si>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</si>
  <si>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</si>
  <si>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</si>
  <si>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</si>
  <si>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</si>
  <si>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</si>
  <si>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</si>
  <si>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</si>
  <si>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</si>
  <si>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</si>
  <si>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</si>
  <si>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</si>
  <si>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</si>
  <si>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</si>
  <si>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</si>
  <si>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</si>
  <si>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</si>
  <si>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</si>
  <si>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</si>
  <si>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</si>
  <si>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</si>
  <si>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</si>
  <si>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</si>
  <si>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</si>
  <si>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</si>
  <si>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</si>
  <si>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</si>
  <si>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</si>
  <si>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</si>
  <si>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</si>
  <si>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</si>
  <si>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</si>
  <si>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</si>
  <si>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</si>
  <si>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</si>
  <si>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</si>
  <si>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Quarterly Update</t>
  </si>
  <si>
    <t>NorthAmerica</t>
  </si>
  <si>
    <t>sarlinde</t>
  </si>
  <si>
    <t>MSA89GWN, MSA32FNJ</t>
  </si>
  <si>
    <t>L:\SEMI CAP\Joe Files\Companies\ONNN\ON_WIP.xlsm</t>
  </si>
  <si>
    <t>please publish after ON earnings note after midnight</t>
  </si>
  <si>
    <t>[BRO MSA]</t>
  </si>
  <si>
    <t>[PRODUCT MODEL]</t>
  </si>
  <si>
    <t>[EMAIL_ALERT YES]</t>
  </si>
  <si>
    <t>[DISCIPLINE Company]</t>
  </si>
  <si>
    <t>[SUPPRESSED NO]</t>
  </si>
  <si>
    <t>[DOCDAT 2018-02-05]</t>
  </si>
  <si>
    <t>[DOCTIME 17:16]</t>
  </si>
  <si>
    <t>[PSYM ON.O(S&amp;P) (None)]</t>
  </si>
  <si>
    <t>[COU 1]</t>
  </si>
  <si>
    <t>[ANA MSA32FNJ]</t>
  </si>
  <si>
    <t>[HL ON.O Model]</t>
  </si>
  <si>
    <t>[IND SEMICO]</t>
  </si>
  <si>
    <t>[PANA MSA89GWN]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</si>
</sst>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5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[$-409]mmm\-yy;@"/>
    <numFmt numFmtId="166" formatCode="&quot;$&quot;#,##0.0_);\(&quot;$&quot;#,##0.0\)"/>
    <numFmt numFmtId="167" formatCode="_(&quot;$&quot;* #,##0.0_);_(&quot;$&quot;* \(#,##0.0\);_(&quot;$&quot;* &quot;-&quot;?_);_(@_)"/>
    <numFmt numFmtId="168" formatCode="0.0%"/>
    <numFmt numFmtId="169" formatCode="_(&quot;$&quot;* #,##0.0_);_(&quot;$&quot;* \(#,##0.0\);_(&quot;$&quot;* &quot;-&quot;_);_(@_)"/>
    <numFmt numFmtId="170" formatCode="_(&quot;$&quot;* #,##0.000_);_(&quot;$&quot;* \(#,##0.000\);_(&quot;$&quot;* &quot;-&quot;_);_(@_)"/>
    <numFmt numFmtId="171" formatCode="_(* #,##0.0000_);_(* \(#,##0.0000\);_(* &quot;-&quot;?_);_(@_)"/>
    <numFmt numFmtId="172" formatCode="_(&quot;$&quot;* #,##0.00_);_(&quot;$&quot;* \(#,##0.00\);_(&quot;$&quot;* &quot;-&quot;_);_(@_)"/>
    <numFmt numFmtId="173" formatCode="#,##0.0_);\(#,##0.0\);#,##0.0_);@_)"/>
    <numFmt numFmtId="174" formatCode="_(* #,##0.00_);_(* \(#,##0.00\);_(* &quot;-&quot;?_);_(@_)"/>
    <numFmt numFmtId="175" formatCode="_(* #,##0.0_);_(* \(#,##0.0\);_(* &quot;-&quot;??_);_(@_)"/>
    <numFmt numFmtId="176" formatCode="#,##0.0000_);\(#,##0.0000\)"/>
    <numFmt numFmtId="177" formatCode="#,##0.0_);\(#,##0.0\)"/>
    <numFmt numFmtId="178" formatCode="_(* #,##0.0_);_(* \(#,##0.0\);_(* &quot;-&quot;_);_(@_)"/>
    <numFmt numFmtId="179" formatCode="#,##0.000_);\(#,##0.000\)"/>
    <numFmt numFmtId="180" formatCode="0.0"/>
    <numFmt numFmtId="181" formatCode="_(* #,##0_);_(* \(#,##0\);_(* &quot;-&quot;??_);_(@_)"/>
    <numFmt numFmtId="182" formatCode="_(&quot;$&quot;* #,##0_);_(&quot;$&quot;* \(#,##0\);_(&quot;$&quot;* &quot;-&quot;??_);_(@_)"/>
    <numFmt numFmtId="185" formatCode="0_)"/>
    <numFmt numFmtId="186" formatCode="_(&quot;$&quot;* #,##0_);_(&quot;$&quot;* \(#,##0\);_(&quot;$&quot;* &quot;-&quot;?_);_(@_)"/>
    <numFmt numFmtId="187" formatCode="_(* #,##0_);_(* \(#,##0\);_(* &quot;-&quot;?_);_(@_)"/>
    <numFmt numFmtId="188" formatCode="#,##0_);\(#,##0\);#,##0_);@_)"/>
    <numFmt numFmtId="189" formatCode="_(&quot;$&quot;* #,##0.00_);_(&quot;$&quot;* \(#,##0.00\);_(&quot;$&quot;* &quot;-&quot;?_);_(@_)"/>
    <numFmt numFmtId="190" formatCode="_(* #,##0.000_);_(* \(#,##0.000\);_(* &quot;-&quot;??_);_(@_)"/>
    <numFmt numFmtId="191" formatCode="0.0_);\(0.0\)"/>
    <numFmt numFmtId="192" formatCode="0_);\(0\)"/>
    <numFmt numFmtId="194" formatCode="_(* #,##0.00_);_(* \(#,##0.00\);_(* &quot;-&quot;_);_(@_)"/>
    <numFmt numFmtId="203" formatCode="#,##0.0"/>
    <numFmt numFmtId="206" formatCode="0.000%"/>
    <numFmt numFmtId="208" formatCode="_(&quot;$&quot;* #,##0.0_);_(&quot;$&quot;* \(#,##0.0\);_(&quot;$&quot;* &quot;-&quot;??_);_(@_)"/>
    <numFmt numFmtId="213" formatCode="&quot;Ç&quot;\ &quot;´&quot;&quot;´&quot;&quot;´&quot;&quot;´&quot;\ &quot;»&quot;&quot;»&quot;&quot;»&quot;&quot;»&quot;"/>
    <numFmt numFmtId="214" formatCode="&quot;$&quot;#,##0.0;\(&quot;$&quot;#,##0.0\)"/>
    <numFmt numFmtId="215" formatCode="\£\ #,##0_);[Red]\(\£\ #,##0\)"/>
    <numFmt numFmtId="216" formatCode="\¥\ #,##0_);[Red]\(\¥\ #,##0\)"/>
    <numFmt numFmtId="217" formatCode="_(* #,##0.0_);_(* \(#,##0.0\);_(* &quot;--- &quot;_)"/>
    <numFmt numFmtId="218" formatCode="General_)"/>
    <numFmt numFmtId="219" formatCode="\•\ \ @"/>
    <numFmt numFmtId="220" formatCode="0.000_)"/>
    <numFmt numFmtId="221" formatCode="\ \ _•\–\ \ \ \ @"/>
    <numFmt numFmtId="222" formatCode="#,##0.0;\(###0.0\)"/>
    <numFmt numFmtId="223" formatCode="mmm\-yyyy"/>
    <numFmt numFmtId="224" formatCode="0.00_)"/>
    <numFmt numFmtId="225" formatCode="0.00000000000000000%"/>
    <numFmt numFmtId="226" formatCode="#,##0.0;\(#,##0.0\)"/>
    <numFmt numFmtId="227" formatCode="0.00\ "/>
    <numFmt numFmtId="228" formatCode="0.0\X"/>
    <numFmt numFmtId="230" formatCode="0.0000%"/>
    <numFmt numFmtId="231" formatCode="_(&quot;$&quot;* #,##0.0000_);_(&quot;$&quot;* \(#,##0.0000\);_(&quot;$&quot;* &quot;-&quot;_);_(@_)"/>
    <numFmt numFmtId="238" formatCode="mm/dd/yy\ hh:mm"/>
  </numFmts>
  <fonts count="18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MS Sans Serif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8"/>
      <name val="Arial"/>
      <family val="2"/>
    </font>
    <font>
      <sz val="9"/>
      <color indexed="8"/>
      <name val="Arial MT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name val="Arial"/>
      <family val="2"/>
    </font>
    <font>
      <i/>
      <sz val="11"/>
      <color indexed="12"/>
      <name val="Arial"/>
      <family val="2"/>
    </font>
    <font>
      <b/>
      <sz val="11"/>
      <color indexed="12"/>
      <name val="Arial"/>
      <family val="2"/>
    </font>
    <font>
      <sz val="11"/>
      <color indexed="17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b/>
      <sz val="11"/>
      <color indexed="8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1"/>
      <color indexed="17"/>
      <name val="Arial"/>
      <family val="2"/>
    </font>
    <font>
      <i/>
      <sz val="11"/>
      <color indexed="17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u/>
      <sz val="11"/>
      <color indexed="12"/>
      <name val="Arial"/>
      <family val="2"/>
    </font>
    <font>
      <u/>
      <sz val="11"/>
      <name val="Arial"/>
      <family val="2"/>
    </font>
    <font>
      <b/>
      <sz val="11"/>
      <color indexed="10"/>
      <name val="Arial"/>
      <family val="2"/>
    </font>
    <font>
      <sz val="10"/>
      <color indexed="30"/>
      <name val="Arial"/>
      <family val="2"/>
    </font>
    <font>
      <b/>
      <sz val="11"/>
      <color indexed="9"/>
      <name val="Arial"/>
      <family val="2"/>
    </font>
    <font>
      <b/>
      <i/>
      <sz val="11"/>
      <name val="Arial"/>
      <family val="2"/>
    </font>
    <font>
      <b/>
      <sz val="11"/>
      <color indexed="12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24"/>
      <name val="Arial"/>
      <family val="2"/>
    </font>
    <font>
      <b/>
      <i/>
      <sz val="11"/>
      <name val="Arial"/>
      <family val="2"/>
    </font>
    <font>
      <sz val="11"/>
      <color indexed="53"/>
      <name val="Arial"/>
      <family val="2"/>
    </font>
    <font>
      <u/>
      <sz val="10"/>
      <name val="Arial"/>
      <family val="2"/>
    </font>
    <font>
      <sz val="10"/>
      <color indexed="12"/>
      <name val="Arial"/>
      <family val="2"/>
    </font>
    <font>
      <sz val="12"/>
      <name val="Arial"/>
      <family val="2"/>
    </font>
    <font>
      <b/>
      <sz val="11"/>
      <color indexed="53"/>
      <name val="Arial"/>
      <family val="2"/>
    </font>
    <font>
      <i/>
      <u/>
      <sz val="11"/>
      <name val="Arial"/>
      <family val="2"/>
    </font>
    <font>
      <b/>
      <sz val="11"/>
      <color indexed="17"/>
      <name val="Arial"/>
      <family val="2"/>
    </font>
    <font>
      <sz val="11"/>
      <color indexed="21"/>
      <name val="Arial"/>
      <family val="2"/>
    </font>
    <font>
      <i/>
      <sz val="11"/>
      <color indexed="10"/>
      <name val="Arial"/>
      <family val="2"/>
    </font>
    <font>
      <sz val="11"/>
      <color indexed="24"/>
      <name val="Arial"/>
      <family val="2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indexed="10"/>
      <name val="Arial"/>
      <family val="2"/>
    </font>
    <font>
      <u val="singleAccounting"/>
      <sz val="11"/>
      <name val="Arial"/>
      <family val="2"/>
    </font>
    <font>
      <b/>
      <sz val="11"/>
      <color indexed="14"/>
      <name val="Arial"/>
      <family val="2"/>
    </font>
    <font>
      <b/>
      <sz val="11"/>
      <color indexed="14"/>
      <name val="Arial"/>
      <family val="2"/>
    </font>
    <font>
      <b/>
      <i/>
      <sz val="11"/>
      <color indexed="14"/>
      <name val="Arial"/>
      <family val="2"/>
    </font>
    <font>
      <u val="singleAccounting"/>
      <sz val="11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11"/>
      <color indexed="9"/>
      <name val="Arial"/>
      <family val="2"/>
    </font>
    <font>
      <b/>
      <sz val="11"/>
      <color indexed="30"/>
      <name val="Arial"/>
      <family val="2"/>
    </font>
    <font>
      <b/>
      <sz val="11"/>
      <color indexed="30"/>
      <name val="Arial"/>
      <family val="2"/>
    </font>
    <font>
      <b/>
      <i/>
      <sz val="11"/>
      <color indexed="30"/>
      <name val="Arial"/>
      <family val="2"/>
    </font>
    <font>
      <sz val="11"/>
      <color indexed="17"/>
      <name val="Arial"/>
      <family val="2"/>
    </font>
    <font>
      <i/>
      <u/>
      <sz val="11"/>
      <color indexed="12"/>
      <name val="Arial"/>
      <family val="2"/>
    </font>
    <font>
      <u/>
      <sz val="11"/>
      <name val="Arial"/>
      <family val="2"/>
    </font>
    <font>
      <u/>
      <sz val="11"/>
      <color indexed="12"/>
      <name val="Arial"/>
      <family val="2"/>
    </font>
    <font>
      <sz val="11"/>
      <color indexed="8"/>
      <name val="Arial"/>
      <family val="2"/>
    </font>
    <font>
      <u/>
      <sz val="11"/>
      <color indexed="8"/>
      <name val="Arial"/>
      <family val="2"/>
    </font>
    <font>
      <sz val="9"/>
      <name val="Arial"/>
      <family val="2"/>
    </font>
    <font>
      <b/>
      <sz val="8"/>
      <color indexed="10"/>
      <name val="Helvetica"/>
      <family val="2"/>
    </font>
    <font>
      <i/>
      <sz val="11"/>
      <color indexed="24"/>
      <name val="Arial"/>
      <family val="2"/>
    </font>
    <font>
      <sz val="10"/>
      <name val="Arial"/>
      <family val="2"/>
    </font>
    <font>
      <i/>
      <sz val="11"/>
      <color indexed="21"/>
      <name val="Arial"/>
      <family val="2"/>
    </font>
    <font>
      <u val="singleAccounting"/>
      <sz val="11"/>
      <color indexed="21"/>
      <name val="Arial"/>
      <family val="2"/>
    </font>
    <font>
      <sz val="10"/>
      <name val="Arial"/>
      <family val="2"/>
    </font>
    <font>
      <sz val="11"/>
      <color indexed="18"/>
      <name val="Arial"/>
      <family val="2"/>
    </font>
    <font>
      <i/>
      <sz val="11"/>
      <color indexed="24"/>
      <name val="Arial"/>
      <family val="2"/>
    </font>
    <font>
      <sz val="11"/>
      <color indexed="24"/>
      <name val="Arial"/>
      <family val="2"/>
    </font>
    <font>
      <b/>
      <sz val="11"/>
      <color indexed="24"/>
      <name val="Arial"/>
      <family val="2"/>
    </font>
    <font>
      <sz val="10"/>
      <name val="Arial"/>
      <family val="2"/>
    </font>
    <font>
      <sz val="10"/>
      <name val="Helvetica"/>
      <family val="2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8"/>
      <color indexed="12"/>
      <name val="Arial"/>
      <family val="2"/>
    </font>
    <font>
      <sz val="8"/>
      <name val="Tms Rmn"/>
    </font>
    <font>
      <sz val="10"/>
      <name val="Helv"/>
      <family val="2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4"/>
      <color indexed="32"/>
      <name val="Times New Roman"/>
      <family val="1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color indexed="12"/>
      <name val="Times New Roman"/>
      <family val="1"/>
    </font>
    <font>
      <sz val="10"/>
      <name val="GillSans Light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62"/>
      <name val="Cambria"/>
      <family val="2"/>
    </font>
    <font>
      <sz val="10"/>
      <name val="Segoe UI"/>
      <family val="2"/>
    </font>
    <font>
      <sz val="10"/>
      <color indexed="4"/>
      <name val="Segoe UI"/>
      <family val="2"/>
    </font>
    <font>
      <b/>
      <sz val="10"/>
      <color indexed="0"/>
      <name val="Segoe UI"/>
      <family val="2"/>
    </font>
    <font>
      <sz val="10"/>
      <color indexed="2"/>
      <name val="Segoe UI"/>
      <family val="2"/>
    </font>
    <font>
      <b/>
      <i/>
      <sz val="10"/>
      <color indexed="4"/>
      <name val="Segoe UI"/>
      <family val="2"/>
    </font>
    <font>
      <sz val="11"/>
      <color rgb="FF0070C0"/>
      <name val="Arial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0"/>
      <color theme="1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indexed="62"/>
      <name val="Arial"/>
      <family val="2"/>
    </font>
    <font>
      <sz val="12"/>
      <name val="Osaka"/>
      <family val="3"/>
      <charset val="128"/>
    </font>
    <font>
      <sz val="11"/>
      <name val="ＭＳ Ｐゴシック"/>
      <family val="3"/>
      <charset val="128"/>
    </font>
    <font>
      <b/>
      <sz val="11"/>
      <color rgb="FF002060"/>
      <name val="Arial"/>
      <family val="2"/>
    </font>
    <font>
      <sz val="11"/>
      <color rgb="FF2270AB"/>
      <name val="Arial"/>
      <family val="2"/>
    </font>
    <font>
      <sz val="11"/>
      <color theme="9" tint="-0.249977111117893"/>
      <name val="Arial"/>
      <family val="2"/>
    </font>
    <font>
      <u/>
      <sz val="11"/>
      <color theme="4"/>
      <name val="Arial"/>
      <family val="2"/>
    </font>
    <font>
      <sz val="11"/>
      <color theme="4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8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11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7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mediumGray"/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080">
    <xf numFmtId="0" fontId="0" fillId="0" borderId="0" applyNumberFormat="0" applyFont="0" applyFill="0" applyBorder="0" applyAlignment="0" applyProtection="0"/>
    <xf numFmtId="0" fontId="26" fillId="0" borderId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ill="0" applyBorder="0" applyAlignment="0" applyProtection="0"/>
    <xf numFmtId="0" fontId="22" fillId="0" borderId="1" applyNumberFormat="0" applyBorder="0" applyAlignment="0">
      <alignment horizontal="left"/>
    </xf>
    <xf numFmtId="0" fontId="2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213" fontId="94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0" fontId="26" fillId="0" borderId="0" applyNumberFormat="0" applyFill="0" applyBorder="0" applyAlignment="0" applyProtection="0"/>
    <xf numFmtId="0" fontId="26" fillId="0" borderId="0" applyFill="0" applyAlignment="0">
      <protection locked="0"/>
    </xf>
    <xf numFmtId="0" fontId="31" fillId="0" borderId="0"/>
    <xf numFmtId="0" fontId="31" fillId="0" borderId="0"/>
    <xf numFmtId="185" fontId="31" fillId="0" borderId="0"/>
    <xf numFmtId="0" fontId="31" fillId="0" borderId="0"/>
    <xf numFmtId="0" fontId="31" fillId="0" borderId="0"/>
    <xf numFmtId="185" fontId="31" fillId="0" borderId="0"/>
    <xf numFmtId="1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32" fillId="0" borderId="0"/>
    <xf numFmtId="0" fontId="98" fillId="0" borderId="0"/>
    <xf numFmtId="0" fontId="99" fillId="0" borderId="0"/>
    <xf numFmtId="0" fontId="98" fillId="0" borderId="0"/>
    <xf numFmtId="0" fontId="98" fillId="0" borderId="0"/>
    <xf numFmtId="0" fontId="100" fillId="0" borderId="0"/>
    <xf numFmtId="0" fontId="97" fillId="0" borderId="0"/>
    <xf numFmtId="0" fontId="100" fillId="0" borderId="0"/>
    <xf numFmtId="0" fontId="97" fillId="0" borderId="0"/>
    <xf numFmtId="0" fontId="100" fillId="0" borderId="0"/>
    <xf numFmtId="0" fontId="97" fillId="0" borderId="0"/>
    <xf numFmtId="0" fontId="26" fillId="0" borderId="0"/>
    <xf numFmtId="43" fontId="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93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88" fillId="0" borderId="0" applyFont="0" applyFill="0" applyBorder="0" applyAlignment="0" applyProtection="0"/>
    <xf numFmtId="0" fontId="83" fillId="10" borderId="0">
      <alignment horizontal="left"/>
    </xf>
    <xf numFmtId="0" fontId="26" fillId="0" borderId="0" applyNumberFormat="0" applyFont="0" applyFill="0" applyBorder="0" applyAlignment="0" applyProtection="0"/>
    <xf numFmtId="0" fontId="88" fillId="0" borderId="0"/>
    <xf numFmtId="0" fontId="26" fillId="0" borderId="0" applyNumberFormat="0" applyFill="0" applyBorder="0" applyAlignment="0" applyProtection="0"/>
    <xf numFmtId="0" fontId="9" fillId="0" borderId="0"/>
    <xf numFmtId="166" fontId="14" fillId="0" borderId="0"/>
    <xf numFmtId="0" fontId="9" fillId="0" borderId="0"/>
    <xf numFmtId="180" fontId="5" fillId="0" borderId="0"/>
    <xf numFmtId="0" fontId="33" fillId="0" borderId="0">
      <alignment vertical="center"/>
    </xf>
    <xf numFmtId="9" fontId="5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93" fillId="0" borderId="0" applyFont="0" applyFill="0" applyBorder="0" applyAlignment="0" applyProtection="0"/>
    <xf numFmtId="0" fontId="26" fillId="12" borderId="0" applyNumberFormat="0" applyFont="0" applyBorder="0" applyAlignment="0" applyProtection="0"/>
    <xf numFmtId="177" fontId="34" fillId="0" borderId="0"/>
    <xf numFmtId="0" fontId="34" fillId="0" borderId="0"/>
    <xf numFmtId="0" fontId="34" fillId="0" borderId="6">
      <alignment horizontal="centerContinuous"/>
    </xf>
    <xf numFmtId="0" fontId="35" fillId="0" borderId="6"/>
    <xf numFmtId="0" fontId="5" fillId="0" borderId="0"/>
    <xf numFmtId="0" fontId="26" fillId="0" borderId="0"/>
    <xf numFmtId="0" fontId="101" fillId="0" borderId="0"/>
    <xf numFmtId="0" fontId="102" fillId="0" borderId="0" applyFont="0" applyFill="0" applyBorder="0" applyAlignment="0" applyProtection="0"/>
    <xf numFmtId="0" fontId="102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9" fontId="114" fillId="0" borderId="0">
      <alignment horizontal="right"/>
    </xf>
    <xf numFmtId="0" fontId="26" fillId="0" borderId="0" applyNumberFormat="0" applyFont="0" applyFill="0" applyBorder="0" applyAlignment="0" applyProtection="0"/>
    <xf numFmtId="214" fontId="115" fillId="0" borderId="0">
      <alignment horizontal="right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16" fillId="0" borderId="0"/>
    <xf numFmtId="0" fontId="26" fillId="0" borderId="0" applyFill="0" applyAlignment="0">
      <protection locked="0"/>
    </xf>
    <xf numFmtId="44" fontId="117" fillId="0" borderId="0" applyFont="0" applyFill="0" applyBorder="0" applyAlignment="0" applyProtection="0"/>
    <xf numFmtId="42" fontId="117" fillId="0" borderId="0" applyFont="0" applyFill="0" applyBorder="0" applyAlignment="0" applyProtection="0"/>
    <xf numFmtId="215" fontId="118" fillId="0" borderId="0" applyFont="0" applyFill="0" applyBorder="0" applyAlignment="0" applyProtection="0"/>
    <xf numFmtId="216" fontId="118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19" fillId="0" borderId="0"/>
    <xf numFmtId="0" fontId="117" fillId="0" borderId="0"/>
    <xf numFmtId="0" fontId="31" fillId="0" borderId="0"/>
    <xf numFmtId="0" fontId="31" fillId="0" borderId="0"/>
    <xf numFmtId="9" fontId="26" fillId="0" borderId="0"/>
    <xf numFmtId="9" fontId="26" fillId="0" borderId="0"/>
    <xf numFmtId="9" fontId="26" fillId="0" borderId="0"/>
    <xf numFmtId="9" fontId="26" fillId="0" borderId="0"/>
    <xf numFmtId="9" fontId="26" fillId="0" borderId="0"/>
    <xf numFmtId="9" fontId="26" fillId="0" borderId="0"/>
    <xf numFmtId="9" fontId="26" fillId="0" borderId="0"/>
    <xf numFmtId="9" fontId="26" fillId="0" borderId="0"/>
    <xf numFmtId="9" fontId="2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" fontId="31" fillId="0" borderId="0"/>
    <xf numFmtId="2" fontId="31" fillId="0" borderId="0"/>
    <xf numFmtId="10" fontId="31" fillId="0" borderId="0"/>
    <xf numFmtId="1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85" fontId="31" fillId="0" borderId="0"/>
    <xf numFmtId="185" fontId="31" fillId="0" borderId="0"/>
    <xf numFmtId="177" fontId="26" fillId="0" borderId="0"/>
    <xf numFmtId="177" fontId="26" fillId="0" borderId="0"/>
    <xf numFmtId="177" fontId="26" fillId="0" borderId="0"/>
    <xf numFmtId="177" fontId="26" fillId="0" borderId="0"/>
    <xf numFmtId="177" fontId="26" fillId="0" borderId="0"/>
    <xf numFmtId="177" fontId="26" fillId="0" borderId="0"/>
    <xf numFmtId="177" fontId="26" fillId="0" borderId="0"/>
    <xf numFmtId="177" fontId="26" fillId="0" borderId="0"/>
    <xf numFmtId="177" fontId="26" fillId="0" borderId="0"/>
    <xf numFmtId="0" fontId="105" fillId="2" borderId="0" applyNumberFormat="0" applyBorder="0" applyAlignment="0" applyProtection="0"/>
    <xf numFmtId="0" fontId="105" fillId="2" borderId="0" applyNumberFormat="0" applyBorder="0" applyAlignment="0" applyProtection="0"/>
    <xf numFmtId="0" fontId="105" fillId="4" borderId="0" applyNumberFormat="0" applyBorder="0" applyAlignment="0" applyProtection="0"/>
    <xf numFmtId="0" fontId="105" fillId="4" borderId="0" applyNumberFormat="0" applyBorder="0" applyAlignment="0" applyProtection="0"/>
    <xf numFmtId="0" fontId="105" fillId="11" borderId="0" applyNumberFormat="0" applyBorder="0" applyAlignment="0" applyProtection="0"/>
    <xf numFmtId="0" fontId="105" fillId="11" borderId="0" applyNumberFormat="0" applyBorder="0" applyAlignment="0" applyProtection="0"/>
    <xf numFmtId="0" fontId="105" fillId="2" borderId="0" applyNumberFormat="0" applyBorder="0" applyAlignment="0" applyProtection="0"/>
    <xf numFmtId="0" fontId="105" fillId="2" borderId="0" applyNumberFormat="0" applyBorder="0" applyAlignment="0" applyProtection="0"/>
    <xf numFmtId="0" fontId="105" fillId="19" borderId="0" applyNumberFormat="0" applyBorder="0" applyAlignment="0" applyProtection="0"/>
    <xf numFmtId="0" fontId="105" fillId="19" borderId="0" applyNumberFormat="0" applyBorder="0" applyAlignment="0" applyProtection="0"/>
    <xf numFmtId="0" fontId="105" fillId="11" borderId="0" applyNumberFormat="0" applyBorder="0" applyAlignment="0" applyProtection="0"/>
    <xf numFmtId="0" fontId="105" fillId="11" borderId="0" applyNumberFormat="0" applyBorder="0" applyAlignment="0" applyProtection="0"/>
    <xf numFmtId="0" fontId="105" fillId="5" borderId="0" applyNumberFormat="0" applyBorder="0" applyAlignment="0" applyProtection="0"/>
    <xf numFmtId="0" fontId="105" fillId="5" borderId="0" applyNumberFormat="0" applyBorder="0" applyAlignment="0" applyProtection="0"/>
    <xf numFmtId="0" fontId="105" fillId="4" borderId="0" applyNumberFormat="0" applyBorder="0" applyAlignment="0" applyProtection="0"/>
    <xf numFmtId="0" fontId="105" fillId="4" borderId="0" applyNumberFormat="0" applyBorder="0" applyAlignment="0" applyProtection="0"/>
    <xf numFmtId="0" fontId="105" fillId="11" borderId="0" applyNumberFormat="0" applyBorder="0" applyAlignment="0" applyProtection="0"/>
    <xf numFmtId="0" fontId="105" fillId="11" borderId="0" applyNumberFormat="0" applyBorder="0" applyAlignment="0" applyProtection="0"/>
    <xf numFmtId="0" fontId="105" fillId="5" borderId="0" applyNumberFormat="0" applyBorder="0" applyAlignment="0" applyProtection="0"/>
    <xf numFmtId="0" fontId="105" fillId="5" borderId="0" applyNumberFormat="0" applyBorder="0" applyAlignment="0" applyProtection="0"/>
    <xf numFmtId="0" fontId="105" fillId="6" borderId="0" applyNumberFormat="0" applyBorder="0" applyAlignment="0" applyProtection="0"/>
    <xf numFmtId="0" fontId="105" fillId="6" borderId="0" applyNumberFormat="0" applyBorder="0" applyAlignment="0" applyProtection="0"/>
    <xf numFmtId="0" fontId="105" fillId="11" borderId="0" applyNumberFormat="0" applyBorder="0" applyAlignment="0" applyProtection="0"/>
    <xf numFmtId="0" fontId="105" fillId="11" borderId="0" applyNumberFormat="0" applyBorder="0" applyAlignment="0" applyProtection="0"/>
    <xf numFmtId="0" fontId="106" fillId="20" borderId="0" applyNumberFormat="0" applyBorder="0" applyAlignment="0" applyProtection="0"/>
    <xf numFmtId="0" fontId="106" fillId="4" borderId="0" applyNumberFormat="0" applyBorder="0" applyAlignment="0" applyProtection="0"/>
    <xf numFmtId="0" fontId="106" fillId="21" borderId="0" applyNumberFormat="0" applyBorder="0" applyAlignment="0" applyProtection="0"/>
    <xf numFmtId="0" fontId="106" fillId="5" borderId="0" applyNumberFormat="0" applyBorder="0" applyAlignment="0" applyProtection="0"/>
    <xf numFmtId="0" fontId="106" fillId="20" borderId="0" applyNumberFormat="0" applyBorder="0" applyAlignment="0" applyProtection="0"/>
    <xf numFmtId="0" fontId="106" fillId="11" borderId="0" applyNumberFormat="0" applyBorder="0" applyAlignment="0" applyProtection="0"/>
    <xf numFmtId="37" fontId="120" fillId="0" borderId="0">
      <alignment horizontal="center"/>
    </xf>
    <xf numFmtId="0" fontId="106" fillId="20" borderId="0" applyNumberFormat="0" applyBorder="0" applyAlignment="0" applyProtection="0"/>
    <xf numFmtId="0" fontId="106" fillId="4" borderId="0" applyNumberFormat="0" applyBorder="0" applyAlignment="0" applyProtection="0"/>
    <xf numFmtId="0" fontId="106" fillId="21" borderId="0" applyNumberFormat="0" applyBorder="0" applyAlignment="0" applyProtection="0"/>
    <xf numFmtId="0" fontId="106" fillId="22" borderId="0" applyNumberFormat="0" applyBorder="0" applyAlignment="0" applyProtection="0"/>
    <xf numFmtId="0" fontId="106" fillId="20" borderId="0" applyNumberFormat="0" applyBorder="0" applyAlignment="0" applyProtection="0"/>
    <xf numFmtId="0" fontId="106" fillId="4" borderId="0" applyNumberFormat="0" applyBorder="0" applyAlignment="0" applyProtection="0"/>
    <xf numFmtId="217" fontId="121" fillId="0" borderId="0" applyFont="0" applyFill="0" applyBorder="0" applyAlignment="0" applyProtection="0"/>
    <xf numFmtId="218" fontId="122" fillId="0" borderId="0">
      <alignment horizontal="left"/>
    </xf>
    <xf numFmtId="0" fontId="150" fillId="23" borderId="0" applyNumberFormat="0" applyBorder="0" applyAlignment="0" applyProtection="0"/>
    <xf numFmtId="1" fontId="123" fillId="24" borderId="11" applyNumberFormat="0" applyBorder="0" applyAlignment="0">
      <alignment horizontal="center" vertical="top" wrapText="1"/>
      <protection hidden="1"/>
    </xf>
    <xf numFmtId="0" fontId="124" fillId="0" borderId="0" applyNumberFormat="0" applyFill="0" applyBorder="0" applyAlignment="0" applyProtection="0"/>
    <xf numFmtId="0" fontId="125" fillId="0" borderId="7" applyNumberFormat="0" applyFill="0" applyAlignment="0" applyProtection="0"/>
    <xf numFmtId="21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7" fillId="0" borderId="0"/>
    <xf numFmtId="0" fontId="151" fillId="8" borderId="2" applyNumberFormat="0" applyAlignment="0" applyProtection="0"/>
    <xf numFmtId="0" fontId="115" fillId="0" borderId="0">
      <alignment horizontal="right"/>
    </xf>
    <xf numFmtId="1" fontId="126" fillId="0" borderId="0"/>
    <xf numFmtId="0" fontId="107" fillId="9" borderId="3" applyNumberFormat="0" applyAlignment="0" applyProtection="0"/>
    <xf numFmtId="0" fontId="127" fillId="0" borderId="7" applyNumberFormat="0" applyFill="0" applyProtection="0">
      <alignment horizontal="left" vertical="center"/>
    </xf>
    <xf numFmtId="180" fontId="71" fillId="0" borderId="0" applyBorder="0">
      <alignment horizontal="right"/>
    </xf>
    <xf numFmtId="180" fontId="71" fillId="0" borderId="8" applyAlignment="0">
      <alignment horizontal="right"/>
    </xf>
    <xf numFmtId="220" fontId="128" fillId="0" borderId="0"/>
    <xf numFmtId="220" fontId="128" fillId="0" borderId="0"/>
    <xf numFmtId="220" fontId="128" fillId="0" borderId="0"/>
    <xf numFmtId="220" fontId="128" fillId="0" borderId="0"/>
    <xf numFmtId="220" fontId="128" fillId="0" borderId="0"/>
    <xf numFmtId="220" fontId="128" fillId="0" borderId="0"/>
    <xf numFmtId="220" fontId="128" fillId="0" borderId="0"/>
    <xf numFmtId="220" fontId="128" fillId="0" borderId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129" fillId="0" borderId="0"/>
    <xf numFmtId="0" fontId="130" fillId="0" borderId="0" applyFill="0" applyBorder="0">
      <alignment horizontal="left"/>
    </xf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221" fontId="118" fillId="0" borderId="0" applyFont="0" applyFill="0" applyBorder="0" applyAlignment="0" applyProtection="0"/>
    <xf numFmtId="14" fontId="22" fillId="0" borderId="1" applyFont="0">
      <alignment horizontal="right"/>
    </xf>
    <xf numFmtId="0" fontId="117" fillId="0" borderId="0"/>
    <xf numFmtId="0" fontId="131" fillId="0" borderId="0"/>
    <xf numFmtId="222" fontId="115" fillId="0" borderId="0">
      <alignment horizontal="right"/>
    </xf>
    <xf numFmtId="0" fontId="115" fillId="0" borderId="0"/>
    <xf numFmtId="5" fontId="48" fillId="0" borderId="0" applyFont="0" applyFill="0" applyBorder="0" applyAlignment="0" applyProtection="0">
      <protection locked="0"/>
    </xf>
    <xf numFmtId="5" fontId="48" fillId="0" borderId="0" applyFont="0" applyFill="0" applyBorder="0" applyAlignment="0" applyProtection="0">
      <protection locked="0"/>
    </xf>
    <xf numFmtId="0" fontId="108" fillId="0" borderId="0" applyNumberFormat="0" applyFill="0" applyBorder="0" applyAlignment="0" applyProtection="0"/>
    <xf numFmtId="0" fontId="163" fillId="0" borderId="0"/>
    <xf numFmtId="1" fontId="132" fillId="25" borderId="9" applyNumberFormat="0" applyBorder="0" applyAlignment="0">
      <alignment horizontal="centerContinuous" vertical="center"/>
      <protection locked="0"/>
    </xf>
    <xf numFmtId="0" fontId="162" fillId="7" borderId="0"/>
    <xf numFmtId="0" fontId="115" fillId="0" borderId="0"/>
    <xf numFmtId="0" fontId="133" fillId="0" borderId="0" applyNumberFormat="0" applyFill="0" applyBorder="0" applyProtection="0">
      <alignment horizontal="left" vertical="center"/>
    </xf>
    <xf numFmtId="49" fontId="27" fillId="0" borderId="0" applyFill="0" applyBorder="0"/>
    <xf numFmtId="49" fontId="27" fillId="0" borderId="0" applyFill="0" applyBorder="0"/>
    <xf numFmtId="49" fontId="26" fillId="0" borderId="0"/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0" fontId="152" fillId="3" borderId="0" applyNumberFormat="0" applyBorder="0" applyAlignment="0" applyProtection="0"/>
    <xf numFmtId="0" fontId="134" fillId="0" borderId="0"/>
    <xf numFmtId="0" fontId="134" fillId="0" borderId="0"/>
    <xf numFmtId="0" fontId="134" fillId="0" borderId="0"/>
    <xf numFmtId="0" fontId="134" fillId="0" borderId="0"/>
    <xf numFmtId="38" fontId="27" fillId="13" borderId="0" applyNumberFormat="0" applyBorder="0" applyAlignment="0" applyProtection="0"/>
    <xf numFmtId="38" fontId="27" fillId="13" borderId="0" applyNumberFormat="0" applyBorder="0" applyAlignment="0" applyProtection="0"/>
    <xf numFmtId="38" fontId="27" fillId="13" borderId="0" applyNumberFormat="0" applyBorder="0" applyAlignment="0" applyProtection="0"/>
    <xf numFmtId="168" fontId="26" fillId="26" borderId="22" applyNumberFormat="0" applyFont="0" applyBorder="0" applyAlignment="0" applyProtection="0"/>
    <xf numFmtId="168" fontId="26" fillId="26" borderId="22" applyNumberFormat="0" applyFont="0" applyBorder="0" applyAlignment="0" applyProtection="0"/>
    <xf numFmtId="177" fontId="135" fillId="26" borderId="0" applyNumberFormat="0" applyFont="0" applyAlignment="0"/>
    <xf numFmtId="0" fontId="113" fillId="0" borderId="23" applyNumberFormat="0" applyAlignment="0" applyProtection="0">
      <alignment horizontal="left" vertical="center"/>
    </xf>
    <xf numFmtId="0" fontId="113" fillId="0" borderId="1">
      <alignment horizontal="left" vertical="center"/>
    </xf>
    <xf numFmtId="0" fontId="153" fillId="0" borderId="24" applyNumberFormat="0" applyFill="0" applyAlignment="0" applyProtection="0"/>
    <xf numFmtId="0" fontId="154" fillId="0" borderId="25" applyNumberFormat="0" applyFill="0" applyAlignment="0" applyProtection="0"/>
    <xf numFmtId="0" fontId="155" fillId="0" borderId="26" applyNumberFormat="0" applyFill="0" applyAlignment="0" applyProtection="0"/>
    <xf numFmtId="0" fontId="155" fillId="0" borderId="0" applyNumberFormat="0" applyFill="0" applyBorder="0" applyAlignment="0" applyProtection="0"/>
    <xf numFmtId="0" fontId="160" fillId="0" borderId="0">
      <alignment wrapText="1"/>
    </xf>
    <xf numFmtId="10" fontId="27" fillId="27" borderId="22" applyNumberFormat="0" applyBorder="0" applyAlignment="0" applyProtection="0"/>
    <xf numFmtId="10" fontId="27" fillId="27" borderId="22" applyNumberFormat="0" applyBorder="0" applyAlignment="0" applyProtection="0"/>
    <xf numFmtId="10" fontId="27" fillId="27" borderId="22" applyNumberFormat="0" applyBorder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36" fillId="0" borderId="0" applyNumberFormat="0" applyFill="0" applyBorder="0" applyAlignment="0">
      <protection locked="0"/>
    </xf>
    <xf numFmtId="0" fontId="115" fillId="0" borderId="0"/>
    <xf numFmtId="0" fontId="137" fillId="0" borderId="0" applyNumberFormat="0" applyFill="0" applyBorder="0" applyProtection="0">
      <alignment horizontal="left" vertical="center"/>
    </xf>
    <xf numFmtId="0" fontId="157" fillId="0" borderId="27" applyNumberFormat="0" applyFill="0" applyAlignment="0" applyProtection="0"/>
    <xf numFmtId="0" fontId="162" fillId="0" borderId="0"/>
    <xf numFmtId="0" fontId="164" fillId="0" borderId="0"/>
    <xf numFmtId="0" fontId="161" fillId="0" borderId="0"/>
    <xf numFmtId="223" fontId="27" fillId="27" borderId="0">
      <alignment horizontal="center"/>
    </xf>
    <xf numFmtId="223" fontId="27" fillId="27" borderId="0">
      <alignment horizontal="center"/>
    </xf>
    <xf numFmtId="223" fontId="27" fillId="27" borderId="0">
      <alignment horizontal="center"/>
    </xf>
    <xf numFmtId="0" fontId="158" fillId="11" borderId="0" applyNumberFormat="0" applyBorder="0" applyAlignment="0" applyProtection="0"/>
    <xf numFmtId="37" fontId="138" fillId="0" borderId="0"/>
    <xf numFmtId="224" fontId="139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160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140" fillId="0" borderId="0"/>
    <xf numFmtId="0" fontId="26" fillId="11" borderId="4" applyNumberFormat="0" applyFont="0" applyAlignment="0" applyProtection="0"/>
    <xf numFmtId="0" fontId="26" fillId="11" borderId="4" applyNumberFormat="0" applyFont="0" applyAlignment="0" applyProtection="0"/>
    <xf numFmtId="0" fontId="26" fillId="11" borderId="4" applyNumberFormat="0" applyFont="0" applyAlignment="0" applyProtection="0"/>
    <xf numFmtId="0" fontId="26" fillId="11" borderId="4" applyNumberFormat="0" applyFont="0" applyAlignment="0" applyProtection="0"/>
    <xf numFmtId="0" fontId="26" fillId="11" borderId="4" applyNumberFormat="0" applyFont="0" applyAlignment="0" applyProtection="0"/>
    <xf numFmtId="164" fontId="114" fillId="0" borderId="0" applyFont="0" applyFill="0" applyBorder="0" applyProtection="0">
      <alignment horizontal="right"/>
    </xf>
    <xf numFmtId="43" fontId="117" fillId="0" borderId="0" applyFont="0" applyFill="0" applyBorder="0" applyAlignment="0" applyProtection="0"/>
    <xf numFmtId="41" fontId="117" fillId="0" borderId="0" applyFont="0" applyFill="0" applyBorder="0" applyAlignment="0" applyProtection="0"/>
    <xf numFmtId="0" fontId="141" fillId="0" borderId="0">
      <alignment horizontal="left"/>
    </xf>
    <xf numFmtId="0" fontId="109" fillId="8" borderId="5" applyNumberFormat="0" applyAlignment="0" applyProtection="0"/>
    <xf numFmtId="0" fontId="161" fillId="0" borderId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" fontId="142" fillId="13" borderId="0">
      <alignment horizontal="center"/>
    </xf>
    <xf numFmtId="225" fontId="27" fillId="0" borderId="0"/>
    <xf numFmtId="225" fontId="27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37" fillId="0" borderId="0" applyNumberFormat="0" applyFill="0" applyBorder="0" applyProtection="0">
      <alignment horizontal="right" vertical="center"/>
    </xf>
    <xf numFmtId="0" fontId="26" fillId="12" borderId="0" applyNumberFormat="0" applyFont="0" applyBorder="0" applyAlignment="0" applyProtection="0"/>
    <xf numFmtId="177" fontId="34" fillId="0" borderId="0"/>
    <xf numFmtId="177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6">
      <alignment horizontal="centerContinuous"/>
    </xf>
    <xf numFmtId="0" fontId="34" fillId="0" borderId="6">
      <alignment horizontal="centerContinuous"/>
    </xf>
    <xf numFmtId="0" fontId="34" fillId="0" borderId="6">
      <alignment horizontal="centerContinuous"/>
    </xf>
    <xf numFmtId="0" fontId="34" fillId="0" borderId="6">
      <alignment horizontal="centerContinuous"/>
    </xf>
    <xf numFmtId="0" fontId="34" fillId="0" borderId="6">
      <alignment horizontal="centerContinuous"/>
    </xf>
    <xf numFmtId="0" fontId="34" fillId="0" borderId="6">
      <alignment horizontal="centerContinuous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/>
    <xf numFmtId="0" fontId="55" fillId="0" borderId="0"/>
    <xf numFmtId="0" fontId="55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44" fillId="0" borderId="1" applyNumberFormat="0" applyFill="0" applyProtection="0">
      <alignment horizontal="left"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59" fillId="0" borderId="0" applyNumberFormat="0" applyFill="0" applyBorder="0" applyAlignment="0" applyProtection="0"/>
    <xf numFmtId="0" fontId="145" fillId="28" borderId="0" applyNumberFormat="0" applyBorder="0" applyProtection="0">
      <alignment horizontal="left" vertical="center"/>
    </xf>
    <xf numFmtId="0" fontId="146" fillId="1" borderId="0" applyNumberFormat="0" applyBorder="0" applyProtection="0">
      <alignment horizontal="left" vertical="center"/>
    </xf>
    <xf numFmtId="180" fontId="70" fillId="0" borderId="0"/>
    <xf numFmtId="182" fontId="147" fillId="0" borderId="18" applyNumberFormat="0" applyFont="0" applyFill="0" applyAlignment="0" applyProtection="0"/>
    <xf numFmtId="0" fontId="110" fillId="0" borderId="28" applyNumberFormat="0" applyFill="0" applyAlignment="0" applyProtection="0"/>
    <xf numFmtId="180" fontId="71" fillId="0" borderId="29"/>
    <xf numFmtId="226" fontId="148" fillId="0" borderId="0">
      <alignment horizontal="right"/>
    </xf>
    <xf numFmtId="227" fontId="142" fillId="13" borderId="11" applyBorder="0">
      <alignment horizontal="right" vertical="center"/>
      <protection locked="0"/>
    </xf>
    <xf numFmtId="0" fontId="149" fillId="0" borderId="0" applyNumberFormat="0"/>
    <xf numFmtId="0" fontId="111" fillId="0" borderId="0" applyNumberFormat="0" applyFill="0" applyBorder="0" applyAlignment="0" applyProtection="0"/>
    <xf numFmtId="1" fontId="26" fillId="0" borderId="0">
      <alignment horizontal="center"/>
    </xf>
    <xf numFmtId="1" fontId="26" fillId="0" borderId="0">
      <alignment horizontal="center"/>
    </xf>
    <xf numFmtId="1" fontId="26" fillId="0" borderId="0">
      <alignment horizontal="center"/>
    </xf>
    <xf numFmtId="1" fontId="26" fillId="0" borderId="0">
      <alignment horizontal="center"/>
    </xf>
    <xf numFmtId="1" fontId="26" fillId="0" borderId="0">
      <alignment horizontal="center"/>
    </xf>
    <xf numFmtId="1" fontId="26" fillId="0" borderId="0">
      <alignment horizontal="center"/>
    </xf>
    <xf numFmtId="1" fontId="26" fillId="0" borderId="0">
      <alignment horizontal="center"/>
    </xf>
    <xf numFmtId="1" fontId="26" fillId="0" borderId="0">
      <alignment horizontal="center"/>
    </xf>
    <xf numFmtId="1" fontId="26" fillId="0" borderId="0">
      <alignment horizontal="center"/>
    </xf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9" fontId="26" fillId="0" borderId="0"/>
    <xf numFmtId="177" fontId="26" fillId="0" borderId="0"/>
    <xf numFmtId="43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0" fontId="134" fillId="0" borderId="0"/>
    <xf numFmtId="0" fontId="26" fillId="0" borderId="0"/>
    <xf numFmtId="0" fontId="26" fillId="11" borderId="4" applyNumberFormat="0" applyFont="0" applyAlignment="0" applyProtection="0"/>
    <xf numFmtId="10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143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1" fontId="26" fillId="0" borderId="0">
      <alignment horizontal="center"/>
    </xf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34" fillId="0" borderId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143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134" fillId="0" borderId="0"/>
    <xf numFmtId="0" fontId="143" fillId="0" borderId="0"/>
    <xf numFmtId="0" fontId="26" fillId="0" borderId="0" applyNumberFormat="0" applyFont="0" applyFill="0" applyBorder="0" applyAlignment="0" applyProtection="0"/>
    <xf numFmtId="0" fontId="134" fillId="0" borderId="0"/>
    <xf numFmtId="0" fontId="143" fillId="0" borderId="0"/>
    <xf numFmtId="0" fontId="166" fillId="0" borderId="0"/>
    <xf numFmtId="0" fontId="167" fillId="0" borderId="0"/>
    <xf numFmtId="0" fontId="26" fillId="0" borderId="0" applyNumberFormat="0" applyFont="0" applyFill="0" applyBorder="0" applyAlignment="0" applyProtection="0"/>
    <xf numFmtId="0" fontId="156" fillId="11" borderId="2" applyNumberFormat="0" applyAlignment="0" applyProtection="0"/>
    <xf numFmtId="0" fontId="156" fillId="11" borderId="2" applyNumberFormat="0" applyAlignment="0" applyProtection="0"/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0" fontId="168" fillId="0" borderId="0"/>
    <xf numFmtId="0" fontId="169" fillId="7" borderId="0"/>
    <xf numFmtId="0" fontId="170" fillId="0" borderId="0">
      <alignment wrapText="1"/>
    </xf>
    <xf numFmtId="0" fontId="169" fillId="0" borderId="0"/>
    <xf numFmtId="0" fontId="171" fillId="0" borderId="0"/>
    <xf numFmtId="0" fontId="172" fillId="0" borderId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73" fillId="0" borderId="0"/>
    <xf numFmtId="0" fontId="26" fillId="0" borderId="0" applyNumberFormat="0" applyFont="0" applyFill="0" applyBorder="0" applyAlignment="0" applyProtection="0"/>
    <xf numFmtId="0" fontId="26" fillId="0" borderId="0"/>
    <xf numFmtId="0" fontId="173" fillId="0" borderId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11" borderId="4" applyNumberFormat="0" applyFont="0" applyAlignment="0" applyProtection="0"/>
    <xf numFmtId="0" fontId="26" fillId="11" borderId="4" applyNumberFormat="0" applyFont="0" applyAlignment="0" applyProtection="0"/>
    <xf numFmtId="0" fontId="26" fillId="11" borderId="4" applyNumberFormat="0" applyFont="0" applyAlignment="0" applyProtection="0"/>
    <xf numFmtId="0" fontId="26" fillId="11" borderId="4" applyNumberFormat="0" applyFont="0" applyAlignment="0" applyProtection="0"/>
    <xf numFmtId="0" fontId="172" fillId="0" borderId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 applyNumberFormat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156" fillId="11" borderId="2" applyNumberFormat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156" fillId="11" borderId="2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6">
      <alignment horizontal="centerContinuous"/>
    </xf>
    <xf numFmtId="0" fontId="34" fillId="0" borderId="6">
      <alignment horizontal="centerContinuous"/>
    </xf>
    <xf numFmtId="0" fontId="34" fillId="0" borderId="6">
      <alignment horizontal="centerContinuous"/>
    </xf>
    <xf numFmtId="0" fontId="34" fillId="0" borderId="6">
      <alignment horizontal="centerContinuous"/>
    </xf>
    <xf numFmtId="0" fontId="26" fillId="0" borderId="0"/>
    <xf numFmtId="0" fontId="26" fillId="0" borderId="0"/>
    <xf numFmtId="0" fontId="26" fillId="0" borderId="0"/>
    <xf numFmtId="0" fontId="26" fillId="0" borderId="0">
      <alignment vertical="top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>
      <alignment vertical="top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>
      <alignment vertical="top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>
      <alignment vertical="top"/>
    </xf>
    <xf numFmtId="0" fontId="26" fillId="0" borderId="0"/>
    <xf numFmtId="0" fontId="26" fillId="0" borderId="0"/>
    <xf numFmtId="0" fontId="26" fillId="0" borderId="0">
      <alignment vertical="top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>
      <alignment vertical="top"/>
    </xf>
    <xf numFmtId="0" fontId="26" fillId="0" borderId="0"/>
    <xf numFmtId="0" fontId="26" fillId="0" borderId="0"/>
    <xf numFmtId="0" fontId="26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 applyNumberFormat="0" applyFont="0" applyFill="0" applyBorder="0" applyAlignment="0" applyProtection="0"/>
    <xf numFmtId="0" fontId="26" fillId="0" borderId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173" fillId="0" borderId="0"/>
    <xf numFmtId="0" fontId="173" fillId="0" borderId="0"/>
    <xf numFmtId="9" fontId="48" fillId="0" borderId="0" applyFont="0" applyFill="0" applyBorder="0" applyAlignment="0" applyProtection="0"/>
    <xf numFmtId="0" fontId="173" fillId="0" borderId="0"/>
    <xf numFmtId="9" fontId="48" fillId="0" borderId="0" applyFont="0" applyFill="0" applyBorder="0" applyAlignment="0" applyProtection="0"/>
    <xf numFmtId="0" fontId="173" fillId="0" borderId="0"/>
    <xf numFmtId="9" fontId="48" fillId="0" borderId="0" applyFont="0" applyFill="0" applyBorder="0" applyAlignment="0" applyProtection="0"/>
    <xf numFmtId="0" fontId="173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3" fontId="82" fillId="0" borderId="0"/>
    <xf numFmtId="0" fontId="26" fillId="0" borderId="0"/>
    <xf numFmtId="3" fontId="82" fillId="0" borderId="0"/>
    <xf numFmtId="0" fontId="26" fillId="0" borderId="0"/>
    <xf numFmtId="0" fontId="26" fillId="0" borderId="0"/>
    <xf numFmtId="0" fontId="26" fillId="0" borderId="0"/>
    <xf numFmtId="3" fontId="82" fillId="0" borderId="0"/>
    <xf numFmtId="3" fontId="82" fillId="0" borderId="0"/>
    <xf numFmtId="3" fontId="82" fillId="0" borderId="0"/>
    <xf numFmtId="3" fontId="82" fillId="0" borderId="0"/>
    <xf numFmtId="3" fontId="82" fillId="0" borderId="0"/>
    <xf numFmtId="0" fontId="26" fillId="0" borderId="0"/>
    <xf numFmtId="3" fontId="82" fillId="0" borderId="0"/>
    <xf numFmtId="0" fontId="26" fillId="0" borderId="0"/>
    <xf numFmtId="0" fontId="26" fillId="0" borderId="0"/>
    <xf numFmtId="3" fontId="82" fillId="0" borderId="0"/>
    <xf numFmtId="3" fontId="82" fillId="0" borderId="0"/>
    <xf numFmtId="0" fontId="26" fillId="0" borderId="0"/>
    <xf numFmtId="203" fontId="82" fillId="0" borderId="0"/>
    <xf numFmtId="223" fontId="26" fillId="0" borderId="0" applyFont="0" applyFill="0" applyBorder="0" applyAlignment="0" applyProtection="0"/>
    <xf numFmtId="0" fontId="174" fillId="0" borderId="0" applyNumberFormat="0" applyFill="0" applyBorder="0" applyAlignment="0" applyProtection="0">
      <alignment vertical="top"/>
      <protection locked="0"/>
    </xf>
    <xf numFmtId="0" fontId="175" fillId="0" borderId="0" applyNumberFormat="0" applyFill="0" applyBorder="0" applyAlignment="0" applyProtection="0"/>
    <xf numFmtId="0" fontId="112" fillId="0" borderId="0"/>
    <xf numFmtId="3" fontId="82" fillId="0" borderId="0"/>
    <xf numFmtId="168" fontId="26" fillId="0" borderId="0" applyFont="0" applyFill="0" applyBorder="0" applyAlignment="0" applyProtection="0"/>
    <xf numFmtId="49" fontId="82" fillId="0" borderId="0">
      <alignment horizontal="right"/>
    </xf>
    <xf numFmtId="3" fontId="27" fillId="0" borderId="0"/>
    <xf numFmtId="3" fontId="82" fillId="0" borderId="0"/>
    <xf numFmtId="3" fontId="70" fillId="0" borderId="0" applyNumberFormat="0"/>
    <xf numFmtId="3" fontId="176" fillId="0" borderId="0"/>
    <xf numFmtId="0" fontId="70" fillId="0" borderId="1">
      <alignment horizontal="right" wrapText="1"/>
    </xf>
    <xf numFmtId="0" fontId="70" fillId="0" borderId="1">
      <alignment horizontal="right" wrapText="1"/>
    </xf>
    <xf numFmtId="3" fontId="70" fillId="0" borderId="7" applyNumberFormat="0"/>
    <xf numFmtId="168" fontId="177" fillId="0" borderId="0" applyFont="0" applyFill="0" applyBorder="0" applyAlignment="0" applyProtection="0"/>
    <xf numFmtId="42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0" fontId="26" fillId="0" borderId="0"/>
    <xf numFmtId="40" fontId="178" fillId="0" borderId="0" applyFont="0" applyFill="0" applyBorder="0" applyAlignment="0" applyProtection="0">
      <alignment vertical="center"/>
    </xf>
    <xf numFmtId="0" fontId="33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134" fillId="0" borderId="0"/>
    <xf numFmtId="0" fontId="143" fillId="0" borderId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112" fillId="0" borderId="0"/>
    <xf numFmtId="1" fontId="26" fillId="0" borderId="0">
      <alignment horizontal="center"/>
    </xf>
    <xf numFmtId="1" fontId="26" fillId="0" borderId="0">
      <alignment horizontal="center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/>
    <xf numFmtId="0" fontId="26" fillId="0" borderId="0">
      <alignment vertical="top"/>
    </xf>
    <xf numFmtId="0" fontId="26" fillId="0" borderId="0"/>
    <xf numFmtId="0" fontId="34" fillId="0" borderId="6">
      <alignment horizontal="centerContinuous"/>
    </xf>
    <xf numFmtId="0" fontId="34" fillId="0" borderId="6">
      <alignment horizontal="centerContinuous"/>
    </xf>
    <xf numFmtId="0" fontId="34" fillId="0" borderId="0"/>
    <xf numFmtId="0" fontId="34" fillId="0" borderId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11" borderId="4" applyNumberFormat="0" applyFont="0" applyAlignment="0" applyProtection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0" fontId="26" fillId="0" borderId="0" applyNumberFormat="0" applyFont="0" applyFill="0" applyBorder="0" applyAlignment="0" applyProtection="0"/>
    <xf numFmtId="49" fontId="26" fillId="0" borderId="0" applyFill="0" applyBorder="0">
      <alignment horizontal="right" vertical="center"/>
    </xf>
    <xf numFmtId="49" fontId="26" fillId="0" borderId="0" applyFill="0" applyBorder="0">
      <alignment horizontal="right" vertical="center"/>
    </xf>
    <xf numFmtId="0" fontId="26" fillId="0" borderId="0" applyNumberFormat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32" fillId="0" borderId="0"/>
    <xf numFmtId="0" fontId="32" fillId="0" borderId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177" fontId="26" fillId="0" borderId="0"/>
    <xf numFmtId="177" fontId="2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9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9" fontId="26" fillId="0" borderId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 applyNumberFormat="0" applyFont="0" applyFill="0" applyBorder="0" applyAlignment="0" applyProtection="0"/>
    <xf numFmtId="44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6" fillId="0" borderId="0" applyNumberFormat="0" applyFont="0" applyFill="0" applyBorder="0" applyAlignment="0" applyProtection="0"/>
    <xf numFmtId="0" fontId="26" fillId="0" borderId="0"/>
    <xf numFmtId="0" fontId="26" fillId="0" borderId="0" applyNumberFormat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26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ill="0" applyBorder="0" applyAlignment="0" applyProtection="0"/>
    <xf numFmtId="0" fontId="5" fillId="0" borderId="0" applyFill="0" applyAlignment="0">
      <protection locked="0"/>
    </xf>
    <xf numFmtId="0" fontId="5" fillId="0" borderId="0" applyFill="0" applyAlignment="0"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ill="0" applyBorder="0" applyAlignment="0" applyProtection="0"/>
    <xf numFmtId="9" fontId="5" fillId="0" borderId="0"/>
    <xf numFmtId="9" fontId="5" fillId="0" borderId="0"/>
    <xf numFmtId="9" fontId="5" fillId="0" borderId="0"/>
    <xf numFmtId="9" fontId="5" fillId="0" borderId="0"/>
    <xf numFmtId="9" fontId="5" fillId="0" borderId="0"/>
    <xf numFmtId="9" fontId="5" fillId="0" borderId="0"/>
    <xf numFmtId="9" fontId="5" fillId="0" borderId="0"/>
    <xf numFmtId="9" fontId="5" fillId="0" borderId="0"/>
    <xf numFmtId="9" fontId="5" fillId="0" borderId="0"/>
    <xf numFmtId="9" fontId="5" fillId="0" borderId="0"/>
    <xf numFmtId="9" fontId="5" fillId="0" borderId="0"/>
    <xf numFmtId="9" fontId="5" fillId="0" borderId="0"/>
    <xf numFmtId="177" fontId="5" fillId="0" borderId="0"/>
    <xf numFmtId="177" fontId="5" fillId="0" borderId="0"/>
    <xf numFmtId="177" fontId="5" fillId="0" borderId="0"/>
    <xf numFmtId="177" fontId="5" fillId="0" borderId="0"/>
    <xf numFmtId="177" fontId="5" fillId="0" borderId="0"/>
    <xf numFmtId="177" fontId="5" fillId="0" borderId="0"/>
    <xf numFmtId="177" fontId="5" fillId="0" borderId="0"/>
    <xf numFmtId="177" fontId="5" fillId="0" borderId="0"/>
    <xf numFmtId="177" fontId="5" fillId="0" borderId="0"/>
    <xf numFmtId="177" fontId="5" fillId="0" borderId="0"/>
    <xf numFmtId="177" fontId="5" fillId="0" borderId="0"/>
    <xf numFmtId="177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49" fontId="5" fillId="0" borderId="0" applyFill="0" applyBorder="0">
      <alignment horizontal="right" vertical="center"/>
    </xf>
    <xf numFmtId="168" fontId="5" fillId="26" borderId="22" applyNumberFormat="0" applyFont="0" applyBorder="0" applyAlignment="0" applyProtection="0"/>
    <xf numFmtId="168" fontId="5" fillId="26" borderId="22" applyNumberFormat="0" applyFont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0" fontId="5" fillId="11" borderId="4" applyNumberFormat="0" applyFont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2" borderId="0" applyNumberFormat="0" applyFont="0" applyBorder="0" applyAlignment="0" applyProtection="0"/>
    <xf numFmtId="0" fontId="5" fillId="12" borderId="0" applyNumberFormat="0" applyFont="0" applyBorder="0" applyAlignment="0" applyProtection="0"/>
    <xf numFmtId="0" fontId="5" fillId="0" borderId="0"/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1" fontId="5" fillId="0" borderId="0">
      <alignment horizontal="center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34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0" fontId="143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>
      <alignment vertical="top"/>
    </xf>
    <xf numFmtId="43" fontId="5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>
      <alignment vertical="top"/>
    </xf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>
      <alignment vertical="top"/>
    </xf>
    <xf numFmtId="0" fontId="5" fillId="0" borderId="0" applyNumberFormat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223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4" fillId="0" borderId="0"/>
    <xf numFmtId="0" fontId="5" fillId="0" borderId="0">
      <alignment vertical="top"/>
    </xf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34" fillId="0" borderId="0"/>
    <xf numFmtId="0" fontId="143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3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3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" fillId="0" borderId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4" fillId="0" borderId="0"/>
  </cellStyleXfs>
  <cellXfs count="1517">
    <xf numFmtId="0" fontId="0" fillId="0" borderId="0" xfId="0"/>
    <xf numFmtId="181" fontId="12" fillId="0" borderId="7" xfId="56" applyNumberFormat="1" applyFont="1" applyBorder="1"/>
    <xf numFmtId="0" fontId="5" fillId="0" borderId="0" xfId="2" applyFont="1"/>
    <xf numFmtId="0" fontId="7" fillId="0" borderId="0" xfId="2" applyFont="1" applyFill="1" applyAlignment="1">
      <alignment vertical="center"/>
    </xf>
    <xf numFmtId="0" fontId="5" fillId="13" borderId="0" xfId="2" applyFont="1" applyFill="1"/>
    <xf numFmtId="0" fontId="8" fillId="0" borderId="0" xfId="71" applyNumberFormat="1" applyFont="1" applyFill="1" applyBorder="1" applyAlignment="1">
      <alignment horizontal="left"/>
    </xf>
    <xf numFmtId="0" fontId="5" fillId="0" borderId="0" xfId="2" applyFont="1" applyFill="1"/>
    <xf numFmtId="164" fontId="5" fillId="0" borderId="0" xfId="2" applyNumberFormat="1" applyFont="1"/>
    <xf numFmtId="0" fontId="5" fillId="0" borderId="7" xfId="2" applyFont="1" applyBorder="1"/>
    <xf numFmtId="0" fontId="10" fillId="0" borderId="0" xfId="2" applyFont="1"/>
    <xf numFmtId="0" fontId="11" fillId="0" borderId="9" xfId="2" applyFont="1" applyBorder="1"/>
    <xf numFmtId="0" fontId="11" fillId="0" borderId="10" xfId="2" applyFont="1" applyBorder="1"/>
    <xf numFmtId="0" fontId="10" fillId="0" borderId="0" xfId="2" applyFont="1" applyFill="1"/>
    <xf numFmtId="0" fontId="12" fillId="0" borderId="11" xfId="2" applyFont="1" applyBorder="1"/>
    <xf numFmtId="0" fontId="12" fillId="0" borderId="12" xfId="2" applyFont="1" applyBorder="1"/>
    <xf numFmtId="0" fontId="10" fillId="0" borderId="0" xfId="2" applyFont="1" applyBorder="1"/>
    <xf numFmtId="0" fontId="10" fillId="0" borderId="13" xfId="2" applyFont="1" applyBorder="1"/>
    <xf numFmtId="0" fontId="10" fillId="0" borderId="14" xfId="2" applyFont="1" applyBorder="1"/>
    <xf numFmtId="1" fontId="13" fillId="13" borderId="15" xfId="70" applyNumberFormat="1" applyFont="1" applyFill="1" applyBorder="1" applyAlignment="1">
      <alignment horizontal="right"/>
    </xf>
    <xf numFmtId="1" fontId="13" fillId="13" borderId="1" xfId="70" applyNumberFormat="1" applyFont="1" applyFill="1" applyBorder="1" applyAlignment="1">
      <alignment horizontal="right"/>
    </xf>
    <xf numFmtId="1" fontId="13" fillId="13" borderId="16" xfId="70" applyNumberFormat="1" applyFont="1" applyFill="1" applyBorder="1" applyAlignment="1">
      <alignment horizontal="right"/>
    </xf>
    <xf numFmtId="0" fontId="10" fillId="0" borderId="17" xfId="2" applyFont="1" applyBorder="1"/>
    <xf numFmtId="0" fontId="10" fillId="0" borderId="11" xfId="2" applyFont="1" applyBorder="1"/>
    <xf numFmtId="0" fontId="10" fillId="0" borderId="11" xfId="2" applyFont="1" applyFill="1" applyBorder="1"/>
    <xf numFmtId="0" fontId="10" fillId="0" borderId="12" xfId="2" applyFont="1" applyFill="1" applyBorder="1"/>
    <xf numFmtId="0" fontId="10" fillId="0" borderId="11" xfId="2" applyFont="1" applyFill="1" applyBorder="1" applyAlignment="1">
      <alignment horizontal="left" indent="1"/>
    </xf>
    <xf numFmtId="0" fontId="10" fillId="0" borderId="12" xfId="2" applyFont="1" applyFill="1" applyBorder="1" applyAlignment="1">
      <alignment horizontal="left" indent="1"/>
    </xf>
    <xf numFmtId="164" fontId="15" fillId="0" borderId="0" xfId="2" applyNumberFormat="1" applyFont="1" applyFill="1" applyBorder="1" applyAlignment="1"/>
    <xf numFmtId="164" fontId="15" fillId="0" borderId="12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12" xfId="2" applyNumberFormat="1" applyFont="1" applyFill="1" applyBorder="1" applyAlignment="1"/>
    <xf numFmtId="164" fontId="10" fillId="0" borderId="11" xfId="2" applyNumberFormat="1" applyFont="1" applyFill="1" applyBorder="1" applyAlignment="1"/>
    <xf numFmtId="0" fontId="12" fillId="0" borderId="11" xfId="2" applyFont="1" applyFill="1" applyBorder="1" applyAlignment="1">
      <alignment horizontal="left" indent="1"/>
    </xf>
    <xf numFmtId="0" fontId="12" fillId="0" borderId="12" xfId="2" applyFont="1" applyFill="1" applyBorder="1" applyAlignment="1">
      <alignment horizontal="left" indent="1"/>
    </xf>
    <xf numFmtId="168" fontId="12" fillId="0" borderId="0" xfId="74" applyNumberFormat="1" applyFont="1" applyFill="1" applyBorder="1" applyAlignment="1"/>
    <xf numFmtId="168" fontId="12" fillId="0" borderId="12" xfId="74" applyNumberFormat="1" applyFont="1" applyFill="1" applyBorder="1" applyAlignment="1"/>
    <xf numFmtId="168" fontId="12" fillId="0" borderId="11" xfId="74" applyNumberFormat="1" applyFont="1" applyFill="1" applyBorder="1" applyAlignment="1"/>
    <xf numFmtId="168" fontId="16" fillId="0" borderId="0" xfId="74" applyNumberFormat="1" applyFont="1" applyFill="1" applyBorder="1" applyAlignment="1"/>
    <xf numFmtId="168" fontId="16" fillId="0" borderId="11" xfId="74" applyNumberFormat="1" applyFont="1" applyFill="1" applyBorder="1" applyAlignment="1"/>
    <xf numFmtId="169" fontId="15" fillId="0" borderId="0" xfId="2" applyNumberFormat="1" applyFont="1" applyFill="1" applyBorder="1" applyAlignment="1"/>
    <xf numFmtId="169" fontId="15" fillId="0" borderId="12" xfId="2" applyNumberFormat="1" applyFont="1" applyFill="1" applyBorder="1" applyAlignment="1"/>
    <xf numFmtId="169" fontId="15" fillId="0" borderId="11" xfId="2" applyNumberFormat="1" applyFont="1" applyFill="1" applyBorder="1" applyAlignment="1"/>
    <xf numFmtId="169" fontId="15" fillId="0" borderId="0" xfId="2" applyNumberFormat="1" applyFont="1" applyFill="1" applyBorder="1"/>
    <xf numFmtId="169" fontId="15" fillId="0" borderId="12" xfId="2" applyNumberFormat="1" applyFont="1" applyFill="1" applyBorder="1"/>
    <xf numFmtId="170" fontId="15" fillId="0" borderId="0" xfId="2" applyNumberFormat="1" applyFont="1" applyFill="1" applyBorder="1" applyAlignment="1"/>
    <xf numFmtId="0" fontId="11" fillId="0" borderId="11" xfId="2" applyFont="1" applyFill="1" applyBorder="1"/>
    <xf numFmtId="0" fontId="11" fillId="0" borderId="12" xfId="2" applyFont="1" applyFill="1" applyBorder="1"/>
    <xf numFmtId="164" fontId="11" fillId="0" borderId="0" xfId="2" applyNumberFormat="1" applyFont="1" applyFill="1" applyBorder="1" applyAlignment="1"/>
    <xf numFmtId="0" fontId="10" fillId="0" borderId="11" xfId="2" applyFont="1" applyFill="1" applyBorder="1" applyAlignment="1">
      <alignment horizontal="left" indent="2"/>
    </xf>
    <xf numFmtId="0" fontId="10" fillId="0" borderId="12" xfId="2" applyFont="1" applyFill="1" applyBorder="1" applyAlignment="1">
      <alignment horizontal="left" indent="2"/>
    </xf>
    <xf numFmtId="169" fontId="15" fillId="0" borderId="11" xfId="2" applyNumberFormat="1" applyFont="1" applyFill="1" applyBorder="1"/>
    <xf numFmtId="172" fontId="10" fillId="0" borderId="11" xfId="2" applyNumberFormat="1" applyFont="1" applyFill="1" applyBorder="1"/>
    <xf numFmtId="172" fontId="10" fillId="0" borderId="0" xfId="2" applyNumberFormat="1" applyFont="1" applyFill="1" applyBorder="1"/>
    <xf numFmtId="172" fontId="10" fillId="0" borderId="12" xfId="2" applyNumberFormat="1" applyFont="1" applyFill="1" applyBorder="1"/>
    <xf numFmtId="0" fontId="10" fillId="0" borderId="13" xfId="2" applyFont="1" applyFill="1" applyBorder="1"/>
    <xf numFmtId="0" fontId="10" fillId="0" borderId="14" xfId="2" applyFont="1" applyFill="1" applyBorder="1"/>
    <xf numFmtId="0" fontId="10" fillId="0" borderId="18" xfId="2" applyFont="1" applyFill="1" applyBorder="1"/>
    <xf numFmtId="0" fontId="10" fillId="0" borderId="0" xfId="2" applyFont="1" applyFill="1" applyBorder="1"/>
    <xf numFmtId="37" fontId="15" fillId="0" borderId="0" xfId="2" applyNumberFormat="1" applyFont="1" applyFill="1" applyBorder="1"/>
    <xf numFmtId="43" fontId="15" fillId="0" borderId="0" xfId="2" applyNumberFormat="1" applyFont="1" applyFill="1" applyBorder="1"/>
    <xf numFmtId="0" fontId="10" fillId="0" borderId="7" xfId="2" applyFont="1" applyFill="1" applyBorder="1"/>
    <xf numFmtId="0" fontId="10" fillId="0" borderId="9" xfId="2" applyFont="1" applyFill="1" applyBorder="1"/>
    <xf numFmtId="0" fontId="10" fillId="0" borderId="10" xfId="2" applyFont="1" applyFill="1" applyBorder="1"/>
    <xf numFmtId="164" fontId="15" fillId="0" borderId="9" xfId="2" applyNumberFormat="1" applyFont="1" applyFill="1" applyBorder="1"/>
    <xf numFmtId="164" fontId="15" fillId="0" borderId="18" xfId="2" applyNumberFormat="1" applyFont="1" applyFill="1" applyBorder="1"/>
    <xf numFmtId="164" fontId="15" fillId="0" borderId="10" xfId="2" applyNumberFormat="1" applyFont="1" applyFill="1" applyBorder="1"/>
    <xf numFmtId="164" fontId="10" fillId="0" borderId="11" xfId="2" applyNumberFormat="1" applyFont="1" applyFill="1" applyBorder="1"/>
    <xf numFmtId="164" fontId="10" fillId="0" borderId="0" xfId="2" applyNumberFormat="1" applyFont="1" applyFill="1" applyBorder="1"/>
    <xf numFmtId="164" fontId="10" fillId="0" borderId="12" xfId="2" applyNumberFormat="1" applyFont="1" applyFill="1" applyBorder="1"/>
    <xf numFmtId="164" fontId="15" fillId="0" borderId="11" xfId="2" applyNumberFormat="1" applyFont="1" applyFill="1" applyBorder="1"/>
    <xf numFmtId="164" fontId="15" fillId="0" borderId="0" xfId="2" applyNumberFormat="1" applyFont="1" applyFill="1" applyBorder="1"/>
    <xf numFmtId="164" fontId="15" fillId="0" borderId="12" xfId="2" applyNumberFormat="1" applyFont="1" applyFill="1" applyBorder="1"/>
    <xf numFmtId="173" fontId="15" fillId="0" borderId="0" xfId="2" applyNumberFormat="1" applyFont="1" applyFill="1" applyBorder="1"/>
    <xf numFmtId="173" fontId="15" fillId="0" borderId="12" xfId="2" applyNumberFormat="1" applyFont="1" applyFill="1" applyBorder="1"/>
    <xf numFmtId="173" fontId="15" fillId="0" borderId="11" xfId="2" applyNumberFormat="1" applyFont="1" applyFill="1" applyBorder="1"/>
    <xf numFmtId="174" fontId="21" fillId="0" borderId="0" xfId="2" applyNumberFormat="1" applyFont="1" applyFill="1" applyBorder="1"/>
    <xf numFmtId="164" fontId="21" fillId="0" borderId="0" xfId="2" applyNumberFormat="1" applyFont="1" applyFill="1" applyBorder="1"/>
    <xf numFmtId="164" fontId="21" fillId="0" borderId="12" xfId="2" applyNumberFormat="1" applyFont="1" applyFill="1" applyBorder="1"/>
    <xf numFmtId="168" fontId="12" fillId="0" borderId="0" xfId="74" applyNumberFormat="1" applyFont="1" applyFill="1" applyBorder="1"/>
    <xf numFmtId="168" fontId="12" fillId="0" borderId="12" xfId="74" applyNumberFormat="1" applyFont="1" applyFill="1" applyBorder="1"/>
    <xf numFmtId="168" fontId="16" fillId="0" borderId="0" xfId="74" applyNumberFormat="1" applyFont="1" applyFill="1" applyBorder="1"/>
    <xf numFmtId="168" fontId="16" fillId="0" borderId="12" xfId="74" applyNumberFormat="1" applyFont="1" applyFill="1" applyBorder="1"/>
    <xf numFmtId="168" fontId="16" fillId="0" borderId="11" xfId="74" applyNumberFormat="1" applyFont="1" applyFill="1" applyBorder="1"/>
    <xf numFmtId="0" fontId="10" fillId="0" borderId="11" xfId="2" applyFont="1" applyFill="1" applyBorder="1" applyAlignment="1">
      <alignment horizontal="left"/>
    </xf>
    <xf numFmtId="0" fontId="10" fillId="0" borderId="12" xfId="2" applyFont="1" applyFill="1" applyBorder="1" applyAlignment="1">
      <alignment horizontal="left"/>
    </xf>
    <xf numFmtId="169" fontId="10" fillId="0" borderId="11" xfId="2" applyNumberFormat="1" applyFont="1" applyFill="1" applyBorder="1"/>
    <xf numFmtId="169" fontId="10" fillId="0" borderId="0" xfId="2" applyNumberFormat="1" applyFont="1" applyFill="1" applyBorder="1"/>
    <xf numFmtId="169" fontId="10" fillId="0" borderId="12" xfId="2" applyNumberFormat="1" applyFont="1" applyFill="1" applyBorder="1"/>
    <xf numFmtId="0" fontId="10" fillId="0" borderId="0" xfId="2" applyFont="1" applyFill="1" applyBorder="1" applyAlignment="1">
      <alignment horizontal="left" wrapText="1" indent="2"/>
    </xf>
    <xf numFmtId="37" fontId="10" fillId="0" borderId="0" xfId="2" applyNumberFormat="1" applyFont="1" applyFill="1" applyAlignment="1">
      <alignment horizontal="center"/>
    </xf>
    <xf numFmtId="0" fontId="22" fillId="0" borderId="0" xfId="2" applyFont="1"/>
    <xf numFmtId="0" fontId="23" fillId="0" borderId="0" xfId="2" applyFont="1"/>
    <xf numFmtId="0" fontId="0" fillId="13" borderId="0" xfId="2" applyFont="1" applyFill="1"/>
    <xf numFmtId="166" fontId="11" fillId="0" borderId="11" xfId="70" applyFont="1" applyFill="1" applyBorder="1"/>
    <xf numFmtId="166" fontId="11" fillId="0" borderId="12" xfId="70" applyFont="1" applyFill="1" applyBorder="1"/>
    <xf numFmtId="0" fontId="15" fillId="0" borderId="0" xfId="2" applyFont="1" applyFill="1" applyBorder="1"/>
    <xf numFmtId="0" fontId="15" fillId="0" borderId="12" xfId="2" applyFont="1" applyFill="1" applyBorder="1"/>
    <xf numFmtId="0" fontId="15" fillId="0" borderId="11" xfId="2" applyFont="1" applyFill="1" applyBorder="1"/>
    <xf numFmtId="0" fontId="15" fillId="0" borderId="18" xfId="2" applyFont="1" applyFill="1" applyBorder="1"/>
    <xf numFmtId="164" fontId="10" fillId="0" borderId="17" xfId="2" applyNumberFormat="1" applyFont="1" applyBorder="1"/>
    <xf numFmtId="0" fontId="10" fillId="0" borderId="13" xfId="2" applyFont="1" applyFill="1" applyBorder="1" applyAlignment="1">
      <alignment horizontal="left" indent="1"/>
    </xf>
    <xf numFmtId="0" fontId="10" fillId="0" borderId="14" xfId="2" applyFont="1" applyFill="1" applyBorder="1" applyAlignment="1">
      <alignment horizontal="left" indent="1"/>
    </xf>
    <xf numFmtId="164" fontId="10" fillId="0" borderId="7" xfId="2" applyNumberFormat="1" applyFont="1" applyFill="1" applyBorder="1"/>
    <xf numFmtId="164" fontId="10" fillId="0" borderId="14" xfId="2" applyNumberFormat="1" applyFont="1" applyFill="1" applyBorder="1"/>
    <xf numFmtId="166" fontId="11" fillId="0" borderId="11" xfId="70" applyNumberFormat="1" applyFont="1" applyFill="1" applyBorder="1" applyAlignment="1"/>
    <xf numFmtId="166" fontId="11" fillId="0" borderId="12" xfId="70" applyNumberFormat="1" applyFont="1" applyFill="1" applyBorder="1" applyAlignment="1"/>
    <xf numFmtId="164" fontId="11" fillId="0" borderId="18" xfId="2" applyNumberFormat="1" applyFont="1" applyFill="1" applyBorder="1"/>
    <xf numFmtId="164" fontId="11" fillId="0" borderId="10" xfId="2" applyNumberFormat="1" applyFont="1" applyFill="1" applyBorder="1"/>
    <xf numFmtId="164" fontId="11" fillId="0" borderId="9" xfId="2" applyNumberFormat="1" applyFont="1" applyFill="1" applyBorder="1"/>
    <xf numFmtId="164" fontId="15" fillId="0" borderId="0" xfId="56" applyNumberFormat="1" applyFont="1" applyFill="1" applyBorder="1"/>
    <xf numFmtId="164" fontId="15" fillId="0" borderId="11" xfId="56" applyNumberFormat="1" applyFont="1" applyFill="1" applyBorder="1"/>
    <xf numFmtId="164" fontId="15" fillId="0" borderId="12" xfId="56" applyNumberFormat="1" applyFont="1" applyFill="1" applyBorder="1"/>
    <xf numFmtId="166" fontId="11" fillId="0" borderId="15" xfId="70" applyFont="1" applyFill="1" applyBorder="1"/>
    <xf numFmtId="166" fontId="11" fillId="0" borderId="16" xfId="70" applyFont="1" applyFill="1" applyBorder="1"/>
    <xf numFmtId="164" fontId="11" fillId="0" borderId="1" xfId="2" applyNumberFormat="1" applyFont="1" applyFill="1" applyBorder="1"/>
    <xf numFmtId="164" fontId="11" fillId="0" borderId="16" xfId="2" applyNumberFormat="1" applyFont="1" applyFill="1" applyBorder="1"/>
    <xf numFmtId="164" fontId="11" fillId="0" borderId="15" xfId="2" applyNumberFormat="1" applyFont="1" applyFill="1" applyBorder="1"/>
    <xf numFmtId="37" fontId="11" fillId="0" borderId="11" xfId="70" applyNumberFormat="1" applyFont="1" applyFill="1" applyBorder="1"/>
    <xf numFmtId="37" fontId="11" fillId="0" borderId="12" xfId="70" applyNumberFormat="1" applyFont="1" applyFill="1" applyBorder="1"/>
    <xf numFmtId="37" fontId="11" fillId="0" borderId="15" xfId="70" applyNumberFormat="1" applyFont="1" applyFill="1" applyBorder="1"/>
    <xf numFmtId="37" fontId="11" fillId="0" borderId="16" xfId="70" applyNumberFormat="1" applyFont="1" applyFill="1" applyBorder="1"/>
    <xf numFmtId="0" fontId="10" fillId="0" borderId="1" xfId="2" applyFont="1" applyFill="1" applyBorder="1"/>
    <xf numFmtId="37" fontId="15" fillId="0" borderId="1" xfId="2" applyNumberFormat="1" applyFont="1" applyFill="1" applyBorder="1"/>
    <xf numFmtId="0" fontId="24" fillId="0" borderId="15" xfId="2" applyFont="1" applyFill="1" applyBorder="1"/>
    <xf numFmtId="0" fontId="24" fillId="0" borderId="16" xfId="2" applyFont="1" applyFill="1" applyBorder="1"/>
    <xf numFmtId="175" fontId="24" fillId="0" borderId="1" xfId="56" applyNumberFormat="1" applyFont="1" applyFill="1" applyBorder="1"/>
    <xf numFmtId="175" fontId="24" fillId="0" borderId="16" xfId="56" applyNumberFormat="1" applyFont="1" applyFill="1" applyBorder="1"/>
    <xf numFmtId="175" fontId="24" fillId="0" borderId="15" xfId="56" applyNumberFormat="1" applyFont="1" applyFill="1" applyBorder="1"/>
    <xf numFmtId="176" fontId="15" fillId="0" borderId="0" xfId="2" applyNumberFormat="1" applyFont="1" applyFill="1" applyBorder="1"/>
    <xf numFmtId="176" fontId="15" fillId="0" borderId="18" xfId="2" applyNumberFormat="1" applyFont="1" applyFill="1" applyBorder="1"/>
    <xf numFmtId="37" fontId="15" fillId="0" borderId="7" xfId="2" applyNumberFormat="1" applyFont="1" applyFill="1" applyBorder="1"/>
    <xf numFmtId="0" fontId="11" fillId="13" borderId="15" xfId="2" applyFont="1" applyFill="1" applyBorder="1" applyAlignment="1">
      <alignment horizontal="left"/>
    </xf>
    <xf numFmtId="0" fontId="11" fillId="13" borderId="16" xfId="2" applyFont="1" applyFill="1" applyBorder="1" applyAlignment="1">
      <alignment horizontal="left"/>
    </xf>
    <xf numFmtId="164" fontId="10" fillId="0" borderId="18" xfId="2" applyNumberFormat="1" applyFont="1" applyFill="1" applyBorder="1"/>
    <xf numFmtId="168" fontId="12" fillId="0" borderId="11" xfId="74" applyNumberFormat="1" applyFont="1" applyFill="1" applyBorder="1"/>
    <xf numFmtId="168" fontId="12" fillId="0" borderId="17" xfId="74" applyNumberFormat="1" applyFont="1" applyBorder="1"/>
    <xf numFmtId="177" fontId="10" fillId="0" borderId="12" xfId="2" applyNumberFormat="1" applyFont="1" applyFill="1" applyBorder="1"/>
    <xf numFmtId="0" fontId="11" fillId="0" borderId="15" xfId="2" applyFont="1" applyFill="1" applyBorder="1" applyAlignment="1">
      <alignment horizontal="left" indent="1"/>
    </xf>
    <xf numFmtId="0" fontId="11" fillId="0" borderId="16" xfId="2" applyFont="1" applyFill="1" applyBorder="1" applyAlignment="1">
      <alignment horizontal="left" indent="1"/>
    </xf>
    <xf numFmtId="178" fontId="11" fillId="0" borderId="1" xfId="2" applyNumberFormat="1" applyFont="1" applyFill="1" applyBorder="1"/>
    <xf numFmtId="178" fontId="11" fillId="0" borderId="16" xfId="2" applyNumberFormat="1" applyFont="1" applyFill="1" applyBorder="1"/>
    <xf numFmtId="178" fontId="11" fillId="0" borderId="15" xfId="2" applyNumberFormat="1" applyFont="1" applyFill="1" applyBorder="1"/>
    <xf numFmtId="164" fontId="15" fillId="0" borderId="14" xfId="2" applyNumberFormat="1" applyFont="1" applyFill="1" applyBorder="1"/>
    <xf numFmtId="37" fontId="11" fillId="0" borderId="0" xfId="70" applyNumberFormat="1" applyFont="1" applyFill="1" applyBorder="1"/>
    <xf numFmtId="164" fontId="10" fillId="0" borderId="1" xfId="2" applyNumberFormat="1" applyFont="1" applyFill="1" applyBorder="1"/>
    <xf numFmtId="175" fontId="10" fillId="0" borderId="18" xfId="56" applyNumberFormat="1" applyFont="1" applyFill="1" applyBorder="1"/>
    <xf numFmtId="175" fontId="10" fillId="0" borderId="16" xfId="56" applyNumberFormat="1" applyFont="1" applyFill="1" applyBorder="1"/>
    <xf numFmtId="175" fontId="10" fillId="0" borderId="9" xfId="56" applyNumberFormat="1" applyFont="1" applyFill="1" applyBorder="1"/>
    <xf numFmtId="175" fontId="10" fillId="0" borderId="10" xfId="56" applyNumberFormat="1" applyFont="1" applyFill="1" applyBorder="1"/>
    <xf numFmtId="0" fontId="10" fillId="0" borderId="17" xfId="2" applyFont="1" applyFill="1" applyBorder="1"/>
    <xf numFmtId="179" fontId="10" fillId="0" borderId="0" xfId="2" applyNumberFormat="1" applyFont="1" applyFill="1" applyBorder="1"/>
    <xf numFmtId="164" fontId="10" fillId="14" borderId="0" xfId="69" applyNumberFormat="1" applyFont="1" applyFill="1" applyBorder="1"/>
    <xf numFmtId="164" fontId="10" fillId="14" borderId="12" xfId="69" applyNumberFormat="1" applyFont="1" applyFill="1" applyBorder="1"/>
    <xf numFmtId="164" fontId="25" fillId="14" borderId="0" xfId="69" applyNumberFormat="1" applyFont="1" applyFill="1" applyBorder="1"/>
    <xf numFmtId="164" fontId="25" fillId="14" borderId="12" xfId="69" applyNumberFormat="1" applyFont="1" applyFill="1" applyBorder="1"/>
    <xf numFmtId="164" fontId="25" fillId="14" borderId="7" xfId="69" applyNumberFormat="1" applyFont="1" applyFill="1" applyBorder="1"/>
    <xf numFmtId="164" fontId="25" fillId="14" borderId="14" xfId="69" applyNumberFormat="1" applyFont="1" applyFill="1" applyBorder="1"/>
    <xf numFmtId="0" fontId="15" fillId="0" borderId="0" xfId="2" applyFont="1" applyAlignment="1">
      <alignment horizontal="center"/>
    </xf>
    <xf numFmtId="164" fontId="10" fillId="0" borderId="0" xfId="2" applyNumberFormat="1" applyFont="1" applyAlignment="1">
      <alignment horizontal="center"/>
    </xf>
    <xf numFmtId="0" fontId="5" fillId="0" borderId="0" xfId="2" applyFont="1" applyFill="1" applyBorder="1" applyAlignment="1">
      <alignment horizontal="left" wrapText="1" indent="2"/>
    </xf>
    <xf numFmtId="0" fontId="5" fillId="0" borderId="0" xfId="2" applyFont="1" applyBorder="1"/>
    <xf numFmtId="0" fontId="12" fillId="0" borderId="14" xfId="2" applyFont="1" applyBorder="1"/>
    <xf numFmtId="0" fontId="11" fillId="0" borderId="9" xfId="2" applyFont="1" applyFill="1" applyBorder="1"/>
    <xf numFmtId="37" fontId="10" fillId="0" borderId="0" xfId="2" applyNumberFormat="1" applyFont="1" applyFill="1" applyBorder="1"/>
    <xf numFmtId="37" fontId="10" fillId="0" borderId="12" xfId="2" applyNumberFormat="1" applyFont="1" applyFill="1" applyBorder="1"/>
    <xf numFmtId="37" fontId="10" fillId="0" borderId="11" xfId="2" applyNumberFormat="1" applyFont="1" applyFill="1" applyBorder="1"/>
    <xf numFmtId="37" fontId="10" fillId="0" borderId="18" xfId="2" applyNumberFormat="1" applyFont="1" applyFill="1" applyBorder="1"/>
    <xf numFmtId="37" fontId="10" fillId="0" borderId="10" xfId="2" applyNumberFormat="1" applyFont="1" applyFill="1" applyBorder="1"/>
    <xf numFmtId="0" fontId="10" fillId="0" borderId="11" xfId="2" applyFont="1" applyFill="1" applyBorder="1" applyAlignment="1">
      <alignment horizontal="left" wrapText="1" indent="1"/>
    </xf>
    <xf numFmtId="0" fontId="10" fillId="0" borderId="12" xfId="2" applyFont="1" applyFill="1" applyBorder="1" applyAlignment="1">
      <alignment horizontal="left" wrapText="1" indent="1"/>
    </xf>
    <xf numFmtId="41" fontId="15" fillId="0" borderId="0" xfId="2" applyNumberFormat="1" applyFont="1" applyFill="1" applyBorder="1"/>
    <xf numFmtId="41" fontId="15" fillId="0" borderId="12" xfId="2" applyNumberFormat="1" applyFont="1" applyFill="1" applyBorder="1"/>
    <xf numFmtId="41" fontId="15" fillId="0" borderId="11" xfId="2" applyNumberFormat="1" applyFont="1" applyFill="1" applyBorder="1"/>
    <xf numFmtId="178" fontId="10" fillId="0" borderId="0" xfId="2" applyNumberFormat="1" applyFont="1" applyFill="1" applyBorder="1"/>
    <xf numFmtId="178" fontId="10" fillId="0" borderId="12" xfId="2" applyNumberFormat="1" applyFont="1" applyFill="1" applyBorder="1"/>
    <xf numFmtId="178" fontId="10" fillId="0" borderId="11" xfId="2" applyNumberFormat="1" applyFont="1" applyFill="1" applyBorder="1"/>
    <xf numFmtId="178" fontId="15" fillId="0" borderId="0" xfId="2" applyNumberFormat="1" applyFont="1" applyFill="1" applyBorder="1"/>
    <xf numFmtId="178" fontId="15" fillId="0" borderId="12" xfId="2" applyNumberFormat="1" applyFont="1" applyFill="1" applyBorder="1"/>
    <xf numFmtId="178" fontId="15" fillId="0" borderId="11" xfId="2" applyNumberFormat="1" applyFont="1" applyFill="1" applyBorder="1"/>
    <xf numFmtId="0" fontId="11" fillId="0" borderId="19" xfId="2" applyFont="1" applyFill="1" applyBorder="1" applyAlignment="1">
      <alignment horizontal="left"/>
    </xf>
    <xf numFmtId="0" fontId="11" fillId="0" borderId="20" xfId="2" applyFont="1" applyFill="1" applyBorder="1" applyAlignment="1">
      <alignment horizontal="left"/>
    </xf>
    <xf numFmtId="178" fontId="11" fillId="0" borderId="21" xfId="2" applyNumberFormat="1" applyFont="1" applyFill="1" applyBorder="1"/>
    <xf numFmtId="178" fontId="11" fillId="0" borderId="19" xfId="2" applyNumberFormat="1" applyFont="1" applyFill="1" applyBorder="1"/>
    <xf numFmtId="178" fontId="11" fillId="0" borderId="20" xfId="2" applyNumberFormat="1" applyFont="1" applyFill="1" applyBorder="1"/>
    <xf numFmtId="0" fontId="11" fillId="0" borderId="11" xfId="2" applyFont="1" applyFill="1" applyBorder="1" applyAlignment="1">
      <alignment horizontal="left"/>
    </xf>
    <xf numFmtId="0" fontId="11" fillId="0" borderId="12" xfId="2" applyFont="1" applyFill="1" applyBorder="1" applyAlignment="1">
      <alignment horizontal="left"/>
    </xf>
    <xf numFmtId="178" fontId="11" fillId="0" borderId="0" xfId="2" applyNumberFormat="1" applyFont="1" applyFill="1" applyBorder="1"/>
    <xf numFmtId="178" fontId="11" fillId="0" borderId="11" xfId="2" applyNumberFormat="1" applyFont="1" applyFill="1" applyBorder="1"/>
    <xf numFmtId="178" fontId="11" fillId="0" borderId="12" xfId="2" applyNumberFormat="1" applyFont="1" applyFill="1" applyBorder="1"/>
    <xf numFmtId="178" fontId="20" fillId="0" borderId="0" xfId="2" applyNumberFormat="1" applyFont="1" applyFill="1" applyBorder="1"/>
    <xf numFmtId="178" fontId="20" fillId="0" borderId="12" xfId="2" applyNumberFormat="1" applyFont="1" applyFill="1" applyBorder="1"/>
    <xf numFmtId="178" fontId="20" fillId="0" borderId="11" xfId="2" applyNumberFormat="1" applyFont="1" applyFill="1" applyBorder="1"/>
    <xf numFmtId="0" fontId="11" fillId="0" borderId="14" xfId="2" applyFont="1" applyFill="1" applyBorder="1" applyAlignment="1">
      <alignment horizontal="left"/>
    </xf>
    <xf numFmtId="178" fontId="11" fillId="0" borderId="7" xfId="2" applyNumberFormat="1" applyFont="1" applyFill="1" applyBorder="1"/>
    <xf numFmtId="178" fontId="11" fillId="0" borderId="13" xfId="2" applyNumberFormat="1" applyFont="1" applyFill="1" applyBorder="1"/>
    <xf numFmtId="178" fontId="11" fillId="0" borderId="14" xfId="2" applyNumberFormat="1" applyFont="1" applyFill="1" applyBorder="1"/>
    <xf numFmtId="0" fontId="11" fillId="0" borderId="0" xfId="2" applyFont="1" applyFill="1" applyBorder="1" applyAlignment="1">
      <alignment horizontal="left"/>
    </xf>
    <xf numFmtId="178" fontId="11" fillId="0" borderId="18" xfId="2" applyNumberFormat="1" applyFont="1" applyFill="1" applyBorder="1"/>
    <xf numFmtId="0" fontId="10" fillId="0" borderId="16" xfId="2" applyFont="1" applyFill="1" applyBorder="1"/>
    <xf numFmtId="175" fontId="10" fillId="0" borderId="1" xfId="56" applyNumberFormat="1" applyFont="1" applyFill="1" applyBorder="1"/>
    <xf numFmtId="0" fontId="12" fillId="0" borderId="0" xfId="2" applyFont="1" applyFill="1" applyBorder="1"/>
    <xf numFmtId="37" fontId="20" fillId="0" borderId="0" xfId="2" applyNumberFormat="1" applyFont="1" applyFill="1" applyBorder="1"/>
    <xf numFmtId="0" fontId="15" fillId="0" borderId="0" xfId="2" applyFont="1"/>
    <xf numFmtId="0" fontId="10" fillId="0" borderId="7" xfId="2" applyFont="1" applyBorder="1"/>
    <xf numFmtId="1" fontId="11" fillId="13" borderId="1" xfId="70" applyNumberFormat="1" applyFont="1" applyFill="1" applyBorder="1" applyAlignment="1">
      <alignment horizontal="right"/>
    </xf>
    <xf numFmtId="1" fontId="11" fillId="13" borderId="16" xfId="70" applyNumberFormat="1" applyFont="1" applyFill="1" applyBorder="1" applyAlignment="1">
      <alignment horizontal="right"/>
    </xf>
    <xf numFmtId="0" fontId="10" fillId="0" borderId="10" xfId="2" applyFont="1" applyBorder="1"/>
    <xf numFmtId="175" fontId="10" fillId="0" borderId="0" xfId="56" applyNumberFormat="1" applyFont="1" applyFill="1"/>
    <xf numFmtId="175" fontId="10" fillId="0" borderId="12" xfId="56" applyNumberFormat="1" applyFont="1" applyFill="1" applyBorder="1"/>
    <xf numFmtId="175" fontId="10" fillId="0" borderId="0" xfId="56" applyNumberFormat="1" applyFont="1" applyBorder="1"/>
    <xf numFmtId="175" fontId="10" fillId="0" borderId="12" xfId="56" applyNumberFormat="1" applyFont="1" applyBorder="1"/>
    <xf numFmtId="0" fontId="10" fillId="0" borderId="12" xfId="2" applyFont="1" applyBorder="1"/>
    <xf numFmtId="175" fontId="15" fillId="0" borderId="0" xfId="56" applyNumberFormat="1" applyFont="1" applyFill="1"/>
    <xf numFmtId="175" fontId="15" fillId="0" borderId="0" xfId="56" applyNumberFormat="1" applyFont="1" applyBorder="1"/>
    <xf numFmtId="175" fontId="15" fillId="0" borderId="12" xfId="56" applyNumberFormat="1" applyFont="1" applyBorder="1"/>
    <xf numFmtId="175" fontId="15" fillId="0" borderId="11" xfId="56" applyNumberFormat="1" applyFont="1" applyFill="1" applyBorder="1"/>
    <xf numFmtId="175" fontId="15" fillId="0" borderId="0" xfId="56" applyNumberFormat="1" applyFont="1" applyFill="1" applyBorder="1"/>
    <xf numFmtId="0" fontId="12" fillId="0" borderId="11" xfId="2" applyFont="1" applyBorder="1" applyAlignment="1">
      <alignment horizontal="left" indent="1"/>
    </xf>
    <xf numFmtId="0" fontId="12" fillId="0" borderId="12" xfId="2" applyFont="1" applyBorder="1" applyAlignment="1">
      <alignment horizontal="left" indent="1"/>
    </xf>
    <xf numFmtId="168" fontId="12" fillId="0" borderId="11" xfId="74" applyNumberFormat="1" applyFont="1" applyBorder="1"/>
    <xf numFmtId="168" fontId="12" fillId="0" borderId="0" xfId="74" applyNumberFormat="1" applyFont="1" applyBorder="1"/>
    <xf numFmtId="168" fontId="12" fillId="0" borderId="7" xfId="74" applyNumberFormat="1" applyFont="1" applyFill="1" applyBorder="1"/>
    <xf numFmtId="175" fontId="10" fillId="0" borderId="14" xfId="56" applyNumberFormat="1" applyFont="1" applyFill="1" applyBorder="1"/>
    <xf numFmtId="175" fontId="10" fillId="0" borderId="7" xfId="56" applyNumberFormat="1" applyFont="1" applyFill="1" applyBorder="1"/>
    <xf numFmtId="175" fontId="10" fillId="0" borderId="13" xfId="56" applyNumberFormat="1" applyFont="1" applyFill="1" applyBorder="1"/>
    <xf numFmtId="175" fontId="10" fillId="0" borderId="0" xfId="56" applyNumberFormat="1" applyFont="1" applyFill="1" applyBorder="1"/>
    <xf numFmtId="0" fontId="11" fillId="0" borderId="13" xfId="2" applyFont="1" applyBorder="1"/>
    <xf numFmtId="0" fontId="11" fillId="0" borderId="14" xfId="2" applyFont="1" applyBorder="1"/>
    <xf numFmtId="175" fontId="11" fillId="0" borderId="1" xfId="56" applyNumberFormat="1" applyFont="1" applyBorder="1"/>
    <xf numFmtId="175" fontId="11" fillId="0" borderId="16" xfId="56" applyNumberFormat="1" applyFont="1" applyBorder="1"/>
    <xf numFmtId="175" fontId="11" fillId="0" borderId="15" xfId="56" applyNumberFormat="1" applyFont="1" applyBorder="1"/>
    <xf numFmtId="168" fontId="12" fillId="0" borderId="0" xfId="74" applyNumberFormat="1" applyFont="1" applyFill="1"/>
    <xf numFmtId="175" fontId="15" fillId="0" borderId="0" xfId="2" applyNumberFormat="1" applyFont="1"/>
    <xf numFmtId="0" fontId="17" fillId="0" borderId="0" xfId="2" applyFont="1"/>
    <xf numFmtId="1" fontId="11" fillId="13" borderId="15" xfId="70" applyNumberFormat="1" applyFont="1" applyFill="1" applyBorder="1" applyAlignment="1">
      <alignment horizontal="right"/>
    </xf>
    <xf numFmtId="0" fontId="11" fillId="0" borderId="11" xfId="2" applyFont="1" applyBorder="1"/>
    <xf numFmtId="0" fontId="12" fillId="0" borderId="13" xfId="2" applyFont="1" applyBorder="1" applyAlignment="1">
      <alignment horizontal="left" indent="1"/>
    </xf>
    <xf numFmtId="0" fontId="12" fillId="0" borderId="14" xfId="2" applyFont="1" applyBorder="1" applyAlignment="1">
      <alignment horizontal="left" indent="1"/>
    </xf>
    <xf numFmtId="168" fontId="12" fillId="0" borderId="7" xfId="74" applyNumberFormat="1" applyFont="1" applyBorder="1"/>
    <xf numFmtId="178" fontId="10" fillId="0" borderId="7" xfId="2" applyNumberFormat="1" applyFont="1" applyBorder="1"/>
    <xf numFmtId="178" fontId="10" fillId="0" borderId="14" xfId="2" applyNumberFormat="1" applyFont="1" applyBorder="1"/>
    <xf numFmtId="178" fontId="10" fillId="0" borderId="13" xfId="2" applyNumberFormat="1" applyFont="1" applyBorder="1"/>
    <xf numFmtId="0" fontId="26" fillId="0" borderId="0" xfId="2" applyFont="1"/>
    <xf numFmtId="0" fontId="11" fillId="0" borderId="7" xfId="2" applyFont="1" applyFill="1" applyBorder="1" applyAlignment="1">
      <alignment horizontal="left"/>
    </xf>
    <xf numFmtId="0" fontId="11" fillId="0" borderId="16" xfId="2" applyFont="1" applyFill="1" applyBorder="1" applyAlignment="1">
      <alignment horizontal="left"/>
    </xf>
    <xf numFmtId="0" fontId="5" fillId="13" borderId="0" xfId="2" applyFont="1" applyFill="1" applyBorder="1"/>
    <xf numFmtId="37" fontId="5" fillId="0" borderId="0" xfId="2" applyNumberFormat="1" applyFont="1" applyFill="1" applyAlignment="1">
      <alignment horizontal="center"/>
    </xf>
    <xf numFmtId="0" fontId="28" fillId="0" borderId="0" xfId="2" applyFont="1"/>
    <xf numFmtId="0" fontId="23" fillId="0" borderId="18" xfId="2" applyFont="1" applyBorder="1"/>
    <xf numFmtId="0" fontId="28" fillId="0" borderId="7" xfId="2" applyFont="1" applyBorder="1"/>
    <xf numFmtId="49" fontId="0" fillId="0" borderId="0" xfId="2" applyNumberFormat="1" applyFont="1"/>
    <xf numFmtId="0" fontId="11" fillId="0" borderId="0" xfId="2" applyFont="1" applyBorder="1"/>
    <xf numFmtId="0" fontId="5" fillId="0" borderId="0" xfId="2" applyFont="1" applyFill="1" applyBorder="1"/>
    <xf numFmtId="166" fontId="38" fillId="0" borderId="7" xfId="70" applyNumberFormat="1" applyFont="1" applyFill="1" applyBorder="1" applyAlignment="1"/>
    <xf numFmtId="0" fontId="12" fillId="0" borderId="0" xfId="2" applyFont="1" applyBorder="1"/>
    <xf numFmtId="0" fontId="11" fillId="0" borderId="7" xfId="2" applyFont="1" applyBorder="1"/>
    <xf numFmtId="0" fontId="0" fillId="0" borderId="11" xfId="2" applyFont="1" applyBorder="1"/>
    <xf numFmtId="168" fontId="12" fillId="0" borderId="0" xfId="74" applyNumberFormat="1" applyFont="1"/>
    <xf numFmtId="168" fontId="12" fillId="0" borderId="12" xfId="74" applyNumberFormat="1" applyFont="1" applyBorder="1"/>
    <xf numFmtId="0" fontId="12" fillId="0" borderId="0" xfId="2" applyFont="1" applyFill="1" applyBorder="1" applyAlignment="1">
      <alignment horizontal="left" indent="1"/>
    </xf>
    <xf numFmtId="168" fontId="16" fillId="0" borderId="11" xfId="74" applyNumberFormat="1" applyFont="1" applyBorder="1"/>
    <xf numFmtId="168" fontId="16" fillId="0" borderId="0" xfId="74" applyNumberFormat="1" applyFont="1" applyBorder="1"/>
    <xf numFmtId="168" fontId="16" fillId="0" borderId="12" xfId="74" applyNumberFormat="1" applyFont="1" applyBorder="1"/>
    <xf numFmtId="0" fontId="11" fillId="0" borderId="17" xfId="2" applyFont="1" applyBorder="1"/>
    <xf numFmtId="164" fontId="11" fillId="0" borderId="7" xfId="2" applyNumberFormat="1" applyFont="1" applyBorder="1"/>
    <xf numFmtId="164" fontId="11" fillId="0" borderId="14" xfId="2" applyNumberFormat="1" applyFont="1" applyBorder="1"/>
    <xf numFmtId="0" fontId="11" fillId="0" borderId="15" xfId="2" applyFont="1" applyBorder="1"/>
    <xf numFmtId="0" fontId="11" fillId="0" borderId="1" xfId="2" applyFont="1" applyBorder="1"/>
    <xf numFmtId="0" fontId="39" fillId="0" borderId="0" xfId="2" applyFont="1" applyBorder="1"/>
    <xf numFmtId="173" fontId="39" fillId="0" borderId="0" xfId="2" applyNumberFormat="1" applyFont="1" applyBorder="1" applyAlignment="1">
      <alignment horizontal="centerContinuous"/>
    </xf>
    <xf numFmtId="0" fontId="5" fillId="0" borderId="0" xfId="2" quotePrefix="1" applyFont="1" applyFill="1" applyBorder="1"/>
    <xf numFmtId="168" fontId="10" fillId="0" borderId="0" xfId="2" applyNumberFormat="1" applyFont="1" applyBorder="1"/>
    <xf numFmtId="168" fontId="10" fillId="0" borderId="12" xfId="2" applyNumberFormat="1" applyFont="1" applyBorder="1"/>
    <xf numFmtId="0" fontId="44" fillId="0" borderId="0" xfId="2" applyFont="1" applyFill="1"/>
    <xf numFmtId="164" fontId="10" fillId="0" borderId="13" xfId="2" applyNumberFormat="1" applyFont="1" applyFill="1" applyBorder="1"/>
    <xf numFmtId="0" fontId="12" fillId="0" borderId="13" xfId="2" applyFont="1" applyBorder="1"/>
    <xf numFmtId="43" fontId="15" fillId="0" borderId="0" xfId="2" applyNumberFormat="1" applyFont="1"/>
    <xf numFmtId="0" fontId="11" fillId="0" borderId="12" xfId="2" applyFont="1" applyBorder="1"/>
    <xf numFmtId="168" fontId="16" fillId="0" borderId="0" xfId="74" applyNumberFormat="1" applyFont="1" applyFill="1"/>
    <xf numFmtId="168" fontId="16" fillId="0" borderId="7" xfId="74" applyNumberFormat="1" applyFont="1" applyBorder="1"/>
    <xf numFmtId="168" fontId="16" fillId="0" borderId="14" xfId="74" applyNumberFormat="1" applyFont="1" applyBorder="1"/>
    <xf numFmtId="0" fontId="10" fillId="0" borderId="0" xfId="2" applyFont="1" applyAlignment="1">
      <alignment horizontal="right"/>
    </xf>
    <xf numFmtId="164" fontId="23" fillId="0" borderId="0" xfId="2" applyNumberFormat="1" applyFont="1" applyFill="1" applyBorder="1"/>
    <xf numFmtId="0" fontId="23" fillId="0" borderId="17" xfId="2" applyFont="1" applyBorder="1"/>
    <xf numFmtId="0" fontId="23" fillId="0" borderId="0" xfId="2" applyFont="1" applyBorder="1"/>
    <xf numFmtId="168" fontId="16" fillId="0" borderId="13" xfId="74" applyNumberFormat="1" applyFont="1" applyBorder="1"/>
    <xf numFmtId="0" fontId="23" fillId="0" borderId="11" xfId="2" applyFont="1" applyBorder="1"/>
    <xf numFmtId="0" fontId="23" fillId="0" borderId="12" xfId="2" applyFont="1" applyBorder="1"/>
    <xf numFmtId="0" fontId="28" fillId="0" borderId="11" xfId="2" applyFont="1" applyBorder="1"/>
    <xf numFmtId="168" fontId="18" fillId="0" borderId="0" xfId="2" applyNumberFormat="1" applyFont="1" applyBorder="1"/>
    <xf numFmtId="168" fontId="18" fillId="0" borderId="12" xfId="2" applyNumberFormat="1" applyFont="1" applyBorder="1"/>
    <xf numFmtId="168" fontId="16" fillId="0" borderId="7" xfId="74" applyNumberFormat="1" applyFont="1" applyFill="1" applyBorder="1"/>
    <xf numFmtId="168" fontId="37" fillId="0" borderId="12" xfId="74" applyNumberFormat="1" applyFont="1" applyFill="1" applyBorder="1"/>
    <xf numFmtId="168" fontId="37" fillId="0" borderId="0" xfId="74" applyNumberFormat="1" applyFont="1" applyFill="1"/>
    <xf numFmtId="168" fontId="37" fillId="0" borderId="11" xfId="74" applyNumberFormat="1" applyFont="1" applyFill="1" applyBorder="1"/>
    <xf numFmtId="43" fontId="10" fillId="0" borderId="0" xfId="2" applyNumberFormat="1" applyFont="1"/>
    <xf numFmtId="169" fontId="5" fillId="0" borderId="0" xfId="2" applyNumberFormat="1" applyFont="1"/>
    <xf numFmtId="0" fontId="23" fillId="0" borderId="11" xfId="2" applyFont="1" applyFill="1" applyBorder="1"/>
    <xf numFmtId="164" fontId="21" fillId="0" borderId="0" xfId="2" applyNumberFormat="1" applyFont="1" applyFill="1" applyBorder="1" applyAlignment="1"/>
    <xf numFmtId="0" fontId="28" fillId="0" borderId="9" xfId="2" applyFont="1" applyFill="1" applyBorder="1"/>
    <xf numFmtId="0" fontId="28" fillId="0" borderId="11" xfId="2" applyFont="1" applyFill="1" applyBorder="1"/>
    <xf numFmtId="0" fontId="18" fillId="0" borderId="11" xfId="2" applyFont="1" applyBorder="1"/>
    <xf numFmtId="0" fontId="0" fillId="0" borderId="0" xfId="2" applyFont="1" applyBorder="1"/>
    <xf numFmtId="0" fontId="0" fillId="0" borderId="12" xfId="2" applyFont="1" applyBorder="1"/>
    <xf numFmtId="0" fontId="0" fillId="0" borderId="7" xfId="2" applyFont="1" applyBorder="1"/>
    <xf numFmtId="0" fontId="0" fillId="0" borderId="14" xfId="2" applyFont="1" applyBorder="1"/>
    <xf numFmtId="166" fontId="45" fillId="15" borderId="22" xfId="70" applyNumberFormat="1" applyFont="1" applyFill="1" applyBorder="1" applyAlignment="1"/>
    <xf numFmtId="0" fontId="48" fillId="0" borderId="0" xfId="2" applyFont="1"/>
    <xf numFmtId="169" fontId="50" fillId="0" borderId="11" xfId="2" applyNumberFormat="1" applyFont="1" applyFill="1" applyBorder="1"/>
    <xf numFmtId="164" fontId="50" fillId="0" borderId="0" xfId="2" applyNumberFormat="1" applyFont="1" applyFill="1" applyBorder="1"/>
    <xf numFmtId="164" fontId="50" fillId="0" borderId="11" xfId="2" applyNumberFormat="1" applyFont="1" applyFill="1" applyBorder="1"/>
    <xf numFmtId="2" fontId="15" fillId="0" borderId="0" xfId="2" applyNumberFormat="1" applyFont="1" applyFill="1" applyBorder="1"/>
    <xf numFmtId="172" fontId="15" fillId="0" borderId="0" xfId="2" applyNumberFormat="1" applyFont="1" applyFill="1" applyBorder="1"/>
    <xf numFmtId="173" fontId="11" fillId="0" borderId="0" xfId="2" applyNumberFormat="1" applyFont="1" applyBorder="1" applyAlignment="1">
      <alignment horizontal="centerContinuous"/>
    </xf>
    <xf numFmtId="164" fontId="15" fillId="0" borderId="7" xfId="2" applyNumberFormat="1" applyFont="1" applyFill="1" applyBorder="1"/>
    <xf numFmtId="164" fontId="50" fillId="0" borderId="13" xfId="2" applyNumberFormat="1" applyFont="1" applyFill="1" applyBorder="1"/>
    <xf numFmtId="175" fontId="15" fillId="0" borderId="14" xfId="56" applyNumberFormat="1" applyFont="1" applyBorder="1"/>
    <xf numFmtId="175" fontId="15" fillId="0" borderId="10" xfId="56" applyNumberFormat="1" applyFont="1" applyBorder="1"/>
    <xf numFmtId="168" fontId="12" fillId="0" borderId="13" xfId="74" applyNumberFormat="1" applyFont="1" applyFill="1" applyBorder="1"/>
    <xf numFmtId="175" fontId="10" fillId="0" borderId="9" xfId="56" applyNumberFormat="1" applyFont="1" applyBorder="1"/>
    <xf numFmtId="175" fontId="10" fillId="0" borderId="18" xfId="56" applyNumberFormat="1" applyFont="1" applyBorder="1"/>
    <xf numFmtId="175" fontId="15" fillId="0" borderId="11" xfId="56" applyNumberFormat="1" applyFont="1" applyBorder="1"/>
    <xf numFmtId="0" fontId="0" fillId="0" borderId="0" xfId="2" applyFont="1" applyFill="1"/>
    <xf numFmtId="168" fontId="18" fillId="0" borderId="11" xfId="2" applyNumberFormat="1" applyFont="1" applyBorder="1"/>
    <xf numFmtId="0" fontId="11" fillId="0" borderId="13" xfId="2" applyFont="1" applyFill="1" applyBorder="1" applyAlignment="1">
      <alignment horizontal="left"/>
    </xf>
    <xf numFmtId="177" fontId="23" fillId="0" borderId="0" xfId="2" applyNumberFormat="1" applyFont="1" applyBorder="1"/>
    <xf numFmtId="177" fontId="23" fillId="0" borderId="12" xfId="2" applyNumberFormat="1" applyFont="1" applyBorder="1"/>
    <xf numFmtId="177" fontId="10" fillId="0" borderId="0" xfId="2" applyNumberFormat="1" applyFont="1" applyBorder="1"/>
    <xf numFmtId="177" fontId="11" fillId="0" borderId="0" xfId="2" applyNumberFormat="1" applyFont="1" applyBorder="1"/>
    <xf numFmtId="177" fontId="47" fillId="0" borderId="0" xfId="2" applyNumberFormat="1" applyFont="1" applyBorder="1"/>
    <xf numFmtId="177" fontId="47" fillId="0" borderId="12" xfId="2" applyNumberFormat="1" applyFont="1" applyBorder="1"/>
    <xf numFmtId="177" fontId="47" fillId="0" borderId="11" xfId="2" applyNumberFormat="1" applyFont="1" applyBorder="1"/>
    <xf numFmtId="177" fontId="11" fillId="0" borderId="12" xfId="2" applyNumberFormat="1" applyFont="1" applyBorder="1"/>
    <xf numFmtId="177" fontId="11" fillId="0" borderId="11" xfId="2" applyNumberFormat="1" applyFont="1" applyBorder="1"/>
    <xf numFmtId="177" fontId="23" fillId="0" borderId="11" xfId="2" applyNumberFormat="1" applyFont="1" applyBorder="1"/>
    <xf numFmtId="168" fontId="18" fillId="0" borderId="12" xfId="74" applyNumberFormat="1" applyFont="1" applyFill="1" applyBorder="1"/>
    <xf numFmtId="168" fontId="18" fillId="0" borderId="0" xfId="2" applyNumberFormat="1" applyFont="1" applyFill="1" applyBorder="1"/>
    <xf numFmtId="168" fontId="18" fillId="0" borderId="12" xfId="74" applyNumberFormat="1" applyFont="1" applyBorder="1"/>
    <xf numFmtId="168" fontId="18" fillId="0" borderId="0" xfId="74" applyNumberFormat="1" applyFont="1" applyBorder="1"/>
    <xf numFmtId="177" fontId="20" fillId="0" borderId="0" xfId="2" applyNumberFormat="1" applyFont="1" applyFill="1" applyBorder="1"/>
    <xf numFmtId="177" fontId="20" fillId="0" borderId="12" xfId="2" applyNumberFormat="1" applyFont="1" applyFill="1" applyBorder="1"/>
    <xf numFmtId="177" fontId="11" fillId="0" borderId="0" xfId="2" applyNumberFormat="1" applyFont="1" applyFill="1" applyBorder="1"/>
    <xf numFmtId="177" fontId="11" fillId="0" borderId="12" xfId="2" applyNumberFormat="1" applyFont="1" applyFill="1" applyBorder="1"/>
    <xf numFmtId="177" fontId="29" fillId="0" borderId="0" xfId="2" applyNumberFormat="1" applyFont="1" applyFill="1" applyBorder="1"/>
    <xf numFmtId="177" fontId="29" fillId="0" borderId="12" xfId="2" applyNumberFormat="1" applyFont="1" applyFill="1" applyBorder="1"/>
    <xf numFmtId="0" fontId="0" fillId="0" borderId="10" xfId="2" applyFont="1" applyBorder="1"/>
    <xf numFmtId="0" fontId="0" fillId="0" borderId="17" xfId="2" applyFont="1" applyBorder="1"/>
    <xf numFmtId="0" fontId="23" fillId="0" borderId="15" xfId="2" applyFont="1" applyFill="1" applyBorder="1" applyAlignment="1"/>
    <xf numFmtId="0" fontId="22" fillId="0" borderId="16" xfId="2" applyFont="1" applyBorder="1"/>
    <xf numFmtId="0" fontId="22" fillId="0" borderId="17" xfId="2" applyFont="1" applyBorder="1"/>
    <xf numFmtId="0" fontId="12" fillId="0" borderId="9" xfId="2" applyFont="1" applyFill="1" applyBorder="1"/>
    <xf numFmtId="168" fontId="18" fillId="0" borderId="9" xfId="74" applyNumberFormat="1" applyFont="1" applyBorder="1" applyAlignment="1">
      <alignment horizontal="right"/>
    </xf>
    <xf numFmtId="168" fontId="18" fillId="0" borderId="18" xfId="74" applyNumberFormat="1" applyFont="1" applyBorder="1" applyAlignment="1">
      <alignment horizontal="right"/>
    </xf>
    <xf numFmtId="168" fontId="18" fillId="0" borderId="10" xfId="74" applyNumberFormat="1" applyFont="1" applyBorder="1" applyAlignment="1">
      <alignment horizontal="right"/>
    </xf>
    <xf numFmtId="0" fontId="12" fillId="0" borderId="11" xfId="2" applyFont="1" applyFill="1" applyBorder="1"/>
    <xf numFmtId="168" fontId="18" fillId="0" borderId="11" xfId="74" applyNumberFormat="1" applyFont="1" applyBorder="1" applyAlignment="1">
      <alignment horizontal="right"/>
    </xf>
    <xf numFmtId="168" fontId="18" fillId="0" borderId="0" xfId="74" applyNumberFormat="1" applyFont="1" applyBorder="1" applyAlignment="1">
      <alignment horizontal="right"/>
    </xf>
    <xf numFmtId="168" fontId="18" fillId="0" borderId="12" xfId="74" applyNumberFormat="1" applyFont="1" applyBorder="1" applyAlignment="1">
      <alignment horizontal="right"/>
    </xf>
    <xf numFmtId="168" fontId="12" fillId="0" borderId="0" xfId="74" applyNumberFormat="1" applyFont="1" applyBorder="1" applyAlignment="1">
      <alignment horizontal="right"/>
    </xf>
    <xf numFmtId="168" fontId="18" fillId="0" borderId="11" xfId="74" applyNumberFormat="1" applyFont="1" applyBorder="1"/>
    <xf numFmtId="0" fontId="51" fillId="0" borderId="15" xfId="2" applyFont="1" applyBorder="1" applyAlignment="1"/>
    <xf numFmtId="168" fontId="51" fillId="0" borderId="15" xfId="74" applyNumberFormat="1" applyFont="1" applyBorder="1" applyAlignment="1">
      <alignment horizontal="right"/>
    </xf>
    <xf numFmtId="168" fontId="51" fillId="0" borderId="1" xfId="74" applyNumberFormat="1" applyFont="1" applyBorder="1" applyAlignment="1">
      <alignment horizontal="right"/>
    </xf>
    <xf numFmtId="168" fontId="51" fillId="0" borderId="16" xfId="74" applyNumberFormat="1" applyFont="1" applyBorder="1" applyAlignment="1">
      <alignment horizontal="right"/>
    </xf>
    <xf numFmtId="168" fontId="51" fillId="0" borderId="1" xfId="74" applyNumberFormat="1" applyFont="1" applyBorder="1"/>
    <xf numFmtId="168" fontId="46" fillId="0" borderId="1" xfId="74" applyNumberFormat="1" applyFont="1" applyBorder="1"/>
    <xf numFmtId="168" fontId="51" fillId="0" borderId="16" xfId="74" applyNumberFormat="1" applyFont="1" applyBorder="1"/>
    <xf numFmtId="173" fontId="11" fillId="0" borderId="0" xfId="2" applyNumberFormat="1" applyFont="1" applyBorder="1" applyAlignment="1">
      <alignment horizontal="center"/>
    </xf>
    <xf numFmtId="0" fontId="11" fillId="0" borderId="0" xfId="2" applyFont="1" applyFill="1" applyBorder="1"/>
    <xf numFmtId="177" fontId="52" fillId="0" borderId="12" xfId="2" applyNumberFormat="1" applyFont="1" applyFill="1" applyBorder="1"/>
    <xf numFmtId="168" fontId="18" fillId="0" borderId="0" xfId="74" applyNumberFormat="1" applyFont="1" applyFill="1" applyBorder="1"/>
    <xf numFmtId="0" fontId="11" fillId="0" borderId="18" xfId="2" applyFont="1" applyBorder="1"/>
    <xf numFmtId="0" fontId="12" fillId="0" borderId="0" xfId="2" applyFont="1" applyBorder="1" applyAlignment="1">
      <alignment horizontal="left" indent="1"/>
    </xf>
    <xf numFmtId="0" fontId="12" fillId="0" borderId="7" xfId="2" applyFont="1" applyBorder="1" applyAlignment="1">
      <alignment horizontal="left" indent="1"/>
    </xf>
    <xf numFmtId="177" fontId="11" fillId="0" borderId="11" xfId="2" applyNumberFormat="1" applyFont="1" applyFill="1" applyBorder="1"/>
    <xf numFmtId="177" fontId="29" fillId="0" borderId="11" xfId="2" applyNumberFormat="1" applyFont="1" applyFill="1" applyBorder="1"/>
    <xf numFmtId="177" fontId="20" fillId="0" borderId="11" xfId="2" applyNumberFormat="1" applyFont="1" applyFill="1" applyBorder="1"/>
    <xf numFmtId="168" fontId="18" fillId="0" borderId="11" xfId="74" applyNumberFormat="1" applyFont="1" applyFill="1" applyBorder="1"/>
    <xf numFmtId="168" fontId="18" fillId="0" borderId="11" xfId="2" applyNumberFormat="1" applyFont="1" applyFill="1" applyBorder="1"/>
    <xf numFmtId="180" fontId="15" fillId="0" borderId="11" xfId="2" applyNumberFormat="1" applyFont="1" applyBorder="1"/>
    <xf numFmtId="180" fontId="15" fillId="0" borderId="13" xfId="2" applyNumberFormat="1" applyFont="1" applyBorder="1"/>
    <xf numFmtId="168" fontId="37" fillId="0" borderId="0" xfId="74" applyNumberFormat="1" applyFont="1" applyFill="1" applyBorder="1"/>
    <xf numFmtId="0" fontId="10" fillId="0" borderId="18" xfId="2" applyFont="1" applyBorder="1"/>
    <xf numFmtId="177" fontId="28" fillId="0" borderId="11" xfId="2" applyNumberFormat="1" applyFont="1" applyBorder="1"/>
    <xf numFmtId="177" fontId="28" fillId="0" borderId="0" xfId="2" applyNumberFormat="1" applyFont="1" applyBorder="1"/>
    <xf numFmtId="177" fontId="28" fillId="0" borderId="12" xfId="2" applyNumberFormat="1" applyFont="1" applyBorder="1"/>
    <xf numFmtId="177" fontId="51" fillId="0" borderId="0" xfId="74" applyNumberFormat="1" applyFont="1" applyBorder="1"/>
    <xf numFmtId="177" fontId="23" fillId="0" borderId="18" xfId="2" applyNumberFormat="1" applyFont="1" applyBorder="1"/>
    <xf numFmtId="168" fontId="16" fillId="0" borderId="13" xfId="74" applyNumberFormat="1" applyFont="1" applyFill="1" applyBorder="1"/>
    <xf numFmtId="177" fontId="36" fillId="0" borderId="12" xfId="2" applyNumberFormat="1" applyFont="1" applyBorder="1"/>
    <xf numFmtId="177" fontId="36" fillId="0" borderId="0" xfId="2" applyNumberFormat="1" applyFont="1" applyBorder="1"/>
    <xf numFmtId="177" fontId="36" fillId="0" borderId="11" xfId="2" applyNumberFormat="1" applyFont="1" applyBorder="1"/>
    <xf numFmtId="0" fontId="28" fillId="0" borderId="0" xfId="2" applyFont="1" applyBorder="1"/>
    <xf numFmtId="177" fontId="29" fillId="0" borderId="9" xfId="2" applyNumberFormat="1" applyFont="1" applyFill="1" applyBorder="1"/>
    <xf numFmtId="177" fontId="29" fillId="0" borderId="18" xfId="2" applyNumberFormat="1" applyFont="1" applyFill="1" applyBorder="1"/>
    <xf numFmtId="177" fontId="52" fillId="0" borderId="10" xfId="2" applyNumberFormat="1" applyFont="1" applyFill="1" applyBorder="1"/>
    <xf numFmtId="0" fontId="28" fillId="0" borderId="12" xfId="2" applyFont="1" applyBorder="1"/>
    <xf numFmtId="165" fontId="13" fillId="13" borderId="15" xfId="71" applyNumberFormat="1" applyFont="1" applyFill="1" applyBorder="1" applyAlignment="1">
      <alignment horizontal="right"/>
    </xf>
    <xf numFmtId="165" fontId="13" fillId="13" borderId="1" xfId="71" applyNumberFormat="1" applyFont="1" applyFill="1" applyBorder="1" applyAlignment="1">
      <alignment horizontal="right"/>
    </xf>
    <xf numFmtId="1" fontId="13" fillId="13" borderId="15" xfId="71" applyNumberFormat="1" applyFont="1" applyFill="1" applyBorder="1" applyAlignment="1">
      <alignment horizontal="right"/>
    </xf>
    <xf numFmtId="1" fontId="13" fillId="13" borderId="1" xfId="71" applyNumberFormat="1" applyFont="1" applyFill="1" applyBorder="1" applyAlignment="1">
      <alignment horizontal="right"/>
    </xf>
    <xf numFmtId="177" fontId="47" fillId="0" borderId="12" xfId="2" applyNumberFormat="1" applyFont="1" applyFill="1" applyBorder="1"/>
    <xf numFmtId="0" fontId="18" fillId="0" borderId="0" xfId="2" applyFont="1"/>
    <xf numFmtId="0" fontId="18" fillId="0" borderId="17" xfId="2" applyFont="1" applyBorder="1"/>
    <xf numFmtId="0" fontId="18" fillId="0" borderId="12" xfId="2" applyFont="1" applyFill="1" applyBorder="1"/>
    <xf numFmtId="165" fontId="13" fillId="13" borderId="16" xfId="71" applyNumberFormat="1" applyFont="1" applyFill="1" applyBorder="1" applyAlignment="1">
      <alignment horizontal="right"/>
    </xf>
    <xf numFmtId="1" fontId="13" fillId="13" borderId="16" xfId="71" applyNumberFormat="1" applyFont="1" applyFill="1" applyBorder="1" applyAlignment="1">
      <alignment horizontal="right"/>
    </xf>
    <xf numFmtId="175" fontId="11" fillId="0" borderId="0" xfId="56" applyNumberFormat="1" applyFont="1" applyBorder="1"/>
    <xf numFmtId="0" fontId="42" fillId="0" borderId="0" xfId="2" applyFont="1" applyBorder="1"/>
    <xf numFmtId="0" fontId="42" fillId="0" borderId="0" xfId="2" applyFont="1"/>
    <xf numFmtId="0" fontId="42" fillId="0" borderId="11" xfId="2" applyFont="1" applyBorder="1"/>
    <xf numFmtId="0" fontId="42" fillId="0" borderId="12" xfId="2" applyFont="1" applyBorder="1"/>
    <xf numFmtId="0" fontId="42" fillId="0" borderId="12" xfId="2" applyFont="1" applyFill="1" applyBorder="1"/>
    <xf numFmtId="0" fontId="42" fillId="0" borderId="17" xfId="2" applyFont="1" applyBorder="1"/>
    <xf numFmtId="0" fontId="23" fillId="0" borderId="12" xfId="2" applyFont="1" applyFill="1" applyBorder="1"/>
    <xf numFmtId="175" fontId="10" fillId="0" borderId="0" xfId="2" applyNumberFormat="1" applyFont="1"/>
    <xf numFmtId="181" fontId="10" fillId="0" borderId="0" xfId="2" applyNumberFormat="1" applyFont="1"/>
    <xf numFmtId="181" fontId="5" fillId="0" borderId="0" xfId="56" applyNumberFormat="1" applyFont="1"/>
    <xf numFmtId="168" fontId="18" fillId="0" borderId="0" xfId="74" applyNumberFormat="1" applyFont="1" applyFill="1" applyBorder="1" applyAlignment="1">
      <alignment horizontal="right"/>
    </xf>
    <xf numFmtId="168" fontId="18" fillId="0" borderId="12" xfId="74" applyNumberFormat="1" applyFont="1" applyFill="1" applyBorder="1" applyAlignment="1">
      <alignment horizontal="right"/>
    </xf>
    <xf numFmtId="168" fontId="19" fillId="0" borderId="0" xfId="74" applyNumberFormat="1" applyFont="1" applyFill="1" applyBorder="1" applyAlignment="1">
      <alignment horizontal="right"/>
    </xf>
    <xf numFmtId="168" fontId="19" fillId="0" borderId="12" xfId="74" applyNumberFormat="1" applyFont="1" applyFill="1" applyBorder="1" applyAlignment="1">
      <alignment horizontal="right"/>
    </xf>
    <xf numFmtId="177" fontId="47" fillId="0" borderId="11" xfId="2" applyNumberFormat="1" applyFont="1" applyFill="1" applyBorder="1"/>
    <xf numFmtId="177" fontId="47" fillId="0" borderId="0" xfId="2" applyNumberFormat="1" applyFont="1" applyFill="1" applyBorder="1"/>
    <xf numFmtId="177" fontId="56" fillId="0" borderId="12" xfId="2" applyNumberFormat="1" applyFont="1" applyFill="1" applyBorder="1"/>
    <xf numFmtId="168" fontId="18" fillId="0" borderId="11" xfId="74" applyNumberFormat="1" applyFont="1" applyFill="1" applyBorder="1" applyAlignment="1">
      <alignment horizontal="right"/>
    </xf>
    <xf numFmtId="186" fontId="10" fillId="0" borderId="0" xfId="2" applyNumberFormat="1" applyFont="1"/>
    <xf numFmtId="186" fontId="10" fillId="0" borderId="12" xfId="2" applyNumberFormat="1" applyFont="1" applyFill="1" applyBorder="1"/>
    <xf numFmtId="187" fontId="18" fillId="0" borderId="0" xfId="2" applyNumberFormat="1" applyFont="1"/>
    <xf numFmtId="187" fontId="18" fillId="0" borderId="12" xfId="2" applyNumberFormat="1" applyFont="1" applyFill="1" applyBorder="1" applyAlignment="1">
      <alignment horizontal="left" indent="1"/>
    </xf>
    <xf numFmtId="187" fontId="18" fillId="0" borderId="0" xfId="2" applyNumberFormat="1" applyFont="1" applyFill="1" applyBorder="1" applyAlignment="1"/>
    <xf numFmtId="187" fontId="18" fillId="0" borderId="11" xfId="2" applyNumberFormat="1" applyFont="1" applyFill="1" applyBorder="1" applyAlignment="1"/>
    <xf numFmtId="187" fontId="10" fillId="0" borderId="0" xfId="2" applyNumberFormat="1" applyFont="1"/>
    <xf numFmtId="187" fontId="10" fillId="0" borderId="12" xfId="2" applyNumberFormat="1" applyFont="1" applyFill="1" applyBorder="1"/>
    <xf numFmtId="187" fontId="15" fillId="0" borderId="0" xfId="2" applyNumberFormat="1" applyFont="1" applyFill="1" applyBorder="1" applyAlignment="1"/>
    <xf numFmtId="187" fontId="15" fillId="0" borderId="12" xfId="2" applyNumberFormat="1" applyFont="1" applyFill="1" applyBorder="1" applyAlignment="1"/>
    <xf numFmtId="187" fontId="10" fillId="0" borderId="17" xfId="2" applyNumberFormat="1" applyFont="1" applyBorder="1"/>
    <xf numFmtId="187" fontId="11" fillId="0" borderId="12" xfId="2" applyNumberFormat="1" applyFont="1" applyFill="1" applyBorder="1"/>
    <xf numFmtId="188" fontId="10" fillId="0" borderId="0" xfId="2" applyNumberFormat="1" applyFont="1"/>
    <xf numFmtId="188" fontId="10" fillId="0" borderId="17" xfId="2" applyNumberFormat="1" applyFont="1" applyBorder="1"/>
    <xf numFmtId="188" fontId="10" fillId="0" borderId="12" xfId="2" applyNumberFormat="1" applyFont="1" applyFill="1" applyBorder="1"/>
    <xf numFmtId="188" fontId="15" fillId="0" borderId="12" xfId="2" applyNumberFormat="1" applyFont="1" applyFill="1" applyBorder="1" applyAlignment="1"/>
    <xf numFmtId="188" fontId="10" fillId="0" borderId="0" xfId="2" applyNumberFormat="1" applyFont="1" applyFill="1" applyBorder="1" applyAlignment="1"/>
    <xf numFmtId="188" fontId="10" fillId="0" borderId="11" xfId="2" applyNumberFormat="1" applyFont="1" applyFill="1" applyBorder="1" applyAlignment="1"/>
    <xf numFmtId="188" fontId="15" fillId="0" borderId="0" xfId="2" applyNumberFormat="1" applyFont="1" applyFill="1" applyBorder="1"/>
    <xf numFmtId="188" fontId="15" fillId="0" borderId="12" xfId="2" applyNumberFormat="1" applyFont="1" applyFill="1" applyBorder="1"/>
    <xf numFmtId="165" fontId="13" fillId="13" borderId="0" xfId="71" applyNumberFormat="1" applyFont="1" applyFill="1" applyBorder="1" applyAlignment="1">
      <alignment horizontal="right"/>
    </xf>
    <xf numFmtId="165" fontId="13" fillId="13" borderId="11" xfId="71" applyNumberFormat="1" applyFont="1" applyFill="1" applyBorder="1" applyAlignment="1">
      <alignment horizontal="right"/>
    </xf>
    <xf numFmtId="165" fontId="13" fillId="13" borderId="12" xfId="71" applyNumberFormat="1" applyFont="1" applyFill="1" applyBorder="1" applyAlignment="1">
      <alignment horizontal="right"/>
    </xf>
    <xf numFmtId="1" fontId="13" fillId="13" borderId="18" xfId="70" applyNumberFormat="1" applyFont="1" applyFill="1" applyBorder="1" applyAlignment="1">
      <alignment horizontal="right"/>
    </xf>
    <xf numFmtId="39" fontId="15" fillId="0" borderId="0" xfId="2" applyNumberFormat="1" applyFont="1" applyFill="1" applyBorder="1"/>
    <xf numFmtId="164" fontId="10" fillId="14" borderId="11" xfId="69" applyNumberFormat="1" applyFont="1" applyFill="1" applyBorder="1"/>
    <xf numFmtId="178" fontId="23" fillId="0" borderId="0" xfId="2" applyNumberFormat="1" applyFont="1" applyFill="1" applyBorder="1"/>
    <xf numFmtId="0" fontId="10" fillId="0" borderId="11" xfId="2" applyNumberFormat="1" applyFont="1" applyFill="1" applyBorder="1"/>
    <xf numFmtId="0" fontId="5" fillId="0" borderId="0" xfId="2" applyNumberFormat="1" applyFont="1"/>
    <xf numFmtId="0" fontId="11" fillId="0" borderId="9" xfId="2" applyNumberFormat="1" applyFont="1" applyBorder="1"/>
    <xf numFmtId="0" fontId="12" fillId="0" borderId="11" xfId="2" applyNumberFormat="1" applyFont="1" applyBorder="1"/>
    <xf numFmtId="0" fontId="10" fillId="0" borderId="13" xfId="2" applyNumberFormat="1" applyFont="1" applyBorder="1"/>
    <xf numFmtId="0" fontId="18" fillId="0" borderId="11" xfId="2" applyNumberFormat="1" applyFont="1" applyFill="1" applyBorder="1" applyAlignment="1">
      <alignment horizontal="left" indent="1"/>
    </xf>
    <xf numFmtId="0" fontId="12" fillId="0" borderId="11" xfId="2" applyNumberFormat="1" applyFont="1" applyFill="1" applyBorder="1" applyAlignment="1">
      <alignment horizontal="left" indent="1"/>
    </xf>
    <xf numFmtId="0" fontId="10" fillId="0" borderId="11" xfId="2" applyNumberFormat="1" applyFont="1" applyFill="1" applyBorder="1" applyAlignment="1">
      <alignment horizontal="left" indent="1"/>
    </xf>
    <xf numFmtId="0" fontId="11" fillId="0" borderId="11" xfId="2" applyNumberFormat="1" applyFont="1" applyFill="1" applyBorder="1"/>
    <xf numFmtId="0" fontId="10" fillId="0" borderId="11" xfId="2" applyNumberFormat="1" applyFont="1" applyFill="1" applyBorder="1" applyAlignment="1">
      <alignment horizontal="left" indent="2"/>
    </xf>
    <xf numFmtId="0" fontId="28" fillId="0" borderId="11" xfId="2" applyNumberFormat="1" applyFont="1" applyFill="1" applyBorder="1"/>
    <xf numFmtId="0" fontId="18" fillId="0" borderId="11" xfId="2" applyNumberFormat="1" applyFont="1" applyFill="1" applyBorder="1"/>
    <xf numFmtId="0" fontId="10" fillId="0" borderId="13" xfId="2" applyNumberFormat="1" applyFont="1" applyFill="1" applyBorder="1"/>
    <xf numFmtId="0" fontId="10" fillId="0" borderId="0" xfId="2" applyNumberFormat="1" applyFont="1" applyFill="1" applyBorder="1"/>
    <xf numFmtId="0" fontId="10" fillId="0" borderId="11" xfId="2" applyNumberFormat="1" applyFont="1" applyFill="1" applyBorder="1" applyAlignment="1">
      <alignment horizontal="left"/>
    </xf>
    <xf numFmtId="0" fontId="10" fillId="0" borderId="0" xfId="2" applyNumberFormat="1" applyFont="1"/>
    <xf numFmtId="0" fontId="10" fillId="0" borderId="0" xfId="2" applyNumberFormat="1" applyFont="1" applyFill="1" applyBorder="1" applyAlignment="1">
      <alignment horizontal="left" wrapText="1" indent="2"/>
    </xf>
    <xf numFmtId="0" fontId="0" fillId="0" borderId="0" xfId="2" applyNumberFormat="1" applyFont="1"/>
    <xf numFmtId="0" fontId="42" fillId="0" borderId="11" xfId="2" applyNumberFormat="1" applyFont="1" applyFill="1" applyBorder="1"/>
    <xf numFmtId="164" fontId="42" fillId="0" borderId="0" xfId="2" applyNumberFormat="1" applyFont="1" applyFill="1" applyBorder="1" applyAlignment="1"/>
    <xf numFmtId="164" fontId="42" fillId="0" borderId="12" xfId="2" applyNumberFormat="1" applyFont="1" applyFill="1" applyBorder="1" applyAlignment="1"/>
    <xf numFmtId="164" fontId="42" fillId="0" borderId="11" xfId="2" applyNumberFormat="1" applyFont="1" applyFill="1" applyBorder="1" applyAlignment="1"/>
    <xf numFmtId="187" fontId="42" fillId="0" borderId="0" xfId="2" applyNumberFormat="1" applyFont="1"/>
    <xf numFmtId="187" fontId="42" fillId="0" borderId="12" xfId="2" applyNumberFormat="1" applyFont="1" applyFill="1" applyBorder="1"/>
    <xf numFmtId="0" fontId="23" fillId="0" borderId="13" xfId="2" applyNumberFormat="1" applyFont="1" applyFill="1" applyBorder="1"/>
    <xf numFmtId="0" fontId="23" fillId="0" borderId="14" xfId="2" applyFont="1" applyFill="1" applyBorder="1"/>
    <xf numFmtId="172" fontId="23" fillId="0" borderId="7" xfId="2" applyNumberFormat="1" applyFont="1" applyFill="1" applyBorder="1"/>
    <xf numFmtId="172" fontId="23" fillId="0" borderId="14" xfId="2" applyNumberFormat="1" applyFont="1" applyFill="1" applyBorder="1"/>
    <xf numFmtId="172" fontId="23" fillId="0" borderId="13" xfId="2" applyNumberFormat="1" applyFont="1" applyFill="1" applyBorder="1"/>
    <xf numFmtId="0" fontId="23" fillId="0" borderId="7" xfId="2" applyFont="1" applyBorder="1"/>
    <xf numFmtId="0" fontId="18" fillId="0" borderId="12" xfId="2" applyFont="1" applyBorder="1"/>
    <xf numFmtId="181" fontId="10" fillId="0" borderId="0" xfId="56" applyNumberFormat="1" applyFont="1"/>
    <xf numFmtId="168" fontId="18" fillId="0" borderId="7" xfId="74" applyNumberFormat="1" applyFont="1" applyBorder="1"/>
    <xf numFmtId="181" fontId="10" fillId="0" borderId="11" xfId="56" applyNumberFormat="1" applyFont="1" applyBorder="1"/>
    <xf numFmtId="181" fontId="11" fillId="0" borderId="12" xfId="56" applyNumberFormat="1" applyFont="1" applyFill="1" applyBorder="1"/>
    <xf numFmtId="181" fontId="11" fillId="0" borderId="0" xfId="56" applyNumberFormat="1" applyFont="1" applyFill="1" applyBorder="1" applyAlignment="1"/>
    <xf numFmtId="181" fontId="11" fillId="0" borderId="12" xfId="56" applyNumberFormat="1" applyFont="1" applyFill="1" applyBorder="1" applyAlignment="1"/>
    <xf numFmtId="181" fontId="11" fillId="0" borderId="11" xfId="56" applyNumberFormat="1" applyFont="1" applyFill="1" applyBorder="1" applyAlignment="1"/>
    <xf numFmtId="0" fontId="11" fillId="0" borderId="11" xfId="56" applyNumberFormat="1" applyFont="1" applyFill="1" applyBorder="1"/>
    <xf numFmtId="187" fontId="10" fillId="0" borderId="11" xfId="2" applyNumberFormat="1" applyFont="1" applyFill="1" applyBorder="1"/>
    <xf numFmtId="164" fontId="15" fillId="0" borderId="11" xfId="2" applyNumberFormat="1" applyFont="1" applyFill="1" applyBorder="1" applyAlignment="1"/>
    <xf numFmtId="175" fontId="25" fillId="0" borderId="0" xfId="56" applyNumberFormat="1" applyFont="1" applyFill="1" applyBorder="1"/>
    <xf numFmtId="177" fontId="58" fillId="0" borderId="0" xfId="2" applyNumberFormat="1" applyFont="1" applyFill="1" applyBorder="1"/>
    <xf numFmtId="177" fontId="58" fillId="0" borderId="12" xfId="2" applyNumberFormat="1" applyFont="1" applyFill="1" applyBorder="1"/>
    <xf numFmtId="0" fontId="18" fillId="0" borderId="0" xfId="2" applyFont="1" applyBorder="1"/>
    <xf numFmtId="168" fontId="18" fillId="0" borderId="12" xfId="2" applyNumberFormat="1" applyFont="1" applyBorder="1" applyAlignment="1">
      <alignment horizontal="right"/>
    </xf>
    <xf numFmtId="181" fontId="16" fillId="0" borderId="7" xfId="56" applyNumberFormat="1" applyFont="1" applyFill="1" applyBorder="1"/>
    <xf numFmtId="181" fontId="16" fillId="0" borderId="14" xfId="56" applyNumberFormat="1" applyFont="1" applyFill="1" applyBorder="1"/>
    <xf numFmtId="0" fontId="15" fillId="0" borderId="0" xfId="2" applyNumberFormat="1" applyFont="1" applyFill="1" applyBorder="1"/>
    <xf numFmtId="0" fontId="42" fillId="0" borderId="0" xfId="2" applyFont="1" applyFill="1"/>
    <xf numFmtId="177" fontId="52" fillId="0" borderId="0" xfId="2" applyNumberFormat="1" applyFont="1" applyFill="1" applyBorder="1"/>
    <xf numFmtId="0" fontId="42" fillId="0" borderId="11" xfId="2" applyNumberFormat="1" applyFont="1" applyFill="1" applyBorder="1" applyAlignment="1">
      <alignment horizontal="left"/>
    </xf>
    <xf numFmtId="168" fontId="19" fillId="0" borderId="11" xfId="74" applyNumberFormat="1" applyFont="1" applyFill="1" applyBorder="1" applyAlignment="1">
      <alignment horizontal="right"/>
    </xf>
    <xf numFmtId="189" fontId="10" fillId="14" borderId="0" xfId="69" applyNumberFormat="1" applyFont="1" applyFill="1" applyBorder="1"/>
    <xf numFmtId="189" fontId="10" fillId="14" borderId="12" xfId="69" applyNumberFormat="1" applyFont="1" applyFill="1" applyBorder="1"/>
    <xf numFmtId="189" fontId="10" fillId="14" borderId="11" xfId="69" applyNumberFormat="1" applyFont="1" applyFill="1" applyBorder="1"/>
    <xf numFmtId="44" fontId="10" fillId="14" borderId="0" xfId="62" applyFont="1" applyFill="1" applyBorder="1"/>
    <xf numFmtId="44" fontId="10" fillId="14" borderId="12" xfId="62" applyFont="1" applyFill="1" applyBorder="1"/>
    <xf numFmtId="44" fontId="10" fillId="14" borderId="11" xfId="62" applyFont="1" applyFill="1" applyBorder="1"/>
    <xf numFmtId="0" fontId="10" fillId="0" borderId="11" xfId="2" applyFont="1" applyFill="1" applyBorder="1" applyAlignment="1"/>
    <xf numFmtId="0" fontId="42" fillId="0" borderId="11" xfId="2" applyFont="1" applyFill="1" applyBorder="1" applyAlignment="1"/>
    <xf numFmtId="0" fontId="28" fillId="0" borderId="11" xfId="2" applyFont="1" applyFill="1" applyBorder="1" applyAlignment="1"/>
    <xf numFmtId="0" fontId="28" fillId="0" borderId="12" xfId="2" applyFont="1" applyFill="1" applyBorder="1"/>
    <xf numFmtId="187" fontId="28" fillId="14" borderId="0" xfId="69" applyNumberFormat="1" applyFont="1" applyFill="1" applyBorder="1"/>
    <xf numFmtId="187" fontId="28" fillId="14" borderId="12" xfId="69" applyNumberFormat="1" applyFont="1" applyFill="1" applyBorder="1"/>
    <xf numFmtId="187" fontId="28" fillId="14" borderId="11" xfId="69" applyNumberFormat="1" applyFont="1" applyFill="1" applyBorder="1"/>
    <xf numFmtId="172" fontId="15" fillId="0" borderId="0" xfId="2" applyNumberFormat="1" applyFont="1" applyFill="1" applyBorder="1" applyAlignment="1"/>
    <xf numFmtId="190" fontId="5" fillId="0" borderId="0" xfId="56" applyNumberFormat="1" applyFont="1"/>
    <xf numFmtId="9" fontId="10" fillId="0" borderId="0" xfId="74" applyFont="1" applyFill="1" applyBorder="1"/>
    <xf numFmtId="168" fontId="5" fillId="0" borderId="0" xfId="74" applyNumberFormat="1" applyFont="1"/>
    <xf numFmtId="181" fontId="5" fillId="0" borderId="0" xfId="2" applyNumberFormat="1" applyFont="1"/>
    <xf numFmtId="0" fontId="10" fillId="13" borderId="1" xfId="2" applyFont="1" applyFill="1" applyBorder="1"/>
    <xf numFmtId="44" fontId="10" fillId="0" borderId="0" xfId="62" applyFont="1" applyFill="1"/>
    <xf numFmtId="44" fontId="10" fillId="0" borderId="12" xfId="62" applyFont="1" applyFill="1" applyBorder="1"/>
    <xf numFmtId="44" fontId="15" fillId="0" borderId="0" xfId="62" applyFont="1" applyFill="1" applyBorder="1"/>
    <xf numFmtId="44" fontId="15" fillId="0" borderId="12" xfId="62" applyFont="1" applyFill="1" applyBorder="1"/>
    <xf numFmtId="44" fontId="15" fillId="0" borderId="11" xfId="62" applyFont="1" applyFill="1" applyBorder="1"/>
    <xf numFmtId="44" fontId="10" fillId="0" borderId="17" xfId="62" applyFont="1" applyFill="1" applyBorder="1"/>
    <xf numFmtId="0" fontId="7" fillId="0" borderId="0" xfId="2" applyFont="1" applyFill="1" applyBorder="1" applyAlignment="1">
      <alignment vertical="center"/>
    </xf>
    <xf numFmtId="187" fontId="10" fillId="0" borderId="0" xfId="2" applyNumberFormat="1" applyFont="1" applyBorder="1"/>
    <xf numFmtId="44" fontId="10" fillId="0" borderId="0" xfId="62" applyFont="1" applyFill="1" applyBorder="1"/>
    <xf numFmtId="0" fontId="23" fillId="0" borderId="11" xfId="2" applyFont="1" applyFill="1" applyBorder="1" applyAlignment="1"/>
    <xf numFmtId="164" fontId="59" fillId="0" borderId="0" xfId="2" applyNumberFormat="1" applyFont="1" applyFill="1" applyBorder="1" applyAlignment="1"/>
    <xf numFmtId="187" fontId="21" fillId="0" borderId="0" xfId="2" applyNumberFormat="1" applyFont="1" applyFill="1" applyBorder="1" applyAlignment="1"/>
    <xf numFmtId="0" fontId="42" fillId="0" borderId="12" xfId="2" applyFont="1" applyFill="1" applyBorder="1" applyAlignment="1">
      <alignment horizontal="left" indent="1"/>
    </xf>
    <xf numFmtId="164" fontId="41" fillId="0" borderId="0" xfId="2" applyNumberFormat="1" applyFont="1" applyFill="1" applyBorder="1" applyAlignment="1"/>
    <xf numFmtId="164" fontId="41" fillId="0" borderId="12" xfId="2" applyNumberFormat="1" applyFont="1" applyFill="1" applyBorder="1" applyAlignment="1"/>
    <xf numFmtId="164" fontId="41" fillId="0" borderId="11" xfId="2" applyNumberFormat="1" applyFont="1" applyFill="1" applyBorder="1" applyAlignment="1"/>
    <xf numFmtId="0" fontId="57" fillId="0" borderId="12" xfId="2" applyFont="1" applyFill="1" applyBorder="1" applyAlignment="1">
      <alignment horizontal="left" indent="1"/>
    </xf>
    <xf numFmtId="164" fontId="28" fillId="0" borderId="0" xfId="2" applyNumberFormat="1" applyFont="1"/>
    <xf numFmtId="164" fontId="28" fillId="0" borderId="12" xfId="2" applyNumberFormat="1" applyFont="1" applyFill="1" applyBorder="1"/>
    <xf numFmtId="0" fontId="10" fillId="0" borderId="11" xfId="62" applyNumberFormat="1" applyFont="1" applyFill="1" applyBorder="1"/>
    <xf numFmtId="187" fontId="11" fillId="0" borderId="11" xfId="2" applyNumberFormat="1" applyFont="1" applyFill="1" applyBorder="1"/>
    <xf numFmtId="181" fontId="23" fillId="0" borderId="0" xfId="2" applyNumberFormat="1" applyFont="1"/>
    <xf numFmtId="181" fontId="23" fillId="0" borderId="11" xfId="2" applyNumberFormat="1" applyFont="1" applyFill="1" applyBorder="1"/>
    <xf numFmtId="181" fontId="23" fillId="0" borderId="12" xfId="2" applyNumberFormat="1" applyFont="1" applyFill="1" applyBorder="1"/>
    <xf numFmtId="188" fontId="15" fillId="0" borderId="11" xfId="2" applyNumberFormat="1" applyFont="1" applyFill="1" applyBorder="1"/>
    <xf numFmtId="0" fontId="23" fillId="13" borderId="15" xfId="2" applyNumberFormat="1" applyFont="1" applyFill="1" applyBorder="1"/>
    <xf numFmtId="169" fontId="23" fillId="13" borderId="1" xfId="2" applyNumberFormat="1" applyFont="1" applyFill="1" applyBorder="1" applyAlignment="1">
      <alignment horizontal="right"/>
    </xf>
    <xf numFmtId="169" fontId="23" fillId="13" borderId="16" xfId="2" applyNumberFormat="1" applyFont="1" applyFill="1" applyBorder="1" applyAlignment="1">
      <alignment horizontal="right"/>
    </xf>
    <xf numFmtId="169" fontId="23" fillId="13" borderId="15" xfId="2" applyNumberFormat="1" applyFont="1" applyFill="1" applyBorder="1" applyAlignment="1">
      <alignment horizontal="right"/>
    </xf>
    <xf numFmtId="177" fontId="20" fillId="0" borderId="0" xfId="2" applyNumberFormat="1" applyFont="1" applyBorder="1"/>
    <xf numFmtId="181" fontId="15" fillId="0" borderId="0" xfId="56" applyNumberFormat="1" applyFont="1"/>
    <xf numFmtId="37" fontId="15" fillId="0" borderId="0" xfId="2" applyNumberFormat="1" applyFont="1"/>
    <xf numFmtId="164" fontId="30" fillId="0" borderId="12" xfId="2" applyNumberFormat="1" applyFont="1" applyFill="1" applyBorder="1"/>
    <xf numFmtId="164" fontId="30" fillId="0" borderId="11" xfId="2" applyNumberFormat="1" applyFont="1" applyFill="1" applyBorder="1"/>
    <xf numFmtId="164" fontId="30" fillId="0" borderId="0" xfId="2" applyNumberFormat="1" applyFont="1" applyFill="1" applyBorder="1"/>
    <xf numFmtId="0" fontId="62" fillId="0" borderId="0" xfId="2" applyFont="1" applyFill="1"/>
    <xf numFmtId="37" fontId="63" fillId="0" borderId="11" xfId="70" applyNumberFormat="1" applyFont="1" applyFill="1" applyBorder="1"/>
    <xf numFmtId="37" fontId="63" fillId="0" borderId="12" xfId="70" applyNumberFormat="1" applyFont="1" applyFill="1" applyBorder="1"/>
    <xf numFmtId="164" fontId="63" fillId="0" borderId="11" xfId="2" applyNumberFormat="1" applyFont="1" applyFill="1" applyBorder="1"/>
    <xf numFmtId="164" fontId="63" fillId="0" borderId="0" xfId="2" applyNumberFormat="1" applyFont="1" applyFill="1" applyBorder="1"/>
    <xf numFmtId="164" fontId="63" fillId="0" borderId="12" xfId="2" applyNumberFormat="1" applyFont="1" applyFill="1" applyBorder="1"/>
    <xf numFmtId="164" fontId="62" fillId="0" borderId="17" xfId="2" applyNumberFormat="1" applyFont="1" applyFill="1" applyBorder="1"/>
    <xf numFmtId="164" fontId="10" fillId="0" borderId="17" xfId="2" applyNumberFormat="1" applyFont="1" applyFill="1" applyBorder="1"/>
    <xf numFmtId="164" fontId="29" fillId="0" borderId="11" xfId="2" applyNumberFormat="1" applyFont="1" applyFill="1" applyBorder="1"/>
    <xf numFmtId="164" fontId="29" fillId="0" borderId="0" xfId="2" applyNumberFormat="1" applyFont="1" applyFill="1" applyBorder="1"/>
    <xf numFmtId="164" fontId="61" fillId="0" borderId="11" xfId="2" applyNumberFormat="1" applyFont="1" applyFill="1" applyBorder="1"/>
    <xf numFmtId="164" fontId="29" fillId="0" borderId="12" xfId="2" applyNumberFormat="1" applyFont="1" applyFill="1" applyBorder="1"/>
    <xf numFmtId="164" fontId="15" fillId="0" borderId="13" xfId="2" applyNumberFormat="1" applyFont="1" applyFill="1" applyBorder="1"/>
    <xf numFmtId="164" fontId="30" fillId="0" borderId="18" xfId="2" applyNumberFormat="1" applyFont="1" applyFill="1" applyBorder="1"/>
    <xf numFmtId="0" fontId="10" fillId="0" borderId="11" xfId="2" applyNumberFormat="1" applyFont="1" applyFill="1" applyBorder="1" applyAlignment="1">
      <alignment horizontal="left" wrapText="1" indent="1"/>
    </xf>
    <xf numFmtId="43" fontId="16" fillId="0" borderId="12" xfId="56" applyFont="1" applyFill="1" applyBorder="1" applyAlignment="1"/>
    <xf numFmtId="43" fontId="18" fillId="0" borderId="12" xfId="56" applyFont="1" applyFill="1" applyBorder="1"/>
    <xf numFmtId="43" fontId="18" fillId="0" borderId="0" xfId="56" applyFont="1" applyFill="1" applyBorder="1"/>
    <xf numFmtId="181" fontId="5" fillId="0" borderId="0" xfId="56" applyNumberFormat="1" applyFont="1" applyBorder="1"/>
    <xf numFmtId="175" fontId="11" fillId="0" borderId="0" xfId="56" applyNumberFormat="1" applyFont="1" applyFill="1" applyBorder="1" applyAlignment="1"/>
    <xf numFmtId="190" fontId="5" fillId="0" borderId="0" xfId="56" applyNumberFormat="1" applyFont="1" applyBorder="1"/>
    <xf numFmtId="181" fontId="15" fillId="0" borderId="0" xfId="56" applyNumberFormat="1" applyFont="1" applyFill="1" applyBorder="1" applyAlignment="1"/>
    <xf numFmtId="181" fontId="15" fillId="0" borderId="12" xfId="56" applyNumberFormat="1" applyFont="1" applyFill="1" applyBorder="1" applyAlignment="1"/>
    <xf numFmtId="181" fontId="18" fillId="0" borderId="0" xfId="56" applyNumberFormat="1" applyFont="1" applyFill="1" applyBorder="1" applyAlignment="1"/>
    <xf numFmtId="181" fontId="19" fillId="0" borderId="12" xfId="56" applyNumberFormat="1" applyFont="1" applyFill="1" applyBorder="1" applyAlignment="1"/>
    <xf numFmtId="181" fontId="12" fillId="0" borderId="0" xfId="56" applyNumberFormat="1" applyFont="1" applyFill="1" applyBorder="1" applyAlignment="1"/>
    <xf numFmtId="181" fontId="12" fillId="0" borderId="12" xfId="56" applyNumberFormat="1" applyFont="1" applyFill="1" applyBorder="1" applyAlignment="1"/>
    <xf numFmtId="181" fontId="10" fillId="0" borderId="12" xfId="56" applyNumberFormat="1" applyFont="1" applyFill="1" applyBorder="1" applyAlignment="1"/>
    <xf numFmtId="175" fontId="11" fillId="0" borderId="12" xfId="56" applyNumberFormat="1" applyFont="1" applyFill="1" applyBorder="1" applyAlignment="1"/>
    <xf numFmtId="167" fontId="15" fillId="0" borderId="0" xfId="2" applyNumberFormat="1" applyFont="1" applyFill="1" applyBorder="1" applyAlignment="1"/>
    <xf numFmtId="167" fontId="15" fillId="0" borderId="10" xfId="2" applyNumberFormat="1" applyFont="1" applyFill="1" applyBorder="1" applyAlignment="1"/>
    <xf numFmtId="164" fontId="41" fillId="0" borderId="0" xfId="56" applyNumberFormat="1" applyFont="1" applyFill="1" applyBorder="1" applyAlignment="1"/>
    <xf numFmtId="164" fontId="41" fillId="0" borderId="12" xfId="56" applyNumberFormat="1" applyFont="1" applyFill="1" applyBorder="1" applyAlignment="1"/>
    <xf numFmtId="164" fontId="15" fillId="0" borderId="0" xfId="56" applyNumberFormat="1" applyFont="1" applyFill="1" applyBorder="1" applyAlignment="1"/>
    <xf numFmtId="164" fontId="15" fillId="0" borderId="12" xfId="56" applyNumberFormat="1" applyFont="1" applyFill="1" applyBorder="1" applyAlignment="1"/>
    <xf numFmtId="164" fontId="10" fillId="0" borderId="0" xfId="56" applyNumberFormat="1" applyFont="1" applyFill="1" applyBorder="1" applyAlignment="1"/>
    <xf numFmtId="164" fontId="10" fillId="0" borderId="12" xfId="56" applyNumberFormat="1" applyFont="1" applyFill="1" applyBorder="1" applyAlignment="1"/>
    <xf numFmtId="164" fontId="12" fillId="0" borderId="0" xfId="74" applyNumberFormat="1" applyFont="1" applyFill="1" applyBorder="1" applyAlignment="1"/>
    <xf numFmtId="164" fontId="12" fillId="0" borderId="0" xfId="56" applyNumberFormat="1" applyFont="1" applyFill="1" applyBorder="1" applyAlignment="1"/>
    <xf numFmtId="164" fontId="12" fillId="0" borderId="12" xfId="56" applyNumberFormat="1" applyFont="1" applyFill="1" applyBorder="1" applyAlignment="1"/>
    <xf numFmtId="164" fontId="11" fillId="0" borderId="0" xfId="56" applyNumberFormat="1" applyFont="1" applyFill="1" applyBorder="1" applyAlignment="1"/>
    <xf numFmtId="164" fontId="11" fillId="0" borderId="12" xfId="56" applyNumberFormat="1" applyFont="1" applyFill="1" applyBorder="1" applyAlignment="1"/>
    <xf numFmtId="164" fontId="18" fillId="0" borderId="0" xfId="2" applyNumberFormat="1" applyFont="1" applyFill="1" applyBorder="1" applyAlignment="1"/>
    <xf numFmtId="164" fontId="42" fillId="0" borderId="0" xfId="56" applyNumberFormat="1" applyFont="1" applyFill="1" applyBorder="1" applyAlignment="1"/>
    <xf numFmtId="164" fontId="42" fillId="0" borderId="12" xfId="56" applyNumberFormat="1" applyFont="1" applyFill="1" applyBorder="1" applyAlignment="1"/>
    <xf numFmtId="164" fontId="23" fillId="0" borderId="0" xfId="56" applyNumberFormat="1" applyFont="1" applyFill="1" applyBorder="1" applyAlignment="1"/>
    <xf numFmtId="164" fontId="23" fillId="0" borderId="12" xfId="56" applyNumberFormat="1" applyFont="1" applyFill="1" applyBorder="1" applyAlignment="1"/>
    <xf numFmtId="164" fontId="28" fillId="0" borderId="12" xfId="56" applyNumberFormat="1" applyFont="1" applyFill="1" applyBorder="1" applyAlignment="1"/>
    <xf numFmtId="164" fontId="28" fillId="0" borderId="0" xfId="56" applyNumberFormat="1" applyFont="1" applyFill="1" applyBorder="1" applyAlignment="1"/>
    <xf numFmtId="164" fontId="16" fillId="0" borderId="0" xfId="74" applyNumberFormat="1" applyFont="1" applyFill="1" applyBorder="1" applyAlignment="1"/>
    <xf numFmtId="164" fontId="16" fillId="0" borderId="12" xfId="56" applyNumberFormat="1" applyFont="1" applyFill="1" applyBorder="1" applyAlignment="1"/>
    <xf numFmtId="164" fontId="42" fillId="0" borderId="11" xfId="56" applyNumberFormat="1" applyFont="1" applyFill="1" applyBorder="1" applyAlignment="1"/>
    <xf numFmtId="164" fontId="15" fillId="0" borderId="11" xfId="56" applyNumberFormat="1" applyFont="1" applyFill="1" applyBorder="1" applyAlignment="1"/>
    <xf numFmtId="164" fontId="12" fillId="0" borderId="11" xfId="74" applyNumberFormat="1" applyFont="1" applyFill="1" applyBorder="1" applyAlignment="1"/>
    <xf numFmtId="168" fontId="12" fillId="0" borderId="14" xfId="74" applyNumberFormat="1" applyFont="1" applyFill="1" applyBorder="1"/>
    <xf numFmtId="167" fontId="10" fillId="0" borderId="0" xfId="2" applyNumberFormat="1" applyFont="1" applyFill="1" applyBorder="1" applyAlignment="1"/>
    <xf numFmtId="181" fontId="10" fillId="0" borderId="0" xfId="56" applyNumberFormat="1" applyFont="1" applyFill="1" applyBorder="1" applyAlignment="1"/>
    <xf numFmtId="43" fontId="12" fillId="0" borderId="0" xfId="56" applyFont="1" applyFill="1" applyBorder="1"/>
    <xf numFmtId="175" fontId="15" fillId="0" borderId="9" xfId="56" applyNumberFormat="1" applyFont="1" applyBorder="1"/>
    <xf numFmtId="175" fontId="10" fillId="0" borderId="10" xfId="56" applyNumberFormat="1" applyFont="1" applyBorder="1"/>
    <xf numFmtId="172" fontId="11" fillId="0" borderId="7" xfId="2" applyNumberFormat="1" applyFont="1" applyFill="1" applyBorder="1"/>
    <xf numFmtId="168" fontId="12" fillId="0" borderId="0" xfId="74" applyNumberFormat="1" applyFont="1" applyFill="1" applyBorder="1" applyAlignment="1">
      <alignment horizontal="right"/>
    </xf>
    <xf numFmtId="167" fontId="15" fillId="0" borderId="18" xfId="2" applyNumberFormat="1" applyFont="1" applyFill="1" applyBorder="1" applyAlignment="1"/>
    <xf numFmtId="181" fontId="19" fillId="0" borderId="0" xfId="56" applyNumberFormat="1" applyFont="1" applyFill="1" applyBorder="1" applyAlignment="1"/>
    <xf numFmtId="164" fontId="16" fillId="0" borderId="0" xfId="56" applyNumberFormat="1" applyFont="1" applyFill="1" applyBorder="1" applyAlignment="1"/>
    <xf numFmtId="43" fontId="16" fillId="0" borderId="0" xfId="56" applyFont="1" applyFill="1" applyBorder="1" applyAlignment="1"/>
    <xf numFmtId="167" fontId="15" fillId="0" borderId="11" xfId="2" applyNumberFormat="1" applyFont="1" applyFill="1" applyBorder="1" applyAlignment="1"/>
    <xf numFmtId="164" fontId="10" fillId="0" borderId="11" xfId="56" applyNumberFormat="1" applyFont="1" applyFill="1" applyBorder="1" applyAlignment="1"/>
    <xf numFmtId="164" fontId="11" fillId="0" borderId="11" xfId="56" applyNumberFormat="1" applyFont="1" applyFill="1" applyBorder="1" applyAlignment="1"/>
    <xf numFmtId="175" fontId="11" fillId="0" borderId="11" xfId="56" applyNumberFormat="1" applyFont="1" applyFill="1" applyBorder="1" applyAlignment="1"/>
    <xf numFmtId="172" fontId="15" fillId="0" borderId="11" xfId="2" applyNumberFormat="1" applyFont="1" applyFill="1" applyBorder="1" applyAlignment="1"/>
    <xf numFmtId="164" fontId="41" fillId="0" borderId="11" xfId="56" applyNumberFormat="1" applyFont="1" applyFill="1" applyBorder="1" applyAlignment="1"/>
    <xf numFmtId="170" fontId="15" fillId="0" borderId="11" xfId="2" applyNumberFormat="1" applyFont="1" applyFill="1" applyBorder="1" applyAlignment="1"/>
    <xf numFmtId="164" fontId="23" fillId="0" borderId="11" xfId="56" applyNumberFormat="1" applyFont="1" applyFill="1" applyBorder="1" applyAlignment="1"/>
    <xf numFmtId="164" fontId="12" fillId="0" borderId="11" xfId="56" applyNumberFormat="1" applyFont="1" applyFill="1" applyBorder="1" applyAlignment="1"/>
    <xf numFmtId="168" fontId="12" fillId="0" borderId="11" xfId="74" applyNumberFormat="1" applyFont="1" applyFill="1" applyBorder="1" applyAlignment="1">
      <alignment horizontal="right"/>
    </xf>
    <xf numFmtId="164" fontId="28" fillId="0" borderId="11" xfId="56" applyNumberFormat="1" applyFont="1" applyFill="1" applyBorder="1" applyAlignment="1"/>
    <xf numFmtId="164" fontId="16" fillId="0" borderId="11" xfId="74" applyNumberFormat="1" applyFont="1" applyFill="1" applyBorder="1" applyAlignment="1"/>
    <xf numFmtId="43" fontId="18" fillId="0" borderId="11" xfId="56" applyFont="1" applyFill="1" applyBorder="1"/>
    <xf numFmtId="0" fontId="10" fillId="0" borderId="11" xfId="2" applyFont="1" applyFill="1" applyBorder="1" applyAlignment="1">
      <alignment horizontal="left" wrapText="1" indent="2"/>
    </xf>
    <xf numFmtId="0" fontId="28" fillId="0" borderId="11" xfId="2" applyFont="1" applyFill="1" applyBorder="1" applyAlignment="1">
      <alignment horizontal="left" indent="2"/>
    </xf>
    <xf numFmtId="164" fontId="62" fillId="0" borderId="0" xfId="56" applyNumberFormat="1" applyFont="1" applyFill="1" applyBorder="1" applyAlignment="1"/>
    <xf numFmtId="178" fontId="47" fillId="0" borderId="0" xfId="2" applyNumberFormat="1" applyFont="1" applyFill="1" applyBorder="1"/>
    <xf numFmtId="178" fontId="23" fillId="0" borderId="11" xfId="2" applyNumberFormat="1" applyFont="1" applyFill="1" applyBorder="1"/>
    <xf numFmtId="178" fontId="15" fillId="0" borderId="7" xfId="2" applyNumberFormat="1" applyFont="1" applyFill="1" applyBorder="1"/>
    <xf numFmtId="178" fontId="15" fillId="0" borderId="13" xfId="2" applyNumberFormat="1" applyFont="1" applyFill="1" applyBorder="1"/>
    <xf numFmtId="37" fontId="10" fillId="0" borderId="9" xfId="2" applyNumberFormat="1" applyFont="1" applyFill="1" applyBorder="1"/>
    <xf numFmtId="175" fontId="15" fillId="0" borderId="18" xfId="56" applyNumberFormat="1" applyFont="1" applyBorder="1"/>
    <xf numFmtId="175" fontId="15" fillId="0" borderId="7" xfId="56" applyNumberFormat="1" applyFont="1" applyBorder="1"/>
    <xf numFmtId="175" fontId="15" fillId="0" borderId="13" xfId="56" applyNumberFormat="1" applyFont="1" applyFill="1" applyBorder="1"/>
    <xf numFmtId="175" fontId="10" fillId="0" borderId="15" xfId="56" applyNumberFormat="1" applyFont="1" applyFill="1" applyBorder="1"/>
    <xf numFmtId="164" fontId="10" fillId="0" borderId="9" xfId="2" applyNumberFormat="1" applyFont="1" applyFill="1" applyBorder="1"/>
    <xf numFmtId="164" fontId="47" fillId="0" borderId="11" xfId="2" applyNumberFormat="1" applyFont="1" applyFill="1" applyBorder="1"/>
    <xf numFmtId="164" fontId="47" fillId="0" borderId="0" xfId="2" applyNumberFormat="1" applyFont="1" applyFill="1" applyBorder="1"/>
    <xf numFmtId="164" fontId="47" fillId="0" borderId="12" xfId="2" applyNumberFormat="1" applyFont="1" applyFill="1" applyBorder="1"/>
    <xf numFmtId="164" fontId="23" fillId="0" borderId="11" xfId="2" applyNumberFormat="1" applyFont="1" applyFill="1" applyBorder="1"/>
    <xf numFmtId="164" fontId="42" fillId="14" borderId="11" xfId="69" applyNumberFormat="1" applyFont="1" applyFill="1" applyBorder="1"/>
    <xf numFmtId="164" fontId="42" fillId="14" borderId="0" xfId="69" applyNumberFormat="1" applyFont="1" applyFill="1" applyBorder="1"/>
    <xf numFmtId="164" fontId="42" fillId="14" borderId="12" xfId="69" applyNumberFormat="1" applyFont="1" applyFill="1" applyBorder="1"/>
    <xf numFmtId="164" fontId="23" fillId="14" borderId="11" xfId="69" applyNumberFormat="1" applyFont="1" applyFill="1" applyBorder="1"/>
    <xf numFmtId="164" fontId="23" fillId="14" borderId="0" xfId="69" applyNumberFormat="1" applyFont="1" applyFill="1" applyBorder="1"/>
    <xf numFmtId="164" fontId="23" fillId="14" borderId="12" xfId="69" applyNumberFormat="1" applyFont="1" applyFill="1" applyBorder="1"/>
    <xf numFmtId="164" fontId="65" fillId="0" borderId="11" xfId="2" applyNumberFormat="1" applyFont="1" applyFill="1" applyBorder="1"/>
    <xf numFmtId="164" fontId="65" fillId="0" borderId="0" xfId="2" applyNumberFormat="1" applyFont="1" applyFill="1" applyBorder="1"/>
    <xf numFmtId="166" fontId="38" fillId="0" borderId="0" xfId="70" applyNumberFormat="1" applyFont="1" applyFill="1" applyBorder="1" applyAlignment="1"/>
    <xf numFmtId="0" fontId="11" fillId="13" borderId="1" xfId="2" applyFont="1" applyFill="1" applyBorder="1" applyAlignment="1">
      <alignment horizontal="center"/>
    </xf>
    <xf numFmtId="0" fontId="11" fillId="13" borderId="16" xfId="2" applyFont="1" applyFill="1" applyBorder="1" applyAlignment="1">
      <alignment horizontal="center"/>
    </xf>
    <xf numFmtId="0" fontId="23" fillId="0" borderId="9" xfId="2" applyFont="1" applyBorder="1"/>
    <xf numFmtId="0" fontId="10" fillId="0" borderId="9" xfId="2" applyFont="1" applyBorder="1"/>
    <xf numFmtId="0" fontId="51" fillId="0" borderId="12" xfId="2" applyFont="1" applyBorder="1"/>
    <xf numFmtId="0" fontId="51" fillId="0" borderId="0" xfId="2" applyFont="1" applyBorder="1"/>
    <xf numFmtId="177" fontId="51" fillId="0" borderId="0" xfId="2" applyNumberFormat="1" applyFont="1" applyBorder="1"/>
    <xf numFmtId="177" fontId="51" fillId="0" borderId="12" xfId="2" applyNumberFormat="1" applyFont="1" applyBorder="1"/>
    <xf numFmtId="177" fontId="51" fillId="0" borderId="11" xfId="2" applyNumberFormat="1" applyFont="1" applyBorder="1"/>
    <xf numFmtId="0" fontId="51" fillId="0" borderId="11" xfId="2" applyFont="1" applyBorder="1"/>
    <xf numFmtId="177" fontId="18" fillId="0" borderId="0" xfId="2" applyNumberFormat="1" applyFont="1" applyBorder="1"/>
    <xf numFmtId="177" fontId="18" fillId="0" borderId="12" xfId="2" applyNumberFormat="1" applyFont="1" applyBorder="1"/>
    <xf numFmtId="177" fontId="18" fillId="0" borderId="11" xfId="2" applyNumberFormat="1" applyFont="1" applyBorder="1"/>
    <xf numFmtId="43" fontId="18" fillId="0" borderId="11" xfId="56" applyFont="1" applyBorder="1"/>
    <xf numFmtId="43" fontId="12" fillId="0" borderId="0" xfId="56" applyFont="1" applyFill="1" applyBorder="1" applyAlignment="1">
      <alignment horizontal="left" indent="1"/>
    </xf>
    <xf numFmtId="43" fontId="12" fillId="0" borderId="12" xfId="56" applyFont="1" applyFill="1" applyBorder="1" applyAlignment="1">
      <alignment horizontal="left" indent="1"/>
    </xf>
    <xf numFmtId="43" fontId="47" fillId="0" borderId="0" xfId="56" applyFont="1" applyBorder="1"/>
    <xf numFmtId="43" fontId="47" fillId="0" borderId="12" xfId="56" applyFont="1" applyBorder="1"/>
    <xf numFmtId="43" fontId="20" fillId="0" borderId="0" xfId="56" applyFont="1" applyBorder="1"/>
    <xf numFmtId="43" fontId="36" fillId="0" borderId="0" xfId="56" applyFont="1" applyBorder="1"/>
    <xf numFmtId="43" fontId="36" fillId="0" borderId="12" xfId="56" applyFont="1" applyBorder="1"/>
    <xf numFmtId="43" fontId="11" fillId="0" borderId="11" xfId="56" applyFont="1" applyBorder="1"/>
    <xf numFmtId="43" fontId="11" fillId="0" borderId="0" xfId="56" applyFont="1" applyBorder="1"/>
    <xf numFmtId="43" fontId="23" fillId="0" borderId="0" xfId="56" applyFont="1" applyBorder="1"/>
    <xf numFmtId="43" fontId="10" fillId="0" borderId="0" xfId="56" applyFont="1"/>
    <xf numFmtId="177" fontId="15" fillId="0" borderId="9" xfId="2" applyNumberFormat="1" applyFont="1" applyBorder="1" applyAlignment="1"/>
    <xf numFmtId="177" fontId="15" fillId="0" borderId="18" xfId="2" applyNumberFormat="1" applyFont="1" applyBorder="1" applyAlignment="1"/>
    <xf numFmtId="177" fontId="10" fillId="0" borderId="9" xfId="2" applyNumberFormat="1" applyFont="1" applyBorder="1" applyAlignment="1"/>
    <xf numFmtId="177" fontId="10" fillId="0" borderId="18" xfId="2" applyNumberFormat="1" applyFont="1" applyBorder="1" applyAlignment="1"/>
    <xf numFmtId="177" fontId="10" fillId="0" borderId="10" xfId="2" applyNumberFormat="1" applyFont="1" applyBorder="1" applyAlignment="1"/>
    <xf numFmtId="177" fontId="10" fillId="0" borderId="11" xfId="2" applyNumberFormat="1" applyFont="1" applyBorder="1" applyAlignment="1"/>
    <xf numFmtId="177" fontId="10" fillId="0" borderId="0" xfId="2" applyNumberFormat="1" applyFont="1" applyBorder="1" applyAlignment="1"/>
    <xf numFmtId="177" fontId="10" fillId="0" borderId="12" xfId="2" applyNumberFormat="1" applyFont="1" applyBorder="1" applyAlignment="1"/>
    <xf numFmtId="177" fontId="15" fillId="0" borderId="11" xfId="2" applyNumberFormat="1" applyFont="1" applyBorder="1" applyAlignment="1"/>
    <xf numFmtId="177" fontId="15" fillId="0" borderId="0" xfId="2" applyNumberFormat="1" applyFont="1" applyBorder="1" applyAlignment="1"/>
    <xf numFmtId="191" fontId="10" fillId="0" borderId="0" xfId="2" applyNumberFormat="1" applyFont="1" applyBorder="1"/>
    <xf numFmtId="177" fontId="15" fillId="0" borderId="7" xfId="2" applyNumberFormat="1" applyFont="1" applyBorder="1" applyAlignment="1"/>
    <xf numFmtId="177" fontId="10" fillId="0" borderId="7" xfId="2" applyNumberFormat="1" applyFont="1" applyBorder="1" applyAlignment="1"/>
    <xf numFmtId="177" fontId="23" fillId="0" borderId="15" xfId="2" applyNumberFormat="1" applyFont="1" applyBorder="1" applyAlignment="1">
      <alignment horizontal="center"/>
    </xf>
    <xf numFmtId="177" fontId="23" fillId="0" borderId="1" xfId="2" applyNumberFormat="1" applyFont="1" applyBorder="1" applyAlignment="1">
      <alignment horizontal="center"/>
    </xf>
    <xf numFmtId="177" fontId="23" fillId="0" borderId="16" xfId="2" applyNumberFormat="1" applyFont="1" applyBorder="1" applyAlignment="1">
      <alignment horizontal="center"/>
    </xf>
    <xf numFmtId="177" fontId="23" fillId="0" borderId="15" xfId="2" applyNumberFormat="1" applyFont="1" applyBorder="1" applyAlignment="1"/>
    <xf numFmtId="177" fontId="23" fillId="0" borderId="1" xfId="2" applyNumberFormat="1" applyFont="1" applyBorder="1" applyAlignment="1"/>
    <xf numFmtId="177" fontId="23" fillId="0" borderId="16" xfId="2" applyNumberFormat="1" applyFont="1" applyBorder="1" applyAlignment="1"/>
    <xf numFmtId="177" fontId="23" fillId="0" borderId="7" xfId="2" applyNumberFormat="1" applyFont="1" applyBorder="1" applyAlignment="1"/>
    <xf numFmtId="191" fontId="11" fillId="0" borderId="15" xfId="2" applyNumberFormat="1" applyFont="1" applyBorder="1" applyAlignment="1"/>
    <xf numFmtId="191" fontId="11" fillId="0" borderId="1" xfId="2" applyNumberFormat="1" applyFont="1" applyBorder="1" applyAlignment="1"/>
    <xf numFmtId="191" fontId="11" fillId="0" borderId="16" xfId="2" applyNumberFormat="1" applyFont="1" applyBorder="1" applyAlignment="1"/>
    <xf numFmtId="0" fontId="0" fillId="0" borderId="18" xfId="2" applyFont="1" applyBorder="1"/>
    <xf numFmtId="168" fontId="18" fillId="0" borderId="10" xfId="2" applyNumberFormat="1" applyFont="1" applyBorder="1" applyAlignment="1">
      <alignment horizontal="right"/>
    </xf>
    <xf numFmtId="9" fontId="10" fillId="0" borderId="9" xfId="2" applyNumberFormat="1" applyFont="1" applyBorder="1" applyAlignment="1">
      <alignment horizontal="center"/>
    </xf>
    <xf numFmtId="9" fontId="10" fillId="0" borderId="18" xfId="2" applyNumberFormat="1" applyFont="1" applyBorder="1" applyAlignment="1">
      <alignment horizontal="center"/>
    </xf>
    <xf numFmtId="9" fontId="10" fillId="0" borderId="10" xfId="2" applyNumberFormat="1" applyFont="1" applyBorder="1" applyAlignment="1">
      <alignment horizontal="center"/>
    </xf>
    <xf numFmtId="9" fontId="10" fillId="0" borderId="11" xfId="2" applyNumberFormat="1" applyFont="1" applyBorder="1" applyAlignment="1">
      <alignment horizontal="center"/>
    </xf>
    <xf numFmtId="9" fontId="10" fillId="0" borderId="0" xfId="2" applyNumberFormat="1" applyFont="1" applyBorder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168" fontId="46" fillId="0" borderId="1" xfId="74" applyNumberFormat="1" applyFont="1" applyBorder="1" applyAlignment="1">
      <alignment horizontal="right"/>
    </xf>
    <xf numFmtId="9" fontId="11" fillId="0" borderId="15" xfId="2" applyNumberFormat="1" applyFont="1" applyBorder="1" applyAlignment="1">
      <alignment horizontal="center"/>
    </xf>
    <xf numFmtId="9" fontId="11" fillId="0" borderId="1" xfId="2" applyNumberFormat="1" applyFont="1" applyBorder="1" applyAlignment="1">
      <alignment horizontal="center"/>
    </xf>
    <xf numFmtId="9" fontId="11" fillId="0" borderId="16" xfId="2" applyNumberFormat="1" applyFont="1" applyBorder="1" applyAlignment="1">
      <alignment horizontal="center"/>
    </xf>
    <xf numFmtId="10" fontId="10" fillId="0" borderId="0" xfId="74" applyNumberFormat="1" applyFont="1"/>
    <xf numFmtId="10" fontId="11" fillId="0" borderId="0" xfId="74" applyNumberFormat="1" applyFont="1" applyBorder="1"/>
    <xf numFmtId="168" fontId="11" fillId="0" borderId="0" xfId="74" applyNumberFormat="1" applyFont="1" applyBorder="1" applyAlignment="1">
      <alignment horizontal="right"/>
    </xf>
    <xf numFmtId="10" fontId="11" fillId="0" borderId="0" xfId="74" applyNumberFormat="1" applyFont="1" applyBorder="1" applyAlignment="1">
      <alignment horizontal="center"/>
    </xf>
    <xf numFmtId="0" fontId="0" fillId="0" borderId="9" xfId="2" applyFont="1" applyBorder="1"/>
    <xf numFmtId="177" fontId="23" fillId="0" borderId="0" xfId="2" applyNumberFormat="1" applyFont="1" applyBorder="1" applyAlignment="1"/>
    <xf numFmtId="0" fontId="0" fillId="0" borderId="13" xfId="2" applyFont="1" applyBorder="1"/>
    <xf numFmtId="0" fontId="22" fillId="0" borderId="12" xfId="2" applyFont="1" applyBorder="1"/>
    <xf numFmtId="0" fontId="22" fillId="0" borderId="11" xfId="2" applyFont="1" applyBorder="1"/>
    <xf numFmtId="0" fontId="22" fillId="0" borderId="9" xfId="2" applyFont="1" applyBorder="1"/>
    <xf numFmtId="0" fontId="22" fillId="0" borderId="18" xfId="2" applyFont="1" applyBorder="1"/>
    <xf numFmtId="0" fontId="22" fillId="0" borderId="0" xfId="2" applyFont="1" applyBorder="1"/>
    <xf numFmtId="43" fontId="5" fillId="0" borderId="0" xfId="56"/>
    <xf numFmtId="43" fontId="5" fillId="0" borderId="12" xfId="56" applyBorder="1"/>
    <xf numFmtId="43" fontId="47" fillId="0" borderId="11" xfId="56" applyFont="1" applyBorder="1"/>
    <xf numFmtId="43" fontId="5" fillId="0" borderId="11" xfId="56" applyBorder="1"/>
    <xf numFmtId="43" fontId="5" fillId="0" borderId="0" xfId="56" applyBorder="1"/>
    <xf numFmtId="191" fontId="23" fillId="0" borderId="0" xfId="2" applyNumberFormat="1" applyFont="1" applyBorder="1"/>
    <xf numFmtId="191" fontId="11" fillId="0" borderId="11" xfId="2" applyNumberFormat="1" applyFont="1" applyBorder="1"/>
    <xf numFmtId="191" fontId="11" fillId="0" borderId="0" xfId="2" applyNumberFormat="1" applyFont="1" applyBorder="1"/>
    <xf numFmtId="43" fontId="20" fillId="0" borderId="11" xfId="56" applyFont="1" applyBorder="1"/>
    <xf numFmtId="0" fontId="10" fillId="0" borderId="0" xfId="2" applyFont="1" applyFill="1" applyAlignment="1">
      <alignment horizontal="center"/>
    </xf>
    <xf numFmtId="177" fontId="10" fillId="0" borderId="0" xfId="2" applyNumberFormat="1" applyFont="1"/>
    <xf numFmtId="191" fontId="10" fillId="0" borderId="0" xfId="2" applyNumberFormat="1" applyFont="1"/>
    <xf numFmtId="180" fontId="11" fillId="0" borderId="0" xfId="2" applyNumberFormat="1" applyFont="1" applyBorder="1"/>
    <xf numFmtId="10" fontId="23" fillId="0" borderId="0" xfId="74" applyNumberFormat="1" applyFont="1" applyBorder="1"/>
    <xf numFmtId="0" fontId="22" fillId="0" borderId="0" xfId="2" applyFont="1" applyAlignment="1">
      <alignment horizontal="right"/>
    </xf>
    <xf numFmtId="43" fontId="66" fillId="0" borderId="0" xfId="56" applyFont="1" applyBorder="1"/>
    <xf numFmtId="43" fontId="66" fillId="0" borderId="12" xfId="56" applyFont="1" applyBorder="1"/>
    <xf numFmtId="175" fontId="43" fillId="0" borderId="0" xfId="56" applyNumberFormat="1" applyFont="1" applyBorder="1"/>
    <xf numFmtId="175" fontId="43" fillId="0" borderId="12" xfId="56" applyNumberFormat="1" applyFont="1" applyBorder="1"/>
    <xf numFmtId="177" fontId="47" fillId="0" borderId="10" xfId="2" applyNumberFormat="1" applyFont="1" applyFill="1" applyBorder="1"/>
    <xf numFmtId="175" fontId="66" fillId="0" borderId="0" xfId="56" applyNumberFormat="1" applyFont="1" applyBorder="1"/>
    <xf numFmtId="175" fontId="66" fillId="0" borderId="12" xfId="56" applyNumberFormat="1" applyFont="1" applyBorder="1"/>
    <xf numFmtId="43" fontId="67" fillId="0" borderId="0" xfId="56" applyFont="1" applyBorder="1"/>
    <xf numFmtId="175" fontId="67" fillId="0" borderId="0" xfId="56" applyNumberFormat="1" applyFont="1" applyBorder="1"/>
    <xf numFmtId="43" fontId="66" fillId="0" borderId="11" xfId="56" applyFont="1" applyBorder="1"/>
    <xf numFmtId="177" fontId="47" fillId="0" borderId="9" xfId="2" applyNumberFormat="1" applyFont="1" applyFill="1" applyBorder="1"/>
    <xf numFmtId="180" fontId="10" fillId="0" borderId="0" xfId="2" applyNumberFormat="1" applyFont="1" applyBorder="1"/>
    <xf numFmtId="175" fontId="47" fillId="0" borderId="0" xfId="56" applyNumberFormat="1" applyFont="1" applyBorder="1"/>
    <xf numFmtId="191" fontId="11" fillId="0" borderId="15" xfId="2" applyNumberFormat="1" applyFont="1" applyBorder="1" applyAlignment="1">
      <alignment horizontal="center"/>
    </xf>
    <xf numFmtId="191" fontId="11" fillId="0" borderId="1" xfId="2" applyNumberFormat="1" applyFont="1" applyBorder="1" applyAlignment="1">
      <alignment horizontal="center"/>
    </xf>
    <xf numFmtId="43" fontId="62" fillId="0" borderId="0" xfId="56" applyFont="1"/>
    <xf numFmtId="1" fontId="11" fillId="13" borderId="1" xfId="2" applyNumberFormat="1" applyFont="1" applyFill="1" applyBorder="1" applyAlignment="1">
      <alignment horizontal="center"/>
    </xf>
    <xf numFmtId="1" fontId="11" fillId="13" borderId="15" xfId="2" applyNumberFormat="1" applyFont="1" applyFill="1" applyBorder="1" applyAlignment="1">
      <alignment horizontal="center"/>
    </xf>
    <xf numFmtId="1" fontId="11" fillId="13" borderId="9" xfId="2" applyNumberFormat="1" applyFont="1" applyFill="1" applyBorder="1" applyAlignment="1">
      <alignment horizontal="center"/>
    </xf>
    <xf numFmtId="194" fontId="10" fillId="0" borderId="11" xfId="2" applyNumberFormat="1" applyFont="1" applyFill="1" applyBorder="1"/>
    <xf numFmtId="0" fontId="28" fillId="0" borderId="17" xfId="2" applyFont="1" applyBorder="1"/>
    <xf numFmtId="0" fontId="51" fillId="0" borderId="17" xfId="2" applyFont="1" applyBorder="1"/>
    <xf numFmtId="43" fontId="11" fillId="0" borderId="17" xfId="56" applyFont="1" applyBorder="1"/>
    <xf numFmtId="43" fontId="5" fillId="0" borderId="17" xfId="56" applyBorder="1"/>
    <xf numFmtId="177" fontId="10" fillId="0" borderId="17" xfId="2" applyNumberFormat="1" applyFont="1" applyBorder="1" applyAlignment="1"/>
    <xf numFmtId="177" fontId="23" fillId="0" borderId="17" xfId="2" applyNumberFormat="1" applyFont="1" applyBorder="1" applyAlignment="1"/>
    <xf numFmtId="191" fontId="10" fillId="0" borderId="17" xfId="2" applyNumberFormat="1" applyFont="1" applyBorder="1" applyAlignment="1"/>
    <xf numFmtId="175" fontId="12" fillId="0" borderId="0" xfId="56" applyNumberFormat="1" applyFont="1" applyFill="1" applyBorder="1" applyAlignment="1"/>
    <xf numFmtId="173" fontId="15" fillId="0" borderId="12" xfId="2" applyNumberFormat="1" applyFont="1" applyFill="1" applyBorder="1" applyAlignment="1"/>
    <xf numFmtId="177" fontId="29" fillId="0" borderId="0" xfId="2" applyNumberFormat="1" applyFont="1" applyBorder="1"/>
    <xf numFmtId="177" fontId="52" fillId="0" borderId="12" xfId="2" applyNumberFormat="1" applyFont="1" applyBorder="1"/>
    <xf numFmtId="177" fontId="52" fillId="0" borderId="18" xfId="2" applyNumberFormat="1" applyFont="1" applyFill="1" applyBorder="1"/>
    <xf numFmtId="177" fontId="47" fillId="0" borderId="18" xfId="2" applyNumberFormat="1" applyFont="1" applyFill="1" applyBorder="1"/>
    <xf numFmtId="177" fontId="36" fillId="0" borderId="9" xfId="2" applyNumberFormat="1" applyFont="1" applyFill="1" applyBorder="1"/>
    <xf numFmtId="177" fontId="36" fillId="0" borderId="18" xfId="2" applyNumberFormat="1" applyFont="1" applyFill="1" applyBorder="1"/>
    <xf numFmtId="177" fontId="36" fillId="0" borderId="10" xfId="2" applyNumberFormat="1" applyFont="1" applyFill="1" applyBorder="1"/>
    <xf numFmtId="175" fontId="66" fillId="0" borderId="11" xfId="56" applyNumberFormat="1" applyFont="1" applyBorder="1"/>
    <xf numFmtId="177" fontId="29" fillId="0" borderId="11" xfId="2" applyNumberFormat="1" applyFont="1" applyBorder="1"/>
    <xf numFmtId="177" fontId="52" fillId="0" borderId="0" xfId="2" applyNumberFormat="1" applyFont="1" applyBorder="1"/>
    <xf numFmtId="43" fontId="52" fillId="0" borderId="18" xfId="56" applyFont="1" applyFill="1" applyBorder="1"/>
    <xf numFmtId="43" fontId="52" fillId="0" borderId="12" xfId="56" applyFont="1" applyFill="1" applyBorder="1"/>
    <xf numFmtId="43" fontId="11" fillId="0" borderId="12" xfId="56" applyFont="1" applyBorder="1"/>
    <xf numFmtId="43" fontId="12" fillId="0" borderId="12" xfId="56" applyFont="1" applyBorder="1"/>
    <xf numFmtId="43" fontId="10" fillId="0" borderId="12" xfId="56" applyFont="1" applyBorder="1"/>
    <xf numFmtId="43" fontId="28" fillId="0" borderId="12" xfId="56" applyFont="1" applyBorder="1"/>
    <xf numFmtId="43" fontId="51" fillId="0" borderId="12" xfId="56" applyFont="1" applyBorder="1"/>
    <xf numFmtId="43" fontId="23" fillId="0" borderId="12" xfId="56" applyFont="1" applyBorder="1"/>
    <xf numFmtId="43" fontId="18" fillId="0" borderId="12" xfId="56" applyFont="1" applyBorder="1"/>
    <xf numFmtId="177" fontId="23" fillId="0" borderId="18" xfId="2" applyNumberFormat="1" applyFont="1" applyFill="1" applyBorder="1"/>
    <xf numFmtId="177" fontId="23" fillId="0" borderId="0" xfId="2" applyNumberFormat="1" applyFont="1" applyFill="1" applyBorder="1"/>
    <xf numFmtId="175" fontId="66" fillId="0" borderId="0" xfId="56" applyNumberFormat="1" applyFont="1" applyFill="1" applyBorder="1"/>
    <xf numFmtId="177" fontId="28" fillId="0" borderId="11" xfId="2" applyNumberFormat="1" applyFont="1" applyFill="1" applyBorder="1"/>
    <xf numFmtId="177" fontId="28" fillId="0" borderId="0" xfId="2" applyNumberFormat="1" applyFont="1" applyFill="1" applyBorder="1"/>
    <xf numFmtId="177" fontId="28" fillId="0" borderId="12" xfId="2" applyNumberFormat="1" applyFont="1" applyFill="1" applyBorder="1"/>
    <xf numFmtId="177" fontId="51" fillId="0" borderId="11" xfId="2" applyNumberFormat="1" applyFont="1" applyFill="1" applyBorder="1"/>
    <xf numFmtId="177" fontId="51" fillId="0" borderId="0" xfId="2" applyNumberFormat="1" applyFont="1" applyFill="1" applyBorder="1"/>
    <xf numFmtId="177" fontId="51" fillId="0" borderId="12" xfId="2" applyNumberFormat="1" applyFont="1" applyFill="1" applyBorder="1"/>
    <xf numFmtId="177" fontId="23" fillId="0" borderId="11" xfId="2" applyNumberFormat="1" applyFont="1" applyFill="1" applyBorder="1"/>
    <xf numFmtId="177" fontId="23" fillId="0" borderId="12" xfId="2" applyNumberFormat="1" applyFont="1" applyFill="1" applyBorder="1"/>
    <xf numFmtId="168" fontId="18" fillId="0" borderId="12" xfId="2" applyNumberFormat="1" applyFont="1" applyFill="1" applyBorder="1"/>
    <xf numFmtId="180" fontId="23" fillId="0" borderId="0" xfId="2" applyNumberFormat="1" applyFont="1" applyBorder="1"/>
    <xf numFmtId="177" fontId="23" fillId="0" borderId="18" xfId="2" applyNumberFormat="1" applyFont="1" applyBorder="1" applyAlignment="1"/>
    <xf numFmtId="177" fontId="56" fillId="0" borderId="10" xfId="2" applyNumberFormat="1" applyFont="1" applyFill="1" applyBorder="1"/>
    <xf numFmtId="175" fontId="23" fillId="0" borderId="0" xfId="56" applyNumberFormat="1" applyFont="1" applyFill="1" applyBorder="1" applyAlignment="1">
      <alignment horizontal="right"/>
    </xf>
    <xf numFmtId="175" fontId="23" fillId="0" borderId="11" xfId="56" applyNumberFormat="1" applyFont="1" applyFill="1" applyBorder="1" applyAlignment="1">
      <alignment horizontal="right"/>
    </xf>
    <xf numFmtId="175" fontId="23" fillId="0" borderId="12" xfId="56" applyNumberFormat="1" applyFont="1" applyFill="1" applyBorder="1" applyAlignment="1">
      <alignment horizontal="right"/>
    </xf>
    <xf numFmtId="177" fontId="29" fillId="0" borderId="12" xfId="2" applyNumberFormat="1" applyFont="1" applyBorder="1"/>
    <xf numFmtId="174" fontId="41" fillId="0" borderId="0" xfId="2" applyNumberFormat="1" applyFont="1" applyFill="1" applyBorder="1" applyAlignment="1"/>
    <xf numFmtId="174" fontId="41" fillId="0" borderId="12" xfId="2" applyNumberFormat="1" applyFont="1" applyFill="1" applyBorder="1" applyAlignment="1"/>
    <xf numFmtId="164" fontId="59" fillId="0" borderId="0" xfId="56" applyNumberFormat="1" applyFont="1" applyFill="1" applyBorder="1" applyAlignment="1"/>
    <xf numFmtId="164" fontId="59" fillId="0" borderId="12" xfId="56" applyNumberFormat="1" applyFont="1" applyFill="1" applyBorder="1" applyAlignment="1"/>
    <xf numFmtId="173" fontId="10" fillId="0" borderId="18" xfId="2" applyNumberFormat="1" applyFont="1" applyFill="1" applyBorder="1"/>
    <xf numFmtId="173" fontId="10" fillId="0" borderId="0" xfId="2" applyNumberFormat="1" applyFont="1" applyFill="1" applyBorder="1"/>
    <xf numFmtId="178" fontId="47" fillId="0" borderId="11" xfId="2" applyNumberFormat="1" applyFont="1" applyFill="1" applyBorder="1"/>
    <xf numFmtId="41" fontId="10" fillId="0" borderId="11" xfId="2" applyNumberFormat="1" applyFont="1" applyFill="1" applyBorder="1"/>
    <xf numFmtId="41" fontId="10" fillId="0" borderId="0" xfId="2" applyNumberFormat="1" applyFont="1" applyFill="1" applyBorder="1"/>
    <xf numFmtId="41" fontId="10" fillId="0" borderId="12" xfId="2" applyNumberFormat="1" applyFont="1" applyFill="1" applyBorder="1"/>
    <xf numFmtId="173" fontId="10" fillId="0" borderId="12" xfId="2" applyNumberFormat="1" applyFont="1" applyFill="1" applyBorder="1"/>
    <xf numFmtId="173" fontId="10" fillId="0" borderId="11" xfId="2" applyNumberFormat="1" applyFont="1" applyFill="1" applyBorder="1"/>
    <xf numFmtId="168" fontId="28" fillId="0" borderId="0" xfId="74" applyNumberFormat="1" applyFont="1" applyBorder="1"/>
    <xf numFmtId="168" fontId="29" fillId="0" borderId="0" xfId="74" applyNumberFormat="1" applyFont="1" applyBorder="1"/>
    <xf numFmtId="168" fontId="28" fillId="0" borderId="12" xfId="74" applyNumberFormat="1" applyFont="1" applyBorder="1"/>
    <xf numFmtId="168" fontId="29" fillId="0" borderId="12" xfId="74" applyNumberFormat="1" applyFont="1" applyBorder="1"/>
    <xf numFmtId="180" fontId="0" fillId="0" borderId="0" xfId="2" applyNumberFormat="1" applyFont="1"/>
    <xf numFmtId="164" fontId="69" fillId="0" borderId="0" xfId="56" applyNumberFormat="1" applyFont="1" applyFill="1" applyBorder="1" applyAlignment="1"/>
    <xf numFmtId="0" fontId="60" fillId="0" borderId="0" xfId="2" applyFont="1" applyFill="1" applyBorder="1" applyAlignment="1"/>
    <xf numFmtId="164" fontId="25" fillId="14" borderId="11" xfId="69" applyNumberFormat="1" applyFont="1" applyFill="1" applyBorder="1"/>
    <xf numFmtId="164" fontId="25" fillId="14" borderId="17" xfId="69" applyNumberFormat="1" applyFont="1" applyFill="1" applyBorder="1"/>
    <xf numFmtId="0" fontId="12" fillId="0" borderId="13" xfId="2" applyFont="1" applyFill="1" applyBorder="1" applyAlignment="1">
      <alignment horizontal="left" indent="1"/>
    </xf>
    <xf numFmtId="44" fontId="25" fillId="14" borderId="17" xfId="62" applyFont="1" applyFill="1" applyBorder="1"/>
    <xf numFmtId="0" fontId="28" fillId="0" borderId="0" xfId="2" applyFont="1" applyFill="1" applyBorder="1" applyAlignment="1"/>
    <xf numFmtId="0" fontId="28" fillId="0" borderId="0" xfId="2" applyFont="1" applyFill="1" applyBorder="1"/>
    <xf numFmtId="0" fontId="0" fillId="13" borderId="0" xfId="2" applyFont="1" applyFill="1" applyBorder="1"/>
    <xf numFmtId="44" fontId="10" fillId="14" borderId="7" xfId="62" applyFont="1" applyFill="1" applyBorder="1" applyAlignment="1">
      <alignment horizontal="right"/>
    </xf>
    <xf numFmtId="44" fontId="10" fillId="14" borderId="7" xfId="62" applyFont="1" applyFill="1" applyBorder="1"/>
    <xf numFmtId="0" fontId="28" fillId="0" borderId="13" xfId="2" applyFont="1" applyFill="1" applyBorder="1"/>
    <xf numFmtId="44" fontId="10" fillId="14" borderId="14" xfId="62" applyFont="1" applyFill="1" applyBorder="1" applyAlignment="1">
      <alignment horizontal="right"/>
    </xf>
    <xf numFmtId="44" fontId="10" fillId="14" borderId="13" xfId="62" applyFont="1" applyFill="1" applyBorder="1" applyAlignment="1">
      <alignment horizontal="right"/>
    </xf>
    <xf numFmtId="44" fontId="10" fillId="14" borderId="14" xfId="62" applyFont="1" applyFill="1" applyBorder="1"/>
    <xf numFmtId="44" fontId="10" fillId="14" borderId="13" xfId="62" applyFont="1" applyFill="1" applyBorder="1"/>
    <xf numFmtId="168" fontId="19" fillId="0" borderId="9" xfId="74" applyNumberFormat="1" applyFont="1" applyBorder="1" applyAlignment="1">
      <alignment horizontal="right"/>
    </xf>
    <xf numFmtId="168" fontId="19" fillId="0" borderId="11" xfId="74" applyNumberFormat="1" applyFont="1" applyBorder="1" applyAlignment="1">
      <alignment horizontal="right"/>
    </xf>
    <xf numFmtId="168" fontId="19" fillId="0" borderId="18" xfId="74" applyNumberFormat="1" applyFont="1" applyBorder="1" applyAlignment="1">
      <alignment horizontal="right"/>
    </xf>
    <xf numFmtId="168" fontId="19" fillId="0" borderId="10" xfId="74" applyNumberFormat="1" applyFont="1" applyBorder="1" applyAlignment="1">
      <alignment horizontal="right"/>
    </xf>
    <xf numFmtId="168" fontId="19" fillId="0" borderId="10" xfId="2" applyNumberFormat="1" applyFont="1" applyBorder="1" applyAlignment="1">
      <alignment horizontal="right"/>
    </xf>
    <xf numFmtId="168" fontId="19" fillId="0" borderId="0" xfId="74" applyNumberFormat="1" applyFont="1" applyBorder="1" applyAlignment="1">
      <alignment horizontal="right"/>
    </xf>
    <xf numFmtId="168" fontId="19" fillId="0" borderId="12" xfId="74" applyNumberFormat="1" applyFont="1" applyBorder="1" applyAlignment="1">
      <alignment horizontal="right"/>
    </xf>
    <xf numFmtId="168" fontId="19" fillId="0" borderId="12" xfId="2" applyNumberFormat="1" applyFont="1" applyBorder="1" applyAlignment="1">
      <alignment horizontal="right"/>
    </xf>
    <xf numFmtId="1" fontId="11" fillId="13" borderId="16" xfId="2" applyNumberFormat="1" applyFont="1" applyFill="1" applyBorder="1" applyAlignment="1">
      <alignment horizontal="center"/>
    </xf>
    <xf numFmtId="1" fontId="13" fillId="13" borderId="18" xfId="71" applyNumberFormat="1" applyFont="1" applyFill="1" applyBorder="1" applyAlignment="1">
      <alignment horizontal="right"/>
    </xf>
    <xf numFmtId="0" fontId="72" fillId="16" borderId="15" xfId="2" applyFont="1" applyFill="1" applyBorder="1"/>
    <xf numFmtId="0" fontId="11" fillId="17" borderId="15" xfId="2" applyFont="1" applyFill="1" applyBorder="1"/>
    <xf numFmtId="1" fontId="73" fillId="16" borderId="12" xfId="71" applyNumberFormat="1" applyFont="1" applyFill="1" applyBorder="1" applyAlignment="1">
      <alignment horizontal="right"/>
    </xf>
    <xf numFmtId="1" fontId="74" fillId="16" borderId="12" xfId="71" applyNumberFormat="1" applyFont="1" applyFill="1" applyBorder="1" applyAlignment="1">
      <alignment horizontal="right"/>
    </xf>
    <xf numFmtId="1" fontId="75" fillId="16" borderId="12" xfId="71" applyNumberFormat="1" applyFont="1" applyFill="1" applyBorder="1" applyAlignment="1">
      <alignment horizontal="right"/>
    </xf>
    <xf numFmtId="0" fontId="18" fillId="0" borderId="11" xfId="2" applyFont="1" applyFill="1" applyBorder="1" applyAlignment="1">
      <alignment horizontal="left" indent="1"/>
    </xf>
    <xf numFmtId="0" fontId="45" fillId="18" borderId="11" xfId="2" applyFont="1" applyFill="1" applyBorder="1"/>
    <xf numFmtId="0" fontId="23" fillId="0" borderId="11" xfId="2" applyFont="1" applyFill="1" applyBorder="1" applyAlignment="1">
      <alignment horizontal="left"/>
    </xf>
    <xf numFmtId="180" fontId="28" fillId="0" borderId="11" xfId="2" applyNumberFormat="1" applyFont="1" applyFill="1" applyBorder="1" applyAlignment="1">
      <alignment horizontal="left"/>
    </xf>
    <xf numFmtId="175" fontId="74" fillId="16" borderId="12" xfId="56" applyNumberFormat="1" applyFont="1" applyFill="1" applyBorder="1" applyAlignment="1">
      <alignment horizontal="right"/>
    </xf>
    <xf numFmtId="180" fontId="28" fillId="0" borderId="11" xfId="2" applyNumberFormat="1" applyFont="1" applyFill="1" applyBorder="1" applyAlignment="1">
      <alignment horizontal="left" indent="1"/>
    </xf>
    <xf numFmtId="0" fontId="18" fillId="0" borderId="11" xfId="2" applyFont="1" applyBorder="1" applyAlignment="1">
      <alignment horizontal="left" indent="1"/>
    </xf>
    <xf numFmtId="0" fontId="11" fillId="0" borderId="13" xfId="2" applyFont="1" applyFill="1" applyBorder="1"/>
    <xf numFmtId="0" fontId="74" fillId="16" borderId="1" xfId="2" applyFont="1" applyFill="1" applyBorder="1"/>
    <xf numFmtId="1" fontId="74" fillId="16" borderId="1" xfId="71" applyNumberFormat="1" applyFont="1" applyFill="1" applyBorder="1" applyAlignment="1">
      <alignment horizontal="right"/>
    </xf>
    <xf numFmtId="0" fontId="11" fillId="17" borderId="1" xfId="2" applyFont="1" applyFill="1" applyBorder="1"/>
    <xf numFmtId="1" fontId="11" fillId="17" borderId="1" xfId="71" applyNumberFormat="1" applyFont="1" applyFill="1" applyBorder="1" applyAlignment="1">
      <alignment horizontal="right"/>
    </xf>
    <xf numFmtId="177" fontId="58" fillId="0" borderId="11" xfId="2" applyNumberFormat="1" applyFont="1" applyFill="1" applyBorder="1"/>
    <xf numFmtId="0" fontId="18" fillId="0" borderId="12" xfId="2" applyFont="1" applyFill="1" applyBorder="1" applyAlignment="1">
      <alignment horizontal="left" indent="1"/>
    </xf>
    <xf numFmtId="177" fontId="58" fillId="0" borderId="18" xfId="2" applyNumberFormat="1" applyFont="1" applyFill="1" applyBorder="1"/>
    <xf numFmtId="0" fontId="51" fillId="0" borderId="12" xfId="2" applyFont="1" applyBorder="1" applyAlignment="1">
      <alignment horizontal="left" indent="1"/>
    </xf>
    <xf numFmtId="164" fontId="11" fillId="0" borderId="0" xfId="2" applyNumberFormat="1" applyFont="1" applyFill="1" applyBorder="1"/>
    <xf numFmtId="164" fontId="11" fillId="0" borderId="12" xfId="2" applyNumberFormat="1" applyFont="1" applyFill="1" applyBorder="1"/>
    <xf numFmtId="0" fontId="10" fillId="18" borderId="12" xfId="2" applyFont="1" applyFill="1" applyBorder="1"/>
    <xf numFmtId="168" fontId="12" fillId="18" borderId="0" xfId="74" applyNumberFormat="1" applyFont="1" applyFill="1" applyBorder="1"/>
    <xf numFmtId="168" fontId="12" fillId="18" borderId="12" xfId="74" applyNumberFormat="1" applyFont="1" applyFill="1" applyBorder="1"/>
    <xf numFmtId="175" fontId="58" fillId="0" borderId="0" xfId="56" applyNumberFormat="1" applyFont="1" applyFill="1" applyBorder="1"/>
    <xf numFmtId="175" fontId="58" fillId="0" borderId="12" xfId="56" applyNumberFormat="1" applyFont="1" applyFill="1" applyBorder="1"/>
    <xf numFmtId="175" fontId="28" fillId="0" borderId="0" xfId="56" applyNumberFormat="1" applyFont="1" applyFill="1" applyBorder="1"/>
    <xf numFmtId="175" fontId="28" fillId="0" borderId="12" xfId="56" applyNumberFormat="1" applyFont="1" applyFill="1" applyBorder="1"/>
    <xf numFmtId="175" fontId="12" fillId="0" borderId="0" xfId="56" applyNumberFormat="1" applyFont="1" applyFill="1" applyBorder="1"/>
    <xf numFmtId="175" fontId="12" fillId="0" borderId="12" xfId="56" applyNumberFormat="1" applyFont="1" applyFill="1" applyBorder="1"/>
    <xf numFmtId="164" fontId="11" fillId="0" borderId="7" xfId="2" applyNumberFormat="1" applyFont="1" applyFill="1" applyBorder="1"/>
    <xf numFmtId="164" fontId="11" fillId="0" borderId="14" xfId="2" applyNumberFormat="1" applyFont="1" applyFill="1" applyBorder="1"/>
    <xf numFmtId="177" fontId="23" fillId="0" borderId="10" xfId="2" applyNumberFormat="1" applyFont="1" applyFill="1" applyBorder="1"/>
    <xf numFmtId="168" fontId="16" fillId="0" borderId="14" xfId="74" applyNumberFormat="1" applyFont="1" applyFill="1" applyBorder="1"/>
    <xf numFmtId="164" fontId="11" fillId="0" borderId="0" xfId="2" applyNumberFormat="1" applyFont="1" applyBorder="1"/>
    <xf numFmtId="164" fontId="11" fillId="0" borderId="12" xfId="2" applyNumberFormat="1" applyFont="1" applyBorder="1"/>
    <xf numFmtId="175" fontId="23" fillId="0" borderId="0" xfId="56" applyNumberFormat="1" applyFont="1" applyBorder="1"/>
    <xf numFmtId="175" fontId="23" fillId="0" borderId="12" xfId="56" applyNumberFormat="1" applyFont="1" applyBorder="1"/>
    <xf numFmtId="175" fontId="28" fillId="0" borderId="0" xfId="56" applyNumberFormat="1" applyFont="1" applyBorder="1"/>
    <xf numFmtId="175" fontId="28" fillId="0" borderId="12" xfId="56" applyNumberFormat="1" applyFont="1" applyBorder="1"/>
    <xf numFmtId="9" fontId="28" fillId="0" borderId="0" xfId="74" applyFont="1" applyFill="1" applyBorder="1"/>
    <xf numFmtId="9" fontId="28" fillId="0" borderId="12" xfId="74" applyFont="1" applyFill="1" applyBorder="1"/>
    <xf numFmtId="175" fontId="76" fillId="0" borderId="0" xfId="56" applyNumberFormat="1" applyFont="1" applyBorder="1"/>
    <xf numFmtId="175" fontId="76" fillId="0" borderId="12" xfId="56" applyNumberFormat="1" applyFont="1" applyBorder="1"/>
    <xf numFmtId="1" fontId="72" fillId="16" borderId="7" xfId="71" applyNumberFormat="1" applyFont="1" applyFill="1" applyBorder="1" applyAlignment="1">
      <alignment horizontal="right"/>
    </xf>
    <xf numFmtId="1" fontId="72" fillId="16" borderId="1" xfId="71" applyNumberFormat="1" applyFont="1" applyFill="1" applyBorder="1" applyAlignment="1">
      <alignment horizontal="right"/>
    </xf>
    <xf numFmtId="1" fontId="72" fillId="16" borderId="13" xfId="71" applyNumberFormat="1" applyFont="1" applyFill="1" applyBorder="1" applyAlignment="1">
      <alignment horizontal="right"/>
    </xf>
    <xf numFmtId="1" fontId="72" fillId="17" borderId="1" xfId="71" applyNumberFormat="1" applyFont="1" applyFill="1" applyBorder="1" applyAlignment="1">
      <alignment horizontal="right"/>
    </xf>
    <xf numFmtId="1" fontId="72" fillId="17" borderId="16" xfId="71" applyNumberFormat="1" applyFont="1" applyFill="1" applyBorder="1" applyAlignment="1">
      <alignment horizontal="right"/>
    </xf>
    <xf numFmtId="43" fontId="12" fillId="0" borderId="0" xfId="56" applyFont="1" applyBorder="1"/>
    <xf numFmtId="168" fontId="12" fillId="0" borderId="14" xfId="74" applyNumberFormat="1" applyFont="1" applyBorder="1"/>
    <xf numFmtId="177" fontId="23" fillId="0" borderId="10" xfId="2" applyNumberFormat="1" applyFont="1" applyBorder="1"/>
    <xf numFmtId="0" fontId="10" fillId="18" borderId="0" xfId="2" applyFont="1" applyFill="1" applyBorder="1"/>
    <xf numFmtId="0" fontId="10" fillId="18" borderId="11" xfId="2" applyFont="1" applyFill="1" applyBorder="1"/>
    <xf numFmtId="177" fontId="23" fillId="0" borderId="7" xfId="2" applyNumberFormat="1" applyFont="1" applyBorder="1"/>
    <xf numFmtId="177" fontId="23" fillId="0" borderId="14" xfId="2" applyNumberFormat="1" applyFont="1" applyBorder="1"/>
    <xf numFmtId="1" fontId="72" fillId="16" borderId="16" xfId="71" applyNumberFormat="1" applyFont="1" applyFill="1" applyBorder="1" applyAlignment="1">
      <alignment horizontal="right"/>
    </xf>
    <xf numFmtId="177" fontId="10" fillId="0" borderId="18" xfId="2" applyNumberFormat="1" applyFont="1" applyFill="1" applyBorder="1" applyAlignment="1"/>
    <xf numFmtId="177" fontId="10" fillId="0" borderId="0" xfId="2" applyNumberFormat="1" applyFont="1" applyFill="1" applyBorder="1" applyAlignment="1"/>
    <xf numFmtId="177" fontId="23" fillId="0" borderId="1" xfId="2" applyNumberFormat="1" applyFont="1" applyFill="1" applyBorder="1" applyAlignment="1">
      <alignment horizontal="center"/>
    </xf>
    <xf numFmtId="191" fontId="11" fillId="0" borderId="1" xfId="2" applyNumberFormat="1" applyFont="1" applyFill="1" applyBorder="1" applyAlignment="1">
      <alignment horizontal="center"/>
    </xf>
    <xf numFmtId="168" fontId="19" fillId="0" borderId="18" xfId="74" applyNumberFormat="1" applyFont="1" applyFill="1" applyBorder="1" applyAlignment="1">
      <alignment horizontal="right"/>
    </xf>
    <xf numFmtId="168" fontId="51" fillId="0" borderId="1" xfId="74" applyNumberFormat="1" applyFont="1" applyFill="1" applyBorder="1" applyAlignment="1">
      <alignment horizontal="right"/>
    </xf>
    <xf numFmtId="172" fontId="11" fillId="0" borderId="14" xfId="2" applyNumberFormat="1" applyFont="1" applyFill="1" applyBorder="1"/>
    <xf numFmtId="168" fontId="12" fillId="0" borderId="12" xfId="74" applyNumberFormat="1" applyFont="1" applyFill="1" applyBorder="1" applyAlignment="1">
      <alignment horizontal="right"/>
    </xf>
    <xf numFmtId="164" fontId="12" fillId="0" borderId="12" xfId="74" applyNumberFormat="1" applyFont="1" applyFill="1" applyBorder="1" applyAlignment="1"/>
    <xf numFmtId="188" fontId="10" fillId="0" borderId="12" xfId="2" applyNumberFormat="1" applyFont="1" applyFill="1" applyBorder="1" applyAlignment="1"/>
    <xf numFmtId="164" fontId="23" fillId="0" borderId="12" xfId="2" applyNumberFormat="1" applyFont="1" applyFill="1" applyBorder="1"/>
    <xf numFmtId="164" fontId="10" fillId="0" borderId="10" xfId="2" applyNumberFormat="1" applyFont="1" applyFill="1" applyBorder="1"/>
    <xf numFmtId="164" fontId="65" fillId="0" borderId="12" xfId="2" applyNumberFormat="1" applyFont="1" applyFill="1" applyBorder="1"/>
    <xf numFmtId="175" fontId="76" fillId="0" borderId="0" xfId="56" applyNumberFormat="1" applyFont="1" applyFill="1" applyBorder="1"/>
    <xf numFmtId="175" fontId="76" fillId="0" borderId="12" xfId="56" applyNumberFormat="1" applyFont="1" applyFill="1" applyBorder="1" applyAlignment="1"/>
    <xf numFmtId="1" fontId="74" fillId="16" borderId="16" xfId="71" applyNumberFormat="1" applyFont="1" applyFill="1" applyBorder="1" applyAlignment="1">
      <alignment horizontal="right"/>
    </xf>
    <xf numFmtId="1" fontId="11" fillId="17" borderId="16" xfId="71" applyNumberFormat="1" applyFont="1" applyFill="1" applyBorder="1" applyAlignment="1">
      <alignment horizontal="right"/>
    </xf>
    <xf numFmtId="1" fontId="72" fillId="17" borderId="15" xfId="71" applyNumberFormat="1" applyFont="1" applyFill="1" applyBorder="1" applyAlignment="1">
      <alignment horizontal="right"/>
    </xf>
    <xf numFmtId="168" fontId="12" fillId="0" borderId="13" xfId="74" applyNumberFormat="1" applyFont="1" applyBorder="1"/>
    <xf numFmtId="177" fontId="23" fillId="0" borderId="9" xfId="2" applyNumberFormat="1" applyFont="1" applyFill="1" applyBorder="1"/>
    <xf numFmtId="177" fontId="23" fillId="0" borderId="13" xfId="2" applyNumberFormat="1" applyFont="1" applyBorder="1"/>
    <xf numFmtId="192" fontId="0" fillId="0" borderId="0" xfId="2" applyNumberFormat="1" applyFont="1" applyBorder="1"/>
    <xf numFmtId="175" fontId="0" fillId="0" borderId="0" xfId="2" applyNumberFormat="1" applyFont="1" applyBorder="1"/>
    <xf numFmtId="0" fontId="10" fillId="0" borderId="0" xfId="2" applyFont="1" applyFill="1" applyBorder="1" applyAlignment="1">
      <alignment horizontal="center"/>
    </xf>
    <xf numFmtId="0" fontId="5" fillId="0" borderId="11" xfId="2" applyFont="1" applyBorder="1"/>
    <xf numFmtId="0" fontId="68" fillId="0" borderId="0" xfId="2" applyFont="1" applyBorder="1"/>
    <xf numFmtId="175" fontId="76" fillId="0" borderId="12" xfId="56" applyNumberFormat="1" applyFont="1" applyFill="1" applyBorder="1"/>
    <xf numFmtId="177" fontId="51" fillId="0" borderId="12" xfId="74" applyNumberFormat="1" applyFont="1" applyBorder="1"/>
    <xf numFmtId="0" fontId="28" fillId="0" borderId="12" xfId="2" applyFont="1" applyBorder="1" applyAlignment="1">
      <alignment horizontal="left" indent="1"/>
    </xf>
    <xf numFmtId="0" fontId="28" fillId="0" borderId="0" xfId="2" applyFont="1" applyBorder="1" applyAlignment="1">
      <alignment horizontal="left" indent="1"/>
    </xf>
    <xf numFmtId="168" fontId="29" fillId="0" borderId="0" xfId="74" applyNumberFormat="1" applyFont="1" applyFill="1" applyBorder="1"/>
    <xf numFmtId="181" fontId="28" fillId="0" borderId="0" xfId="56" applyNumberFormat="1" applyFont="1" applyBorder="1"/>
    <xf numFmtId="181" fontId="28" fillId="0" borderId="0" xfId="56" applyNumberFormat="1" applyFont="1" applyFill="1" applyBorder="1"/>
    <xf numFmtId="181" fontId="28" fillId="0" borderId="12" xfId="56" applyNumberFormat="1" applyFont="1" applyBorder="1"/>
    <xf numFmtId="181" fontId="12" fillId="0" borderId="0" xfId="56" applyNumberFormat="1" applyFont="1" applyBorder="1"/>
    <xf numFmtId="9" fontId="5" fillId="0" borderId="0" xfId="74" applyNumberFormat="1" applyFont="1"/>
    <xf numFmtId="44" fontId="5" fillId="0" borderId="0" xfId="62" applyFont="1"/>
    <xf numFmtId="44" fontId="5" fillId="0" borderId="0" xfId="2" applyNumberFormat="1" applyFont="1"/>
    <xf numFmtId="168" fontId="0" fillId="0" borderId="0" xfId="74" applyNumberFormat="1" applyFont="1"/>
    <xf numFmtId="175" fontId="16" fillId="0" borderId="7" xfId="56" applyNumberFormat="1" applyFont="1" applyBorder="1"/>
    <xf numFmtId="9" fontId="12" fillId="0" borderId="7" xfId="74" applyFont="1" applyBorder="1"/>
    <xf numFmtId="0" fontId="28" fillId="0" borderId="11" xfId="2" applyFont="1" applyBorder="1" applyAlignment="1">
      <alignment horizontal="left"/>
    </xf>
    <xf numFmtId="0" fontId="42" fillId="0" borderId="11" xfId="2" applyFont="1" applyBorder="1" applyAlignment="1">
      <alignment horizontal="left"/>
    </xf>
    <xf numFmtId="0" fontId="42" fillId="0" borderId="12" xfId="2" applyFont="1" applyBorder="1" applyAlignment="1">
      <alignment horizontal="left" indent="1"/>
    </xf>
    <xf numFmtId="0" fontId="42" fillId="0" borderId="0" xfId="2" applyFont="1" applyBorder="1" applyAlignment="1">
      <alignment horizontal="left" indent="1"/>
    </xf>
    <xf numFmtId="168" fontId="41" fillId="0" borderId="0" xfId="74" applyNumberFormat="1" applyFont="1" applyBorder="1"/>
    <xf numFmtId="168" fontId="41" fillId="0" borderId="0" xfId="74" applyNumberFormat="1" applyFont="1" applyFill="1" applyBorder="1"/>
    <xf numFmtId="168" fontId="41" fillId="0" borderId="12" xfId="74" applyNumberFormat="1" applyFont="1" applyBorder="1"/>
    <xf numFmtId="181" fontId="42" fillId="0" borderId="0" xfId="56" applyNumberFormat="1" applyFont="1" applyBorder="1"/>
    <xf numFmtId="181" fontId="42" fillId="0" borderId="0" xfId="56" applyNumberFormat="1" applyFont="1" applyFill="1" applyBorder="1"/>
    <xf numFmtId="181" fontId="42" fillId="0" borderId="12" xfId="56" applyNumberFormat="1" applyFont="1" applyBorder="1"/>
    <xf numFmtId="168" fontId="77" fillId="0" borderId="0" xfId="74" applyNumberFormat="1" applyFont="1" applyFill="1" applyBorder="1"/>
    <xf numFmtId="168" fontId="77" fillId="0" borderId="12" xfId="74" applyNumberFormat="1" applyFont="1" applyFill="1" applyBorder="1"/>
    <xf numFmtId="168" fontId="77" fillId="0" borderId="11" xfId="74" applyNumberFormat="1" applyFont="1" applyFill="1" applyBorder="1"/>
    <xf numFmtId="168" fontId="57" fillId="0" borderId="0" xfId="74" applyNumberFormat="1" applyFont="1" applyBorder="1"/>
    <xf numFmtId="168" fontId="57" fillId="0" borderId="12" xfId="74" applyNumberFormat="1" applyFont="1" applyBorder="1"/>
    <xf numFmtId="0" fontId="78" fillId="0" borderId="11" xfId="2" applyFont="1" applyBorder="1" applyAlignment="1">
      <alignment horizontal="left"/>
    </xf>
    <xf numFmtId="0" fontId="78" fillId="0" borderId="12" xfId="2" applyFont="1" applyBorder="1" applyAlignment="1">
      <alignment horizontal="left" indent="1"/>
    </xf>
    <xf numFmtId="0" fontId="78" fillId="0" borderId="0" xfId="2" applyFont="1" applyBorder="1" applyAlignment="1">
      <alignment horizontal="left" indent="1"/>
    </xf>
    <xf numFmtId="168" fontId="79" fillId="0" borderId="0" xfId="74" applyNumberFormat="1" applyFont="1" applyBorder="1"/>
    <xf numFmtId="168" fontId="79" fillId="0" borderId="0" xfId="74" applyNumberFormat="1" applyFont="1" applyFill="1" applyBorder="1"/>
    <xf numFmtId="168" fontId="79" fillId="0" borderId="12" xfId="74" applyNumberFormat="1" applyFont="1" applyBorder="1"/>
    <xf numFmtId="181" fontId="78" fillId="0" borderId="0" xfId="56" applyNumberFormat="1" applyFont="1" applyBorder="1"/>
    <xf numFmtId="181" fontId="78" fillId="0" borderId="0" xfId="56" applyNumberFormat="1" applyFont="1" applyFill="1" applyBorder="1"/>
    <xf numFmtId="181" fontId="78" fillId="0" borderId="12" xfId="56" applyNumberFormat="1" applyFont="1" applyBorder="1"/>
    <xf numFmtId="0" fontId="78" fillId="0" borderId="0" xfId="2" applyFont="1"/>
    <xf numFmtId="0" fontId="78" fillId="0" borderId="12" xfId="2" applyFont="1" applyBorder="1"/>
    <xf numFmtId="0" fontId="78" fillId="0" borderId="17" xfId="2" applyFont="1" applyBorder="1"/>
    <xf numFmtId="0" fontId="78" fillId="0" borderId="11" xfId="2" applyFont="1" applyBorder="1"/>
    <xf numFmtId="0" fontId="78" fillId="0" borderId="0" xfId="2" applyFont="1" applyBorder="1"/>
    <xf numFmtId="168" fontId="25" fillId="14" borderId="0" xfId="74" applyNumberFormat="1" applyFont="1" applyFill="1" applyBorder="1"/>
    <xf numFmtId="168" fontId="25" fillId="14" borderId="12" xfId="74" applyNumberFormat="1" applyFont="1" applyFill="1" applyBorder="1"/>
    <xf numFmtId="178" fontId="10" fillId="0" borderId="11" xfId="2" applyNumberFormat="1" applyFont="1" applyBorder="1"/>
    <xf numFmtId="178" fontId="10" fillId="0" borderId="0" xfId="2" applyNumberFormat="1" applyFont="1" applyBorder="1"/>
    <xf numFmtId="178" fontId="10" fillId="0" borderId="12" xfId="2" applyNumberFormat="1" applyFont="1" applyBorder="1"/>
    <xf numFmtId="1" fontId="11" fillId="0" borderId="0" xfId="70" applyNumberFormat="1" applyFont="1" applyFill="1" applyBorder="1" applyAlignment="1">
      <alignment horizontal="right"/>
    </xf>
    <xf numFmtId="1" fontId="13" fillId="0" borderId="0" xfId="70" applyNumberFormat="1" applyFont="1" applyFill="1" applyBorder="1" applyAlignment="1">
      <alignment horizontal="right"/>
    </xf>
    <xf numFmtId="0" fontId="28" fillId="0" borderId="11" xfId="2" applyFont="1" applyFill="1" applyBorder="1" applyAlignment="1">
      <alignment horizontal="left"/>
    </xf>
    <xf numFmtId="0" fontId="78" fillId="0" borderId="11" xfId="2" applyFont="1" applyFill="1" applyBorder="1" applyAlignment="1">
      <alignment horizontal="left"/>
    </xf>
    <xf numFmtId="0" fontId="28" fillId="0" borderId="0" xfId="2" applyFont="1" applyFill="1" applyBorder="1" applyAlignment="1">
      <alignment horizontal="left"/>
    </xf>
    <xf numFmtId="0" fontId="78" fillId="0" borderId="0" xfId="2" applyFont="1" applyFill="1" applyBorder="1"/>
    <xf numFmtId="0" fontId="78" fillId="0" borderId="0" xfId="2" applyFont="1" applyFill="1" applyBorder="1" applyAlignment="1">
      <alignment horizontal="left"/>
    </xf>
    <xf numFmtId="1" fontId="11" fillId="0" borderId="12" xfId="70" applyNumberFormat="1" applyFont="1" applyFill="1" applyBorder="1" applyAlignment="1">
      <alignment horizontal="right"/>
    </xf>
    <xf numFmtId="0" fontId="10" fillId="0" borderId="11" xfId="2" applyNumberFormat="1" applyFont="1" applyBorder="1"/>
    <xf numFmtId="181" fontId="10" fillId="0" borderId="0" xfId="56" applyNumberFormat="1" applyFont="1" applyFill="1" applyBorder="1"/>
    <xf numFmtId="181" fontId="10" fillId="0" borderId="12" xfId="56" applyNumberFormat="1" applyFont="1" applyFill="1" applyBorder="1"/>
    <xf numFmtId="0" fontId="42" fillId="0" borderId="11" xfId="2" applyNumberFormat="1" applyFont="1" applyBorder="1"/>
    <xf numFmtId="0" fontId="23" fillId="0" borderId="13" xfId="2" applyNumberFormat="1" applyFont="1" applyBorder="1"/>
    <xf numFmtId="181" fontId="23" fillId="0" borderId="7" xfId="56" applyNumberFormat="1" applyFont="1" applyFill="1" applyBorder="1"/>
    <xf numFmtId="181" fontId="23" fillId="0" borderId="14" xfId="56" applyNumberFormat="1" applyFont="1" applyFill="1" applyBorder="1"/>
    <xf numFmtId="175" fontId="42" fillId="0" borderId="0" xfId="56" applyNumberFormat="1" applyFont="1" applyBorder="1"/>
    <xf numFmtId="175" fontId="42" fillId="0" borderId="0" xfId="56" applyNumberFormat="1" applyFont="1" applyFill="1" applyBorder="1"/>
    <xf numFmtId="175" fontId="42" fillId="0" borderId="12" xfId="56" applyNumberFormat="1" applyFont="1" applyBorder="1"/>
    <xf numFmtId="175" fontId="23" fillId="0" borderId="7" xfId="56" applyNumberFormat="1" applyFont="1" applyBorder="1"/>
    <xf numFmtId="175" fontId="23" fillId="0" borderId="7" xfId="56" applyNumberFormat="1" applyFont="1" applyFill="1" applyBorder="1"/>
    <xf numFmtId="175" fontId="28" fillId="0" borderId="0" xfId="56" applyNumberFormat="1" applyFont="1" applyFill="1" applyBorder="1" applyAlignment="1">
      <alignment horizontal="right"/>
    </xf>
    <xf numFmtId="175" fontId="28" fillId="0" borderId="12" xfId="56" applyNumberFormat="1" applyFont="1" applyFill="1" applyBorder="1" applyAlignment="1">
      <alignment horizontal="right"/>
    </xf>
    <xf numFmtId="175" fontId="80" fillId="0" borderId="0" xfId="56" applyNumberFormat="1" applyFont="1" applyFill="1" applyBorder="1" applyAlignment="1">
      <alignment horizontal="right"/>
    </xf>
    <xf numFmtId="175" fontId="81" fillId="0" borderId="0" xfId="56" applyNumberFormat="1" applyFont="1" applyFill="1" applyBorder="1" applyAlignment="1">
      <alignment horizontal="right"/>
    </xf>
    <xf numFmtId="175" fontId="11" fillId="0" borderId="0" xfId="56" applyNumberFormat="1" applyFont="1" applyFill="1" applyBorder="1" applyAlignment="1">
      <alignment horizontal="right"/>
    </xf>
    <xf numFmtId="175" fontId="11" fillId="0" borderId="12" xfId="56" applyNumberFormat="1" applyFont="1" applyFill="1" applyBorder="1" applyAlignment="1">
      <alignment horizontal="right"/>
    </xf>
    <xf numFmtId="175" fontId="13" fillId="0" borderId="0" xfId="56" applyNumberFormat="1" applyFont="1" applyFill="1" applyBorder="1" applyAlignment="1">
      <alignment horizontal="right"/>
    </xf>
    <xf numFmtId="1" fontId="13" fillId="0" borderId="12" xfId="70" applyNumberFormat="1" applyFont="1" applyFill="1" applyBorder="1" applyAlignment="1">
      <alignment horizontal="right"/>
    </xf>
    <xf numFmtId="175" fontId="80" fillId="0" borderId="12" xfId="56" applyNumberFormat="1" applyFont="1" applyFill="1" applyBorder="1" applyAlignment="1">
      <alignment horizontal="right"/>
    </xf>
    <xf numFmtId="175" fontId="81" fillId="0" borderId="12" xfId="56" applyNumberFormat="1" applyFont="1" applyFill="1" applyBorder="1" applyAlignment="1">
      <alignment horizontal="right"/>
    </xf>
    <xf numFmtId="175" fontId="13" fillId="0" borderId="12" xfId="56" applyNumberFormat="1" applyFont="1" applyFill="1" applyBorder="1" applyAlignment="1">
      <alignment horizontal="right"/>
    </xf>
    <xf numFmtId="175" fontId="78" fillId="0" borderId="12" xfId="56" applyNumberFormat="1" applyFont="1" applyFill="1" applyBorder="1"/>
    <xf numFmtId="0" fontId="10" fillId="0" borderId="11" xfId="56" applyNumberFormat="1" applyFont="1" applyFill="1" applyBorder="1"/>
    <xf numFmtId="0" fontId="42" fillId="0" borderId="11" xfId="56" applyNumberFormat="1" applyFont="1" applyFill="1" applyBorder="1"/>
    <xf numFmtId="175" fontId="10" fillId="0" borderId="0" xfId="56" applyNumberFormat="1" applyFont="1"/>
    <xf numFmtId="0" fontId="10" fillId="0" borderId="13" xfId="56" applyNumberFormat="1" applyFont="1" applyFill="1" applyBorder="1"/>
    <xf numFmtId="175" fontId="10" fillId="0" borderId="7" xfId="56" applyNumberFormat="1" applyFont="1" applyBorder="1"/>
    <xf numFmtId="172" fontId="11" fillId="0" borderId="13" xfId="2" applyNumberFormat="1" applyFont="1" applyFill="1" applyBorder="1"/>
    <xf numFmtId="175" fontId="15" fillId="0" borderId="7" xfId="56" applyNumberFormat="1" applyFont="1" applyFill="1" applyBorder="1"/>
    <xf numFmtId="175" fontId="15" fillId="0" borderId="14" xfId="56" applyNumberFormat="1" applyFont="1" applyFill="1" applyBorder="1"/>
    <xf numFmtId="175" fontId="15" fillId="0" borderId="0" xfId="56" applyNumberFormat="1" applyFont="1"/>
    <xf numFmtId="43" fontId="5" fillId="0" borderId="0" xfId="2" applyNumberFormat="1" applyFont="1"/>
    <xf numFmtId="43" fontId="54" fillId="0" borderId="0" xfId="56" applyFont="1" applyBorder="1"/>
    <xf numFmtId="177" fontId="5" fillId="0" borderId="0" xfId="2" applyNumberFormat="1" applyFont="1"/>
    <xf numFmtId="0" fontId="0" fillId="0" borderId="0" xfId="0" applyBorder="1"/>
    <xf numFmtId="0" fontId="0" fillId="0" borderId="11" xfId="0" applyBorder="1"/>
    <xf numFmtId="168" fontId="10" fillId="0" borderId="0" xfId="74" applyNumberFormat="1" applyFont="1"/>
    <xf numFmtId="0" fontId="10" fillId="0" borderId="0" xfId="0" applyFont="1"/>
    <xf numFmtId="168" fontId="10" fillId="0" borderId="0" xfId="74" applyNumberFormat="1" applyFont="1" applyFill="1" applyBorder="1" applyAlignment="1"/>
    <xf numFmtId="168" fontId="10" fillId="0" borderId="12" xfId="74" applyNumberFormat="1" applyFont="1" applyFill="1" applyBorder="1" applyAlignment="1"/>
    <xf numFmtId="181" fontId="23" fillId="0" borderId="0" xfId="56" applyNumberFormat="1" applyFont="1" applyFill="1" applyBorder="1"/>
    <xf numFmtId="181" fontId="23" fillId="0" borderId="11" xfId="56" applyNumberFormat="1" applyFont="1" applyFill="1" applyBorder="1"/>
    <xf numFmtId="175" fontId="10" fillId="0" borderId="11" xfId="56" applyNumberFormat="1" applyFont="1" applyFill="1" applyBorder="1"/>
    <xf numFmtId="168" fontId="0" fillId="0" borderId="0" xfId="0" applyNumberFormat="1"/>
    <xf numFmtId="175" fontId="23" fillId="0" borderId="0" xfId="56" applyNumberFormat="1" applyFont="1" applyFill="1" applyBorder="1"/>
    <xf numFmtId="0" fontId="0" fillId="0" borderId="14" xfId="0" applyBorder="1"/>
    <xf numFmtId="0" fontId="23" fillId="0" borderId="0" xfId="2" applyNumberFormat="1" applyFont="1" applyBorder="1"/>
    <xf numFmtId="165" fontId="10" fillId="0" borderId="0" xfId="2" applyNumberFormat="1" applyFont="1"/>
    <xf numFmtId="165" fontId="23" fillId="13" borderId="15" xfId="2" applyNumberFormat="1" applyFont="1" applyFill="1" applyBorder="1"/>
    <xf numFmtId="165" fontId="10" fillId="13" borderId="1" xfId="2" applyNumberFormat="1" applyFont="1" applyFill="1" applyBorder="1"/>
    <xf numFmtId="165" fontId="23" fillId="13" borderId="1" xfId="2" applyNumberFormat="1" applyFont="1" applyFill="1" applyBorder="1" applyAlignment="1">
      <alignment horizontal="right"/>
    </xf>
    <xf numFmtId="165" fontId="23" fillId="13" borderId="16" xfId="2" applyNumberFormat="1" applyFont="1" applyFill="1" applyBorder="1" applyAlignment="1">
      <alignment horizontal="right"/>
    </xf>
    <xf numFmtId="165" fontId="23" fillId="13" borderId="15" xfId="2" applyNumberFormat="1" applyFont="1" applyFill="1" applyBorder="1" applyAlignment="1">
      <alignment horizontal="right"/>
    </xf>
    <xf numFmtId="165" fontId="10" fillId="0" borderId="12" xfId="2" applyNumberFormat="1" applyFont="1" applyBorder="1"/>
    <xf numFmtId="9" fontId="15" fillId="0" borderId="10" xfId="2" applyNumberFormat="1" applyFont="1" applyBorder="1" applyAlignment="1">
      <alignment horizontal="center"/>
    </xf>
    <xf numFmtId="9" fontId="15" fillId="0" borderId="12" xfId="2" applyNumberFormat="1" applyFont="1" applyBorder="1" applyAlignment="1">
      <alignment horizontal="center"/>
    </xf>
    <xf numFmtId="178" fontId="5" fillId="0" borderId="0" xfId="2" applyNumberFormat="1" applyFont="1"/>
    <xf numFmtId="9" fontId="15" fillId="0" borderId="0" xfId="74" applyFont="1" applyFill="1" applyBorder="1" applyAlignment="1"/>
    <xf numFmtId="9" fontId="15" fillId="0" borderId="9" xfId="2" applyNumberFormat="1" applyFont="1" applyBorder="1" applyAlignment="1">
      <alignment horizontal="center"/>
    </xf>
    <xf numFmtId="9" fontId="15" fillId="0" borderId="11" xfId="2" applyNumberFormat="1" applyFont="1" applyBorder="1" applyAlignment="1">
      <alignment horizontal="center"/>
    </xf>
    <xf numFmtId="9" fontId="15" fillId="0" borderId="13" xfId="2" applyNumberFormat="1" applyFont="1" applyBorder="1" applyAlignment="1">
      <alignment horizontal="center"/>
    </xf>
    <xf numFmtId="0" fontId="15" fillId="0" borderId="12" xfId="2" applyFont="1" applyBorder="1"/>
    <xf numFmtId="177" fontId="17" fillId="0" borderId="12" xfId="2" applyNumberFormat="1" applyFont="1" applyBorder="1"/>
    <xf numFmtId="167" fontId="15" fillId="0" borderId="9" xfId="2" applyNumberFormat="1" applyFont="1" applyFill="1" applyBorder="1" applyAlignment="1"/>
    <xf numFmtId="187" fontId="21" fillId="0" borderId="12" xfId="2" applyNumberFormat="1" applyFont="1" applyFill="1" applyBorder="1" applyAlignment="1"/>
    <xf numFmtId="164" fontId="11" fillId="0" borderId="12" xfId="2" applyNumberFormat="1" applyFont="1" applyFill="1" applyBorder="1" applyAlignment="1"/>
    <xf numFmtId="171" fontId="10" fillId="0" borderId="12" xfId="2" applyNumberFormat="1" applyFont="1" applyFill="1" applyBorder="1" applyAlignment="1"/>
    <xf numFmtId="168" fontId="47" fillId="0" borderId="12" xfId="2" applyNumberFormat="1" applyFont="1" applyFill="1" applyBorder="1"/>
    <xf numFmtId="168" fontId="47" fillId="0" borderId="0" xfId="2" applyNumberFormat="1" applyFont="1" applyFill="1" applyBorder="1"/>
    <xf numFmtId="168" fontId="47" fillId="0" borderId="11" xfId="2" applyNumberFormat="1" applyFont="1" applyFill="1" applyBorder="1"/>
    <xf numFmtId="43" fontId="11" fillId="0" borderId="0" xfId="2" applyNumberFormat="1" applyFont="1" applyBorder="1"/>
    <xf numFmtId="43" fontId="11" fillId="0" borderId="12" xfId="2" applyNumberFormat="1" applyFont="1" applyBorder="1"/>
    <xf numFmtId="43" fontId="11" fillId="0" borderId="11" xfId="2" applyNumberFormat="1" applyFont="1" applyBorder="1"/>
    <xf numFmtId="177" fontId="0" fillId="0" borderId="0" xfId="0" applyNumberFormat="1"/>
    <xf numFmtId="168" fontId="15" fillId="0" borderId="0" xfId="74" applyNumberFormat="1" applyFont="1" applyFill="1" applyBorder="1" applyAlignment="1"/>
    <xf numFmtId="9" fontId="5" fillId="0" borderId="0" xfId="74" applyFont="1"/>
    <xf numFmtId="206" fontId="5" fillId="0" borderId="0" xfId="2" applyNumberFormat="1" applyFont="1"/>
    <xf numFmtId="168" fontId="15" fillId="0" borderId="11" xfId="74" applyNumberFormat="1" applyFont="1" applyFill="1" applyBorder="1" applyAlignment="1"/>
    <xf numFmtId="168" fontId="15" fillId="0" borderId="12" xfId="74" applyNumberFormat="1" applyFont="1" applyFill="1" applyBorder="1" applyAlignment="1"/>
    <xf numFmtId="167" fontId="15" fillId="0" borderId="0" xfId="3" applyNumberFormat="1" applyFont="1" applyFill="1" applyBorder="1" applyAlignment="1"/>
    <xf numFmtId="0" fontId="26" fillId="13" borderId="0" xfId="2" applyFont="1" applyFill="1" applyBorder="1"/>
    <xf numFmtId="164" fontId="59" fillId="0" borderId="11" xfId="2" applyNumberFormat="1" applyFont="1" applyFill="1" applyBorder="1" applyAlignment="1"/>
    <xf numFmtId="1" fontId="74" fillId="16" borderId="15" xfId="71" applyNumberFormat="1" applyFont="1" applyFill="1" applyBorder="1" applyAlignment="1">
      <alignment horizontal="right"/>
    </xf>
    <xf numFmtId="1" fontId="11" fillId="17" borderId="15" xfId="71" applyNumberFormat="1" applyFont="1" applyFill="1" applyBorder="1" applyAlignment="1">
      <alignment horizontal="right"/>
    </xf>
    <xf numFmtId="164" fontId="11" fillId="0" borderId="11" xfId="2" applyNumberFormat="1" applyFont="1" applyBorder="1"/>
    <xf numFmtId="168" fontId="12" fillId="0" borderId="9" xfId="74" applyNumberFormat="1" applyFont="1" applyBorder="1"/>
    <xf numFmtId="168" fontId="12" fillId="0" borderId="18" xfId="74" applyNumberFormat="1" applyFont="1" applyBorder="1"/>
    <xf numFmtId="168" fontId="12" fillId="0" borderId="10" xfId="74" applyNumberFormat="1" applyFont="1" applyBorder="1"/>
    <xf numFmtId="175" fontId="28" fillId="0" borderId="11" xfId="56" applyNumberFormat="1" applyFont="1" applyBorder="1"/>
    <xf numFmtId="9" fontId="28" fillId="0" borderId="11" xfId="74" applyFont="1" applyFill="1" applyBorder="1"/>
    <xf numFmtId="175" fontId="76" fillId="0" borderId="11" xfId="56" applyNumberFormat="1" applyFont="1" applyBorder="1"/>
    <xf numFmtId="175" fontId="28" fillId="0" borderId="11" xfId="56" applyNumberFormat="1" applyFont="1" applyFill="1" applyBorder="1"/>
    <xf numFmtId="164" fontId="11" fillId="0" borderId="13" xfId="2" applyNumberFormat="1" applyFont="1" applyBorder="1"/>
    <xf numFmtId="164" fontId="59" fillId="0" borderId="13" xfId="2" applyNumberFormat="1" applyFont="1" applyFill="1" applyBorder="1" applyAlignment="1"/>
    <xf numFmtId="164" fontId="59" fillId="0" borderId="7" xfId="2" applyNumberFormat="1" applyFont="1" applyFill="1" applyBorder="1" applyAlignment="1"/>
    <xf numFmtId="164" fontId="59" fillId="0" borderId="7" xfId="56" applyNumberFormat="1" applyFont="1" applyFill="1" applyBorder="1" applyAlignment="1"/>
    <xf numFmtId="164" fontId="59" fillId="0" borderId="14" xfId="56" applyNumberFormat="1" applyFont="1" applyFill="1" applyBorder="1" applyAlignment="1"/>
    <xf numFmtId="164" fontId="59" fillId="14" borderId="11" xfId="2" applyNumberFormat="1" applyFont="1" applyFill="1" applyBorder="1" applyAlignment="1"/>
    <xf numFmtId="164" fontId="59" fillId="14" borderId="0" xfId="2" applyNumberFormat="1" applyFont="1" applyFill="1" applyBorder="1" applyAlignment="1"/>
    <xf numFmtId="164" fontId="59" fillId="14" borderId="0" xfId="56" applyNumberFormat="1" applyFont="1" applyFill="1" applyBorder="1" applyAlignment="1"/>
    <xf numFmtId="164" fontId="59" fillId="14" borderId="12" xfId="56" applyNumberFormat="1" applyFont="1" applyFill="1" applyBorder="1" applyAlignment="1"/>
    <xf numFmtId="168" fontId="28" fillId="14" borderId="0" xfId="74" applyNumberFormat="1" applyFont="1" applyFill="1" applyBorder="1"/>
    <xf numFmtId="168" fontId="28" fillId="14" borderId="12" xfId="74" applyNumberFormat="1" applyFont="1" applyFill="1" applyBorder="1"/>
    <xf numFmtId="168" fontId="28" fillId="14" borderId="11" xfId="74" applyNumberFormat="1" applyFont="1" applyFill="1" applyBorder="1"/>
    <xf numFmtId="168" fontId="29" fillId="14" borderId="0" xfId="74" applyNumberFormat="1" applyFont="1" applyFill="1" applyBorder="1"/>
    <xf numFmtId="168" fontId="10" fillId="14" borderId="11" xfId="2" applyNumberFormat="1" applyFont="1" applyFill="1" applyBorder="1"/>
    <xf numFmtId="168" fontId="10" fillId="14" borderId="0" xfId="2" applyNumberFormat="1" applyFont="1" applyFill="1" applyBorder="1"/>
    <xf numFmtId="168" fontId="10" fillId="14" borderId="12" xfId="2" applyNumberFormat="1" applyFont="1" applyFill="1" applyBorder="1"/>
    <xf numFmtId="168" fontId="12" fillId="14" borderId="0" xfId="74" applyNumberFormat="1" applyFont="1" applyFill="1" applyBorder="1" applyAlignment="1"/>
    <xf numFmtId="168" fontId="16" fillId="14" borderId="0" xfId="74" applyNumberFormat="1" applyFont="1" applyFill="1" applyBorder="1" applyAlignment="1"/>
    <xf numFmtId="164" fontId="10" fillId="14" borderId="0" xfId="2" applyNumberFormat="1" applyFont="1" applyFill="1" applyBorder="1"/>
    <xf numFmtId="164" fontId="10" fillId="14" borderId="12" xfId="2" applyNumberFormat="1" applyFont="1" applyFill="1" applyBorder="1"/>
    <xf numFmtId="164" fontId="10" fillId="14" borderId="11" xfId="2" applyNumberFormat="1" applyFont="1" applyFill="1" applyBorder="1"/>
    <xf numFmtId="164" fontId="59" fillId="14" borderId="13" xfId="2" applyNumberFormat="1" applyFont="1" applyFill="1" applyBorder="1" applyAlignment="1"/>
    <xf numFmtId="164" fontId="59" fillId="14" borderId="7" xfId="2" applyNumberFormat="1" applyFont="1" applyFill="1" applyBorder="1" applyAlignment="1"/>
    <xf numFmtId="164" fontId="59" fillId="14" borderId="7" xfId="56" applyNumberFormat="1" applyFont="1" applyFill="1" applyBorder="1" applyAlignment="1"/>
    <xf numFmtId="164" fontId="59" fillId="14" borderId="14" xfId="56" applyNumberFormat="1" applyFont="1" applyFill="1" applyBorder="1" applyAlignment="1"/>
    <xf numFmtId="164" fontId="59" fillId="0" borderId="12" xfId="2" applyNumberFormat="1" applyFont="1" applyFill="1" applyBorder="1" applyAlignment="1"/>
    <xf numFmtId="164" fontId="59" fillId="0" borderId="14" xfId="2" applyNumberFormat="1" applyFont="1" applyFill="1" applyBorder="1" applyAlignment="1"/>
    <xf numFmtId="164" fontId="10" fillId="14" borderId="11" xfId="2" applyNumberFormat="1" applyFont="1" applyFill="1" applyBorder="1" applyAlignment="1"/>
    <xf numFmtId="164" fontId="10" fillId="14" borderId="0" xfId="2" applyNumberFormat="1" applyFont="1" applyFill="1" applyBorder="1" applyAlignment="1"/>
    <xf numFmtId="164" fontId="10" fillId="14" borderId="0" xfId="56" applyNumberFormat="1" applyFont="1" applyFill="1" applyBorder="1" applyAlignment="1"/>
    <xf numFmtId="164" fontId="10" fillId="14" borderId="12" xfId="56" applyNumberFormat="1" applyFont="1" applyFill="1" applyBorder="1" applyAlignment="1"/>
    <xf numFmtId="164" fontId="59" fillId="14" borderId="11" xfId="56" applyNumberFormat="1" applyFont="1" applyFill="1" applyBorder="1" applyAlignment="1"/>
    <xf numFmtId="164" fontId="87" fillId="0" borderId="0" xfId="2" applyNumberFormat="1" applyFont="1" applyFill="1" applyBorder="1" applyAlignment="1"/>
    <xf numFmtId="164" fontId="87" fillId="0" borderId="0" xfId="56" applyNumberFormat="1" applyFont="1" applyFill="1" applyBorder="1" applyAlignment="1"/>
    <xf numFmtId="164" fontId="87" fillId="0" borderId="12" xfId="56" applyNumberFormat="1" applyFont="1" applyFill="1" applyBorder="1" applyAlignment="1"/>
    <xf numFmtId="168" fontId="86" fillId="0" borderId="0" xfId="74" applyNumberFormat="1" applyFont="1" applyFill="1" applyBorder="1" applyAlignment="1"/>
    <xf numFmtId="168" fontId="86" fillId="0" borderId="12" xfId="74" applyNumberFormat="1" applyFont="1" applyFill="1" applyBorder="1" applyAlignment="1"/>
    <xf numFmtId="178" fontId="10" fillId="0" borderId="13" xfId="2" applyNumberFormat="1" applyFont="1" applyFill="1" applyBorder="1"/>
    <xf numFmtId="178" fontId="10" fillId="0" borderId="7" xfId="2" applyNumberFormat="1" applyFont="1" applyFill="1" applyBorder="1"/>
    <xf numFmtId="178" fontId="10" fillId="0" borderId="14" xfId="2" applyNumberFormat="1" applyFont="1" applyFill="1" applyBorder="1"/>
    <xf numFmtId="175" fontId="90" fillId="12" borderId="0" xfId="59" applyNumberFormat="1" applyFont="1" applyFill="1" applyBorder="1"/>
    <xf numFmtId="175" fontId="90" fillId="12" borderId="12" xfId="59" applyNumberFormat="1" applyFont="1" applyFill="1" applyBorder="1"/>
    <xf numFmtId="164" fontId="10" fillId="0" borderId="11" xfId="3" applyNumberFormat="1" applyFont="1" applyFill="1" applyBorder="1"/>
    <xf numFmtId="164" fontId="10" fillId="0" borderId="0" xfId="3" applyNumberFormat="1" applyFont="1" applyFill="1" applyBorder="1"/>
    <xf numFmtId="164" fontId="10" fillId="0" borderId="12" xfId="3" applyNumberFormat="1" applyFont="1" applyFill="1" applyBorder="1"/>
    <xf numFmtId="168" fontId="90" fillId="12" borderId="0" xfId="59" applyNumberFormat="1" applyFont="1" applyFill="1" applyBorder="1"/>
    <xf numFmtId="168" fontId="90" fillId="12" borderId="12" xfId="59" applyNumberFormat="1" applyFont="1" applyFill="1" applyBorder="1"/>
    <xf numFmtId="168" fontId="90" fillId="12" borderId="11" xfId="59" applyNumberFormat="1" applyFont="1" applyFill="1" applyBorder="1"/>
    <xf numFmtId="168" fontId="86" fillId="0" borderId="11" xfId="74" applyNumberFormat="1" applyFont="1" applyFill="1" applyBorder="1" applyAlignment="1"/>
    <xf numFmtId="168" fontId="90" fillId="12" borderId="13" xfId="59" applyNumberFormat="1" applyFont="1" applyFill="1" applyBorder="1"/>
    <xf numFmtId="168" fontId="90" fillId="12" borderId="7" xfId="59" applyNumberFormat="1" applyFont="1" applyFill="1" applyBorder="1"/>
    <xf numFmtId="168" fontId="90" fillId="12" borderId="14" xfId="59" applyNumberFormat="1" applyFont="1" applyFill="1" applyBorder="1"/>
    <xf numFmtId="164" fontId="59" fillId="14" borderId="9" xfId="56" applyNumberFormat="1" applyFont="1" applyFill="1" applyBorder="1" applyAlignment="1"/>
    <xf numFmtId="164" fontId="59" fillId="14" borderId="18" xfId="56" applyNumberFormat="1" applyFont="1" applyFill="1" applyBorder="1" applyAlignment="1"/>
    <xf numFmtId="174" fontId="15" fillId="0" borderId="0" xfId="2" applyNumberFormat="1" applyFont="1" applyFill="1" applyBorder="1" applyAlignment="1"/>
    <xf numFmtId="174" fontId="15" fillId="0" borderId="12" xfId="2" applyNumberFormat="1" applyFont="1" applyFill="1" applyBorder="1" applyAlignment="1"/>
    <xf numFmtId="208" fontId="59" fillId="0" borderId="0" xfId="62" applyNumberFormat="1" applyFont="1" applyFill="1" applyBorder="1" applyAlignment="1"/>
    <xf numFmtId="208" fontId="59" fillId="0" borderId="12" xfId="62" applyNumberFormat="1" applyFont="1" applyFill="1" applyBorder="1" applyAlignment="1"/>
    <xf numFmtId="175" fontId="59" fillId="0" borderId="0" xfId="56" applyNumberFormat="1" applyFont="1" applyFill="1" applyBorder="1" applyAlignment="1"/>
    <xf numFmtId="175" fontId="59" fillId="0" borderId="12" xfId="56" applyNumberFormat="1" applyFont="1" applyFill="1" applyBorder="1" applyAlignment="1"/>
    <xf numFmtId="175" fontId="91" fillId="12" borderId="0" xfId="56" applyNumberFormat="1" applyFont="1" applyFill="1" applyBorder="1"/>
    <xf numFmtId="175" fontId="91" fillId="12" borderId="11" xfId="56" applyNumberFormat="1" applyFont="1" applyFill="1" applyBorder="1"/>
    <xf numFmtId="49" fontId="0" fillId="0" borderId="0" xfId="0" applyNumberFormat="1"/>
    <xf numFmtId="177" fontId="58" fillId="0" borderId="9" xfId="2" applyNumberFormat="1" applyFont="1" applyFill="1" applyBorder="1"/>
    <xf numFmtId="178" fontId="92" fillId="0" borderId="0" xfId="2" applyNumberFormat="1" applyFont="1" applyFill="1" applyBorder="1"/>
    <xf numFmtId="1" fontId="13" fillId="13" borderId="9" xfId="70" applyNumberFormat="1" applyFont="1" applyFill="1" applyBorder="1" applyAlignment="1">
      <alignment horizontal="right"/>
    </xf>
    <xf numFmtId="1" fontId="13" fillId="13" borderId="10" xfId="70" applyNumberFormat="1" applyFont="1" applyFill="1" applyBorder="1" applyAlignment="1">
      <alignment horizontal="right"/>
    </xf>
    <xf numFmtId="168" fontId="19" fillId="0" borderId="13" xfId="74" applyNumberFormat="1" applyFont="1" applyBorder="1" applyAlignment="1">
      <alignment horizontal="right"/>
    </xf>
    <xf numFmtId="168" fontId="19" fillId="0" borderId="7" xfId="74" applyNumberFormat="1" applyFont="1" applyBorder="1" applyAlignment="1">
      <alignment horizontal="right"/>
    </xf>
    <xf numFmtId="168" fontId="51" fillId="0" borderId="7" xfId="74" applyNumberFormat="1" applyFont="1" applyBorder="1" applyAlignment="1">
      <alignment horizontal="right"/>
    </xf>
    <xf numFmtId="168" fontId="51" fillId="0" borderId="13" xfId="74" applyNumberFormat="1" applyFont="1" applyBorder="1" applyAlignment="1">
      <alignment horizontal="right"/>
    </xf>
    <xf numFmtId="175" fontId="24" fillId="0" borderId="0" xfId="56" applyNumberFormat="1" applyFont="1" applyFill="1" applyBorder="1"/>
    <xf numFmtId="175" fontId="58" fillId="0" borderId="11" xfId="56" applyNumberFormat="1" applyFont="1" applyFill="1" applyBorder="1"/>
    <xf numFmtId="0" fontId="15" fillId="0" borderId="0" xfId="2" applyFont="1" applyBorder="1"/>
    <xf numFmtId="43" fontId="10" fillId="0" borderId="0" xfId="56" applyNumberFormat="1" applyFont="1" applyFill="1" applyBorder="1" applyAlignment="1"/>
    <xf numFmtId="168" fontId="12" fillId="0" borderId="0" xfId="75" applyNumberFormat="1" applyFont="1" applyFill="1" applyBorder="1" applyAlignment="1"/>
    <xf numFmtId="168" fontId="12" fillId="0" borderId="12" xfId="75" applyNumberFormat="1" applyFont="1" applyFill="1" applyBorder="1" applyAlignment="1"/>
    <xf numFmtId="168" fontId="12" fillId="0" borderId="11" xfId="75" applyNumberFormat="1" applyFont="1" applyFill="1" applyBorder="1" applyAlignment="1"/>
    <xf numFmtId="164" fontId="179" fillId="0" borderId="0" xfId="2" applyNumberFormat="1" applyFont="1" applyFill="1" applyBorder="1" applyAlignment="1"/>
    <xf numFmtId="187" fontId="42" fillId="0" borderId="12" xfId="2" applyNumberFormat="1" applyFont="1" applyBorder="1"/>
    <xf numFmtId="187" fontId="21" fillId="0" borderId="11" xfId="2" applyNumberFormat="1" applyFont="1" applyFill="1" applyBorder="1" applyAlignment="1"/>
    <xf numFmtId="174" fontId="15" fillId="0" borderId="11" xfId="2" applyNumberFormat="1" applyFont="1" applyFill="1" applyBorder="1" applyAlignment="1"/>
    <xf numFmtId="174" fontId="41" fillId="0" borderId="11" xfId="2" applyNumberFormat="1" applyFont="1" applyFill="1" applyBorder="1" applyAlignment="1"/>
    <xf numFmtId="164" fontId="179" fillId="0" borderId="11" xfId="2" applyNumberFormat="1" applyFont="1" applyFill="1" applyBorder="1" applyAlignment="1"/>
    <xf numFmtId="164" fontId="179" fillId="0" borderId="12" xfId="2" applyNumberFormat="1" applyFont="1" applyFill="1" applyBorder="1" applyAlignment="1"/>
    <xf numFmtId="164" fontId="11" fillId="0" borderId="11" xfId="2" applyNumberFormat="1" applyFont="1" applyFill="1" applyBorder="1" applyAlignment="1"/>
    <xf numFmtId="171" fontId="10" fillId="0" borderId="11" xfId="2" applyNumberFormat="1" applyFont="1" applyFill="1" applyBorder="1" applyAlignment="1"/>
    <xf numFmtId="43" fontId="10" fillId="0" borderId="0" xfId="2" applyNumberFormat="1" applyFont="1" applyFill="1" applyBorder="1" applyAlignment="1"/>
    <xf numFmtId="186" fontId="10" fillId="0" borderId="12" xfId="2" applyNumberFormat="1" applyFont="1" applyBorder="1"/>
    <xf numFmtId="187" fontId="18" fillId="0" borderId="12" xfId="2" applyNumberFormat="1" applyFont="1" applyBorder="1"/>
    <xf numFmtId="164" fontId="10" fillId="0" borderId="12" xfId="2" applyNumberFormat="1" applyFont="1" applyBorder="1"/>
    <xf numFmtId="181" fontId="23" fillId="0" borderId="12" xfId="2" applyNumberFormat="1" applyFont="1" applyBorder="1"/>
    <xf numFmtId="187" fontId="28" fillId="0" borderId="12" xfId="2" applyNumberFormat="1" applyFont="1" applyBorder="1"/>
    <xf numFmtId="181" fontId="10" fillId="0" borderId="12" xfId="56" applyNumberFormat="1" applyFont="1" applyBorder="1"/>
    <xf numFmtId="43" fontId="10" fillId="0" borderId="11" xfId="2" applyNumberFormat="1" applyFont="1" applyFill="1" applyBorder="1" applyAlignment="1"/>
    <xf numFmtId="43" fontId="10" fillId="0" borderId="12" xfId="2" applyNumberFormat="1" applyFont="1" applyFill="1" applyBorder="1" applyAlignment="1"/>
    <xf numFmtId="167" fontId="10" fillId="0" borderId="12" xfId="2" applyNumberFormat="1" applyFont="1" applyFill="1" applyBorder="1" applyAlignment="1"/>
    <xf numFmtId="0" fontId="56" fillId="0" borderId="0" xfId="2" applyFont="1" applyFill="1" applyAlignment="1">
      <alignment vertical="center"/>
    </xf>
    <xf numFmtId="9" fontId="10" fillId="0" borderId="0" xfId="74" applyFont="1"/>
    <xf numFmtId="180" fontId="10" fillId="0" borderId="0" xfId="0" applyNumberFormat="1" applyFont="1"/>
    <xf numFmtId="44" fontId="10" fillId="0" borderId="0" xfId="62" applyFont="1"/>
    <xf numFmtId="169" fontId="11" fillId="13" borderId="15" xfId="2" applyNumberFormat="1" applyFont="1" applyFill="1" applyBorder="1" applyAlignment="1">
      <alignment horizontal="right"/>
    </xf>
    <xf numFmtId="169" fontId="11" fillId="13" borderId="1" xfId="2" applyNumberFormat="1" applyFont="1" applyFill="1" applyBorder="1" applyAlignment="1">
      <alignment horizontal="right"/>
    </xf>
    <xf numFmtId="169" fontId="11" fillId="13" borderId="16" xfId="2" applyNumberFormat="1" applyFont="1" applyFill="1" applyBorder="1" applyAlignment="1">
      <alignment horizontal="right"/>
    </xf>
    <xf numFmtId="175" fontId="11" fillId="0" borderId="7" xfId="56" applyNumberFormat="1" applyFont="1" applyBorder="1"/>
    <xf numFmtId="175" fontId="11" fillId="0" borderId="14" xfId="56" applyNumberFormat="1" applyFont="1" applyBorder="1"/>
    <xf numFmtId="165" fontId="11" fillId="13" borderId="1" xfId="2" applyNumberFormat="1" applyFont="1" applyFill="1" applyBorder="1" applyAlignment="1">
      <alignment horizontal="right"/>
    </xf>
    <xf numFmtId="165" fontId="11" fillId="13" borderId="16" xfId="2" applyNumberFormat="1" applyFont="1" applyFill="1" applyBorder="1" applyAlignment="1">
      <alignment horizontal="right"/>
    </xf>
    <xf numFmtId="167" fontId="10" fillId="0" borderId="0" xfId="0" applyNumberFormat="1" applyFont="1" applyBorder="1"/>
    <xf numFmtId="167" fontId="10" fillId="0" borderId="12" xfId="0" applyNumberFormat="1" applyFont="1" applyBorder="1"/>
    <xf numFmtId="187" fontId="12" fillId="0" borderId="0" xfId="2" applyNumberFormat="1" applyFont="1" applyFill="1" applyBorder="1" applyAlignment="1"/>
    <xf numFmtId="164" fontId="65" fillId="0" borderId="0" xfId="0" applyNumberFormat="1" applyFont="1" applyBorder="1"/>
    <xf numFmtId="164" fontId="65" fillId="0" borderId="11" xfId="0" applyNumberFormat="1" applyFont="1" applyBorder="1"/>
    <xf numFmtId="164" fontId="65" fillId="0" borderId="12" xfId="0" applyNumberFormat="1" applyFont="1" applyBorder="1"/>
    <xf numFmtId="164" fontId="10" fillId="0" borderId="0" xfId="0" applyNumberFormat="1" applyFont="1" applyBorder="1"/>
    <xf numFmtId="168" fontId="84" fillId="12" borderId="0" xfId="59" applyNumberFormat="1" applyFont="1" applyFill="1" applyBorder="1"/>
    <xf numFmtId="168" fontId="84" fillId="12" borderId="11" xfId="59" applyNumberFormat="1" applyFont="1" applyFill="1" applyBorder="1"/>
    <xf numFmtId="168" fontId="84" fillId="12" borderId="12" xfId="59" applyNumberFormat="1" applyFont="1" applyFill="1" applyBorder="1"/>
    <xf numFmtId="168" fontId="84" fillId="12" borderId="7" xfId="59" applyNumberFormat="1" applyFont="1" applyFill="1" applyBorder="1"/>
    <xf numFmtId="168" fontId="84" fillId="12" borderId="14" xfId="59" applyNumberFormat="1" applyFont="1" applyFill="1" applyBorder="1"/>
    <xf numFmtId="165" fontId="11" fillId="13" borderId="15" xfId="2" applyNumberFormat="1" applyFont="1" applyFill="1" applyBorder="1" applyAlignment="1">
      <alignment horizontal="right"/>
    </xf>
    <xf numFmtId="42" fontId="10" fillId="0" borderId="0" xfId="62" applyNumberFormat="1" applyFont="1"/>
    <xf numFmtId="42" fontId="10" fillId="0" borderId="0" xfId="2" applyNumberFormat="1" applyFont="1"/>
    <xf numFmtId="3" fontId="165" fillId="0" borderId="0" xfId="2" applyNumberFormat="1" applyFont="1" applyFill="1" applyBorder="1" applyAlignment="1"/>
    <xf numFmtId="3" fontId="165" fillId="0" borderId="12" xfId="2" applyNumberFormat="1" applyFont="1" applyFill="1" applyBorder="1" applyAlignment="1"/>
    <xf numFmtId="175" fontId="10" fillId="0" borderId="11" xfId="56" applyNumberFormat="1" applyFont="1" applyBorder="1"/>
    <xf numFmtId="165" fontId="11" fillId="13" borderId="10" xfId="2" applyNumberFormat="1" applyFont="1" applyFill="1" applyBorder="1" applyAlignment="1">
      <alignment horizontal="right"/>
    </xf>
    <xf numFmtId="165" fontId="11" fillId="13" borderId="18" xfId="2" applyNumberFormat="1" applyFont="1" applyFill="1" applyBorder="1" applyAlignment="1">
      <alignment horizontal="right"/>
    </xf>
    <xf numFmtId="175" fontId="15" fillId="0" borderId="13" xfId="56" applyNumberFormat="1" applyFont="1" applyBorder="1"/>
    <xf numFmtId="181" fontId="11" fillId="0" borderId="16" xfId="56" applyNumberFormat="1" applyFont="1" applyFill="1" applyBorder="1"/>
    <xf numFmtId="228" fontId="10" fillId="0" borderId="14" xfId="0" applyNumberFormat="1" applyFont="1" applyBorder="1"/>
    <xf numFmtId="1" fontId="11" fillId="0" borderId="7" xfId="56" applyNumberFormat="1" applyFont="1" applyBorder="1"/>
    <xf numFmtId="1" fontId="10" fillId="0" borderId="10" xfId="0" applyNumberFormat="1" applyFont="1" applyBorder="1"/>
    <xf numFmtId="168" fontId="84" fillId="12" borderId="13" xfId="59" applyNumberFormat="1" applyFont="1" applyFill="1" applyBorder="1"/>
    <xf numFmtId="3" fontId="165" fillId="0" borderId="11" xfId="2" applyNumberFormat="1" applyFont="1" applyFill="1" applyBorder="1" applyAlignment="1"/>
    <xf numFmtId="181" fontId="11" fillId="0" borderId="13" xfId="56" applyNumberFormat="1" applyFont="1" applyFill="1" applyBorder="1"/>
    <xf numFmtId="0" fontId="11" fillId="0" borderId="15" xfId="2" applyNumberFormat="1" applyFont="1" applyBorder="1"/>
    <xf numFmtId="1" fontId="10" fillId="0" borderId="14" xfId="2" applyNumberFormat="1" applyFont="1" applyFill="1" applyBorder="1" applyAlignment="1"/>
    <xf numFmtId="187" fontId="10" fillId="0" borderId="12" xfId="2" applyNumberFormat="1" applyFont="1" applyBorder="1"/>
    <xf numFmtId="164" fontId="10" fillId="0" borderId="11" xfId="0" applyNumberFormat="1" applyFont="1" applyBorder="1"/>
    <xf numFmtId="164" fontId="10" fillId="0" borderId="12" xfId="0" applyNumberFormat="1" applyFont="1" applyBorder="1"/>
    <xf numFmtId="181" fontId="11" fillId="0" borderId="7" xfId="56" applyNumberFormat="1" applyFont="1" applyFill="1" applyBorder="1"/>
    <xf numFmtId="181" fontId="11" fillId="0" borderId="14" xfId="56" applyNumberFormat="1" applyFont="1" applyFill="1" applyBorder="1"/>
    <xf numFmtId="181" fontId="11" fillId="0" borderId="0" xfId="56" applyNumberFormat="1" applyFont="1" applyFill="1" applyBorder="1"/>
    <xf numFmtId="172" fontId="26" fillId="0" borderId="0" xfId="2" applyNumberFormat="1" applyFont="1"/>
    <xf numFmtId="167" fontId="10" fillId="0" borderId="11" xfId="0" applyNumberFormat="1" applyFont="1" applyBorder="1"/>
    <xf numFmtId="187" fontId="15" fillId="0" borderId="11" xfId="2" applyNumberFormat="1" applyFont="1" applyFill="1" applyBorder="1" applyAlignment="1"/>
    <xf numFmtId="181" fontId="10" fillId="0" borderId="14" xfId="56" applyNumberFormat="1" applyFont="1" applyFill="1" applyBorder="1"/>
    <xf numFmtId="1" fontId="13" fillId="13" borderId="15" xfId="70" applyNumberFormat="1" applyFont="1" applyFill="1" applyBorder="1" applyAlignment="1">
      <alignment horizontal="right"/>
    </xf>
    <xf numFmtId="1" fontId="13" fillId="13" borderId="1" xfId="70" applyNumberFormat="1" applyFont="1" applyFill="1" applyBorder="1" applyAlignment="1">
      <alignment horizontal="right"/>
    </xf>
    <xf numFmtId="1" fontId="13" fillId="13" borderId="16" xfId="70" applyNumberFormat="1" applyFont="1" applyFill="1" applyBorder="1" applyAlignment="1">
      <alignment horizontal="right"/>
    </xf>
    <xf numFmtId="164" fontId="10" fillId="0" borderId="12" xfId="3" applyNumberFormat="1" applyFont="1" applyFill="1" applyBorder="1"/>
    <xf numFmtId="1" fontId="11" fillId="13" borderId="1" xfId="70" applyNumberFormat="1" applyFont="1" applyFill="1" applyBorder="1" applyAlignment="1">
      <alignment horizontal="right"/>
    </xf>
    <xf numFmtId="165" fontId="13" fillId="13" borderId="15" xfId="71" applyNumberFormat="1" applyFont="1" applyFill="1" applyBorder="1" applyAlignment="1">
      <alignment horizontal="right"/>
    </xf>
    <xf numFmtId="165" fontId="13" fillId="13" borderId="1" xfId="71" applyNumberFormat="1" applyFont="1" applyFill="1" applyBorder="1" applyAlignment="1">
      <alignment horizontal="right"/>
    </xf>
    <xf numFmtId="1" fontId="13" fillId="13" borderId="15" xfId="71" applyNumberFormat="1" applyFont="1" applyFill="1" applyBorder="1" applyAlignment="1">
      <alignment horizontal="right"/>
    </xf>
    <xf numFmtId="1" fontId="13" fillId="13" borderId="1" xfId="71" applyNumberFormat="1" applyFont="1" applyFill="1" applyBorder="1" applyAlignment="1">
      <alignment horizontal="right"/>
    </xf>
    <xf numFmtId="165" fontId="13" fillId="13" borderId="16" xfId="71" applyNumberFormat="1" applyFont="1" applyFill="1" applyBorder="1" applyAlignment="1">
      <alignment horizontal="right"/>
    </xf>
    <xf numFmtId="1" fontId="13" fillId="13" borderId="16" xfId="71" applyNumberFormat="1" applyFont="1" applyFill="1" applyBorder="1" applyAlignment="1">
      <alignment horizontal="right"/>
    </xf>
    <xf numFmtId="187" fontId="12" fillId="0" borderId="0" xfId="3" applyNumberFormat="1" applyFont="1" applyFill="1" applyBorder="1" applyAlignment="1"/>
    <xf numFmtId="187" fontId="12" fillId="0" borderId="11" xfId="3" applyNumberFormat="1" applyFont="1" applyFill="1" applyBorder="1" applyAlignment="1"/>
    <xf numFmtId="165" fontId="13" fillId="13" borderId="0" xfId="71" applyNumberFormat="1" applyFont="1" applyFill="1" applyBorder="1" applyAlignment="1">
      <alignment horizontal="right"/>
    </xf>
    <xf numFmtId="1" fontId="11" fillId="17" borderId="1" xfId="71" applyNumberFormat="1" applyFont="1" applyFill="1" applyBorder="1" applyAlignment="1">
      <alignment horizontal="right"/>
    </xf>
    <xf numFmtId="1" fontId="11" fillId="17" borderId="16" xfId="71" applyNumberFormat="1" applyFont="1" applyFill="1" applyBorder="1" applyAlignment="1">
      <alignment horizontal="right"/>
    </xf>
    <xf numFmtId="1" fontId="13" fillId="13" borderId="9" xfId="70" applyNumberFormat="1" applyFont="1" applyFill="1" applyBorder="1" applyAlignment="1">
      <alignment horizontal="right"/>
    </xf>
    <xf numFmtId="187" fontId="12" fillId="0" borderId="12" xfId="3" applyNumberFormat="1" applyFont="1" applyFill="1" applyBorder="1" applyAlignment="1"/>
    <xf numFmtId="1" fontId="13" fillId="13" borderId="10" xfId="70" applyNumberFormat="1" applyFont="1" applyFill="1" applyBorder="1" applyAlignment="1">
      <alignment horizontal="right"/>
    </xf>
    <xf numFmtId="44" fontId="26" fillId="0" borderId="0" xfId="62" applyNumberFormat="1" applyFont="1"/>
    <xf numFmtId="228" fontId="11" fillId="0" borderId="14" xfId="56" applyNumberFormat="1" applyFont="1" applyFill="1" applyBorder="1"/>
    <xf numFmtId="228" fontId="11" fillId="0" borderId="7" xfId="56" applyNumberFormat="1" applyFont="1" applyFill="1" applyBorder="1"/>
    <xf numFmtId="181" fontId="10" fillId="0" borderId="13" xfId="56" applyNumberFormat="1" applyFont="1" applyFill="1" applyBorder="1"/>
    <xf numFmtId="0" fontId="11" fillId="0" borderId="13" xfId="2" applyNumberFormat="1" applyFont="1" applyBorder="1"/>
    <xf numFmtId="181" fontId="11" fillId="0" borderId="10" xfId="56" applyNumberFormat="1" applyFont="1" applyFill="1" applyBorder="1"/>
    <xf numFmtId="181" fontId="11" fillId="0" borderId="18" xfId="56" applyNumberFormat="1" applyFont="1" applyFill="1" applyBorder="1"/>
    <xf numFmtId="1" fontId="10" fillId="0" borderId="10" xfId="2" applyNumberFormat="1" applyFont="1" applyFill="1" applyBorder="1" applyAlignment="1"/>
    <xf numFmtId="1" fontId="10" fillId="0" borderId="16" xfId="2" applyNumberFormat="1" applyFont="1" applyFill="1" applyBorder="1" applyAlignment="1"/>
    <xf numFmtId="181" fontId="23" fillId="0" borderId="18" xfId="56" applyNumberFormat="1" applyFont="1" applyFill="1" applyBorder="1"/>
    <xf numFmtId="181" fontId="11" fillId="0" borderId="1" xfId="56" applyNumberFormat="1" applyFont="1" applyFill="1" applyBorder="1"/>
    <xf numFmtId="1" fontId="11" fillId="0" borderId="18" xfId="56" applyNumberFormat="1" applyFont="1" applyBorder="1"/>
    <xf numFmtId="1" fontId="10" fillId="0" borderId="18" xfId="0" applyNumberFormat="1" applyFont="1" applyBorder="1"/>
    <xf numFmtId="228" fontId="10" fillId="0" borderId="7" xfId="0" applyNumberFormat="1" applyFont="1" applyBorder="1"/>
    <xf numFmtId="181" fontId="26" fillId="0" borderId="0" xfId="56" applyNumberFormat="1" applyFont="1"/>
    <xf numFmtId="1" fontId="11" fillId="0" borderId="0" xfId="56" applyNumberFormat="1" applyFont="1" applyBorder="1"/>
    <xf numFmtId="181" fontId="10" fillId="0" borderId="10" xfId="56" applyNumberFormat="1" applyFont="1" applyFill="1" applyBorder="1"/>
    <xf numFmtId="181" fontId="11" fillId="0" borderId="11" xfId="56" applyNumberFormat="1" applyFont="1" applyFill="1" applyBorder="1"/>
    <xf numFmtId="181" fontId="23" fillId="0" borderId="9" xfId="56" applyNumberFormat="1" applyFont="1" applyFill="1" applyBorder="1"/>
    <xf numFmtId="181" fontId="23" fillId="0" borderId="13" xfId="56" applyNumberFormat="1" applyFont="1" applyFill="1" applyBorder="1"/>
    <xf numFmtId="181" fontId="23" fillId="0" borderId="15" xfId="56" applyNumberFormat="1" applyFont="1" applyFill="1" applyBorder="1"/>
    <xf numFmtId="0" fontId="23" fillId="0" borderId="1" xfId="2" applyFont="1" applyBorder="1"/>
    <xf numFmtId="181" fontId="23" fillId="0" borderId="1" xfId="56" applyNumberFormat="1" applyFont="1" applyFill="1" applyBorder="1"/>
    <xf numFmtId="1" fontId="10" fillId="0" borderId="12" xfId="2" applyNumberFormat="1" applyFont="1" applyFill="1" applyBorder="1" applyAlignment="1"/>
    <xf numFmtId="1" fontId="10" fillId="0" borderId="7" xfId="0" applyNumberFormat="1" applyFont="1" applyBorder="1"/>
    <xf numFmtId="1" fontId="10" fillId="0" borderId="1" xfId="0" applyNumberFormat="1" applyFont="1" applyBorder="1"/>
    <xf numFmtId="1" fontId="11" fillId="0" borderId="1" xfId="56" applyNumberFormat="1" applyFont="1" applyBorder="1"/>
    <xf numFmtId="0" fontId="11" fillId="0" borderId="13" xfId="4" applyFont="1" applyBorder="1"/>
    <xf numFmtId="181" fontId="10" fillId="0" borderId="9" xfId="56" applyNumberFormat="1" applyFont="1" applyFill="1" applyBorder="1"/>
    <xf numFmtId="228" fontId="11" fillId="0" borderId="13" xfId="56" applyNumberFormat="1" applyFont="1" applyFill="1" applyBorder="1"/>
    <xf numFmtId="181" fontId="11" fillId="0" borderId="9" xfId="56" applyNumberFormat="1" applyFont="1" applyFill="1" applyBorder="1"/>
    <xf numFmtId="181" fontId="10" fillId="0" borderId="7" xfId="56" applyNumberFormat="1" applyFont="1" applyFill="1" applyBorder="1"/>
    <xf numFmtId="181" fontId="10" fillId="0" borderId="18" xfId="56" applyNumberFormat="1" applyFont="1" applyFill="1" applyBorder="1"/>
    <xf numFmtId="1" fontId="10" fillId="0" borderId="0" xfId="0" applyNumberFormat="1" applyFont="1" applyBorder="1"/>
    <xf numFmtId="1" fontId="13" fillId="13" borderId="15" xfId="70" applyNumberFormat="1" applyFont="1" applyFill="1" applyBorder="1" applyAlignment="1">
      <alignment horizontal="right"/>
    </xf>
    <xf numFmtId="1" fontId="13" fillId="13" borderId="1" xfId="70" applyNumberFormat="1" applyFont="1" applyFill="1" applyBorder="1" applyAlignment="1">
      <alignment horizontal="right"/>
    </xf>
    <xf numFmtId="1" fontId="13" fillId="13" borderId="16" xfId="70" applyNumberFormat="1" applyFont="1" applyFill="1" applyBorder="1" applyAlignment="1">
      <alignment horizontal="right"/>
    </xf>
    <xf numFmtId="165" fontId="13" fillId="13" borderId="0" xfId="71" applyNumberFormat="1" applyFont="1" applyFill="1" applyBorder="1" applyAlignment="1">
      <alignment horizontal="right"/>
    </xf>
    <xf numFmtId="165" fontId="13" fillId="13" borderId="11" xfId="71" applyNumberFormat="1" applyFont="1" applyFill="1" applyBorder="1" applyAlignment="1">
      <alignment horizontal="right"/>
    </xf>
    <xf numFmtId="1" fontId="13" fillId="13" borderId="18" xfId="70" applyNumberFormat="1" applyFont="1" applyFill="1" applyBorder="1" applyAlignment="1">
      <alignment horizontal="right"/>
    </xf>
    <xf numFmtId="0" fontId="10" fillId="0" borderId="13" xfId="4" applyFont="1" applyBorder="1"/>
    <xf numFmtId="0" fontId="11" fillId="0" borderId="9" xfId="4" applyFont="1" applyBorder="1"/>
    <xf numFmtId="0" fontId="10" fillId="0" borderId="9" xfId="4" applyFont="1" applyBorder="1"/>
    <xf numFmtId="44" fontId="10" fillId="14" borderId="0" xfId="62" applyFont="1" applyFill="1" applyBorder="1" applyAlignment="1">
      <alignment horizontal="right"/>
    </xf>
    <xf numFmtId="175" fontId="24" fillId="0" borderId="7" xfId="56" applyNumberFormat="1" applyFont="1" applyFill="1" applyBorder="1"/>
    <xf numFmtId="175" fontId="24" fillId="0" borderId="14" xfId="56" applyNumberFormat="1" applyFont="1" applyFill="1" applyBorder="1"/>
    <xf numFmtId="44" fontId="10" fillId="14" borderId="12" xfId="62" applyFont="1" applyFill="1" applyBorder="1" applyAlignment="1">
      <alignment horizontal="right"/>
    </xf>
    <xf numFmtId="164" fontId="10" fillId="14" borderId="7" xfId="69" applyNumberFormat="1" applyFont="1" applyFill="1" applyBorder="1"/>
    <xf numFmtId="0" fontId="0" fillId="0" borderId="15" xfId="0" applyBorder="1"/>
    <xf numFmtId="0" fontId="0" fillId="0" borderId="1" xfId="0" applyBorder="1"/>
    <xf numFmtId="2" fontId="10" fillId="0" borderId="1" xfId="0" applyNumberFormat="1" applyFont="1" applyBorder="1"/>
    <xf numFmtId="2" fontId="10" fillId="0" borderId="16" xfId="0" applyNumberFormat="1" applyFont="1" applyBorder="1"/>
    <xf numFmtId="178" fontId="11" fillId="0" borderId="10" xfId="2" applyNumberFormat="1" applyFont="1" applyFill="1" applyBorder="1"/>
    <xf numFmtId="178" fontId="15" fillId="0" borderId="10" xfId="2" applyNumberFormat="1" applyFont="1" applyFill="1" applyBorder="1"/>
    <xf numFmtId="0" fontId="0" fillId="0" borderId="0" xfId="0"/>
    <xf numFmtId="9" fontId="16" fillId="0" borderId="9" xfId="74" applyFont="1" applyBorder="1" applyAlignment="1">
      <alignment horizontal="center"/>
    </xf>
    <xf numFmtId="9" fontId="16" fillId="0" borderId="11" xfId="74" applyFont="1" applyBorder="1" applyAlignment="1">
      <alignment horizontal="center"/>
    </xf>
    <xf numFmtId="9" fontId="16" fillId="0" borderId="13" xfId="74" applyFont="1" applyBorder="1" applyAlignment="1">
      <alignment horizontal="center"/>
    </xf>
    <xf numFmtId="9" fontId="11" fillId="0" borderId="1" xfId="74" applyFont="1" applyBorder="1" applyAlignment="1">
      <alignment horizontal="center"/>
    </xf>
    <xf numFmtId="9" fontId="11" fillId="0" borderId="16" xfId="74" applyFont="1" applyBorder="1" applyAlignment="1">
      <alignment horizontal="center"/>
    </xf>
    <xf numFmtId="9" fontId="19" fillId="0" borderId="18" xfId="74" applyFont="1" applyBorder="1" applyAlignment="1">
      <alignment horizontal="center"/>
    </xf>
    <xf numFmtId="9" fontId="19" fillId="0" borderId="0" xfId="74" applyFont="1" applyBorder="1" applyAlignment="1">
      <alignment horizontal="center"/>
    </xf>
    <xf numFmtId="9" fontId="46" fillId="0" borderId="15" xfId="74" applyFont="1" applyBorder="1" applyAlignment="1">
      <alignment horizontal="center"/>
    </xf>
    <xf numFmtId="9" fontId="51" fillId="0" borderId="1" xfId="74" applyFont="1" applyBorder="1" applyAlignment="1">
      <alignment horizontal="center"/>
    </xf>
    <xf numFmtId="181" fontId="11" fillId="0" borderId="15" xfId="56" applyNumberFormat="1" applyFont="1" applyBorder="1" applyAlignment="1">
      <alignment horizontal="center"/>
    </xf>
    <xf numFmtId="181" fontId="11" fillId="0" borderId="1" xfId="56" applyNumberFormat="1" applyFont="1" applyBorder="1" applyAlignment="1">
      <alignment horizontal="center"/>
    </xf>
    <xf numFmtId="181" fontId="10" fillId="0" borderId="9" xfId="56" applyNumberFormat="1" applyFont="1" applyBorder="1" applyAlignment="1">
      <alignment horizontal="center"/>
    </xf>
    <xf numFmtId="181" fontId="10" fillId="0" borderId="18" xfId="56" applyNumberFormat="1" applyFont="1" applyBorder="1" applyAlignment="1">
      <alignment horizontal="center"/>
    </xf>
    <xf numFmtId="181" fontId="10" fillId="0" borderId="10" xfId="56" applyNumberFormat="1" applyFont="1" applyBorder="1" applyAlignment="1">
      <alignment horizontal="center"/>
    </xf>
    <xf numFmtId="181" fontId="10" fillId="0" borderId="11" xfId="56" applyNumberFormat="1" applyFont="1" applyBorder="1" applyAlignment="1">
      <alignment horizontal="center"/>
    </xf>
    <xf numFmtId="181" fontId="10" fillId="0" borderId="0" xfId="56" applyNumberFormat="1" applyFont="1" applyBorder="1" applyAlignment="1">
      <alignment horizontal="center"/>
    </xf>
    <xf numFmtId="181" fontId="10" fillId="0" borderId="12" xfId="56" applyNumberFormat="1" applyFont="1" applyBorder="1" applyAlignment="1">
      <alignment horizontal="center"/>
    </xf>
    <xf numFmtId="181" fontId="23" fillId="0" borderId="15" xfId="56" applyNumberFormat="1" applyFont="1" applyBorder="1" applyAlignment="1">
      <alignment horizontal="center"/>
    </xf>
    <xf numFmtId="181" fontId="23" fillId="0" borderId="1" xfId="56" applyNumberFormat="1" applyFont="1" applyBorder="1" applyAlignment="1">
      <alignment horizontal="center"/>
    </xf>
    <xf numFmtId="181" fontId="23" fillId="0" borderId="16" xfId="56" applyNumberFormat="1" applyFont="1" applyBorder="1" applyAlignment="1">
      <alignment horizontal="center"/>
    </xf>
    <xf numFmtId="181" fontId="0" fillId="0" borderId="0" xfId="56" applyNumberFormat="1" applyFont="1" applyAlignment="1">
      <alignment horizontal="center"/>
    </xf>
    <xf numFmtId="9" fontId="29" fillId="0" borderId="0" xfId="74" applyFont="1" applyFill="1" applyBorder="1"/>
    <xf numFmtId="0" fontId="0" fillId="0" borderId="17" xfId="2" applyFont="1" applyFill="1" applyBorder="1"/>
    <xf numFmtId="9" fontId="28" fillId="0" borderId="12" xfId="2" applyNumberFormat="1" applyFont="1" applyFill="1" applyBorder="1"/>
    <xf numFmtId="44" fontId="10" fillId="0" borderId="0" xfId="62" applyFont="1" applyFill="1" applyAlignment="1">
      <alignment horizontal="right"/>
    </xf>
    <xf numFmtId="44" fontId="10" fillId="0" borderId="11" xfId="62" applyFont="1" applyFill="1" applyBorder="1" applyAlignment="1">
      <alignment horizontal="right"/>
    </xf>
    <xf numFmtId="44" fontId="10" fillId="0" borderId="12" xfId="62" applyFont="1" applyFill="1" applyBorder="1" applyAlignment="1">
      <alignment horizontal="right"/>
    </xf>
    <xf numFmtId="44" fontId="15" fillId="0" borderId="0" xfId="62" applyFont="1" applyFill="1" applyBorder="1" applyAlignment="1">
      <alignment horizontal="right"/>
    </xf>
    <xf numFmtId="44" fontId="15" fillId="0" borderId="11" xfId="62" applyFont="1" applyFill="1" applyBorder="1" applyAlignment="1">
      <alignment horizontal="right"/>
    </xf>
    <xf numFmtId="44" fontId="10" fillId="0" borderId="0" xfId="62" applyFont="1" applyFill="1" applyBorder="1" applyAlignment="1">
      <alignment horizontal="right"/>
    </xf>
    <xf numFmtId="44" fontId="89" fillId="0" borderId="11" xfId="62" applyFont="1" applyFill="1" applyBorder="1" applyAlignment="1">
      <alignment horizontal="right"/>
    </xf>
    <xf numFmtId="44" fontId="89" fillId="0" borderId="0" xfId="62" applyFont="1" applyFill="1" applyBorder="1" applyAlignment="1">
      <alignment horizontal="right"/>
    </xf>
    <xf numFmtId="44" fontId="10" fillId="0" borderId="17" xfId="62" applyFont="1" applyFill="1" applyBorder="1" applyAlignment="1">
      <alignment horizontal="right"/>
    </xf>
    <xf numFmtId="44" fontId="0" fillId="0" borderId="0" xfId="62" applyFont="1" applyFill="1" applyAlignment="1">
      <alignment horizontal="right"/>
    </xf>
    <xf numFmtId="44" fontId="10" fillId="0" borderId="11" xfId="62" applyFont="1" applyFill="1" applyBorder="1" applyAlignment="1">
      <alignment horizontal="left"/>
    </xf>
    <xf numFmtId="3" fontId="165" fillId="0" borderId="0" xfId="1195" applyNumberFormat="1" applyFont="1" applyFill="1" applyBorder="1" applyAlignment="1"/>
    <xf numFmtId="3" fontId="165" fillId="0" borderId="0" xfId="1195" applyNumberFormat="1" applyFont="1" applyFill="1" applyBorder="1" applyAlignment="1"/>
    <xf numFmtId="3" fontId="165" fillId="0" borderId="11" xfId="1195" applyNumberFormat="1" applyFont="1" applyFill="1" applyBorder="1" applyAlignment="1"/>
    <xf numFmtId="3" fontId="165" fillId="0" borderId="0" xfId="56" applyNumberFormat="1" applyFont="1" applyFill="1" applyBorder="1" applyAlignment="1"/>
    <xf numFmtId="3" fontId="165" fillId="0" borderId="11" xfId="56" applyNumberFormat="1" applyFont="1" applyFill="1" applyBorder="1" applyAlignment="1"/>
    <xf numFmtId="0" fontId="0" fillId="0" borderId="0" xfId="0"/>
    <xf numFmtId="0" fontId="0" fillId="0" borderId="0" xfId="0"/>
    <xf numFmtId="0" fontId="10" fillId="29" borderId="0" xfId="2" applyFont="1" applyFill="1"/>
    <xf numFmtId="1" fontId="73" fillId="29" borderId="12" xfId="71" applyNumberFormat="1" applyFont="1" applyFill="1" applyBorder="1" applyAlignment="1">
      <alignment horizontal="right"/>
    </xf>
    <xf numFmtId="1" fontId="74" fillId="29" borderId="12" xfId="71" applyNumberFormat="1" applyFont="1" applyFill="1" applyBorder="1" applyAlignment="1">
      <alignment horizontal="right"/>
    </xf>
    <xf numFmtId="1" fontId="75" fillId="29" borderId="12" xfId="71" applyNumberFormat="1" applyFont="1" applyFill="1" applyBorder="1" applyAlignment="1">
      <alignment horizontal="right"/>
    </xf>
    <xf numFmtId="0" fontId="0" fillId="29" borderId="0" xfId="0" applyFill="1"/>
    <xf numFmtId="1" fontId="74" fillId="0" borderId="0" xfId="71" applyNumberFormat="1" applyFont="1" applyFill="1" applyBorder="1" applyAlignment="1">
      <alignment horizontal="right"/>
    </xf>
    <xf numFmtId="0" fontId="11" fillId="0" borderId="0" xfId="2" applyFont="1"/>
    <xf numFmtId="0" fontId="0" fillId="0" borderId="0" xfId="0"/>
    <xf numFmtId="0" fontId="11" fillId="0" borderId="11" xfId="2" applyNumberFormat="1" applyFont="1" applyBorder="1"/>
    <xf numFmtId="0" fontId="0" fillId="0" borderId="17" xfId="1195" applyFont="1" applyBorder="1"/>
    <xf numFmtId="0" fontId="0" fillId="0" borderId="0" xfId="0"/>
    <xf numFmtId="177" fontId="23" fillId="30" borderId="10" xfId="2" applyNumberFormat="1" applyFont="1" applyFill="1" applyBorder="1"/>
    <xf numFmtId="168" fontId="16" fillId="30" borderId="12" xfId="74" applyNumberFormat="1" applyFont="1" applyFill="1" applyBorder="1"/>
    <xf numFmtId="168" fontId="12" fillId="30" borderId="12" xfId="74" applyNumberFormat="1" applyFont="1" applyFill="1" applyBorder="1"/>
    <xf numFmtId="168" fontId="18" fillId="30" borderId="12" xfId="74" applyNumberFormat="1" applyFont="1" applyFill="1" applyBorder="1"/>
    <xf numFmtId="177" fontId="11" fillId="30" borderId="12" xfId="2" applyNumberFormat="1" applyFont="1" applyFill="1" applyBorder="1"/>
    <xf numFmtId="177" fontId="23" fillId="30" borderId="12" xfId="2" applyNumberFormat="1" applyFont="1" applyFill="1" applyBorder="1"/>
    <xf numFmtId="164" fontId="11" fillId="30" borderId="12" xfId="2" applyNumberFormat="1" applyFont="1" applyFill="1" applyBorder="1"/>
    <xf numFmtId="1" fontId="13" fillId="30" borderId="16" xfId="70" applyNumberFormat="1" applyFont="1" applyFill="1" applyBorder="1" applyAlignment="1">
      <alignment horizontal="right"/>
    </xf>
    <xf numFmtId="168" fontId="19" fillId="30" borderId="12" xfId="74" applyNumberFormat="1" applyFont="1" applyFill="1" applyBorder="1" applyAlignment="1">
      <alignment horizontal="right"/>
    </xf>
    <xf numFmtId="9" fontId="19" fillId="0" borderId="18" xfId="74" applyFont="1" applyFill="1" applyBorder="1" applyAlignment="1">
      <alignment horizontal="center"/>
    </xf>
    <xf numFmtId="9" fontId="19" fillId="0" borderId="0" xfId="74" applyFont="1" applyFill="1" applyBorder="1" applyAlignment="1">
      <alignment horizontal="center"/>
    </xf>
    <xf numFmtId="177" fontId="10" fillId="0" borderId="10" xfId="2" applyNumberFormat="1" applyFont="1" applyFill="1" applyBorder="1" applyAlignment="1"/>
    <xf numFmtId="177" fontId="10" fillId="0" borderId="12" xfId="2" applyNumberFormat="1" applyFont="1" applyFill="1" applyBorder="1" applyAlignment="1"/>
    <xf numFmtId="0" fontId="0" fillId="0" borderId="0" xfId="0"/>
    <xf numFmtId="0" fontId="0" fillId="0" borderId="0" xfId="0"/>
    <xf numFmtId="37" fontId="0" fillId="0" borderId="0" xfId="0" applyNumberFormat="1"/>
    <xf numFmtId="172" fontId="10" fillId="0" borderId="0" xfId="2" applyNumberFormat="1" applyFont="1"/>
    <xf numFmtId="1" fontId="13" fillId="13" borderId="15" xfId="70" applyNumberFormat="1" applyFont="1" applyFill="1" applyBorder="1" applyAlignment="1">
      <alignment horizontal="right"/>
    </xf>
    <xf numFmtId="1" fontId="13" fillId="13" borderId="1" xfId="70" applyNumberFormat="1" applyFont="1" applyFill="1" applyBorder="1" applyAlignment="1">
      <alignment horizontal="right"/>
    </xf>
    <xf numFmtId="1" fontId="13" fillId="13" borderId="16" xfId="70" applyNumberFormat="1" applyFont="1" applyFill="1" applyBorder="1" applyAlignment="1">
      <alignment horizontal="right"/>
    </xf>
    <xf numFmtId="168" fontId="12" fillId="0" borderId="0" xfId="74" applyNumberFormat="1" applyFont="1" applyFill="1" applyBorder="1" applyAlignment="1"/>
    <xf numFmtId="168" fontId="12" fillId="0" borderId="12" xfId="74" applyNumberFormat="1" applyFont="1" applyFill="1" applyBorder="1" applyAlignment="1"/>
    <xf numFmtId="168" fontId="12" fillId="0" borderId="11" xfId="74" applyNumberFormat="1" applyFont="1" applyFill="1" applyBorder="1" applyAlignment="1"/>
    <xf numFmtId="168" fontId="16" fillId="0" borderId="0" xfId="74" applyNumberFormat="1" applyFont="1" applyFill="1" applyBorder="1" applyAlignment="1"/>
    <xf numFmtId="168" fontId="16" fillId="0" borderId="11" xfId="74" applyNumberFormat="1" applyFont="1" applyFill="1" applyBorder="1" applyAlignment="1"/>
    <xf numFmtId="165" fontId="13" fillId="13" borderId="0" xfId="71" applyNumberFormat="1" applyFont="1" applyFill="1" applyBorder="1" applyAlignment="1">
      <alignment horizontal="right"/>
    </xf>
    <xf numFmtId="165" fontId="13" fillId="13" borderId="11" xfId="71" applyNumberFormat="1" applyFont="1" applyFill="1" applyBorder="1" applyAlignment="1">
      <alignment horizontal="right"/>
    </xf>
    <xf numFmtId="165" fontId="13" fillId="13" borderId="12" xfId="71" applyNumberFormat="1" applyFont="1" applyFill="1" applyBorder="1" applyAlignment="1">
      <alignment horizontal="right"/>
    </xf>
    <xf numFmtId="1" fontId="13" fillId="13" borderId="18" xfId="70" applyNumberFormat="1" applyFont="1" applyFill="1" applyBorder="1" applyAlignment="1">
      <alignment horizontal="right"/>
    </xf>
    <xf numFmtId="44" fontId="15" fillId="0" borderId="0" xfId="62" applyFont="1" applyFill="1" applyBorder="1"/>
    <xf numFmtId="43" fontId="16" fillId="0" borderId="12" xfId="56" applyFont="1" applyFill="1" applyBorder="1" applyAlignment="1"/>
    <xf numFmtId="43" fontId="12" fillId="0" borderId="12" xfId="56" applyFont="1" applyFill="1" applyBorder="1"/>
    <xf numFmtId="43" fontId="12" fillId="0" borderId="0" xfId="56" applyFont="1" applyFill="1" applyBorder="1"/>
    <xf numFmtId="164" fontId="15" fillId="0" borderId="0" xfId="56" applyNumberFormat="1" applyFont="1" applyFill="1" applyBorder="1" applyAlignment="1"/>
    <xf numFmtId="164" fontId="15" fillId="0" borderId="12" xfId="56" applyNumberFormat="1" applyFont="1" applyFill="1" applyBorder="1" applyAlignment="1"/>
    <xf numFmtId="164" fontId="10" fillId="0" borderId="0" xfId="56" applyNumberFormat="1" applyFont="1" applyFill="1" applyBorder="1" applyAlignment="1"/>
    <xf numFmtId="164" fontId="10" fillId="0" borderId="12" xfId="56" applyNumberFormat="1" applyFont="1" applyFill="1" applyBorder="1" applyAlignment="1"/>
    <xf numFmtId="164" fontId="11" fillId="0" borderId="0" xfId="56" applyNumberFormat="1" applyFont="1" applyFill="1" applyBorder="1" applyAlignment="1"/>
    <xf numFmtId="164" fontId="11" fillId="0" borderId="12" xfId="56" applyNumberFormat="1" applyFont="1" applyFill="1" applyBorder="1" applyAlignment="1"/>
    <xf numFmtId="164" fontId="42" fillId="0" borderId="0" xfId="56" applyNumberFormat="1" applyFont="1" applyFill="1" applyBorder="1" applyAlignment="1"/>
    <xf numFmtId="164" fontId="42" fillId="0" borderId="12" xfId="56" applyNumberFormat="1" applyFont="1" applyFill="1" applyBorder="1" applyAlignment="1"/>
    <xf numFmtId="164" fontId="16" fillId="0" borderId="0" xfId="74" applyNumberFormat="1" applyFont="1" applyFill="1" applyBorder="1" applyAlignment="1"/>
    <xf numFmtId="164" fontId="16" fillId="0" borderId="12" xfId="56" applyNumberFormat="1" applyFont="1" applyFill="1" applyBorder="1" applyAlignment="1"/>
    <xf numFmtId="164" fontId="42" fillId="0" borderId="11" xfId="56" applyNumberFormat="1" applyFont="1" applyFill="1" applyBorder="1" applyAlignment="1"/>
    <xf numFmtId="164" fontId="15" fillId="0" borderId="11" xfId="56" applyNumberFormat="1" applyFont="1" applyFill="1" applyBorder="1" applyAlignment="1"/>
    <xf numFmtId="164" fontId="10" fillId="0" borderId="11" xfId="56" applyNumberFormat="1" applyFont="1" applyFill="1" applyBorder="1" applyAlignment="1"/>
    <xf numFmtId="164" fontId="11" fillId="0" borderId="11" xfId="56" applyNumberFormat="1" applyFont="1" applyFill="1" applyBorder="1" applyAlignment="1"/>
    <xf numFmtId="164" fontId="16" fillId="0" borderId="11" xfId="74" applyNumberFormat="1" applyFont="1" applyFill="1" applyBorder="1" applyAlignment="1"/>
    <xf numFmtId="43" fontId="12" fillId="0" borderId="11" xfId="56" applyFont="1" applyFill="1" applyBorder="1"/>
    <xf numFmtId="164" fontId="59" fillId="0" borderId="0" xfId="56" applyNumberFormat="1" applyFont="1" applyFill="1" applyBorder="1" applyAlignment="1"/>
    <xf numFmtId="164" fontId="59" fillId="0" borderId="12" xfId="56" applyNumberFormat="1" applyFont="1" applyFill="1" applyBorder="1" applyAlignment="1"/>
    <xf numFmtId="9" fontId="10" fillId="0" borderId="0" xfId="74" applyFont="1"/>
    <xf numFmtId="175" fontId="84" fillId="12" borderId="0" xfId="56" applyNumberFormat="1" applyFont="1" applyFill="1" applyBorder="1"/>
    <xf numFmtId="175" fontId="84" fillId="12" borderId="11" xfId="56" applyNumberFormat="1" applyFont="1" applyFill="1" applyBorder="1"/>
    <xf numFmtId="175" fontId="84" fillId="12" borderId="12" xfId="56" applyNumberFormat="1" applyFont="1" applyFill="1" applyBorder="1"/>
    <xf numFmtId="3" fontId="165" fillId="0" borderId="0" xfId="1195" applyNumberFormat="1" applyFont="1" applyFill="1" applyBorder="1" applyAlignment="1"/>
    <xf numFmtId="3" fontId="165" fillId="0" borderId="12" xfId="1195" applyNumberFormat="1" applyFont="1" applyFill="1" applyBorder="1" applyAlignment="1"/>
    <xf numFmtId="3" fontId="165" fillId="0" borderId="11" xfId="1195" applyNumberFormat="1" applyFont="1" applyFill="1" applyBorder="1" applyAlignment="1"/>
    <xf numFmtId="3" fontId="165" fillId="0" borderId="0" xfId="56" applyNumberFormat="1" applyFont="1" applyFill="1" applyBorder="1" applyAlignment="1"/>
    <xf numFmtId="3" fontId="165" fillId="0" borderId="11" xfId="56" applyNumberFormat="1" applyFont="1" applyFill="1" applyBorder="1" applyAlignment="1"/>
    <xf numFmtId="3" fontId="165" fillId="0" borderId="12" xfId="56" applyNumberFormat="1" applyFont="1" applyFill="1" applyBorder="1" applyAlignment="1"/>
    <xf numFmtId="230" fontId="16" fillId="0" borderId="12" xfId="74" applyNumberFormat="1" applyFont="1" applyFill="1" applyBorder="1"/>
    <xf numFmtId="231" fontId="10" fillId="0" borderId="0" xfId="2" applyNumberFormat="1" applyFont="1"/>
    <xf numFmtId="164" fontId="59" fillId="0" borderId="11" xfId="56" applyNumberFormat="1" applyFont="1" applyFill="1" applyBorder="1" applyAlignment="1"/>
    <xf numFmtId="0" fontId="0" fillId="0" borderId="0" xfId="0"/>
    <xf numFmtId="0" fontId="0" fillId="0" borderId="0" xfId="0"/>
    <xf numFmtId="168" fontId="12" fillId="0" borderId="9" xfId="74" applyNumberFormat="1" applyFont="1" applyBorder="1" applyAlignment="1">
      <alignment horizontal="right"/>
    </xf>
    <xf numFmtId="168" fontId="12" fillId="0" borderId="18" xfId="74" applyNumberFormat="1" applyFont="1" applyBorder="1" applyAlignment="1">
      <alignment horizontal="right"/>
    </xf>
    <xf numFmtId="168" fontId="12" fillId="0" borderId="18" xfId="74" applyNumberFormat="1" applyFont="1" applyFill="1" applyBorder="1" applyAlignment="1">
      <alignment horizontal="right"/>
    </xf>
    <xf numFmtId="168" fontId="12" fillId="0" borderId="11" xfId="74" applyNumberFormat="1" applyFont="1" applyBorder="1" applyAlignment="1">
      <alignment horizontal="right"/>
    </xf>
    <xf numFmtId="168" fontId="12" fillId="0" borderId="13" xfId="74" applyNumberFormat="1" applyFont="1" applyBorder="1" applyAlignment="1">
      <alignment horizontal="right"/>
    </xf>
    <xf numFmtId="168" fontId="12" fillId="0" borderId="7" xfId="74" applyNumberFormat="1" applyFont="1" applyBorder="1" applyAlignment="1">
      <alignment horizontal="right"/>
    </xf>
    <xf numFmtId="177" fontId="180" fillId="0" borderId="9" xfId="2" applyNumberFormat="1" applyFont="1" applyBorder="1" applyAlignment="1"/>
    <xf numFmtId="177" fontId="180" fillId="0" borderId="18" xfId="2" applyNumberFormat="1" applyFont="1" applyBorder="1" applyAlignment="1"/>
    <xf numFmtId="177" fontId="180" fillId="0" borderId="10" xfId="2" applyNumberFormat="1" applyFont="1" applyBorder="1" applyAlignment="1"/>
    <xf numFmtId="177" fontId="180" fillId="0" borderId="10" xfId="2" applyNumberFormat="1" applyFont="1" applyFill="1" applyBorder="1" applyAlignment="1"/>
    <xf numFmtId="177" fontId="180" fillId="0" borderId="11" xfId="2" applyNumberFormat="1" applyFont="1" applyBorder="1" applyAlignment="1"/>
    <xf numFmtId="177" fontId="180" fillId="0" borderId="0" xfId="2" applyNumberFormat="1" applyFont="1" applyBorder="1" applyAlignment="1"/>
    <xf numFmtId="177" fontId="180" fillId="0" borderId="12" xfId="2" applyNumberFormat="1" applyFont="1" applyBorder="1" applyAlignment="1"/>
    <xf numFmtId="177" fontId="180" fillId="0" borderId="12" xfId="2" applyNumberFormat="1" applyFont="1" applyFill="1" applyBorder="1" applyAlignment="1"/>
    <xf numFmtId="178" fontId="11" fillId="0" borderId="30" xfId="2" applyNumberFormat="1" applyFont="1" applyFill="1" applyBorder="1"/>
    <xf numFmtId="175" fontId="25" fillId="0" borderId="10" xfId="56" applyNumberFormat="1" applyFont="1" applyFill="1" applyBorder="1"/>
    <xf numFmtId="171" fontId="11" fillId="0" borderId="0" xfId="56" applyNumberFormat="1" applyFont="1" applyFill="1" applyBorder="1" applyAlignment="1"/>
    <xf numFmtId="9" fontId="15" fillId="0" borderId="0" xfId="74" applyFont="1" applyFill="1" applyBorder="1"/>
    <xf numFmtId="0" fontId="5" fillId="0" borderId="0" xfId="1821"/>
    <xf numFmtId="0" fontId="0" fillId="0" borderId="0" xfId="0"/>
    <xf numFmtId="0" fontId="11" fillId="0" borderId="0" xfId="2" applyNumberFormat="1" applyFont="1" applyFill="1" applyBorder="1"/>
    <xf numFmtId="164" fontId="10" fillId="14" borderId="15" xfId="69" applyNumberFormat="1" applyFont="1" applyFill="1" applyBorder="1"/>
    <xf numFmtId="164" fontId="10" fillId="14" borderId="1" xfId="69" applyNumberFormat="1" applyFont="1" applyFill="1" applyBorder="1"/>
    <xf numFmtId="164" fontId="10" fillId="14" borderId="16" xfId="69" applyNumberFormat="1" applyFont="1" applyFill="1" applyBorder="1"/>
    <xf numFmtId="0" fontId="0" fillId="0" borderId="0" xfId="0"/>
    <xf numFmtId="0" fontId="0" fillId="0" borderId="0" xfId="0"/>
    <xf numFmtId="186" fontId="10" fillId="0" borderId="11" xfId="2" applyNumberFormat="1" applyFont="1" applyBorder="1"/>
    <xf numFmtId="187" fontId="18" fillId="0" borderId="11" xfId="2" applyNumberFormat="1" applyFont="1" applyBorder="1"/>
    <xf numFmtId="187" fontId="42" fillId="0" borderId="11" xfId="2" applyNumberFormat="1" applyFont="1" applyBorder="1"/>
    <xf numFmtId="187" fontId="10" fillId="0" borderId="11" xfId="2" applyNumberFormat="1" applyFont="1" applyBorder="1"/>
    <xf numFmtId="164" fontId="10" fillId="0" borderId="11" xfId="2" applyNumberFormat="1" applyFont="1" applyBorder="1"/>
    <xf numFmtId="181" fontId="23" fillId="0" borderId="11" xfId="2" applyNumberFormat="1" applyFont="1" applyBorder="1"/>
    <xf numFmtId="0" fontId="42" fillId="0" borderId="11" xfId="2" applyFont="1" applyFill="1" applyBorder="1"/>
    <xf numFmtId="164" fontId="28" fillId="0" borderId="11" xfId="2" applyNumberFormat="1" applyFont="1" applyBorder="1"/>
    <xf numFmtId="168" fontId="0" fillId="0" borderId="11" xfId="74" applyNumberFormat="1" applyFont="1" applyBorder="1"/>
    <xf numFmtId="188" fontId="10" fillId="0" borderId="11" xfId="2" applyNumberFormat="1" applyFont="1" applyBorder="1"/>
    <xf numFmtId="44" fontId="10" fillId="0" borderId="11" xfId="62" applyFont="1" applyFill="1" applyBorder="1"/>
    <xf numFmtId="165" fontId="10" fillId="0" borderId="11" xfId="2" applyNumberFormat="1" applyFont="1" applyBorder="1"/>
    <xf numFmtId="43" fontId="11" fillId="0" borderId="14" xfId="2" applyNumberFormat="1" applyFont="1" applyFill="1" applyBorder="1"/>
    <xf numFmtId="0" fontId="0" fillId="0" borderId="11" xfId="2" applyFont="1" applyFill="1" applyBorder="1"/>
    <xf numFmtId="0" fontId="64" fillId="0" borderId="11" xfId="2" applyFont="1" applyFill="1" applyBorder="1"/>
    <xf numFmtId="0" fontId="53" fillId="0" borderId="11" xfId="2" applyFont="1" applyBorder="1"/>
    <xf numFmtId="0" fontId="78" fillId="0" borderId="11" xfId="2" applyFont="1" applyFill="1" applyBorder="1"/>
    <xf numFmtId="168" fontId="90" fillId="0" borderId="12" xfId="59" applyNumberFormat="1" applyFont="1" applyFill="1" applyBorder="1"/>
    <xf numFmtId="175" fontId="181" fillId="0" borderId="12" xfId="56" applyNumberFormat="1" applyFont="1" applyBorder="1"/>
    <xf numFmtId="168" fontId="84" fillId="0" borderId="0" xfId="59" applyNumberFormat="1" applyFont="1" applyFill="1" applyBorder="1"/>
    <xf numFmtId="164" fontId="10" fillId="31" borderId="0" xfId="2" applyNumberFormat="1" applyFont="1" applyFill="1" applyBorder="1"/>
    <xf numFmtId="164" fontId="182" fillId="0" borderId="11" xfId="56" applyNumberFormat="1" applyFont="1" applyFill="1" applyBorder="1" applyAlignment="1"/>
    <xf numFmtId="164" fontId="183" fillId="0" borderId="11" xfId="56" applyNumberFormat="1" applyFont="1" applyFill="1" applyBorder="1" applyAlignment="1"/>
    <xf numFmtId="187" fontId="10" fillId="0" borderId="11" xfId="2" applyNumberFormat="1" applyFont="1" applyFill="1" applyBorder="1" applyAlignment="1"/>
    <xf numFmtId="9" fontId="15" fillId="0" borderId="12" xfId="74" applyFont="1" applyFill="1" applyBorder="1"/>
    <xf numFmtId="0" fontId="0" fillId="0" borderId="0" xfId="0"/>
    <xf numFmtId="0" fontId="5" fillId="32" borderId="0" xfId="2079" applyFont="1" applyFill="1" applyAlignment="1">
      <alignment vertical="top"/>
    </xf>
    <xf numFmtId="0" fontId="5" fillId="32" borderId="0" xfId="1821" applyFill="1" applyAlignment="1">
      <alignment vertical="top"/>
    </xf>
    <xf numFmtId="0" fontId="5" fillId="32" borderId="0" xfId="1821" applyFill="1"/>
    <xf numFmtId="0" fontId="10" fillId="32" borderId="0" xfId="2079" applyFont="1" applyFill="1" applyAlignment="1">
      <alignment horizontal="left" vertical="top"/>
    </xf>
    <xf numFmtId="0" fontId="5" fillId="32" borderId="0" xfId="1821" applyFont="1" applyFill="1" applyAlignment="1">
      <alignment vertical="top"/>
    </xf>
    <xf numFmtId="0" fontId="38" fillId="32" borderId="0" xfId="2079" applyFont="1" applyFill="1" applyAlignment="1">
      <alignment vertical="top"/>
    </xf>
    <xf numFmtId="0" fontId="0" fillId="32" borderId="0" xfId="0" applyFill="1" applyAlignment="1">
      <alignment vertical="top"/>
    </xf>
    <xf numFmtId="0" fontId="185" fillId="32" borderId="0" xfId="0" applyFont="1" applyFill="1" applyAlignment="1">
      <alignment vertical="top"/>
    </xf>
    <xf numFmtId="0" fontId="186" fillId="32" borderId="0" xfId="0" applyFont="1" applyFill="1" applyAlignment="1">
      <alignment vertical="top"/>
    </xf>
    <xf numFmtId="0" fontId="186" fillId="32" borderId="0" xfId="0" applyFont="1" applyFill="1" applyAlignment="1">
      <alignment vertical="top"/>
    </xf>
    <xf numFmtId="0" fontId="185" fillId="32" borderId="0" xfId="0" applyFont="1" applyFill="1" applyAlignment="1">
      <alignment vertical="top"/>
    </xf>
    <xf numFmtId="0" fontId="0" fillId="32" borderId="0" xfId="0" applyFill="1" applyAlignment="1">
      <alignment vertical="top"/>
    </xf>
    <xf numFmtId="0" fontId="0" fillId="32" borderId="35" xfId="0" applyFill="1" applyBorder="1" applyAlignment="1">
      <alignment vertical="top"/>
    </xf>
    <xf numFmtId="0" fontId="185" fillId="32" borderId="31" xfId="0" applyFont="1" applyFill="1" applyBorder="1" applyAlignment="1">
      <alignment vertical="top"/>
    </xf>
    <xf numFmtId="0" fontId="185" fillId="32" borderId="32" xfId="0" applyFont="1" applyFill="1" applyBorder="1" applyAlignment="1">
      <alignment vertical="top"/>
    </xf>
    <xf numFmtId="0" fontId="185" fillId="32" borderId="33" xfId="0" applyFont="1" applyFill="1" applyBorder="1" applyAlignment="1">
      <alignment vertical="top"/>
    </xf>
    <xf numFmtId="0" fontId="185" fillId="32" borderId="34" xfId="0" applyFont="1" applyFill="1" applyBorder="1" applyAlignment="1">
      <alignment vertical="top"/>
    </xf>
    <xf numFmtId="9" fontId="185" fillId="32" borderId="31" xfId="0" applyNumberFormat="1" applyFont="1" applyFill="1" applyBorder="1" applyAlignment="1">
      <alignment vertical="top"/>
    </xf>
    <xf numFmtId="3" fontId="185" fillId="32" borderId="31" xfId="0" applyNumberFormat="1" applyFont="1" applyFill="1" applyBorder="1" applyAlignment="1">
      <alignment vertical="top"/>
    </xf>
    <xf numFmtId="0" fontId="0" fillId="32" borderId="36" xfId="0" applyFill="1" applyBorder="1" applyAlignment="1">
      <alignment vertical="top"/>
    </xf>
    <xf numFmtId="2" fontId="5" fillId="0" borderId="0" xfId="1821" applyNumberFormat="1" applyAlignment="1">
      <alignment horizontal="left"/>
    </xf>
    <xf numFmtId="0" fontId="5" fillId="0" borderId="0" xfId="1821" applyNumberFormat="1" applyAlignment="1">
      <alignment horizontal="left"/>
    </xf>
    <xf numFmtId="1" fontId="5" fillId="0" borderId="0" xfId="1821" applyNumberFormat="1" applyAlignment="1">
      <alignment horizontal="left"/>
    </xf>
    <xf numFmtId="0" fontId="5" fillId="0" borderId="0" xfId="1821" applyFont="1"/>
    <xf numFmtId="238" fontId="5" fillId="0" borderId="0" xfId="1821" applyNumberFormat="1" applyAlignment="1">
      <alignment horizontal="left"/>
    </xf>
    <xf numFmtId="49" fontId="5" fillId="0" borderId="0" xfId="1821" applyNumberFormat="1"/>
  </cellXfs>
  <cellStyles count="2080">
    <cellStyle name="-" xfId="90"/>
    <cellStyle name=" 1" xfId="1"/>
    <cellStyle name=" 1 2" xfId="1192"/>
    <cellStyle name="_x000a_386grabber=M" xfId="2"/>
    <cellStyle name="_x000a_386grabber=M 2" xfId="3"/>
    <cellStyle name="_x000a_386grabber=M 2 2" xfId="4"/>
    <cellStyle name="_x000a_386grabber=M 2 2 2" xfId="1195"/>
    <cellStyle name="_x000a_386grabber=M 2 3" xfId="1194"/>
    <cellStyle name="_x000a_386grabber=M 3" xfId="5"/>
    <cellStyle name="_x000a_386grabber=M 3 2" xfId="91"/>
    <cellStyle name="_x000a_386grabber=M 3 2 2" xfId="1158"/>
    <cellStyle name="_x000a_386grabber=M 3 2 2 2" xfId="2027"/>
    <cellStyle name="_x000a_386grabber=M 3 2 3" xfId="1824"/>
    <cellStyle name="_x000a_386grabber=M 3 2 4" xfId="1197"/>
    <cellStyle name="_x000a_386grabber=M 3 3" xfId="1196"/>
    <cellStyle name="_x000a_386grabber=M 4" xfId="1193"/>
    <cellStyle name="$ 1 decimal" xfId="92"/>
    <cellStyle name="%" xfId="93"/>
    <cellStyle name="% 2" xfId="94"/>
    <cellStyle name="% 2 2" xfId="95"/>
    <cellStyle name="% 2 2 2" xfId="96"/>
    <cellStyle name="% 2 2 2 2" xfId="1201"/>
    <cellStyle name="% 2 2 3" xfId="1200"/>
    <cellStyle name="% 2 3" xfId="97"/>
    <cellStyle name="% 2 3 2" xfId="1202"/>
    <cellStyle name="% 2 4" xfId="1199"/>
    <cellStyle name="% 3" xfId="98"/>
    <cellStyle name="% 3 2" xfId="99"/>
    <cellStyle name="% 3 2 2" xfId="1204"/>
    <cellStyle name="% 3 3" xfId="1203"/>
    <cellStyle name="% 4" xfId="100"/>
    <cellStyle name="% 4 2" xfId="1157"/>
    <cellStyle name="% 4 2 2" xfId="1206"/>
    <cellStyle name="% 4 3" xfId="1205"/>
    <cellStyle name="% 5" xfId="101"/>
    <cellStyle name="% 5 2" xfId="806"/>
    <cellStyle name="% 5 2 2" xfId="1208"/>
    <cellStyle name="% 5 3" xfId="1207"/>
    <cellStyle name="% 6" xfId="1180"/>
    <cellStyle name="% 6 2" xfId="1209"/>
    <cellStyle name="% 7" xfId="1198"/>
    <cellStyle name="******************************************" xfId="1179"/>
    <cellStyle name="?@疾_2332JT3_2313COP2 " xfId="6"/>
    <cellStyle name="?Q\?1@" xfId="102"/>
    <cellStyle name="?Q\?1@ 2" xfId="103"/>
    <cellStyle name="?Q\?1@ 2 2" xfId="1211"/>
    <cellStyle name="?Q\?1@ 3" xfId="1210"/>
    <cellStyle name="_2003AIMInformation for Reports" xfId="1032"/>
    <cellStyle name="_AIMP Europe Stats May 2004" xfId="1033"/>
    <cellStyle name="_AIMP Europe Stats May 2004 2" xfId="1982"/>
    <cellStyle name="_AMCCmodelware" xfId="104"/>
    <cellStyle name="_AMCCmodelware 2" xfId="105"/>
    <cellStyle name="_AMCCmodelware 2 2" xfId="106"/>
    <cellStyle name="_AMCCmodelware 2 2 2" xfId="107"/>
    <cellStyle name="_AMCCmodelware 2 2 2 2" xfId="1215"/>
    <cellStyle name="_AMCCmodelware 2 2 3" xfId="1214"/>
    <cellStyle name="_AMCCmodelware 2 3" xfId="108"/>
    <cellStyle name="_AMCCmodelware 2 3 2" xfId="1216"/>
    <cellStyle name="_AMCCmodelware 2 4" xfId="1213"/>
    <cellStyle name="_AMCCmodelware 3" xfId="109"/>
    <cellStyle name="_AMCCmodelware 3 2" xfId="110"/>
    <cellStyle name="_AMCCmodelware 3 2 2" xfId="1218"/>
    <cellStyle name="_AMCCmodelware 3 3" xfId="1217"/>
    <cellStyle name="_AMCCmodelware 4" xfId="111"/>
    <cellStyle name="_AMCCmodelware 4 2" xfId="1219"/>
    <cellStyle name="_AMCCmodelware 5" xfId="1212"/>
    <cellStyle name="_ARX Modelware (12)" xfId="112"/>
    <cellStyle name="_ARX QoQ Chart" xfId="113"/>
    <cellStyle name="_Book1" xfId="1034"/>
    <cellStyle name="_By Technology, Market Share_Copy of Model2018_AAC_(WIP) " xfId="7"/>
    <cellStyle name="_By Technology, Market Share_Copy of Model2018_AAC_(WIP)  2" xfId="1220"/>
    <cellStyle name="_CAVM Modelware" xfId="114"/>
    <cellStyle name="_CAVM_122910 v.2" xfId="115"/>
    <cellStyle name="_Chartered_Copy of Model2018_AAC_(WIP) " xfId="8"/>
    <cellStyle name="_Chartered_Copy of Model2018_AAC_(WIP)  2" xfId="1221"/>
    <cellStyle name="_Chartered_Ichia Model2402_Modelware_Copy of Model2018_AAC_(WIP) " xfId="9"/>
    <cellStyle name="_Chartered_Ichia Model2402_Modelware_Copy of Model2018_AAC_(WIP)  2" xfId="1222"/>
    <cellStyle name="_Chartered_Model_2402(New)_Modelware_Copy of Model2018_AAC_(WIP) " xfId="10"/>
    <cellStyle name="_Chartered_Model_2402(New)_Modelware_Copy of Model2018_AAC_(WIP)  2" xfId="1223"/>
    <cellStyle name="_Chartered_Model_3311(New)_Copy of Model2018_AAC_(WIP) " xfId="11"/>
    <cellStyle name="_Chartered_Model_3311(New)_Copy of Model2018_AAC_(WIP)  2" xfId="1224"/>
    <cellStyle name="_Copy of Model2018_AAC_(WIP) " xfId="12"/>
    <cellStyle name="_Copy of Model2018_AAC_(WIP)  2" xfId="1225"/>
    <cellStyle name="_exchange rates" xfId="1035"/>
    <cellStyle name="_exchange rates 2" xfId="1983"/>
    <cellStyle name="_Fall 2002 IT Services Forecast Supplement" xfId="1036"/>
    <cellStyle name="_Fall 2002 IT Services Forecast Supplement 2" xfId="1984"/>
    <cellStyle name="_Forecast Review -Fall 2002 IT Services Nov 13" xfId="1037"/>
    <cellStyle name="_Forecast Review -Fall 2002 IT Services Nov 13 2" xfId="1985"/>
    <cellStyle name="_GMT_070822" xfId="13"/>
    <cellStyle name="_GMT_070822 2" xfId="1226"/>
    <cellStyle name="—_GS_Cash " xfId="14"/>
    <cellStyle name="_Ichia Model2402_Modelware_Copy of Model2018_AAC_(WIP) " xfId="15"/>
    <cellStyle name="_Ichia Model2402_Modelware_Copy of Model2018_AAC_(WIP)  2" xfId="1227"/>
    <cellStyle name="_Info" xfId="1038"/>
    <cellStyle name="_Internal--Forecast Accuracy" xfId="1039"/>
    <cellStyle name="_Internal--Market Share and Service Line Forecast" xfId="1040"/>
    <cellStyle name="_Internal--Market Share and Vertical Forecast" xfId="1041"/>
    <cellStyle name="_LSI Modelware_021111" xfId="116"/>
    <cellStyle name="_LSI Modelware_021111 2" xfId="117"/>
    <cellStyle name="_LSI Modelware_021111 2 2" xfId="118"/>
    <cellStyle name="_LSI Modelware_021111 2 2 2" xfId="119"/>
    <cellStyle name="_LSI Modelware_021111 2 2 2 2" xfId="1231"/>
    <cellStyle name="_LSI Modelware_021111 2 2 3" xfId="1230"/>
    <cellStyle name="_LSI Modelware_021111 2 3" xfId="120"/>
    <cellStyle name="_LSI Modelware_021111 2 3 2" xfId="1232"/>
    <cellStyle name="_LSI Modelware_021111 2 4" xfId="1229"/>
    <cellStyle name="_LSI Modelware_021111 3" xfId="121"/>
    <cellStyle name="_LSI Modelware_021111 3 2" xfId="122"/>
    <cellStyle name="_LSI Modelware_021111 3 2 2" xfId="1234"/>
    <cellStyle name="_LSI Modelware_021111 3 3" xfId="1233"/>
    <cellStyle name="_LSI Modelware_021111 4" xfId="123"/>
    <cellStyle name="_LSI Modelware_021111 4 2" xfId="1235"/>
    <cellStyle name="_LSI Modelware_021111 5" xfId="1228"/>
    <cellStyle name="_LSI Modelware_021611" xfId="124"/>
    <cellStyle name="_LSI Modelware_021611 2" xfId="125"/>
    <cellStyle name="_LSI Modelware_021611 2 2" xfId="126"/>
    <cellStyle name="_LSI Modelware_021611 2 2 2" xfId="127"/>
    <cellStyle name="_LSI Modelware_021611 2 2 2 2" xfId="1239"/>
    <cellStyle name="_LSI Modelware_021611 2 2 3" xfId="1238"/>
    <cellStyle name="_LSI Modelware_021611 2 3" xfId="128"/>
    <cellStyle name="_LSI Modelware_021611 2 3 2" xfId="1240"/>
    <cellStyle name="_LSI Modelware_021611 2 4" xfId="1237"/>
    <cellStyle name="_LSI Modelware_021611 3" xfId="129"/>
    <cellStyle name="_LSI Modelware_021611 3 2" xfId="130"/>
    <cellStyle name="_LSI Modelware_021611 3 2 2" xfId="1242"/>
    <cellStyle name="_LSI Modelware_021611 3 3" xfId="1241"/>
    <cellStyle name="_LSI Modelware_021611 4" xfId="131"/>
    <cellStyle name="_LSI Modelware_021611 4 2" xfId="1243"/>
    <cellStyle name="_LSI Modelware_021611 5" xfId="1236"/>
    <cellStyle name="_LSI_012511 (5)" xfId="132"/>
    <cellStyle name="_LSI_012511 (5) 2" xfId="133"/>
    <cellStyle name="_LSI_012511 (5) 2 2" xfId="134"/>
    <cellStyle name="_LSI_012511 (5) 2 2 2" xfId="135"/>
    <cellStyle name="_LSI_012511 (5) 2 2 2 2" xfId="1247"/>
    <cellStyle name="_LSI_012511 (5) 2 2 3" xfId="1246"/>
    <cellStyle name="_LSI_012511 (5) 2 3" xfId="136"/>
    <cellStyle name="_LSI_012511 (5) 2 3 2" xfId="1248"/>
    <cellStyle name="_LSI_012511 (5) 2 4" xfId="1245"/>
    <cellStyle name="_LSI_012511 (5) 3" xfId="137"/>
    <cellStyle name="_LSI_012511 (5) 3 2" xfId="138"/>
    <cellStyle name="_LSI_012511 (5) 3 2 2" xfId="1250"/>
    <cellStyle name="_LSI_012511 (5) 3 3" xfId="1249"/>
    <cellStyle name="_LSI_012511 (5) 4" xfId="139"/>
    <cellStyle name="_LSI_012511 (5) 4 2" xfId="1251"/>
    <cellStyle name="_LSI_012511 (5) 5" xfId="1244"/>
    <cellStyle name="_Market sizing Generic" xfId="1042"/>
    <cellStyle name="_Model_2402(New)_Modelware_Copy of Model2018_AAC_(WIP) " xfId="16"/>
    <cellStyle name="_Model_2402(New)_Modelware_Copy of Model2018_AAC_(WIP)  2" xfId="1252"/>
    <cellStyle name="_Model_3311(New)_Copy of Model2018_AAC_(WIP) " xfId="17"/>
    <cellStyle name="_Model_3311(New)_Copy of Model2018_AAC_(WIP)  2" xfId="1253"/>
    <cellStyle name="_Pivot AIMP 2003 2 June 2004 for publication" xfId="1043"/>
    <cellStyle name="_Pivot AIMP 2003 2 June 2004 for publication 2" xfId="1986"/>
    <cellStyle name="_prelim vs final" xfId="1044"/>
    <cellStyle name="_Print Generic Charts Library" xfId="1045"/>
    <cellStyle name="_Print Generic Charts Library 2" xfId="1987"/>
    <cellStyle name="_Rama Other Companies" xfId="1046"/>
    <cellStyle name="_Rama Other Companies 2" xfId="1988"/>
    <cellStyle name="_RRS1" xfId="140"/>
    <cellStyle name="_RRS1 2" xfId="141"/>
    <cellStyle name="_RRS1 2 2" xfId="142"/>
    <cellStyle name="_RRS1 2 2 2" xfId="143"/>
    <cellStyle name="_RRS1 2 2 2 2" xfId="1257"/>
    <cellStyle name="_RRS1 2 2 3" xfId="1256"/>
    <cellStyle name="_RRS1 2 3" xfId="144"/>
    <cellStyle name="_RRS1 2 3 2" xfId="1258"/>
    <cellStyle name="_RRS1 2 4" xfId="1255"/>
    <cellStyle name="_RRS1 3" xfId="145"/>
    <cellStyle name="_RRS1 3 2" xfId="146"/>
    <cellStyle name="_RRS1 3 2 2" xfId="1260"/>
    <cellStyle name="_RRS1 3 3" xfId="1259"/>
    <cellStyle name="_RRS1 4" xfId="147"/>
    <cellStyle name="_RRS1 4 2" xfId="1156"/>
    <cellStyle name="_RRS1 4 2 2" xfId="1262"/>
    <cellStyle name="_RRS1 4 3" xfId="1261"/>
    <cellStyle name="_RRS1 5" xfId="148"/>
    <cellStyle name="_RRS1 5 2" xfId="807"/>
    <cellStyle name="_RRS1 5 2 2" xfId="1264"/>
    <cellStyle name="_RRS1 5 3" xfId="1263"/>
    <cellStyle name="_RRS1 6" xfId="1171"/>
    <cellStyle name="_RRS1 6 2" xfId="1265"/>
    <cellStyle name="_RRS1 7" xfId="1254"/>
    <cellStyle name="_RRS10" xfId="149"/>
    <cellStyle name="_RRS10 2" xfId="150"/>
    <cellStyle name="_RRS10 2 2" xfId="151"/>
    <cellStyle name="_RRS10 2 2 2" xfId="152"/>
    <cellStyle name="_RRS10 2 2 2 2" xfId="1269"/>
    <cellStyle name="_RRS10 2 2 3" xfId="1268"/>
    <cellStyle name="_RRS10 2 3" xfId="153"/>
    <cellStyle name="_RRS10 2 3 2" xfId="1270"/>
    <cellStyle name="_RRS10 2 4" xfId="1267"/>
    <cellStyle name="_RRS10 3" xfId="154"/>
    <cellStyle name="_RRS10 3 2" xfId="155"/>
    <cellStyle name="_RRS10 3 2 2" xfId="1272"/>
    <cellStyle name="_RRS10 3 3" xfId="1271"/>
    <cellStyle name="_RRS10 4" xfId="156"/>
    <cellStyle name="_RRS10 4 2" xfId="1273"/>
    <cellStyle name="_RRS10 5" xfId="1266"/>
    <cellStyle name="_RRS3" xfId="157"/>
    <cellStyle name="_RRS3 2" xfId="158"/>
    <cellStyle name="_RRS3 2 2" xfId="159"/>
    <cellStyle name="_RRS3 2 2 2" xfId="160"/>
    <cellStyle name="_RRS3 2 2 2 2" xfId="1277"/>
    <cellStyle name="_RRS3 2 2 3" xfId="1276"/>
    <cellStyle name="_RRS3 2 3" xfId="161"/>
    <cellStyle name="_RRS3 2 3 2" xfId="1278"/>
    <cellStyle name="_RRS3 2 4" xfId="1275"/>
    <cellStyle name="_RRS3 3" xfId="162"/>
    <cellStyle name="_RRS3 3 2" xfId="163"/>
    <cellStyle name="_RRS3 3 2 2" xfId="1280"/>
    <cellStyle name="_RRS3 3 3" xfId="1279"/>
    <cellStyle name="_RRS3 4" xfId="164"/>
    <cellStyle name="_RRS3 4 2" xfId="1155"/>
    <cellStyle name="_RRS3 4 2 2" xfId="1282"/>
    <cellStyle name="_RRS3 4 3" xfId="1281"/>
    <cellStyle name="_RRS3 5" xfId="165"/>
    <cellStyle name="_RRS3 5 2" xfId="808"/>
    <cellStyle name="_RRS3 5 2 2" xfId="1284"/>
    <cellStyle name="_RRS3 5 3" xfId="1283"/>
    <cellStyle name="_RRS3 6" xfId="1154"/>
    <cellStyle name="_RRS3 6 2" xfId="1285"/>
    <cellStyle name="_RRS3 7" xfId="1274"/>
    <cellStyle name="_RRS4" xfId="166"/>
    <cellStyle name="_RRS4 2" xfId="167"/>
    <cellStyle name="_RRS4 2 2" xfId="168"/>
    <cellStyle name="_RRS4 2 2 2" xfId="169"/>
    <cellStyle name="_RRS4 2 2 2 2" xfId="1289"/>
    <cellStyle name="_RRS4 2 2 3" xfId="1288"/>
    <cellStyle name="_RRS4 2 3" xfId="170"/>
    <cellStyle name="_RRS4 2 3 2" xfId="1290"/>
    <cellStyle name="_RRS4 2 4" xfId="1287"/>
    <cellStyle name="_RRS4 3" xfId="171"/>
    <cellStyle name="_RRS4 3 2" xfId="172"/>
    <cellStyle name="_RRS4 3 2 2" xfId="1292"/>
    <cellStyle name="_RRS4 3 3" xfId="1291"/>
    <cellStyle name="_RRS4 4" xfId="173"/>
    <cellStyle name="_RRS4 4 2" xfId="1170"/>
    <cellStyle name="_RRS4 4 2 2" xfId="1294"/>
    <cellStyle name="_RRS4 4 3" xfId="1293"/>
    <cellStyle name="_RRS4 5" xfId="174"/>
    <cellStyle name="_RRS4 5 2" xfId="809"/>
    <cellStyle name="_RRS4 5 2 2" xfId="1296"/>
    <cellStyle name="_RRS4 5 3" xfId="1295"/>
    <cellStyle name="_RRS4 6" xfId="1153"/>
    <cellStyle name="_RRS4 6 2" xfId="1297"/>
    <cellStyle name="_RRS4 7" xfId="1286"/>
    <cellStyle name="_SUMMARY " xfId="18"/>
    <cellStyle name="_SUMMARY  10" xfId="1152"/>
    <cellStyle name="_SUMMARY  10 2" xfId="2026"/>
    <cellStyle name="_SUMMARY  10 3" xfId="1298"/>
    <cellStyle name="_SUMMARY  2" xfId="176"/>
    <cellStyle name="_SUMMARY  2 2" xfId="177"/>
    <cellStyle name="_SUMMARY  2 2 2" xfId="178"/>
    <cellStyle name="_SUMMARY  2 2 2 2" xfId="1301"/>
    <cellStyle name="_SUMMARY  2 2 3" xfId="1300"/>
    <cellStyle name="_SUMMARY  2 3" xfId="179"/>
    <cellStyle name="_SUMMARY  2 3 2" xfId="1302"/>
    <cellStyle name="_SUMMARY  2 4" xfId="1299"/>
    <cellStyle name="_SUMMARY  3" xfId="180"/>
    <cellStyle name="_SUMMARY  3 2" xfId="181"/>
    <cellStyle name="_SUMMARY  3 2 2" xfId="877"/>
    <cellStyle name="_SUMMARY  3 2 2 2" xfId="878"/>
    <cellStyle name="_SUMMARY  3 2 2 2 2" xfId="1882"/>
    <cellStyle name="_SUMMARY  3 2 2 3" xfId="1881"/>
    <cellStyle name="_SUMMARY  3 2 3" xfId="879"/>
    <cellStyle name="_SUMMARY  3 2 3 2" xfId="1883"/>
    <cellStyle name="_SUMMARY  3 2 4" xfId="1304"/>
    <cellStyle name="_SUMMARY  3 3" xfId="880"/>
    <cellStyle name="_SUMMARY  3 3 2" xfId="881"/>
    <cellStyle name="_SUMMARY  3 3 2 2" xfId="1885"/>
    <cellStyle name="_SUMMARY  3 3 3" xfId="1884"/>
    <cellStyle name="_SUMMARY  3 4" xfId="882"/>
    <cellStyle name="_SUMMARY  3 4 2" xfId="1886"/>
    <cellStyle name="_SUMMARY  3 5" xfId="1303"/>
    <cellStyle name="_SUMMARY  4" xfId="182"/>
    <cellStyle name="_SUMMARY  4 2" xfId="183"/>
    <cellStyle name="_SUMMARY  4 2 2" xfId="184"/>
    <cellStyle name="_SUMMARY  4 2 2 2" xfId="1307"/>
    <cellStyle name="_SUMMARY  4 2 3" xfId="1306"/>
    <cellStyle name="_SUMMARY  4 3" xfId="185"/>
    <cellStyle name="_SUMMARY  4 3 2" xfId="186"/>
    <cellStyle name="_SUMMARY  4 3 2 2" xfId="1309"/>
    <cellStyle name="_SUMMARY  4 3 3" xfId="1308"/>
    <cellStyle name="_SUMMARY  4 4" xfId="187"/>
    <cellStyle name="_SUMMARY  4 4 2" xfId="1310"/>
    <cellStyle name="_SUMMARY  4 5" xfId="1305"/>
    <cellStyle name="_SUMMARY  5" xfId="188"/>
    <cellStyle name="_SUMMARY  5 2" xfId="189"/>
    <cellStyle name="_SUMMARY  5 2 2" xfId="190"/>
    <cellStyle name="_SUMMARY  5 2 2 2" xfId="1313"/>
    <cellStyle name="_SUMMARY  5 2 3" xfId="1312"/>
    <cellStyle name="_SUMMARY  5 3" xfId="191"/>
    <cellStyle name="_SUMMARY  5 3 2" xfId="1314"/>
    <cellStyle name="_SUMMARY  5 4" xfId="1311"/>
    <cellStyle name="_SUMMARY  6" xfId="192"/>
    <cellStyle name="_SUMMARY  6 2" xfId="193"/>
    <cellStyle name="_SUMMARY  6 2 2" xfId="1316"/>
    <cellStyle name="_SUMMARY  6 3" xfId="1315"/>
    <cellStyle name="_SUMMARY  7" xfId="194"/>
    <cellStyle name="_SUMMARY  7 2" xfId="810"/>
    <cellStyle name="_SUMMARY  7 2 2" xfId="1840"/>
    <cellStyle name="_SUMMARY  7 3" xfId="1317"/>
    <cellStyle name="_SUMMARY  8" xfId="1012"/>
    <cellStyle name="_SUMMARY  8 2" xfId="1318"/>
    <cellStyle name="_SUMMARY  9" xfId="175"/>
    <cellStyle name="_SUMMARY  9 2" xfId="1159"/>
    <cellStyle name="_SUMMARY  9 2 2" xfId="1320"/>
    <cellStyle name="_SUMMARY  9 3" xfId="1319"/>
    <cellStyle name="_SWKS_113010" xfId="195"/>
    <cellStyle name="_SWKS_113010 2" xfId="196"/>
    <cellStyle name="_SWKS_113010 2 2" xfId="197"/>
    <cellStyle name="_SWKS_113010 2 2 2" xfId="198"/>
    <cellStyle name="_SWKS_113010 2 2 2 2" xfId="1324"/>
    <cellStyle name="_SWKS_113010 2 2 3" xfId="1323"/>
    <cellStyle name="_SWKS_113010 2 3" xfId="199"/>
    <cellStyle name="_SWKS_113010 2 3 2" xfId="1325"/>
    <cellStyle name="_SWKS_113010 2 4" xfId="1322"/>
    <cellStyle name="_SWKS_113010 3" xfId="200"/>
    <cellStyle name="_SWKS_113010 3 2" xfId="201"/>
    <cellStyle name="_SWKS_113010 3 2 2" xfId="1327"/>
    <cellStyle name="_SWKS_113010 3 3" xfId="1326"/>
    <cellStyle name="_SWKS_113010 4" xfId="202"/>
    <cellStyle name="_SWKS_113010 4 2" xfId="1328"/>
    <cellStyle name="_SWKS_113010 5" xfId="1321"/>
    <cellStyle name="_SWKS_122210" xfId="203"/>
    <cellStyle name="_SWKS_122210 2" xfId="204"/>
    <cellStyle name="_SWKS_122210 2 2" xfId="205"/>
    <cellStyle name="_SWKS_122210 2 2 2" xfId="206"/>
    <cellStyle name="_SWKS_122210 2 2 2 2" xfId="1332"/>
    <cellStyle name="_SWKS_122210 2 2 3" xfId="1331"/>
    <cellStyle name="_SWKS_122210 2 3" xfId="207"/>
    <cellStyle name="_SWKS_122210 2 3 2" xfId="1333"/>
    <cellStyle name="_SWKS_122210 2 4" xfId="1330"/>
    <cellStyle name="_SWKS_122210 3" xfId="208"/>
    <cellStyle name="_SWKS_122210 3 2" xfId="209"/>
    <cellStyle name="_SWKS_122210 3 2 2" xfId="1335"/>
    <cellStyle name="_SWKS_122210 3 3" xfId="1334"/>
    <cellStyle name="_SWKS_122210 4" xfId="210"/>
    <cellStyle name="_SWKS_122210 4 2" xfId="1336"/>
    <cellStyle name="_SWKS_122210 5" xfId="1329"/>
    <cellStyle name="_Template Stats" xfId="1047"/>
    <cellStyle name="_TXN modelware NEW" xfId="211"/>
    <cellStyle name="_US GAAP_Copy of Model2018_AAC_(WIP) " xfId="19"/>
    <cellStyle name="_US GAAP_Copy of Model2018_AAC_(WIP)  2" xfId="1337"/>
    <cellStyle name="_Wireline Tel Forecast " xfId="20"/>
    <cellStyle name="_Wireline Tel Forecast  2" xfId="212"/>
    <cellStyle name="_Wireline Tel Forecast  2 2" xfId="1339"/>
    <cellStyle name="_Wireline Tel Forecast  3" xfId="1338"/>
    <cellStyle name="_Zip Stats_2004" xfId="1048"/>
    <cellStyle name="’Ê‰Ý [0.00]_GE 3 MINIMUM" xfId="213"/>
    <cellStyle name="’Ê‰Ý_GE 3 MINIMUM" xfId="214"/>
    <cellStyle name="£ BP" xfId="215"/>
    <cellStyle name="¥ JY" xfId="216"/>
    <cellStyle name="=C:\WINNT35\SYSTEM32\COMMAND.COM" xfId="217"/>
    <cellStyle name="=C:\WINNT35\SYSTEM32\COMMAND.COM 2" xfId="218"/>
    <cellStyle name="=C:\WINNT35\SYSTEM32\COMMAND.COM 2 2" xfId="219"/>
    <cellStyle name="=C:\WINNT35\SYSTEM32\COMMAND.COM 2 2 2" xfId="220"/>
    <cellStyle name="=C:\WINNT35\SYSTEM32\COMMAND.COM 2 2 2 2" xfId="1343"/>
    <cellStyle name="=C:\WINNT35\SYSTEM32\COMMAND.COM 2 2 3" xfId="1342"/>
    <cellStyle name="=C:\WINNT35\SYSTEM32\COMMAND.COM 2 3" xfId="221"/>
    <cellStyle name="=C:\WINNT35\SYSTEM32\COMMAND.COM 2 3 2" xfId="1344"/>
    <cellStyle name="=C:\WINNT35\SYSTEM32\COMMAND.COM 2 4" xfId="1341"/>
    <cellStyle name="=C:\WINNT35\SYSTEM32\COMMAND.COM 3" xfId="222"/>
    <cellStyle name="=C:\WINNT35\SYSTEM32\COMMAND.COM 3 2" xfId="223"/>
    <cellStyle name="=C:\WINNT35\SYSTEM32\COMMAND.COM 3 2 2" xfId="1346"/>
    <cellStyle name="=C:\WINNT35\SYSTEM32\COMMAND.COM 3 3" xfId="1345"/>
    <cellStyle name="=C:\WINNT35\SYSTEM32\COMMAND.COM 4" xfId="224"/>
    <cellStyle name="=C:\WINNT35\SYSTEM32\COMMAND.COM 4 2" xfId="1174"/>
    <cellStyle name="=C:\WINNT35\SYSTEM32\COMMAND.COM 4 2 2" xfId="1348"/>
    <cellStyle name="=C:\WINNT35\SYSTEM32\COMMAND.COM 4 3" xfId="1347"/>
    <cellStyle name="=C:\WINNT35\SYSTEM32\COMMAND.COM 5" xfId="225"/>
    <cellStyle name="=C:\WINNT35\SYSTEM32\COMMAND.COM 5 2" xfId="811"/>
    <cellStyle name="=C:\WINNT35\SYSTEM32\COMMAND.COM 5 2 2" xfId="1350"/>
    <cellStyle name="=C:\WINNT35\SYSTEM32\COMMAND.COM 5 3" xfId="1349"/>
    <cellStyle name="=C:\WINNT35\SYSTEM32\COMMAND.COM 6" xfId="1173"/>
    <cellStyle name="=C:\WINNT35\SYSTEM32\COMMAND.COM 6 2" xfId="1351"/>
    <cellStyle name="=C:\WINNT35\SYSTEM32\COMMAND.COM 7" xfId="1340"/>
    <cellStyle name="§Q\?1@" xfId="1172"/>
    <cellStyle name="§Q\?1@ 2" xfId="1352"/>
    <cellStyle name="•W€_Comparables" xfId="226"/>
    <cellStyle name="•W_GE 3 MINIMUM" xfId="227"/>
    <cellStyle name="0" xfId="228"/>
    <cellStyle name="0 2" xfId="229"/>
    <cellStyle name="0%" xfId="230"/>
    <cellStyle name="0% 2" xfId="231"/>
    <cellStyle name="0% 2 2" xfId="232"/>
    <cellStyle name="0% 2 2 2" xfId="233"/>
    <cellStyle name="0% 2 2 2 2" xfId="1356"/>
    <cellStyle name="0% 2 2 3" xfId="1355"/>
    <cellStyle name="0% 2 3" xfId="234"/>
    <cellStyle name="0% 2 3 2" xfId="1357"/>
    <cellStyle name="0% 2 4" xfId="1354"/>
    <cellStyle name="0% 3" xfId="235"/>
    <cellStyle name="0% 3 2" xfId="236"/>
    <cellStyle name="0% 3 2 2" xfId="1359"/>
    <cellStyle name="0% 3 3" xfId="1358"/>
    <cellStyle name="0% 4" xfId="237"/>
    <cellStyle name="0% 4 2" xfId="1169"/>
    <cellStyle name="0% 4 2 2" xfId="1361"/>
    <cellStyle name="0% 4 3" xfId="1360"/>
    <cellStyle name="0% 5" xfId="238"/>
    <cellStyle name="0% 5 2" xfId="812"/>
    <cellStyle name="0% 5 2 2" xfId="1363"/>
    <cellStyle name="0% 5 3" xfId="1362"/>
    <cellStyle name="0% 6" xfId="1151"/>
    <cellStyle name="0% 6 2" xfId="1364"/>
    <cellStyle name="0% 7" xfId="1353"/>
    <cellStyle name="0,0_x000d__x000a_NA_x000d__x000a_" xfId="1049"/>
    <cellStyle name="0,0_x000d__x000a_NA_x000d__x000a_ 2" xfId="1989"/>
    <cellStyle name="0.0" xfId="239"/>
    <cellStyle name="0.0 2" xfId="240"/>
    <cellStyle name="0.0%" xfId="241"/>
    <cellStyle name="0.0% 2" xfId="242"/>
    <cellStyle name="0.0_Diageo FRS 17 and Capacity" xfId="243"/>
    <cellStyle name="0.00" xfId="244"/>
    <cellStyle name="0.00 2" xfId="245"/>
    <cellStyle name="0.00%" xfId="246"/>
    <cellStyle name="0.00% 2" xfId="247"/>
    <cellStyle name="0_Capex &amp; Depreciation " xfId="21"/>
    <cellStyle name="0_Capex &amp; Depreciation  2" xfId="248"/>
    <cellStyle name="0_Capex &amp; Depreciation  2 2" xfId="249"/>
    <cellStyle name="0_Capex &amp; Depreciation _RRST1" xfId="250"/>
    <cellStyle name="0_Capex &amp; Depreciation _RRST1 2" xfId="251"/>
    <cellStyle name="0_Capex &amp; Depreciation _RRST20" xfId="252"/>
    <cellStyle name="0_Capex &amp; Depreciation _RRST20 2" xfId="253"/>
    <cellStyle name="0_Capex &amp; Depreciation _RRST25" xfId="1150"/>
    <cellStyle name="0_Capex &amp; Depreciation _RRST25 2" xfId="1149"/>
    <cellStyle name="0_Capex &amp; Depreciation _RRST6" xfId="883"/>
    <cellStyle name="0_Capex &amp; Depreciation _RRST6 2" xfId="884"/>
    <cellStyle name="0_Capex &amp; Depreciation _RRST9" xfId="885"/>
    <cellStyle name="0_Capex &amp; Depreciation _RRST9 2" xfId="886"/>
    <cellStyle name="0_Copy of Model2018_AAC_(WIP) " xfId="22"/>
    <cellStyle name="0_Handset component data_Copy of Model2018_AAC_(WIP) " xfId="23"/>
    <cellStyle name="0_Valuing BP " xfId="24"/>
    <cellStyle name="0_Valuing BP  2" xfId="254"/>
    <cellStyle name="0_Valuing BP  2 2" xfId="255"/>
    <cellStyle name="0_Valuing BP _RRST1" xfId="256"/>
    <cellStyle name="0_Valuing BP _RRST1 2" xfId="257"/>
    <cellStyle name="0_Valuing BP _RRST20" xfId="258"/>
    <cellStyle name="0_Valuing BP _RRST20 2" xfId="259"/>
    <cellStyle name="0_Valuing BP _RRST25" xfId="1148"/>
    <cellStyle name="0_Valuing BP _RRST25 2" xfId="1147"/>
    <cellStyle name="0_Valuing BP _RRST6" xfId="887"/>
    <cellStyle name="0_Valuing BP _RRST6 2" xfId="888"/>
    <cellStyle name="0_Valuing BP _RRST9" xfId="889"/>
    <cellStyle name="0_Valuing BP _RRST9 2" xfId="890"/>
    <cellStyle name="0_Vendor revenues_Copy of Model2018_AAC_(WIP) " xfId="25"/>
    <cellStyle name="0_Wireline Tel Forecast " xfId="26"/>
    <cellStyle name="0_Wireline Tel Forecast  2" xfId="260"/>
    <cellStyle name="0_Wireline Tel Forecast  2 2" xfId="261"/>
    <cellStyle name="1,comma" xfId="262"/>
    <cellStyle name="1,comma 2" xfId="263"/>
    <cellStyle name="1,comma 2 2" xfId="264"/>
    <cellStyle name="1,comma 2 2 2" xfId="265"/>
    <cellStyle name="1,comma 2 2 2 2" xfId="1368"/>
    <cellStyle name="1,comma 2 2 3" xfId="1367"/>
    <cellStyle name="1,comma 2 3" xfId="266"/>
    <cellStyle name="1,comma 2 3 2" xfId="1369"/>
    <cellStyle name="1,comma 2 4" xfId="1366"/>
    <cellStyle name="1,comma 3" xfId="267"/>
    <cellStyle name="1,comma 3 2" xfId="268"/>
    <cellStyle name="1,comma 3 2 2" xfId="1371"/>
    <cellStyle name="1,comma 3 3" xfId="1370"/>
    <cellStyle name="1,comma 4" xfId="269"/>
    <cellStyle name="1,comma 4 2" xfId="1146"/>
    <cellStyle name="1,comma 4 2 2" xfId="1373"/>
    <cellStyle name="1,comma 4 3" xfId="1372"/>
    <cellStyle name="1,comma 5" xfId="270"/>
    <cellStyle name="1,comma 5 2" xfId="813"/>
    <cellStyle name="1,comma 5 2 2" xfId="1375"/>
    <cellStyle name="1,comma 5 3" xfId="1374"/>
    <cellStyle name="1,comma 6" xfId="1145"/>
    <cellStyle name="1,comma 6 2" xfId="1376"/>
    <cellStyle name="1,comma 7" xfId="1365"/>
    <cellStyle name="¹eºÐA²_AIAIC°AuCoE² " xfId="27"/>
    <cellStyle name="20% - Accent1 2" xfId="271"/>
    <cellStyle name="20% - Accent1 2 2" xfId="272"/>
    <cellStyle name="20% - Accent2 2" xfId="273"/>
    <cellStyle name="20% - Accent2 2 2" xfId="274"/>
    <cellStyle name="20% - Accent3 2" xfId="275"/>
    <cellStyle name="20% - Accent3 2 2" xfId="276"/>
    <cellStyle name="20% - Accent4 2" xfId="277"/>
    <cellStyle name="20% - Accent4 2 2" xfId="278"/>
    <cellStyle name="20% - Accent5 2" xfId="279"/>
    <cellStyle name="20% - Accent5 2 2" xfId="280"/>
    <cellStyle name="20% - Accent6 2" xfId="281"/>
    <cellStyle name="20% - Accent6 2 2" xfId="282"/>
    <cellStyle name="40% - Accent1 2" xfId="283"/>
    <cellStyle name="40% - Accent1 2 2" xfId="284"/>
    <cellStyle name="40% - Accent2 2" xfId="285"/>
    <cellStyle name="40% - Accent2 2 2" xfId="286"/>
    <cellStyle name="40% - Accent3 2" xfId="287"/>
    <cellStyle name="40% - Accent3 2 2" xfId="288"/>
    <cellStyle name="40% - Accent4 2" xfId="289"/>
    <cellStyle name="40% - Accent4 2 2" xfId="290"/>
    <cellStyle name="40% - Accent5 2" xfId="291"/>
    <cellStyle name="40% - Accent5 2 2" xfId="292"/>
    <cellStyle name="40% - Accent6 2" xfId="293"/>
    <cellStyle name="40% - Accent6 2 2" xfId="294"/>
    <cellStyle name="60% - Accent1 2" xfId="295"/>
    <cellStyle name="60% - Accent2 2" xfId="296"/>
    <cellStyle name="60% - Accent3 2" xfId="297"/>
    <cellStyle name="60% - Accent4 2" xfId="298"/>
    <cellStyle name="60% - Accent5 2" xfId="299"/>
    <cellStyle name="60% - Accent6 2" xfId="300"/>
    <cellStyle name="752131" xfId="301"/>
    <cellStyle name="A¨­￠￢￠O [0]_¨oCAuCoEⓒ÷ " xfId="28"/>
    <cellStyle name="A¨­￠￢￠O_¨oCAuCoEⓒ÷ " xfId="29"/>
    <cellStyle name="Accent1 2" xfId="302"/>
    <cellStyle name="Accent2 2" xfId="303"/>
    <cellStyle name="Accent3 2" xfId="304"/>
    <cellStyle name="Accent4 2" xfId="305"/>
    <cellStyle name="Accent5 2" xfId="306"/>
    <cellStyle name="Accent6 2" xfId="307"/>
    <cellStyle name="Acctg" xfId="308"/>
    <cellStyle name="AeE­ [0]_¼oAa½CAu " xfId="30"/>
    <cellStyle name="ÅëÈ­ [0]_cover " xfId="31"/>
    <cellStyle name="AeE­ [0]_INQUIRY ¿μ¾÷AßAø " xfId="32"/>
    <cellStyle name="AeE­_¼oAa½CAu " xfId="33"/>
    <cellStyle name="ÅëÈ­_cover " xfId="34"/>
    <cellStyle name="AeE­_INQUIRY ¿μ¾÷AßAø " xfId="35"/>
    <cellStyle name="AeE¡ⓒ [0]_¨oCAuCoEⓒ÷ " xfId="36"/>
    <cellStyle name="AeE¡ⓒ_¨oCAuCoEⓒ÷ " xfId="37"/>
    <cellStyle name="ales" xfId="309"/>
    <cellStyle name="AÞ¸¶ [0]_¼oAa½CAu " xfId="38"/>
    <cellStyle name="ÄÞ¸¶ [0]_cover " xfId="39"/>
    <cellStyle name="AÞ¸¶ [0]_INQUIRY ¿μ¾÷AßAø " xfId="40"/>
    <cellStyle name="AÞ¸¶_¼oAa½CAu " xfId="41"/>
    <cellStyle name="ÄÞ¸¶_cover " xfId="42"/>
    <cellStyle name="AÞ¸¶_INQUIRY ¿μ¾÷AßAø " xfId="43"/>
    <cellStyle name="Bad 2" xfId="310"/>
    <cellStyle name="Band 2" xfId="311"/>
    <cellStyle name="Blue" xfId="312"/>
    <cellStyle name="Bold/Border" xfId="313"/>
    <cellStyle name="Bullet" xfId="314"/>
    <cellStyle name="c_HardInc " xfId="44"/>
    <cellStyle name="c_HardInc  2" xfId="315"/>
    <cellStyle name="c_HardInc  2 2" xfId="316"/>
    <cellStyle name="c_HardInc _RRST1" xfId="317"/>
    <cellStyle name="c_HardInc _RRST1 2" xfId="318"/>
    <cellStyle name="c_HardInc _RRST20" xfId="319"/>
    <cellStyle name="c_HardInc _RRST20 2" xfId="320"/>
    <cellStyle name="c_HardInc _RRST25" xfId="1141"/>
    <cellStyle name="c_HardInc _RRST25 2" xfId="1140"/>
    <cellStyle name="c_HardInc _RRST6" xfId="891"/>
    <cellStyle name="c_HardInc _RRST6 2" xfId="892"/>
    <cellStyle name="c_HardInc _RRST9" xfId="893"/>
    <cellStyle name="c_HardInc _RRST9 2" xfId="894"/>
    <cellStyle name="C¡IA¨ª_¡ic¨u¡A¨￢I¨￢¡Æ AN¡Æe " xfId="45"/>
    <cellStyle name="C￥AØ_  FAB AIA¤  " xfId="46"/>
    <cellStyle name="Ç¥ÁØ_»ç¾÷ºÎº° ÃÑ°è " xfId="47"/>
    <cellStyle name="C￥AØ_≫c¾÷ºIº° AN°e " xfId="48"/>
    <cellStyle name="Ç¥ÁØ_0N-HANDLING " xfId="49"/>
    <cellStyle name="C￥AØ_¼±AoAc°i_1_³≫ºI°eE¹´e AßA¤A÷AI " xfId="50"/>
    <cellStyle name="Ç¥ÁØ_5-1±¤°í " xfId="51"/>
    <cellStyle name="C￥AØ_5-1±¤°i _6RCB1 " xfId="52"/>
    <cellStyle name="Ç¥ÁØ_Áý°èÇ¥(2¿ù) " xfId="53"/>
    <cellStyle name="C￥AØ_CoAo¹yAI °A¾×¿ⓒ½A " xfId="54"/>
    <cellStyle name="Ç¥ÁØ_cover " xfId="55"/>
    <cellStyle name="C05_Style E Text" xfId="321"/>
    <cellStyle name="Calculation 2" xfId="322"/>
    <cellStyle name="Cents" xfId="323"/>
    <cellStyle name="Changeable" xfId="324"/>
    <cellStyle name="Check Cell 2" xfId="325"/>
    <cellStyle name="Colhead_left" xfId="326"/>
    <cellStyle name="ColumnHeadings" xfId="327"/>
    <cellStyle name="ColumnHeadings2" xfId="328"/>
    <cellStyle name="Comma" xfId="56" builtinId="3"/>
    <cellStyle name="Comma  - Style1" xfId="329"/>
    <cellStyle name="Comma  - Style2" xfId="330"/>
    <cellStyle name="Comma  - Style3" xfId="331"/>
    <cellStyle name="Comma  - Style4" xfId="332"/>
    <cellStyle name="Comma  - Style5" xfId="333"/>
    <cellStyle name="Comma  - Style6" xfId="334"/>
    <cellStyle name="Comma  - Style7" xfId="335"/>
    <cellStyle name="Comma  - Style8" xfId="336"/>
    <cellStyle name="Comma 10" xfId="337"/>
    <cellStyle name="Comma 10 2" xfId="338"/>
    <cellStyle name="Comma 10 2 2" xfId="339"/>
    <cellStyle name="Comma 10 2 2 2" xfId="1379"/>
    <cellStyle name="Comma 10 2 3" xfId="1378"/>
    <cellStyle name="Comma 10 3" xfId="340"/>
    <cellStyle name="Comma 10 3 2" xfId="341"/>
    <cellStyle name="Comma 10 3 2 2" xfId="1381"/>
    <cellStyle name="Comma 10 3 3" xfId="1380"/>
    <cellStyle name="Comma 10 4" xfId="342"/>
    <cellStyle name="Comma 10 4 2" xfId="1382"/>
    <cellStyle name="Comma 10 5" xfId="1377"/>
    <cellStyle name="Comma 11" xfId="343"/>
    <cellStyle name="Comma 11 2" xfId="344"/>
    <cellStyle name="Comma 11 2 2" xfId="345"/>
    <cellStyle name="Comma 11 2 2 2" xfId="1385"/>
    <cellStyle name="Comma 11 2 3" xfId="1384"/>
    <cellStyle name="Comma 11 3" xfId="346"/>
    <cellStyle name="Comma 11 3 2" xfId="347"/>
    <cellStyle name="Comma 11 3 2 2" xfId="1387"/>
    <cellStyle name="Comma 11 3 3" xfId="1386"/>
    <cellStyle name="Comma 11 4" xfId="348"/>
    <cellStyle name="Comma 11 4 2" xfId="1388"/>
    <cellStyle name="Comma 11 5" xfId="1383"/>
    <cellStyle name="Comma 12" xfId="349"/>
    <cellStyle name="Comma 12 2" xfId="350"/>
    <cellStyle name="Comma 12 2 2" xfId="1390"/>
    <cellStyle name="Comma 12 3" xfId="895"/>
    <cellStyle name="Comma 12 3 2" xfId="1887"/>
    <cellStyle name="Comma 12 4" xfId="1389"/>
    <cellStyle name="Comma 13" xfId="57"/>
    <cellStyle name="Comma 13 2" xfId="351"/>
    <cellStyle name="Comma 13 2 2" xfId="1392"/>
    <cellStyle name="Comma 13 3" xfId="896"/>
    <cellStyle name="Comma 13 3 2" xfId="1888"/>
    <cellStyle name="Comma 13 4" xfId="1391"/>
    <cellStyle name="Comma 14" xfId="58"/>
    <cellStyle name="Comma 14 2" xfId="352"/>
    <cellStyle name="Comma 14 2 2" xfId="1394"/>
    <cellStyle name="Comma 14 3" xfId="897"/>
    <cellStyle name="Comma 14 3 2" xfId="1889"/>
    <cellStyle name="Comma 14 4" xfId="1393"/>
    <cellStyle name="Comma 15" xfId="353"/>
    <cellStyle name="Comma 15 2" xfId="354"/>
    <cellStyle name="Comma 15 2 2" xfId="1396"/>
    <cellStyle name="Comma 15 3" xfId="1395"/>
    <cellStyle name="Comma 16" xfId="355"/>
    <cellStyle name="Comma 16 2" xfId="356"/>
    <cellStyle name="Comma 16 2 2" xfId="1398"/>
    <cellStyle name="Comma 16 3" xfId="1397"/>
    <cellStyle name="Comma 17" xfId="357"/>
    <cellStyle name="Comma 17 2" xfId="358"/>
    <cellStyle name="Comma 17 2 2" xfId="359"/>
    <cellStyle name="Comma 17 2 2 2" xfId="1401"/>
    <cellStyle name="Comma 17 2 3" xfId="1400"/>
    <cellStyle name="Comma 17 3" xfId="360"/>
    <cellStyle name="Comma 17 3 2" xfId="1402"/>
    <cellStyle name="Comma 17 4" xfId="1399"/>
    <cellStyle name="Comma 18" xfId="361"/>
    <cellStyle name="Comma 18 2" xfId="362"/>
    <cellStyle name="Comma 18 2 2" xfId="363"/>
    <cellStyle name="Comma 18 2 2 2" xfId="1405"/>
    <cellStyle name="Comma 18 2 3" xfId="1404"/>
    <cellStyle name="Comma 18 3" xfId="364"/>
    <cellStyle name="Comma 18 3 2" xfId="1406"/>
    <cellStyle name="Comma 18 4" xfId="1403"/>
    <cellStyle name="Comma 19" xfId="365"/>
    <cellStyle name="Comma 19 2" xfId="366"/>
    <cellStyle name="Comma 19 2 2" xfId="367"/>
    <cellStyle name="Comma 19 2 2 2" xfId="1409"/>
    <cellStyle name="Comma 19 2 3" xfId="1408"/>
    <cellStyle name="Comma 19 3" xfId="368"/>
    <cellStyle name="Comma 19 3 2" xfId="1410"/>
    <cellStyle name="Comma 19 4" xfId="1407"/>
    <cellStyle name="Comma 2" xfId="369"/>
    <cellStyle name="Comma 2 2" xfId="59"/>
    <cellStyle name="Comma 2 2 2" xfId="874"/>
    <cellStyle name="Comma 2 2 2 2" xfId="1878"/>
    <cellStyle name="Comma 2 2 3" xfId="1412"/>
    <cellStyle name="Comma 2 3" xfId="898"/>
    <cellStyle name="Comma 2 3 2" xfId="1890"/>
    <cellStyle name="Comma 2 4" xfId="1411"/>
    <cellStyle name="Comma 2_Exhibits" xfId="1050"/>
    <cellStyle name="Comma 20" xfId="370"/>
    <cellStyle name="Comma 20 2" xfId="371"/>
    <cellStyle name="Comma 20 2 2" xfId="1414"/>
    <cellStyle name="Comma 20 3" xfId="1413"/>
    <cellStyle name="Comma 21" xfId="372"/>
    <cellStyle name="Comma 21 2" xfId="373"/>
    <cellStyle name="Comma 21 2 2" xfId="1416"/>
    <cellStyle name="Comma 21 3" xfId="1415"/>
    <cellStyle name="Comma 22" xfId="374"/>
    <cellStyle name="Comma 22 2" xfId="375"/>
    <cellStyle name="Comma 22 2 2" xfId="1418"/>
    <cellStyle name="Comma 22 3" xfId="1417"/>
    <cellStyle name="Comma 23" xfId="376"/>
    <cellStyle name="Comma 23 2" xfId="377"/>
    <cellStyle name="Comma 23 2 2" xfId="1420"/>
    <cellStyle name="Comma 23 3" xfId="1419"/>
    <cellStyle name="Comma 24" xfId="378"/>
    <cellStyle name="Comma 24 2" xfId="379"/>
    <cellStyle name="Comma 24 2 2" xfId="1422"/>
    <cellStyle name="Comma 24 3" xfId="1421"/>
    <cellStyle name="Comma 25" xfId="380"/>
    <cellStyle name="Comma 25 2" xfId="381"/>
    <cellStyle name="Comma 25 2 2" xfId="1424"/>
    <cellStyle name="Comma 25 3" xfId="1423"/>
    <cellStyle name="Comma 26" xfId="382"/>
    <cellStyle name="Comma 26 2" xfId="383"/>
    <cellStyle name="Comma 26 2 2" xfId="1426"/>
    <cellStyle name="Comma 26 3" xfId="1425"/>
    <cellStyle name="Comma 27" xfId="384"/>
    <cellStyle name="Comma 27 2" xfId="385"/>
    <cellStyle name="Comma 27 2 2" xfId="1428"/>
    <cellStyle name="Comma 27 3" xfId="1427"/>
    <cellStyle name="Comma 28" xfId="386"/>
    <cellStyle name="Comma 28 2" xfId="387"/>
    <cellStyle name="Comma 28 2 2" xfId="1430"/>
    <cellStyle name="Comma 28 3" xfId="1429"/>
    <cellStyle name="Comma 29" xfId="388"/>
    <cellStyle name="Comma 29 2" xfId="1431"/>
    <cellStyle name="Comma 3" xfId="389"/>
    <cellStyle name="Comma 3 2" xfId="390"/>
    <cellStyle name="Comma 3 2 2" xfId="391"/>
    <cellStyle name="Comma 3 2 2 2" xfId="899"/>
    <cellStyle name="Comma 3 2 2 2 2" xfId="1891"/>
    <cellStyle name="Comma 3 2 2 3" xfId="1434"/>
    <cellStyle name="Comma 3 2 3" xfId="900"/>
    <cellStyle name="Comma 3 2 3 2" xfId="1892"/>
    <cellStyle name="Comma 3 2 4" xfId="1433"/>
    <cellStyle name="Comma 3 3" xfId="392"/>
    <cellStyle name="Comma 3 3 2" xfId="901"/>
    <cellStyle name="Comma 3 3 2 2" xfId="1893"/>
    <cellStyle name="Comma 3 3 3" xfId="1435"/>
    <cellStyle name="Comma 3 4" xfId="902"/>
    <cellStyle name="Comma 3 4 2" xfId="1894"/>
    <cellStyle name="Comma 3 5" xfId="1432"/>
    <cellStyle name="Comma 30" xfId="393"/>
    <cellStyle name="Comma 30 2" xfId="1436"/>
    <cellStyle name="Comma 31" xfId="394"/>
    <cellStyle name="Comma 31 2" xfId="1437"/>
    <cellStyle name="Comma 32" xfId="395"/>
    <cellStyle name="Comma 32 2" xfId="1438"/>
    <cellStyle name="Comma 33" xfId="396"/>
    <cellStyle name="Comma 33 2" xfId="1439"/>
    <cellStyle name="Comma 34" xfId="397"/>
    <cellStyle name="Comma 34 2" xfId="1440"/>
    <cellStyle name="Comma 35" xfId="398"/>
    <cellStyle name="Comma 35 2" xfId="1441"/>
    <cellStyle name="Comma 36" xfId="399"/>
    <cellStyle name="Comma 36 2" xfId="1442"/>
    <cellStyle name="Comma 37" xfId="400"/>
    <cellStyle name="Comma 37 2" xfId="814"/>
    <cellStyle name="Comma 37 2 2" xfId="1841"/>
    <cellStyle name="Comma 37 3" xfId="1443"/>
    <cellStyle name="Comma 38" xfId="1017"/>
    <cellStyle name="Comma 38 2" xfId="1138"/>
    <cellStyle name="Comma 38 2 2" xfId="1445"/>
    <cellStyle name="Comma 38 3" xfId="1444"/>
    <cellStyle name="Comma 39" xfId="1111"/>
    <cellStyle name="Comma 39 2" xfId="1137"/>
    <cellStyle name="Comma 39 2 2" xfId="1447"/>
    <cellStyle name="Comma 39 3" xfId="1446"/>
    <cellStyle name="Comma 4" xfId="60"/>
    <cellStyle name="Comma 4 2" xfId="402"/>
    <cellStyle name="Comma 4 2 2" xfId="403"/>
    <cellStyle name="Comma 4 2 2 2" xfId="1450"/>
    <cellStyle name="Comma 4 2 3" xfId="1449"/>
    <cellStyle name="Comma 4 3" xfId="404"/>
    <cellStyle name="Comma 4 3 2" xfId="1451"/>
    <cellStyle name="Comma 4 4" xfId="401"/>
    <cellStyle name="Comma 4 4 2" xfId="1825"/>
    <cellStyle name="Comma 4 5" xfId="1448"/>
    <cellStyle name="Comma 40" xfId="1136"/>
    <cellStyle name="Comma 40 2" xfId="1165"/>
    <cellStyle name="Comma 40 2 2" xfId="1453"/>
    <cellStyle name="Comma 40 3" xfId="1452"/>
    <cellStyle name="Comma 41" xfId="1168"/>
    <cellStyle name="Comma 41 2" xfId="1454"/>
    <cellStyle name="Comma 42" xfId="1166"/>
    <cellStyle name="Comma 42 2" xfId="1455"/>
    <cellStyle name="Comma 43" xfId="1167"/>
    <cellStyle name="Comma 43 2" xfId="1456"/>
    <cellStyle name="Comma 44" xfId="1135"/>
    <cellStyle name="Comma 44 2" xfId="1457"/>
    <cellStyle name="Comma 45" xfId="1134"/>
    <cellStyle name="Comma 45 2" xfId="1458"/>
    <cellStyle name="Comma 46" xfId="1133"/>
    <cellStyle name="Comma 46 2" xfId="1459"/>
    <cellStyle name="Comma 47" xfId="1132"/>
    <cellStyle name="Comma 47 2" xfId="1460"/>
    <cellStyle name="Comma 48" xfId="1131"/>
    <cellStyle name="Comma 48 2" xfId="1461"/>
    <cellStyle name="Comma 49" xfId="1130"/>
    <cellStyle name="Comma 49 2" xfId="1462"/>
    <cellStyle name="Comma 5" xfId="405"/>
    <cellStyle name="Comma 5 2" xfId="406"/>
    <cellStyle name="Comma 5 2 2" xfId="407"/>
    <cellStyle name="Comma 5 2 2 2" xfId="1465"/>
    <cellStyle name="Comma 5 2 3" xfId="1464"/>
    <cellStyle name="Comma 5 3" xfId="408"/>
    <cellStyle name="Comma 5 3 2" xfId="1466"/>
    <cellStyle name="Comma 5 4" xfId="1463"/>
    <cellStyle name="Comma 50" xfId="1164"/>
    <cellStyle name="Comma 50 2" xfId="2031"/>
    <cellStyle name="Comma 50 3" xfId="1467"/>
    <cellStyle name="Comma 51" xfId="1129"/>
    <cellStyle name="Comma 51 2" xfId="2022"/>
    <cellStyle name="Comma 51 3" xfId="1468"/>
    <cellStyle name="Comma 52" xfId="1163"/>
    <cellStyle name="Comma 52 2" xfId="2030"/>
    <cellStyle name="Comma 52 3" xfId="1469"/>
    <cellStyle name="Comma 53" xfId="1128"/>
    <cellStyle name="Comma 53 2" xfId="2021"/>
    <cellStyle name="Comma 53 3" xfId="1470"/>
    <cellStyle name="Comma 54" xfId="1162"/>
    <cellStyle name="Comma 54 2" xfId="2029"/>
    <cellStyle name="Comma 54 3" xfId="1471"/>
    <cellStyle name="Comma 55" xfId="1127"/>
    <cellStyle name="Comma 55 2" xfId="2020"/>
    <cellStyle name="Comma 55 3" xfId="1472"/>
    <cellStyle name="Comma 56" xfId="1126"/>
    <cellStyle name="Comma 56 2" xfId="2019"/>
    <cellStyle name="Comma 56 3" xfId="1473"/>
    <cellStyle name="Comma 57" xfId="1160"/>
    <cellStyle name="Comma 57 2" xfId="2028"/>
    <cellStyle name="Comma 58" xfId="1144"/>
    <cellStyle name="Comma 58 2" xfId="2025"/>
    <cellStyle name="Comma 59" xfId="1188"/>
    <cellStyle name="Comma 59 2" xfId="2041"/>
    <cellStyle name="Comma 6" xfId="409"/>
    <cellStyle name="Comma 6 2" xfId="410"/>
    <cellStyle name="Comma 6 2 2" xfId="411"/>
    <cellStyle name="Comma 6 2 2 2" xfId="1476"/>
    <cellStyle name="Comma 6 2 3" xfId="1475"/>
    <cellStyle name="Comma 6 3" xfId="412"/>
    <cellStyle name="Comma 6 3 2" xfId="1477"/>
    <cellStyle name="Comma 6 4" xfId="1178"/>
    <cellStyle name="Comma 6 4 2" xfId="1478"/>
    <cellStyle name="Comma 6 5" xfId="1474"/>
    <cellStyle name="Comma 60" xfId="1139"/>
    <cellStyle name="Comma 60 2" xfId="2023"/>
    <cellStyle name="Comma 61" xfId="1184"/>
    <cellStyle name="Comma 61 2" xfId="2037"/>
    <cellStyle name="Comma 62" xfId="1186"/>
    <cellStyle name="Comma 62 2" xfId="2039"/>
    <cellStyle name="Comma 63" xfId="1819"/>
    <cellStyle name="Comma 64" xfId="1835"/>
    <cellStyle name="Comma 65" xfId="2046"/>
    <cellStyle name="Comma 66" xfId="1830"/>
    <cellStyle name="Comma 67" xfId="1832"/>
    <cellStyle name="Comma 7" xfId="413"/>
    <cellStyle name="Comma 7 2" xfId="414"/>
    <cellStyle name="Comma 7 2 2" xfId="1480"/>
    <cellStyle name="Comma 7 3" xfId="1479"/>
    <cellStyle name="Comma 73" xfId="61"/>
    <cellStyle name="Comma 73 2" xfId="1820"/>
    <cellStyle name="Comma 8" xfId="415"/>
    <cellStyle name="Comma 8 2" xfId="416"/>
    <cellStyle name="Comma 8 2 2" xfId="1482"/>
    <cellStyle name="Comma 8 3" xfId="1481"/>
    <cellStyle name="Comma 9" xfId="417"/>
    <cellStyle name="Comma 9 2" xfId="418"/>
    <cellStyle name="Comma 9 2 2" xfId="419"/>
    <cellStyle name="Comma 9 2 2 2" xfId="1485"/>
    <cellStyle name="Comma 9 2 3" xfId="1484"/>
    <cellStyle name="Comma 9 3" xfId="420"/>
    <cellStyle name="Comma 9 3 2" xfId="421"/>
    <cellStyle name="Comma 9 3 2 2" xfId="1487"/>
    <cellStyle name="Comma 9 3 3" xfId="1486"/>
    <cellStyle name="Comma 9 4" xfId="422"/>
    <cellStyle name="Comma 9 4 2" xfId="1488"/>
    <cellStyle name="Comma 9 5" xfId="1483"/>
    <cellStyle name="Comment" xfId="423"/>
    <cellStyle name="CompanyName" xfId="424"/>
    <cellStyle name="Currency" xfId="62" builtinId="4"/>
    <cellStyle name="Currency 10" xfId="1016"/>
    <cellStyle name="Currency 10 2" xfId="1975"/>
    <cellStyle name="Currency 2" xfId="425"/>
    <cellStyle name="Currency 2 2" xfId="63"/>
    <cellStyle name="Currency 2 2 2" xfId="426"/>
    <cellStyle name="Currency 2 2 2 2" xfId="1491"/>
    <cellStyle name="Currency 2 2 3" xfId="1490"/>
    <cellStyle name="Currency 2 3" xfId="427"/>
    <cellStyle name="Currency 2 3 2" xfId="1492"/>
    <cellStyle name="Currency 2 4" xfId="1489"/>
    <cellStyle name="Currency 3" xfId="428"/>
    <cellStyle name="Currency 3 2" xfId="429"/>
    <cellStyle name="Currency 3 2 2" xfId="430"/>
    <cellStyle name="Currency 3 2 2 2" xfId="903"/>
    <cellStyle name="Currency 3 2 2 2 2" xfId="1895"/>
    <cellStyle name="Currency 3 2 2 3" xfId="1495"/>
    <cellStyle name="Currency 3 2 3" xfId="904"/>
    <cellStyle name="Currency 3 2 3 2" xfId="1896"/>
    <cellStyle name="Currency 3 2 4" xfId="1494"/>
    <cellStyle name="Currency 3 3" xfId="431"/>
    <cellStyle name="Currency 3 3 2" xfId="905"/>
    <cellStyle name="Currency 3 3 2 2" xfId="1897"/>
    <cellStyle name="Currency 3 3 3" xfId="1496"/>
    <cellStyle name="Currency 3 4" xfId="906"/>
    <cellStyle name="Currency 3 4 2" xfId="1898"/>
    <cellStyle name="Currency 3 5" xfId="1493"/>
    <cellStyle name="Currency 4" xfId="432"/>
    <cellStyle name="Currency 4 2" xfId="433"/>
    <cellStyle name="Currency 4 2 2" xfId="434"/>
    <cellStyle name="Currency 4 2 2 2" xfId="1499"/>
    <cellStyle name="Currency 4 2 3" xfId="1498"/>
    <cellStyle name="Currency 4 3" xfId="435"/>
    <cellStyle name="Currency 4 3 2" xfId="436"/>
    <cellStyle name="Currency 4 3 2 2" xfId="1501"/>
    <cellStyle name="Currency 4 3 3" xfId="1500"/>
    <cellStyle name="Currency 4 4" xfId="437"/>
    <cellStyle name="Currency 4 4 2" xfId="1502"/>
    <cellStyle name="Currency 4 5" xfId="1177"/>
    <cellStyle name="Currency 4 5 2" xfId="1503"/>
    <cellStyle name="Currency 4 6" xfId="1497"/>
    <cellStyle name="Currency 5" xfId="438"/>
    <cellStyle name="Currency 5 2" xfId="439"/>
    <cellStyle name="Currency 5 2 2" xfId="440"/>
    <cellStyle name="Currency 5 2 2 2" xfId="1506"/>
    <cellStyle name="Currency 5 2 3" xfId="1505"/>
    <cellStyle name="Currency 5 3" xfId="441"/>
    <cellStyle name="Currency 5 3 2" xfId="1507"/>
    <cellStyle name="Currency 5 4" xfId="907"/>
    <cellStyle name="Currency 5 5" xfId="1504"/>
    <cellStyle name="Currency 6" xfId="64"/>
    <cellStyle name="Currency 6 2" xfId="443"/>
    <cellStyle name="Currency 6 2 2" xfId="1509"/>
    <cellStyle name="Currency 6 3" xfId="442"/>
    <cellStyle name="Currency 6 3 2" xfId="1826"/>
    <cellStyle name="Currency 6 4" xfId="1508"/>
    <cellStyle name="Currency 7" xfId="444"/>
    <cellStyle name="Currency 7 2" xfId="815"/>
    <cellStyle name="Currency 7 2 2" xfId="1842"/>
    <cellStyle name="Currency 7 3" xfId="1510"/>
    <cellStyle name="Currency 8" xfId="908"/>
    <cellStyle name="Currency 8 2" xfId="909"/>
    <cellStyle name="Currency 8 2 2" xfId="1512"/>
    <cellStyle name="Currency 8 3" xfId="1511"/>
    <cellStyle name="Currency 9" xfId="910"/>
    <cellStyle name="Currency 9 2" xfId="1899"/>
    <cellStyle name="Currency 9 3" xfId="1513"/>
    <cellStyle name="Dash" xfId="445"/>
    <cellStyle name="Date" xfId="446"/>
    <cellStyle name="Date m-yy" xfId="1051"/>
    <cellStyle name="Date m-yy 2" xfId="1990"/>
    <cellStyle name="Date2" xfId="447"/>
    <cellStyle name="Decimal" xfId="448"/>
    <cellStyle name="decimal 1" xfId="449"/>
    <cellStyle name="Dollar" xfId="450"/>
    <cellStyle name="Dollars" xfId="451"/>
    <cellStyle name="Dollars 2" xfId="452"/>
    <cellStyle name="Explanatory Text 2" xfId="453"/>
    <cellStyle name="Fail" xfId="454"/>
    <cellStyle name="Fail 2" xfId="911"/>
    <cellStyle name="FieldName" xfId="455"/>
    <cellStyle name="FiscalPeriod" xfId="456"/>
    <cellStyle name="FiscalPeriod 2" xfId="912"/>
    <cellStyle name="Fixed" xfId="457"/>
    <cellStyle name="Footnote" xfId="458"/>
    <cellStyle name="G02 Table Text" xfId="459"/>
    <cellStyle name="G02 Table Text 2" xfId="460"/>
    <cellStyle name="G04_Main head" xfId="461"/>
    <cellStyle name="G05 Tab Head Bold" xfId="462"/>
    <cellStyle name="G05 Tab Head Bold 2" xfId="463"/>
    <cellStyle name="G05 Tab Head Bold 2 2" xfId="464"/>
    <cellStyle name="G05 Tab Head Bold 2 2 2" xfId="465"/>
    <cellStyle name="G05 Tab Head Bold 2 2 2 2" xfId="1517"/>
    <cellStyle name="G05 Tab Head Bold 2 2 3" xfId="1516"/>
    <cellStyle name="G05 Tab Head Bold 2 3" xfId="466"/>
    <cellStyle name="G05 Tab Head Bold 2 3 2" xfId="1518"/>
    <cellStyle name="G05 Tab Head Bold 2 4" xfId="1515"/>
    <cellStyle name="G05 Tab Head Bold 3" xfId="467"/>
    <cellStyle name="G05 Tab Head Bold 3 2" xfId="468"/>
    <cellStyle name="G05 Tab Head Bold 3 2 2" xfId="1520"/>
    <cellStyle name="G05 Tab Head Bold 3 3" xfId="1519"/>
    <cellStyle name="G05 Tab Head Bold 4" xfId="469"/>
    <cellStyle name="G05 Tab Head Bold 4 2" xfId="1124"/>
    <cellStyle name="G05 Tab Head Bold 4 2 2" xfId="1522"/>
    <cellStyle name="G05 Tab Head Bold 4 3" xfId="1521"/>
    <cellStyle name="G05 Tab Head Bold 5" xfId="470"/>
    <cellStyle name="G05 Tab Head Bold 5 2" xfId="816"/>
    <cellStyle name="G05 Tab Head Bold 5 2 2" xfId="1524"/>
    <cellStyle name="G05 Tab Head Bold 5 3" xfId="1523"/>
    <cellStyle name="G05 Tab Head Bold 6" xfId="1123"/>
    <cellStyle name="G05 Tab Head Bold 6 2" xfId="1525"/>
    <cellStyle name="G05 Tab Head Bold 7" xfId="1514"/>
    <cellStyle name="G05 Tab Head Light" xfId="471"/>
    <cellStyle name="G05 Tab Head Light 2" xfId="472"/>
    <cellStyle name="G05 Tab Head Light 2 2" xfId="473"/>
    <cellStyle name="G05 Tab Head Light 2 2 2" xfId="474"/>
    <cellStyle name="G05 Tab Head Light 2 2 2 2" xfId="1529"/>
    <cellStyle name="G05 Tab Head Light 2 2 3" xfId="1528"/>
    <cellStyle name="G05 Tab Head Light 2 3" xfId="475"/>
    <cellStyle name="G05 Tab Head Light 2 3 2" xfId="1530"/>
    <cellStyle name="G05 Tab Head Light 2 4" xfId="1527"/>
    <cellStyle name="G05 Tab Head Light 3" xfId="476"/>
    <cellStyle name="G05 Tab Head Light 3 2" xfId="477"/>
    <cellStyle name="G05 Tab Head Light 3 2 2" xfId="1532"/>
    <cellStyle name="G05 Tab Head Light 3 3" xfId="1531"/>
    <cellStyle name="G05 Tab Head Light 4" xfId="478"/>
    <cellStyle name="G05 Tab Head Light 4 2" xfId="1121"/>
    <cellStyle name="G05 Tab Head Light 4 2 2" xfId="1534"/>
    <cellStyle name="G05 Tab Head Light 4 3" xfId="1533"/>
    <cellStyle name="G05 Tab Head Light 5" xfId="479"/>
    <cellStyle name="G05 Tab Head Light 5 2" xfId="817"/>
    <cellStyle name="G05 Tab Head Light 5 2 2" xfId="1536"/>
    <cellStyle name="G05 Tab Head Light 5 3" xfId="1535"/>
    <cellStyle name="G05 Tab Head Light 6" xfId="1120"/>
    <cellStyle name="G05 Tab Head Light 6 2" xfId="1537"/>
    <cellStyle name="G05 Tab Head Light 7" xfId="1526"/>
    <cellStyle name="Good 2" xfId="480"/>
    <cellStyle name="Green" xfId="481"/>
    <cellStyle name="Green 2" xfId="482"/>
    <cellStyle name="Green 2 2" xfId="483"/>
    <cellStyle name="Green 3" xfId="484"/>
    <cellStyle name="Green 3 2" xfId="818"/>
    <cellStyle name="Green 3 3" xfId="1827"/>
    <cellStyle name="Green 4" xfId="849"/>
    <cellStyle name="Green 4 2" xfId="863"/>
    <cellStyle name="Green 4 2 2" xfId="868"/>
    <cellStyle name="Green 4 2 2 2" xfId="2052"/>
    <cellStyle name="Green 4 2 3" xfId="1074"/>
    <cellStyle name="Green 4 3" xfId="866"/>
    <cellStyle name="Grey" xfId="485"/>
    <cellStyle name="Grey 2" xfId="486"/>
    <cellStyle name="Grey 3" xfId="487"/>
    <cellStyle name="hard no" xfId="488"/>
    <cellStyle name="hard no 2" xfId="489"/>
    <cellStyle name="hard no 2 2" xfId="1539"/>
    <cellStyle name="hard no 3" xfId="1538"/>
    <cellStyle name="hardno" xfId="490"/>
    <cellStyle name="Header_FT Valuation " xfId="65"/>
    <cellStyle name="Header1" xfId="491"/>
    <cellStyle name="Header2" xfId="492"/>
    <cellStyle name="Heading 1 2" xfId="493"/>
    <cellStyle name="Heading 2 2" xfId="494"/>
    <cellStyle name="Heading 3 2" xfId="495"/>
    <cellStyle name="Heading 4 2" xfId="496"/>
    <cellStyle name="Hidden" xfId="497"/>
    <cellStyle name="Hidden 2" xfId="913"/>
    <cellStyle name="Hyperlink 2" xfId="1052"/>
    <cellStyle name="Hyperlink 4" xfId="1053"/>
    <cellStyle name="Input [yellow]" xfId="498"/>
    <cellStyle name="Input [yellow] 2" xfId="499"/>
    <cellStyle name="Input [yellow] 3" xfId="500"/>
    <cellStyle name="Input 10" xfId="501"/>
    <cellStyle name="Input 11" xfId="502"/>
    <cellStyle name="Input 12" xfId="503"/>
    <cellStyle name="Input 13" xfId="504"/>
    <cellStyle name="Input 14" xfId="505"/>
    <cellStyle name="Input 15" xfId="506"/>
    <cellStyle name="Input 16" xfId="507"/>
    <cellStyle name="Input 17" xfId="508"/>
    <cellStyle name="Input 18" xfId="509"/>
    <cellStyle name="Input 19" xfId="510"/>
    <cellStyle name="Input 2" xfId="511"/>
    <cellStyle name="Input 20" xfId="512"/>
    <cellStyle name="Input 21" xfId="513"/>
    <cellStyle name="Input 22" xfId="514"/>
    <cellStyle name="Input 23" xfId="852"/>
    <cellStyle name="Input 24" xfId="848"/>
    <cellStyle name="Input 25" xfId="850"/>
    <cellStyle name="Input 26" xfId="847"/>
    <cellStyle name="Input 27" xfId="851"/>
    <cellStyle name="Input 28" xfId="871"/>
    <cellStyle name="Input 29" xfId="872"/>
    <cellStyle name="Input 3" xfId="515"/>
    <cellStyle name="Input 30" xfId="964"/>
    <cellStyle name="Input 31" xfId="968"/>
    <cellStyle name="Input 4" xfId="516"/>
    <cellStyle name="Input 5" xfId="517"/>
    <cellStyle name="Input 6" xfId="518"/>
    <cellStyle name="Input 7" xfId="519"/>
    <cellStyle name="Input 8" xfId="520"/>
    <cellStyle name="Input 9" xfId="521"/>
    <cellStyle name="InputBlueFont" xfId="522"/>
    <cellStyle name="Integer" xfId="523"/>
    <cellStyle name="KP_Normal" xfId="524"/>
    <cellStyle name="Linked Cell 2" xfId="525"/>
    <cellStyle name="MetricLabel" xfId="526"/>
    <cellStyle name="MetricLabel 2" xfId="914"/>
    <cellStyle name="MetricLabelBlue" xfId="527"/>
    <cellStyle name="MetricLabelBlue 2" xfId="915"/>
    <cellStyle name="MetricValue" xfId="528"/>
    <cellStyle name="MetricValue 2" xfId="916"/>
    <cellStyle name="MonthYears" xfId="529"/>
    <cellStyle name="MonthYears 2" xfId="530"/>
    <cellStyle name="MonthYears 3" xfId="531"/>
    <cellStyle name="Neutral 2" xfId="532"/>
    <cellStyle name="no dec" xfId="533"/>
    <cellStyle name="Normal" xfId="0" builtinId="0"/>
    <cellStyle name="Normal - Style1" xfId="534"/>
    <cellStyle name="Normal 10" xfId="66"/>
    <cellStyle name="Normal 10 2" xfId="535"/>
    <cellStyle name="Normal 10 2 2" xfId="1541"/>
    <cellStyle name="Normal 10 3" xfId="1540"/>
    <cellStyle name="Normal 10_Exhibits" xfId="1054"/>
    <cellStyle name="Normal 100" xfId="2057"/>
    <cellStyle name="Normal 101" xfId="2058"/>
    <cellStyle name="Normal 102" xfId="2055"/>
    <cellStyle name="Normal 103" xfId="2048"/>
    <cellStyle name="Normal 104" xfId="2060"/>
    <cellStyle name="Normal 105" xfId="2062"/>
    <cellStyle name="Normal 106" xfId="2066"/>
    <cellStyle name="Normal 107" xfId="2061"/>
    <cellStyle name="Normal 108" xfId="2063"/>
    <cellStyle name="Normal 109" xfId="2065"/>
    <cellStyle name="Normal 11" xfId="536"/>
    <cellStyle name="Normal 11 2" xfId="537"/>
    <cellStyle name="Normal 11 2 2" xfId="1543"/>
    <cellStyle name="Normal 11 3" xfId="1542"/>
    <cellStyle name="Normal 110" xfId="2068"/>
    <cellStyle name="Normal 111" xfId="2069"/>
    <cellStyle name="Normal 112" xfId="2072"/>
    <cellStyle name="Normal 113" xfId="2073"/>
    <cellStyle name="Normal 114" xfId="2071"/>
    <cellStyle name="Normal 12" xfId="538"/>
    <cellStyle name="Normal 12 2" xfId="539"/>
    <cellStyle name="Normal 12 2 2" xfId="1545"/>
    <cellStyle name="Normal 12 3" xfId="1544"/>
    <cellStyle name="Normal 13" xfId="67"/>
    <cellStyle name="Normal 13 2" xfId="541"/>
    <cellStyle name="Normal 13 2 2" xfId="1547"/>
    <cellStyle name="Normal 13 3" xfId="540"/>
    <cellStyle name="Normal 13 3 2" xfId="1828"/>
    <cellStyle name="Normal 13 4" xfId="1821"/>
    <cellStyle name="Normal 13 5" xfId="1546"/>
    <cellStyle name="Normal 14" xfId="542"/>
    <cellStyle name="Normal 14 2" xfId="543"/>
    <cellStyle name="Normal 14 2 2" xfId="1549"/>
    <cellStyle name="Normal 14 3" xfId="917"/>
    <cellStyle name="Normal 14 3 2" xfId="1900"/>
    <cellStyle name="Normal 14 4" xfId="918"/>
    <cellStyle name="Normal 14 4 2" xfId="1901"/>
    <cellStyle name="Normal 14 5" xfId="1548"/>
    <cellStyle name="Normal 15" xfId="544"/>
    <cellStyle name="Normal 15 2" xfId="545"/>
    <cellStyle name="Normal 15 2 2" xfId="1551"/>
    <cellStyle name="Normal 15 3" xfId="1550"/>
    <cellStyle name="Normal 16" xfId="546"/>
    <cellStyle name="Normal 16 2" xfId="547"/>
    <cellStyle name="Normal 16 2 2" xfId="1553"/>
    <cellStyle name="Normal 16 3" xfId="1552"/>
    <cellStyle name="Normal 17" xfId="548"/>
    <cellStyle name="Normal 17 2" xfId="549"/>
    <cellStyle name="Normal 17 2 2" xfId="1555"/>
    <cellStyle name="Normal 17 3" xfId="1554"/>
    <cellStyle name="Normal 18" xfId="550"/>
    <cellStyle name="Normal 18 2" xfId="551"/>
    <cellStyle name="Normal 18 2 2" xfId="1557"/>
    <cellStyle name="Normal 18 3" xfId="1556"/>
    <cellStyle name="Normal 19" xfId="552"/>
    <cellStyle name="Normal 19 2" xfId="553"/>
    <cellStyle name="Normal 19 2 2" xfId="1559"/>
    <cellStyle name="Normal 19 3" xfId="1558"/>
    <cellStyle name="Normal 2" xfId="554"/>
    <cellStyle name="Normal 2 2" xfId="555"/>
    <cellStyle name="Normal 2 2 2" xfId="556"/>
    <cellStyle name="Normal 2 2 2 2" xfId="1562"/>
    <cellStyle name="Normal 2 2 3" xfId="557"/>
    <cellStyle name="Normal 2 2 3 2" xfId="1563"/>
    <cellStyle name="Normal 2 2 4" xfId="1561"/>
    <cellStyle name="Normal 2 3" xfId="558"/>
    <cellStyle name="Normal 2 3 2" xfId="1564"/>
    <cellStyle name="Normal 2 4" xfId="919"/>
    <cellStyle name="Normal 2 4 2" xfId="1565"/>
    <cellStyle name="Normal 2 5" xfId="920"/>
    <cellStyle name="Normal 2 5 2" xfId="1902"/>
    <cellStyle name="Normal 2 6" xfId="1560"/>
    <cellStyle name="Normal 2_Exhibits" xfId="1055"/>
    <cellStyle name="Normal 20" xfId="559"/>
    <cellStyle name="Normal 20 2" xfId="560"/>
    <cellStyle name="Normal 20 2 2" xfId="1567"/>
    <cellStyle name="Normal 20 3" xfId="1566"/>
    <cellStyle name="Normal 21" xfId="561"/>
    <cellStyle name="Normal 21 2" xfId="562"/>
    <cellStyle name="Normal 21 2 2" xfId="1568"/>
    <cellStyle name="Normal 22" xfId="563"/>
    <cellStyle name="Normal 22 2" xfId="564"/>
    <cellStyle name="Normal 22 2 2" xfId="921"/>
    <cellStyle name="Normal 22 2 2 2" xfId="1903"/>
    <cellStyle name="Normal 22 2 3" xfId="1570"/>
    <cellStyle name="Normal 22 3" xfId="1569"/>
    <cellStyle name="Normal 23" xfId="565"/>
    <cellStyle name="Normal 23 2" xfId="922"/>
    <cellStyle name="Normal 23 2 2" xfId="1904"/>
    <cellStyle name="Normal 23 3" xfId="1571"/>
    <cellStyle name="Normal 24" xfId="566"/>
    <cellStyle name="Normal 24 2" xfId="923"/>
    <cellStyle name="Normal 24 2 2" xfId="1905"/>
    <cellStyle name="Normal 24 3" xfId="1572"/>
    <cellStyle name="Normal 25" xfId="68"/>
    <cellStyle name="Normal 25 2" xfId="924"/>
    <cellStyle name="Normal 25 2 2" xfId="1119"/>
    <cellStyle name="Normal 25 2 2 2" xfId="2016"/>
    <cellStyle name="Normal 25 2 3" xfId="1906"/>
    <cellStyle name="Normal 25 2 4" xfId="1574"/>
    <cellStyle name="Normal 25 3" xfId="567"/>
    <cellStyle name="Normal 25 3 2" xfId="1829"/>
    <cellStyle name="Normal 25 4" xfId="1573"/>
    <cellStyle name="Normal 26" xfId="568"/>
    <cellStyle name="Normal 26 2" xfId="925"/>
    <cellStyle name="Normal 26 2 2" xfId="1907"/>
    <cellStyle name="Normal 26 3" xfId="1575"/>
    <cellStyle name="Normal 27" xfId="569"/>
    <cellStyle name="Normal 27 2" xfId="1576"/>
    <cellStyle name="Normal 28" xfId="570"/>
    <cellStyle name="Normal 28 2" xfId="1577"/>
    <cellStyle name="Normal 29" xfId="571"/>
    <cellStyle name="Normal 29 2" xfId="1578"/>
    <cellStyle name="Normal 3" xfId="572"/>
    <cellStyle name="Normal 3 2" xfId="573"/>
    <cellStyle name="Normal 3 2 2" xfId="574"/>
    <cellStyle name="Normal 3 2 2 2" xfId="928"/>
    <cellStyle name="Normal 3 2 2 2 2" xfId="1910"/>
    <cellStyle name="Normal 3 2 2 3" xfId="927"/>
    <cellStyle name="Normal 3 2 2 3 2" xfId="1909"/>
    <cellStyle name="Normal 3 2 2 4" xfId="1581"/>
    <cellStyle name="Normal 3 2 3" xfId="929"/>
    <cellStyle name="Normal 3 2 3 2" xfId="1911"/>
    <cellStyle name="Normal 3 2 4" xfId="926"/>
    <cellStyle name="Normal 3 2 4 2" xfId="1908"/>
    <cellStyle name="Normal 3 2 5" xfId="1580"/>
    <cellStyle name="Normal 3 3" xfId="575"/>
    <cellStyle name="Normal 3 3 2" xfId="576"/>
    <cellStyle name="Normal 3 3 2 2" xfId="1583"/>
    <cellStyle name="Normal 3 3 3" xfId="930"/>
    <cellStyle name="Normal 3 3 3 2" xfId="1912"/>
    <cellStyle name="Normal 3 3 4" xfId="931"/>
    <cellStyle name="Normal 3 3 5" xfId="1582"/>
    <cellStyle name="Normal 3 4" xfId="577"/>
    <cellStyle name="Normal 3 4 2" xfId="1584"/>
    <cellStyle name="Normal 3 5" xfId="1579"/>
    <cellStyle name="Normal 30" xfId="578"/>
    <cellStyle name="Normal 30 2" xfId="1585"/>
    <cellStyle name="Normal 31" xfId="579"/>
    <cellStyle name="Normal 31 2" xfId="1586"/>
    <cellStyle name="Normal 32" xfId="580"/>
    <cellStyle name="Normal 32 2" xfId="1587"/>
    <cellStyle name="Normal 33" xfId="581"/>
    <cellStyle name="Normal 33 2" xfId="1588"/>
    <cellStyle name="Normal 34" xfId="582"/>
    <cellStyle name="Normal 34 2" xfId="819"/>
    <cellStyle name="Normal 34 2 2" xfId="1843"/>
    <cellStyle name="Normal 34 3" xfId="932"/>
    <cellStyle name="Normal 34 3 2" xfId="1913"/>
    <cellStyle name="Normal 34 4" xfId="1589"/>
    <cellStyle name="Normal 35" xfId="793"/>
    <cellStyle name="Normal 35 2" xfId="1118"/>
    <cellStyle name="Normal 35 2 2" xfId="2015"/>
    <cellStyle name="Normal 35 3" xfId="1836"/>
    <cellStyle name="Normal 35 4" xfId="1590"/>
    <cellStyle name="Normal 36" xfId="795"/>
    <cellStyle name="Normal 36 2" xfId="1591"/>
    <cellStyle name="Normal 37" xfId="797"/>
    <cellStyle name="Normal 37 2" xfId="1592"/>
    <cellStyle name="Normal 38" xfId="798"/>
    <cellStyle name="Normal 38 2" xfId="1593"/>
    <cellStyle name="Normal 39" xfId="794"/>
    <cellStyle name="Normal 39 2" xfId="876"/>
    <cellStyle name="Normal 39 2 2" xfId="1880"/>
    <cellStyle name="Normal 39 3" xfId="1594"/>
    <cellStyle name="Normal 4" xfId="583"/>
    <cellStyle name="Normal 4 2" xfId="584"/>
    <cellStyle name="Normal 4 2 2" xfId="1596"/>
    <cellStyle name="Normal 4 3" xfId="585"/>
    <cellStyle name="Normal 4 3 2" xfId="933"/>
    <cellStyle name="Normal 4 3 2 2" xfId="1914"/>
    <cellStyle name="Normal 4 3 3" xfId="1597"/>
    <cellStyle name="Normal 4 4" xfId="934"/>
    <cellStyle name="Normal 4 5" xfId="1595"/>
    <cellStyle name="Normal 40" xfId="799"/>
    <cellStyle name="Normal 40 2" xfId="873"/>
    <cellStyle name="Normal 40 2 2" xfId="1877"/>
    <cellStyle name="Normal 40 3" xfId="1598"/>
    <cellStyle name="Normal 41" xfId="801"/>
    <cellStyle name="Normal 41 2" xfId="1599"/>
    <cellStyle name="Normal 42" xfId="802"/>
    <cellStyle name="Normal 42 2" xfId="1600"/>
    <cellStyle name="Normal 43" xfId="803"/>
    <cellStyle name="Normal 43 2" xfId="1601"/>
    <cellStyle name="Normal 44" xfId="804"/>
    <cellStyle name="Normal 44 2" xfId="1602"/>
    <cellStyle name="Normal 45" xfId="800"/>
    <cellStyle name="Normal 45 2" xfId="1117"/>
    <cellStyle name="Normal 45 2 2" xfId="2014"/>
    <cellStyle name="Normal 45 3" xfId="1838"/>
    <cellStyle name="Normal 45 4" xfId="1603"/>
    <cellStyle name="Normal 46" xfId="805"/>
    <cellStyle name="Normal 46 2" xfId="1839"/>
    <cellStyle name="Normal 47" xfId="827"/>
    <cellStyle name="Normal 47 2" xfId="1847"/>
    <cellStyle name="Normal 48" xfId="829"/>
    <cellStyle name="Normal 48 2" xfId="1848"/>
    <cellStyle name="Normal 49" xfId="826"/>
    <cellStyle name="Normal 49 2" xfId="1846"/>
    <cellStyle name="Normal 5" xfId="586"/>
    <cellStyle name="Normal 5 2" xfId="587"/>
    <cellStyle name="Normal 5 2 2" xfId="1605"/>
    <cellStyle name="Normal 5 3" xfId="588"/>
    <cellStyle name="Normal 5 3 2" xfId="935"/>
    <cellStyle name="Normal 5 3 2 2" xfId="1915"/>
    <cellStyle name="Normal 5 3 3" xfId="1606"/>
    <cellStyle name="Normal 5 4" xfId="936"/>
    <cellStyle name="Normal 5 4 2" xfId="1916"/>
    <cellStyle name="Normal 5 5" xfId="1604"/>
    <cellStyle name="Normal 50" xfId="830"/>
    <cellStyle name="Normal 50 2" xfId="1849"/>
    <cellStyle name="Normal 51" xfId="834"/>
    <cellStyle name="Normal 51 2" xfId="1853"/>
    <cellStyle name="Normal 52" xfId="831"/>
    <cellStyle name="Normal 52 2" xfId="1850"/>
    <cellStyle name="Normal 53" xfId="833"/>
    <cellStyle name="Normal 53 2" xfId="1852"/>
    <cellStyle name="Normal 54" xfId="832"/>
    <cellStyle name="Normal 54 2" xfId="1851"/>
    <cellStyle name="Normal 55" xfId="835"/>
    <cellStyle name="Normal 55 2" xfId="1854"/>
    <cellStyle name="Normal 56" xfId="840"/>
    <cellStyle name="Normal 56 2" xfId="1859"/>
    <cellStyle name="Normal 57" xfId="836"/>
    <cellStyle name="Normal 57 2" xfId="1855"/>
    <cellStyle name="Normal 58" xfId="839"/>
    <cellStyle name="Normal 58 2" xfId="1858"/>
    <cellStyle name="Normal 59" xfId="837"/>
    <cellStyle name="Normal 59 2" xfId="1856"/>
    <cellStyle name="Normal 6" xfId="589"/>
    <cellStyle name="Normal 6 2" xfId="590"/>
    <cellStyle name="Normal 6 2 2" xfId="937"/>
    <cellStyle name="Normal 6 2 2 2" xfId="938"/>
    <cellStyle name="Normal 6 2 2 2 2" xfId="1918"/>
    <cellStyle name="Normal 6 2 2 3" xfId="1917"/>
    <cellStyle name="Normal 6 2 3" xfId="939"/>
    <cellStyle name="Normal 6 2 3 2" xfId="1919"/>
    <cellStyle name="Normal 6 2 4" xfId="1608"/>
    <cellStyle name="Normal 6 3" xfId="591"/>
    <cellStyle name="Normal 6 3 2" xfId="940"/>
    <cellStyle name="Normal 6 3 2 2" xfId="1920"/>
    <cellStyle name="Normal 6 3 3" xfId="1609"/>
    <cellStyle name="Normal 6 4" xfId="941"/>
    <cellStyle name="Normal 6 4 2" xfId="1921"/>
    <cellStyle name="Normal 6 5" xfId="942"/>
    <cellStyle name="Normal 6 5 2" xfId="1922"/>
    <cellStyle name="Normal 6 6" xfId="1607"/>
    <cellStyle name="Normal 60" xfId="838"/>
    <cellStyle name="Normal 60 2" xfId="1857"/>
    <cellStyle name="Normal 61" xfId="841"/>
    <cellStyle name="Normal 61 2" xfId="1860"/>
    <cellStyle name="Normal 62" xfId="842"/>
    <cellStyle name="Normal 62 2" xfId="1861"/>
    <cellStyle name="Normal 63" xfId="843"/>
    <cellStyle name="Normal 63 2" xfId="1862"/>
    <cellStyle name="Normal 64" xfId="844"/>
    <cellStyle name="Normal 64 2" xfId="1863"/>
    <cellStyle name="Normal 65" xfId="845"/>
    <cellStyle name="Normal 65 2" xfId="1864"/>
    <cellStyle name="Normal 66" xfId="846"/>
    <cellStyle name="Normal 66 2" xfId="1865"/>
    <cellStyle name="Normal 67" xfId="854"/>
    <cellStyle name="Normal 67 2" xfId="1866"/>
    <cellStyle name="Normal 68" xfId="855"/>
    <cellStyle name="Normal 68 2" xfId="1867"/>
    <cellStyle name="Normal 69" xfId="856"/>
    <cellStyle name="Normal 69 2" xfId="1868"/>
    <cellStyle name="Normal 7" xfId="592"/>
    <cellStyle name="Normal 7 2" xfId="593"/>
    <cellStyle name="Normal 7 2 2" xfId="943"/>
    <cellStyle name="Normal 7 2 2 2" xfId="1923"/>
    <cellStyle name="Normal 7 2 3" xfId="1611"/>
    <cellStyle name="Normal 7 3" xfId="594"/>
    <cellStyle name="Normal 7 3 2" xfId="1612"/>
    <cellStyle name="Normal 7 4" xfId="1610"/>
    <cellStyle name="Normal 70" xfId="857"/>
    <cellStyle name="Normal 70 2" xfId="1869"/>
    <cellStyle name="Normal 71" xfId="858"/>
    <cellStyle name="Normal 71 2" xfId="1870"/>
    <cellStyle name="Normal 72" xfId="862"/>
    <cellStyle name="Normal 72 2" xfId="1022"/>
    <cellStyle name="Normal 72 3" xfId="1874"/>
    <cellStyle name="Normal 73" xfId="859"/>
    <cellStyle name="Normal 73 2" xfId="1023"/>
    <cellStyle name="Normal 73 3" xfId="1871"/>
    <cellStyle name="Normal 74" xfId="861"/>
    <cellStyle name="Normal 74 2" xfId="1025"/>
    <cellStyle name="Normal 74 3" xfId="1873"/>
    <cellStyle name="Normal 75" xfId="860"/>
    <cellStyle name="Normal 75 2" xfId="1027"/>
    <cellStyle name="Normal 75 3" xfId="1872"/>
    <cellStyle name="Normal 76" xfId="865"/>
    <cellStyle name="Normal 76 2" xfId="1029"/>
    <cellStyle name="Normal 76 3" xfId="1875"/>
    <cellStyle name="Normal 77" xfId="870"/>
    <cellStyle name="Normal 77 2" xfId="1876"/>
    <cellStyle name="Normal 78" xfId="1011"/>
    <cellStyle name="Normal 78 2" xfId="1974"/>
    <cellStyle name="Normal 79" xfId="1072"/>
    <cellStyle name="Normal 79 2" xfId="1993"/>
    <cellStyle name="Normal 8" xfId="595"/>
    <cellStyle name="Normal 8 2" xfId="596"/>
    <cellStyle name="Normal 8 2 2" xfId="944"/>
    <cellStyle name="Normal 8 2 2 2" xfId="1924"/>
    <cellStyle name="Normal 8 2 3" xfId="1614"/>
    <cellStyle name="Normal 8 3" xfId="597"/>
    <cellStyle name="Normal 8 3 2" xfId="1615"/>
    <cellStyle name="Normal 8 4" xfId="1613"/>
    <cellStyle name="Normal 80" xfId="956"/>
    <cellStyle name="Normal 80 2" xfId="1931"/>
    <cellStyle name="Normal 81" xfId="1071"/>
    <cellStyle name="Normal 81 2" xfId="1992"/>
    <cellStyle name="Normal 82" xfId="1076"/>
    <cellStyle name="Normal 82 2" xfId="1995"/>
    <cellStyle name="Normal 83" xfId="1073"/>
    <cellStyle name="Normal 83 2" xfId="1994"/>
    <cellStyle name="Normal 84" xfId="1077"/>
    <cellStyle name="Normal 84 2" xfId="1996"/>
    <cellStyle name="Normal 85" xfId="1078"/>
    <cellStyle name="Normal 85 2" xfId="1997"/>
    <cellStyle name="Normal 86" xfId="1079"/>
    <cellStyle name="Normal 86 2" xfId="1998"/>
    <cellStyle name="Normal 86 2 2" xfId="2059"/>
    <cellStyle name="Normal 86 2 2 2" xfId="2076"/>
    <cellStyle name="Normal 86 2 3" xfId="2067"/>
    <cellStyle name="Normal 86 2 3 2" xfId="2078"/>
    <cellStyle name="Normal 86 2 4" xfId="2074"/>
    <cellStyle name="Normal 86 3" xfId="2056"/>
    <cellStyle name="Normal 86 3 2" xfId="2075"/>
    <cellStyle name="Normal 86 4" xfId="2064"/>
    <cellStyle name="Normal 86 4 2" xfId="2077"/>
    <cellStyle name="Normal 86 5" xfId="2070"/>
    <cellStyle name="Normal 87" xfId="1021"/>
    <cellStyle name="Normal 87 2" xfId="1976"/>
    <cellStyle name="Normal 88" xfId="1181"/>
    <cellStyle name="Normal 88 2" xfId="2034"/>
    <cellStyle name="Normal 89" xfId="1176"/>
    <cellStyle name="Normal 89 2" xfId="2033"/>
    <cellStyle name="Normal 9" xfId="598"/>
    <cellStyle name="Normal 9 2" xfId="599"/>
    <cellStyle name="Normal 9 2 2" xfId="1617"/>
    <cellStyle name="Normal 9 3" xfId="1616"/>
    <cellStyle name="Normal 90" xfId="1190"/>
    <cellStyle name="Normal 90 2" xfId="2043"/>
    <cellStyle name="Normal 91" xfId="1122"/>
    <cellStyle name="Normal 91 2" xfId="2017"/>
    <cellStyle name="Normal 92" xfId="1189"/>
    <cellStyle name="Normal 92 2" xfId="2042"/>
    <cellStyle name="Normal 93" xfId="1125"/>
    <cellStyle name="Normal 93 2" xfId="2018"/>
    <cellStyle name="Normal 94" xfId="1191"/>
    <cellStyle name="Normal 95" xfId="2047"/>
    <cellStyle name="Normal 96" xfId="2054"/>
    <cellStyle name="Normal 97" xfId="2050"/>
    <cellStyle name="Normal 98" xfId="2049"/>
    <cellStyle name="Normal 99" xfId="2051"/>
    <cellStyle name="Normal Bold" xfId="600"/>
    <cellStyle name="Normal_AMCCBLSH" xfId="69"/>
    <cellStyle name="Normal_Book3" xfId="70"/>
    <cellStyle name="Normal_DisclaimerSheet Samples" xfId="2079"/>
    <cellStyle name="Normal_intc(1).o" xfId="71"/>
    <cellStyle name="Note 2" xfId="601"/>
    <cellStyle name="Note 2 2" xfId="602"/>
    <cellStyle name="Note 2 2 2" xfId="603"/>
    <cellStyle name="Note 2 2 2 2" xfId="1620"/>
    <cellStyle name="Note 2 2 3" xfId="1619"/>
    <cellStyle name="Note 2 3" xfId="604"/>
    <cellStyle name="Note 2 3 2" xfId="1621"/>
    <cellStyle name="Note 2 4" xfId="1618"/>
    <cellStyle name="Note 3" xfId="605"/>
    <cellStyle name="Note 3 2" xfId="820"/>
    <cellStyle name="Note 3 2 2" xfId="1623"/>
    <cellStyle name="Note 3 3" xfId="1622"/>
    <cellStyle name="Note 4" xfId="945"/>
    <cellStyle name="Note 4 2" xfId="946"/>
    <cellStyle name="Note 4 2 2" xfId="1625"/>
    <cellStyle name="Note 4 3" xfId="1624"/>
    <cellStyle name="Note 5" xfId="947"/>
    <cellStyle name="Note 5 2" xfId="948"/>
    <cellStyle name="Note 5 2 2" xfId="1627"/>
    <cellStyle name="Note 5 3" xfId="1626"/>
    <cellStyle name="Note 6" xfId="1116"/>
    <cellStyle name="Note 6 2" xfId="1628"/>
    <cellStyle name="number" xfId="606"/>
    <cellStyle name="Œ…‹æØ‚è [0.00]_GE 3 MINIMUM" xfId="607"/>
    <cellStyle name="Œ…‹æØ‚è_GE 3 MINIMUM" xfId="608"/>
    <cellStyle name="Onedec_FT Valuation " xfId="72"/>
    <cellStyle name="outh America" xfId="609"/>
    <cellStyle name="Output 2" xfId="610"/>
    <cellStyle name="p " xfId="73"/>
    <cellStyle name="Pass" xfId="611"/>
    <cellStyle name="Pass 2" xfId="949"/>
    <cellStyle name="Percent" xfId="74" builtinId="5"/>
    <cellStyle name="Percent [2]" xfId="612"/>
    <cellStyle name="Percent [2] 2" xfId="613"/>
    <cellStyle name="Percent [2] 2 2" xfId="614"/>
    <cellStyle name="Percent [2] 2 2 2" xfId="615"/>
    <cellStyle name="Percent [2] 2 2 2 2" xfId="1632"/>
    <cellStyle name="Percent [2] 2 2 3" xfId="1631"/>
    <cellStyle name="Percent [2] 2 3" xfId="616"/>
    <cellStyle name="Percent [2] 2 3 2" xfId="1633"/>
    <cellStyle name="Percent [2] 2 4" xfId="1630"/>
    <cellStyle name="Percent [2] 3" xfId="617"/>
    <cellStyle name="Percent [2] 3 2" xfId="618"/>
    <cellStyle name="Percent [2] 3 2 2" xfId="1635"/>
    <cellStyle name="Percent [2] 3 3" xfId="1634"/>
    <cellStyle name="Percent [2] 4" xfId="619"/>
    <cellStyle name="Percent [2] 4 2" xfId="1114"/>
    <cellStyle name="Percent [2] 4 2 2" xfId="1637"/>
    <cellStyle name="Percent [2] 4 3" xfId="1636"/>
    <cellStyle name="Percent [2] 5" xfId="620"/>
    <cellStyle name="Percent [2] 5 2" xfId="821"/>
    <cellStyle name="Percent [2] 5 2 2" xfId="1639"/>
    <cellStyle name="Percent [2] 5 3" xfId="1638"/>
    <cellStyle name="Percent [2] 6" xfId="1113"/>
    <cellStyle name="Percent [2] 6 2" xfId="1640"/>
    <cellStyle name="Percent [2] 7" xfId="1629"/>
    <cellStyle name="Percent 10" xfId="75"/>
    <cellStyle name="Percent 10 2" xfId="621"/>
    <cellStyle name="Percent 10 2 2" xfId="622"/>
    <cellStyle name="Percent 10 2 2 2" xfId="1643"/>
    <cellStyle name="Percent 10 2 3" xfId="1642"/>
    <cellStyle name="Percent 10 3" xfId="623"/>
    <cellStyle name="Percent 10 3 2" xfId="624"/>
    <cellStyle name="Percent 10 3 2 2" xfId="1645"/>
    <cellStyle name="Percent 10 3 3" xfId="1644"/>
    <cellStyle name="Percent 10 4" xfId="625"/>
    <cellStyle name="Percent 10 4 2" xfId="1646"/>
    <cellStyle name="Percent 10 5" xfId="1641"/>
    <cellStyle name="Percent 11" xfId="626"/>
    <cellStyle name="Percent 11 2" xfId="627"/>
    <cellStyle name="Percent 11 2 2" xfId="628"/>
    <cellStyle name="Percent 11 2 2 2" xfId="1649"/>
    <cellStyle name="Percent 11 2 3" xfId="1648"/>
    <cellStyle name="Percent 11 3" xfId="629"/>
    <cellStyle name="Percent 11 3 2" xfId="630"/>
    <cellStyle name="Percent 11 3 2 2" xfId="1651"/>
    <cellStyle name="Percent 11 3 3" xfId="1650"/>
    <cellStyle name="Percent 11 4" xfId="631"/>
    <cellStyle name="Percent 11 4 2" xfId="1652"/>
    <cellStyle name="Percent 11 5" xfId="1112"/>
    <cellStyle name="Percent 11 5 2" xfId="1653"/>
    <cellStyle name="Percent 11 6" xfId="1647"/>
    <cellStyle name="Percent 12" xfId="632"/>
    <cellStyle name="Percent 12 2" xfId="633"/>
    <cellStyle name="Percent 12 2 2" xfId="634"/>
    <cellStyle name="Percent 12 2 2 2" xfId="1656"/>
    <cellStyle name="Percent 12 2 3" xfId="1655"/>
    <cellStyle name="Percent 12 3" xfId="635"/>
    <cellStyle name="Percent 12 3 2" xfId="636"/>
    <cellStyle name="Percent 12 3 2 2" xfId="1658"/>
    <cellStyle name="Percent 12 3 3" xfId="1657"/>
    <cellStyle name="Percent 12 4" xfId="637"/>
    <cellStyle name="Percent 12 4 2" xfId="1659"/>
    <cellStyle name="Percent 12 5" xfId="1654"/>
    <cellStyle name="Percent 13" xfId="638"/>
    <cellStyle name="Percent 13 2" xfId="639"/>
    <cellStyle name="Percent 13 2 2" xfId="1661"/>
    <cellStyle name="Percent 13 3" xfId="950"/>
    <cellStyle name="Percent 13 3 2" xfId="1925"/>
    <cellStyle name="Percent 13 4" xfId="1660"/>
    <cellStyle name="Percent 14" xfId="640"/>
    <cellStyle name="Percent 14 2" xfId="641"/>
    <cellStyle name="Percent 14 2 2" xfId="1663"/>
    <cellStyle name="Percent 14 3" xfId="951"/>
    <cellStyle name="Percent 14 3 2" xfId="1926"/>
    <cellStyle name="Percent 14 4" xfId="1662"/>
    <cellStyle name="Percent 15" xfId="642"/>
    <cellStyle name="Percent 15 2" xfId="643"/>
    <cellStyle name="Percent 15 2 2" xfId="1665"/>
    <cellStyle name="Percent 15 3" xfId="952"/>
    <cellStyle name="Percent 15 3 2" xfId="1927"/>
    <cellStyle name="Percent 15 4" xfId="1664"/>
    <cellStyle name="Percent 16" xfId="644"/>
    <cellStyle name="Percent 16 2" xfId="645"/>
    <cellStyle name="Percent 16 2 2" xfId="1667"/>
    <cellStyle name="Percent 16 3" xfId="953"/>
    <cellStyle name="Percent 16 3 2" xfId="1928"/>
    <cellStyle name="Percent 16 4" xfId="1666"/>
    <cellStyle name="Percent 17" xfId="646"/>
    <cellStyle name="Percent 17 2" xfId="647"/>
    <cellStyle name="Percent 17 2 2" xfId="1669"/>
    <cellStyle name="Percent 17 3" xfId="954"/>
    <cellStyle name="Percent 17 3 2" xfId="1929"/>
    <cellStyle name="Percent 17 4" xfId="1668"/>
    <cellStyle name="Percent 18" xfId="648"/>
    <cellStyle name="Percent 18 2" xfId="649"/>
    <cellStyle name="Percent 18 2 2" xfId="650"/>
    <cellStyle name="Percent 18 2 2 2" xfId="1672"/>
    <cellStyle name="Percent 18 2 3" xfId="1671"/>
    <cellStyle name="Percent 18 3" xfId="651"/>
    <cellStyle name="Percent 18 3 2" xfId="1673"/>
    <cellStyle name="Percent 18 4" xfId="1670"/>
    <cellStyle name="Percent 19" xfId="652"/>
    <cellStyle name="Percent 19 2" xfId="653"/>
    <cellStyle name="Percent 19 2 2" xfId="654"/>
    <cellStyle name="Percent 19 2 2 2" xfId="1676"/>
    <cellStyle name="Percent 19 2 3" xfId="1675"/>
    <cellStyle name="Percent 19 3" xfId="655"/>
    <cellStyle name="Percent 19 3 2" xfId="1677"/>
    <cellStyle name="Percent 19 4" xfId="1674"/>
    <cellStyle name="Percent 2" xfId="656"/>
    <cellStyle name="Percent 2 2" xfId="76"/>
    <cellStyle name="Percent 2 2 2" xfId="875"/>
    <cellStyle name="Percent 2 2 2 2" xfId="1879"/>
    <cellStyle name="Percent 2 2 3" xfId="1679"/>
    <cellStyle name="Percent 2 3" xfId="955"/>
    <cellStyle name="Percent 2 3 2" xfId="1930"/>
    <cellStyle name="Percent 2 4" xfId="1678"/>
    <cellStyle name="Percent 20" xfId="657"/>
    <cellStyle name="Percent 20 2" xfId="658"/>
    <cellStyle name="Percent 20 2 2" xfId="659"/>
    <cellStyle name="Percent 20 2 2 2" xfId="1682"/>
    <cellStyle name="Percent 20 2 3" xfId="1681"/>
    <cellStyle name="Percent 20 3" xfId="660"/>
    <cellStyle name="Percent 20 3 2" xfId="1683"/>
    <cellStyle name="Percent 20 4" xfId="1680"/>
    <cellStyle name="Percent 21" xfId="661"/>
    <cellStyle name="Percent 21 2" xfId="662"/>
    <cellStyle name="Percent 21 2 2" xfId="1685"/>
    <cellStyle name="Percent 21 3" xfId="1684"/>
    <cellStyle name="Percent 22" xfId="663"/>
    <cellStyle name="Percent 22 2" xfId="664"/>
    <cellStyle name="Percent 22 2 2" xfId="1687"/>
    <cellStyle name="Percent 22 3" xfId="1686"/>
    <cellStyle name="Percent 23" xfId="665"/>
    <cellStyle name="Percent 23 2" xfId="666"/>
    <cellStyle name="Percent 23 2 2" xfId="1689"/>
    <cellStyle name="Percent 23 3" xfId="1688"/>
    <cellStyle name="Percent 24" xfId="667"/>
    <cellStyle name="Percent 24 2" xfId="668"/>
    <cellStyle name="Percent 24 2 2" xfId="1691"/>
    <cellStyle name="Percent 24 3" xfId="1690"/>
    <cellStyle name="Percent 25" xfId="669"/>
    <cellStyle name="Percent 25 2" xfId="670"/>
    <cellStyle name="Percent 25 2 2" xfId="1693"/>
    <cellStyle name="Percent 25 3" xfId="1692"/>
    <cellStyle name="Percent 26" xfId="671"/>
    <cellStyle name="Percent 26 2" xfId="672"/>
    <cellStyle name="Percent 26 2 2" xfId="1695"/>
    <cellStyle name="Percent 26 3" xfId="1694"/>
    <cellStyle name="Percent 27" xfId="673"/>
    <cellStyle name="Percent 27 2" xfId="674"/>
    <cellStyle name="Percent 27 2 2" xfId="1697"/>
    <cellStyle name="Percent 27 3" xfId="1696"/>
    <cellStyle name="Percent 28" xfId="675"/>
    <cellStyle name="Percent 28 2" xfId="676"/>
    <cellStyle name="Percent 28 2 2" xfId="1699"/>
    <cellStyle name="Percent 28 3" xfId="1698"/>
    <cellStyle name="Percent 29" xfId="677"/>
    <cellStyle name="Percent 29 2" xfId="678"/>
    <cellStyle name="Percent 29 2 2" xfId="1701"/>
    <cellStyle name="Percent 29 3" xfId="1700"/>
    <cellStyle name="Percent 3" xfId="679"/>
    <cellStyle name="Percent 3 2" xfId="680"/>
    <cellStyle name="Percent 3 2 2" xfId="681"/>
    <cellStyle name="Percent 3 2 2 2" xfId="957"/>
    <cellStyle name="Percent 3 2 2 2 2" xfId="1932"/>
    <cellStyle name="Percent 3 2 2 3" xfId="1704"/>
    <cellStyle name="Percent 3 2 3" xfId="958"/>
    <cellStyle name="Percent 3 2 3 2" xfId="1933"/>
    <cellStyle name="Percent 3 2 4" xfId="1703"/>
    <cellStyle name="Percent 3 3" xfId="682"/>
    <cellStyle name="Percent 3 3 2" xfId="959"/>
    <cellStyle name="Percent 3 3 2 2" xfId="1934"/>
    <cellStyle name="Percent 3 3 3" xfId="1705"/>
    <cellStyle name="Percent 3 4" xfId="960"/>
    <cellStyle name="Percent 3 4 2" xfId="1935"/>
    <cellStyle name="Percent 3 5" xfId="1702"/>
    <cellStyle name="Percent 30" xfId="683"/>
    <cellStyle name="Percent 30 2" xfId="961"/>
    <cellStyle name="Percent 30 2 2" xfId="1936"/>
    <cellStyle name="Percent 30 3" xfId="1706"/>
    <cellStyle name="Percent 31" xfId="684"/>
    <cellStyle name="Percent 31 2" xfId="1707"/>
    <cellStyle name="Percent 32" xfId="685"/>
    <cellStyle name="Percent 32 2" xfId="1708"/>
    <cellStyle name="Percent 33" xfId="686"/>
    <cellStyle name="Percent 33 2" xfId="1709"/>
    <cellStyle name="Percent 34" xfId="687"/>
    <cellStyle name="Percent 34 2" xfId="962"/>
    <cellStyle name="Percent 34 2 2" xfId="1937"/>
    <cellStyle name="Percent 34 3" xfId="1710"/>
    <cellStyle name="Percent 35" xfId="688"/>
    <cellStyle name="Percent 35 2" xfId="963"/>
    <cellStyle name="Percent 35 2 2" xfId="1938"/>
    <cellStyle name="Percent 35 3" xfId="1711"/>
    <cellStyle name="Percent 36" xfId="689"/>
    <cellStyle name="Percent 36 2" xfId="1712"/>
    <cellStyle name="Percent 37" xfId="690"/>
    <cellStyle name="Percent 37 2" xfId="822"/>
    <cellStyle name="Percent 37 2 2" xfId="1844"/>
    <cellStyle name="Percent 37 3" xfId="1713"/>
    <cellStyle name="Percent 38" xfId="1019"/>
    <cellStyle name="Percent 38 2" xfId="1110"/>
    <cellStyle name="Percent 38 2 2" xfId="1715"/>
    <cellStyle name="Percent 38 3" xfId="1714"/>
    <cellStyle name="Percent 39" xfId="1015"/>
    <cellStyle name="Percent 39 2" xfId="1109"/>
    <cellStyle name="Percent 39 2 2" xfId="1717"/>
    <cellStyle name="Percent 39 3" xfId="1716"/>
    <cellStyle name="Percent 4" xfId="77"/>
    <cellStyle name="Percent 4 2" xfId="692"/>
    <cellStyle name="Percent 4 2 2" xfId="693"/>
    <cellStyle name="Percent 4 2 2 2" xfId="1720"/>
    <cellStyle name="Percent 4 2 3" xfId="1719"/>
    <cellStyle name="Percent 4 3" xfId="694"/>
    <cellStyle name="Percent 4 3 2" xfId="1721"/>
    <cellStyle name="Percent 4 4" xfId="691"/>
    <cellStyle name="Percent 4 4 2" xfId="1722"/>
    <cellStyle name="Percent 4 5" xfId="1718"/>
    <cellStyle name="Percent 40" xfId="1018"/>
    <cellStyle name="Percent 40 2" xfId="1108"/>
    <cellStyle name="Percent 40 2 2" xfId="1724"/>
    <cellStyle name="Percent 40 3" xfId="1723"/>
    <cellStyle name="Percent 41" xfId="1014"/>
    <cellStyle name="Percent 41 2" xfId="1725"/>
    <cellStyle name="Percent 42" xfId="1020"/>
    <cellStyle name="Percent 42 2" xfId="1726"/>
    <cellStyle name="Percent 43" xfId="1013"/>
    <cellStyle name="Percent 43 2" xfId="1727"/>
    <cellStyle name="Percent 44" xfId="1024"/>
    <cellStyle name="Percent 44 2" xfId="1107"/>
    <cellStyle name="Percent 44 2 2" xfId="2012"/>
    <cellStyle name="Percent 44 3" xfId="1977"/>
    <cellStyle name="Percent 44 4" xfId="1728"/>
    <cellStyle name="Percent 45" xfId="1026"/>
    <cellStyle name="Percent 45 2" xfId="1106"/>
    <cellStyle name="Percent 45 2 2" xfId="2011"/>
    <cellStyle name="Percent 45 3" xfId="1978"/>
    <cellStyle name="Percent 45 4" xfId="1729"/>
    <cellStyle name="Percent 46" xfId="1028"/>
    <cellStyle name="Percent 46 2" xfId="1105"/>
    <cellStyle name="Percent 46 2 2" xfId="2010"/>
    <cellStyle name="Percent 46 3" xfId="1979"/>
    <cellStyle name="Percent 46 4" xfId="1730"/>
    <cellStyle name="Percent 47" xfId="1030"/>
    <cellStyle name="Percent 47 2" xfId="1104"/>
    <cellStyle name="Percent 47 2 2" xfId="2009"/>
    <cellStyle name="Percent 47 3" xfId="1980"/>
    <cellStyle name="Percent 47 4" xfId="1731"/>
    <cellStyle name="Percent 48" xfId="1031"/>
    <cellStyle name="Percent 48 2" xfId="1103"/>
    <cellStyle name="Percent 48 2 2" xfId="2008"/>
    <cellStyle name="Percent 48 3" xfId="1981"/>
    <cellStyle name="Percent 48 4" xfId="1732"/>
    <cellStyle name="Percent 49" xfId="1142"/>
    <cellStyle name="Percent 49 2" xfId="1733"/>
    <cellStyle name="Percent 5" xfId="695"/>
    <cellStyle name="Percent 5 2" xfId="696"/>
    <cellStyle name="Percent 5 2 2" xfId="697"/>
    <cellStyle name="Percent 5 2 2 2" xfId="1736"/>
    <cellStyle name="Percent 5 2 3" xfId="1735"/>
    <cellStyle name="Percent 5 3" xfId="698"/>
    <cellStyle name="Percent 5 3 2" xfId="1737"/>
    <cellStyle name="Percent 5 4" xfId="1734"/>
    <cellStyle name="Percent 50" xfId="1102"/>
    <cellStyle name="Percent 50 2" xfId="2007"/>
    <cellStyle name="Percent 50 3" xfId="1738"/>
    <cellStyle name="Percent 51" xfId="1101"/>
    <cellStyle name="Percent 51 2" xfId="2006"/>
    <cellStyle name="Percent 51 3" xfId="1739"/>
    <cellStyle name="Percent 52" xfId="1100"/>
    <cellStyle name="Percent 52 2" xfId="2005"/>
    <cellStyle name="Percent 52 3" xfId="1740"/>
    <cellStyle name="Percent 53" xfId="1099"/>
    <cellStyle name="Percent 53 2" xfId="2004"/>
    <cellStyle name="Percent 53 3" xfId="1741"/>
    <cellStyle name="Percent 54" xfId="1098"/>
    <cellStyle name="Percent 54 2" xfId="2003"/>
    <cellStyle name="Percent 54 3" xfId="1742"/>
    <cellStyle name="Percent 55" xfId="1097"/>
    <cellStyle name="Percent 55 2" xfId="2002"/>
    <cellStyle name="Percent 55 3" xfId="1743"/>
    <cellStyle name="Percent 56" xfId="1096"/>
    <cellStyle name="Percent 56 2" xfId="2001"/>
    <cellStyle name="Percent 56 3" xfId="1744"/>
    <cellStyle name="Percent 57" xfId="1115"/>
    <cellStyle name="Percent 57 2" xfId="2013"/>
    <cellStyle name="Percent 58" xfId="1182"/>
    <cellStyle name="Percent 58 2" xfId="2035"/>
    <cellStyle name="Percent 59" xfId="1185"/>
    <cellStyle name="Percent 59 2" xfId="2038"/>
    <cellStyle name="Percent 6" xfId="699"/>
    <cellStyle name="Percent 6 2" xfId="700"/>
    <cellStyle name="Percent 6 2 2" xfId="701"/>
    <cellStyle name="Percent 6 2 2 2" xfId="1747"/>
    <cellStyle name="Percent 6 2 3" xfId="1746"/>
    <cellStyle name="Percent 6 3" xfId="702"/>
    <cellStyle name="Percent 6 3 2" xfId="1748"/>
    <cellStyle name="Percent 6 4" xfId="1161"/>
    <cellStyle name="Percent 6 4 2" xfId="1749"/>
    <cellStyle name="Percent 6 5" xfId="1745"/>
    <cellStyle name="Percent 60" xfId="1143"/>
    <cellStyle name="Percent 60 2" xfId="2024"/>
    <cellStyle name="Percent 61" xfId="1183"/>
    <cellStyle name="Percent 61 2" xfId="2036"/>
    <cellStyle name="Percent 62" xfId="1187"/>
    <cellStyle name="Percent 62 2" xfId="2040"/>
    <cellStyle name="Percent 63" xfId="1822"/>
    <cellStyle name="Percent 64" xfId="1833"/>
    <cellStyle name="Percent 65" xfId="2044"/>
    <cellStyle name="Percent 66" xfId="2045"/>
    <cellStyle name="Percent 67" xfId="1818"/>
    <cellStyle name="Percent 7" xfId="703"/>
    <cellStyle name="Percent 7 2" xfId="704"/>
    <cellStyle name="Percent 7 2 2" xfId="705"/>
    <cellStyle name="Percent 7 2 2 2" xfId="1752"/>
    <cellStyle name="Percent 7 2 3" xfId="1751"/>
    <cellStyle name="Percent 7 3" xfId="706"/>
    <cellStyle name="Percent 7 3 2" xfId="1753"/>
    <cellStyle name="Percent 7 4" xfId="1750"/>
    <cellStyle name="Percent 73" xfId="78"/>
    <cellStyle name="Percent 73 2" xfId="1823"/>
    <cellStyle name="Percent 8" xfId="707"/>
    <cellStyle name="Percent 8 2" xfId="708"/>
    <cellStyle name="Percent 8 2 2" xfId="1755"/>
    <cellStyle name="Percent 8 3" xfId="965"/>
    <cellStyle name="Percent 8 3 2" xfId="1939"/>
    <cellStyle name="Percent 8 4" xfId="1754"/>
    <cellStyle name="Percent 9" xfId="709"/>
    <cellStyle name="Percent 9 2" xfId="710"/>
    <cellStyle name="Percent 9 2 2" xfId="1757"/>
    <cellStyle name="Percent 9 3" xfId="966"/>
    <cellStyle name="Percent 9 3 2" xfId="1940"/>
    <cellStyle name="Percent 9 4" xfId="967"/>
    <cellStyle name="Percent 9 5" xfId="1756"/>
    <cellStyle name="Percent.0" xfId="1056"/>
    <cellStyle name="Percent.0 2" xfId="1991"/>
    <cellStyle name="ProtectedDates" xfId="711"/>
    <cellStyle name="RED" xfId="712"/>
    <cellStyle name="RED 2" xfId="713"/>
    <cellStyle name="Ref Numbers" xfId="1057"/>
    <cellStyle name="Restruct" xfId="714"/>
    <cellStyle name="Restruct 2" xfId="715"/>
    <cellStyle name="Restruct 2 2" xfId="716"/>
    <cellStyle name="Restruct 3" xfId="717"/>
    <cellStyle name="Restruct 3 2" xfId="823"/>
    <cellStyle name="Restruct 3 3" xfId="1831"/>
    <cellStyle name="Restruct 4" xfId="853"/>
    <cellStyle name="Restruct 4 2" xfId="864"/>
    <cellStyle name="Restruct 4 2 2" xfId="869"/>
    <cellStyle name="Restruct 4 2 2 2" xfId="2053"/>
    <cellStyle name="Restruct 4 2 3" xfId="1075"/>
    <cellStyle name="Restruct 4 3" xfId="867"/>
    <cellStyle name="Right" xfId="718"/>
    <cellStyle name="RRSInstruction" xfId="79"/>
    <cellStyle name="RRSInstruction 2" xfId="719"/>
    <cellStyle name="RRSInstruction 2 2" xfId="1759"/>
    <cellStyle name="RRSInstruction 3" xfId="1758"/>
    <cellStyle name="s_DCFLBO Code_Wireline Tel Forecast " xfId="80"/>
    <cellStyle name="s_DCFLBO Code_Wireline Tel Forecast  2" xfId="720"/>
    <cellStyle name="s_DCFLBO Code_Wireline Tel Forecast  2 2" xfId="721"/>
    <cellStyle name="s_HardInc " xfId="81"/>
    <cellStyle name="s_HardInc  2" xfId="722"/>
    <cellStyle name="s_HardInc  2 2" xfId="723"/>
    <cellStyle name="s_HardInc _RRST1" xfId="724"/>
    <cellStyle name="s_HardInc _RRST1 2" xfId="725"/>
    <cellStyle name="s_HardInc _RRST20" xfId="726"/>
    <cellStyle name="s_HardInc _RRST20 2" xfId="727"/>
    <cellStyle name="s_HardInc _RRST25" xfId="1095"/>
    <cellStyle name="s_HardInc _RRST25 2" xfId="1094"/>
    <cellStyle name="s_HardInc _RRST6" xfId="969"/>
    <cellStyle name="s_HardInc _RRST6 2" xfId="970"/>
    <cellStyle name="s_HardInc _RRST9" xfId="971"/>
    <cellStyle name="s_HardInc _RRST9 2" xfId="972"/>
    <cellStyle name="s_Valuation " xfId="82"/>
    <cellStyle name="s_Valuation  2" xfId="728"/>
    <cellStyle name="s_Valuation  2 2" xfId="729"/>
    <cellStyle name="s_Valuation _RRST1" xfId="730"/>
    <cellStyle name="s_Valuation _RRST1 2" xfId="731"/>
    <cellStyle name="s_Valuation _RRST20" xfId="732"/>
    <cellStyle name="s_Valuation _RRST20 2" xfId="733"/>
    <cellStyle name="s_Valuation _RRST25" xfId="1093"/>
    <cellStyle name="s_Valuation _RRST25 2" xfId="1092"/>
    <cellStyle name="s_Valuation _RRST6" xfId="973"/>
    <cellStyle name="s_Valuation _RRST6 2" xfId="974"/>
    <cellStyle name="s_Valuation _RRST9" xfId="975"/>
    <cellStyle name="s_Valuation _RRST9 2" xfId="976"/>
    <cellStyle name="Source Line" xfId="1058"/>
    <cellStyle name="ssp " xfId="83"/>
    <cellStyle name="Style 1" xfId="84"/>
    <cellStyle name="Style 1 10" xfId="85"/>
    <cellStyle name="Style 1 10 2" xfId="1760"/>
    <cellStyle name="Style 1 11" xfId="734"/>
    <cellStyle name="Style 1 11 2" xfId="1091"/>
    <cellStyle name="Style 1 11 2 2" xfId="2000"/>
    <cellStyle name="Style 1 11 3" xfId="1834"/>
    <cellStyle name="Style 1 11 4" xfId="1761"/>
    <cellStyle name="Style 1 2" xfId="735"/>
    <cellStyle name="Style 1 2 2" xfId="736"/>
    <cellStyle name="Style 1 2 2 2" xfId="737"/>
    <cellStyle name="Style 1 2 2 2 2" xfId="1764"/>
    <cellStyle name="Style 1 2 2 3" xfId="978"/>
    <cellStyle name="Style 1 2 2 3 2" xfId="1942"/>
    <cellStyle name="Style 1 2 2 4" xfId="1763"/>
    <cellStyle name="Style 1 2 3" xfId="738"/>
    <cellStyle name="Style 1 2 3 2" xfId="979"/>
    <cellStyle name="Style 1 2 3 2 2" xfId="1943"/>
    <cellStyle name="Style 1 2 3 3" xfId="1765"/>
    <cellStyle name="Style 1 2 4" xfId="980"/>
    <cellStyle name="Style 1 2 4 2" xfId="1944"/>
    <cellStyle name="Style 1 2 5" xfId="977"/>
    <cellStyle name="Style 1 2 5 2" xfId="1941"/>
    <cellStyle name="Style 1 2 6" xfId="1762"/>
    <cellStyle name="Style 1 3" xfId="739"/>
    <cellStyle name="Style 1 3 2" xfId="740"/>
    <cellStyle name="Style 1 3 2 2" xfId="983"/>
    <cellStyle name="Style 1 3 2 2 2" xfId="984"/>
    <cellStyle name="Style 1 3 2 2 2 2" xfId="1948"/>
    <cellStyle name="Style 1 3 2 2 3" xfId="1947"/>
    <cellStyle name="Style 1 3 2 3" xfId="985"/>
    <cellStyle name="Style 1 3 2 3 2" xfId="1949"/>
    <cellStyle name="Style 1 3 2 4" xfId="986"/>
    <cellStyle name="Style 1 3 2 4 2" xfId="1950"/>
    <cellStyle name="Style 1 3 2 5" xfId="987"/>
    <cellStyle name="Style 1 3 2 5 2" xfId="1951"/>
    <cellStyle name="Style 1 3 2 6" xfId="982"/>
    <cellStyle name="Style 1 3 2 6 2" xfId="1946"/>
    <cellStyle name="Style 1 3 2 7" xfId="1767"/>
    <cellStyle name="Style 1 3 3" xfId="988"/>
    <cellStyle name="Style 1 3 3 2" xfId="989"/>
    <cellStyle name="Style 1 3 3 2 2" xfId="1953"/>
    <cellStyle name="Style 1 3 3 3" xfId="1952"/>
    <cellStyle name="Style 1 3 4" xfId="990"/>
    <cellStyle name="Style 1 3 4 2" xfId="1954"/>
    <cellStyle name="Style 1 3 5" xfId="991"/>
    <cellStyle name="Style 1 3 5 2" xfId="1955"/>
    <cellStyle name="Style 1 3 6" xfId="992"/>
    <cellStyle name="Style 1 3 6 2" xfId="1956"/>
    <cellStyle name="Style 1 3 7" xfId="981"/>
    <cellStyle name="Style 1 3 7 2" xfId="1945"/>
    <cellStyle name="Style 1 3 8" xfId="1766"/>
    <cellStyle name="Style 1 4" xfId="741"/>
    <cellStyle name="Style 1 4 2" xfId="742"/>
    <cellStyle name="Style 1 4 2 2" xfId="743"/>
    <cellStyle name="Style 1 4 2 2 2" xfId="995"/>
    <cellStyle name="Style 1 4 2 2 2 2" xfId="1959"/>
    <cellStyle name="Style 1 4 2 2 3" xfId="1770"/>
    <cellStyle name="Style 1 4 2 3" xfId="996"/>
    <cellStyle name="Style 1 4 2 3 2" xfId="1960"/>
    <cellStyle name="Style 1 4 2 4" xfId="997"/>
    <cellStyle name="Style 1 4 2 4 2" xfId="1961"/>
    <cellStyle name="Style 1 4 2 5" xfId="994"/>
    <cellStyle name="Style 1 4 2 5 2" xfId="1958"/>
    <cellStyle name="Style 1 4 2 6" xfId="1769"/>
    <cellStyle name="Style 1 4 3" xfId="744"/>
    <cellStyle name="Style 1 4 3 2" xfId="745"/>
    <cellStyle name="Style 1 4 3 2 2" xfId="1772"/>
    <cellStyle name="Style 1 4 3 3" xfId="998"/>
    <cellStyle name="Style 1 4 3 3 2" xfId="1962"/>
    <cellStyle name="Style 1 4 3 4" xfId="1771"/>
    <cellStyle name="Style 1 4 4" xfId="746"/>
    <cellStyle name="Style 1 4 4 2" xfId="999"/>
    <cellStyle name="Style 1 4 4 2 2" xfId="1963"/>
    <cellStyle name="Style 1 4 4 3" xfId="1773"/>
    <cellStyle name="Style 1 4 5" xfId="1000"/>
    <cellStyle name="Style 1 4 5 2" xfId="1964"/>
    <cellStyle name="Style 1 4 6" xfId="993"/>
    <cellStyle name="Style 1 4 6 2" xfId="1957"/>
    <cellStyle name="Style 1 4 7" xfId="1768"/>
    <cellStyle name="Style 1 5" xfId="747"/>
    <cellStyle name="Style 1 5 2" xfId="748"/>
    <cellStyle name="Style 1 5 2 2" xfId="749"/>
    <cellStyle name="Style 1 5 2 2 2" xfId="1003"/>
    <cellStyle name="Style 1 5 2 2 2 2" xfId="1967"/>
    <cellStyle name="Style 1 5 2 2 3" xfId="1776"/>
    <cellStyle name="Style 1 5 2 3" xfId="1002"/>
    <cellStyle name="Style 1 5 2 3 2" xfId="1966"/>
    <cellStyle name="Style 1 5 2 4" xfId="1775"/>
    <cellStyle name="Style 1 5 3" xfId="750"/>
    <cellStyle name="Style 1 5 3 2" xfId="1777"/>
    <cellStyle name="Style 1 5 4" xfId="1004"/>
    <cellStyle name="Style 1 5 4 2" xfId="1968"/>
    <cellStyle name="Style 1 5 5" xfId="1005"/>
    <cellStyle name="Style 1 5 5 2" xfId="1969"/>
    <cellStyle name="Style 1 5 6" xfId="1001"/>
    <cellStyle name="Style 1 5 6 2" xfId="1965"/>
    <cellStyle name="Style 1 5 7" xfId="1774"/>
    <cellStyle name="Style 1 6" xfId="751"/>
    <cellStyle name="Style 1 6 2" xfId="752"/>
    <cellStyle name="Style 1 6 2 2" xfId="1007"/>
    <cellStyle name="Style 1 6 2 2 2" xfId="1971"/>
    <cellStyle name="Style 1 6 2 3" xfId="1779"/>
    <cellStyle name="Style 1 6 3" xfId="1006"/>
    <cellStyle name="Style 1 6 3 2" xfId="1970"/>
    <cellStyle name="Style 1 6 4" xfId="1778"/>
    <cellStyle name="Style 1 7" xfId="753"/>
    <cellStyle name="Style 1 7 2" xfId="824"/>
    <cellStyle name="Style 1 7 2 2" xfId="1845"/>
    <cellStyle name="Style 1 7 3" xfId="1008"/>
    <cellStyle name="Style 1 7 3 2" xfId="1972"/>
    <cellStyle name="Style 1 7 4" xfId="1780"/>
    <cellStyle name="Style 1 8" xfId="796"/>
    <cellStyle name="Style 1 8 2" xfId="1090"/>
    <cellStyle name="Style 1 8 2 2" xfId="1999"/>
    <cellStyle name="Style 1 8 3" xfId="1837"/>
    <cellStyle name="Style 1 8 4" xfId="1781"/>
    <cellStyle name="Style 1 9" xfId="1009"/>
    <cellStyle name="Style 1 9 2" xfId="1089"/>
    <cellStyle name="Style 1 9 2 2" xfId="1783"/>
    <cellStyle name="Style 1 9 3" xfId="1175"/>
    <cellStyle name="Style 1 9 3 2" xfId="2032"/>
    <cellStyle name="Style 1 9 4" xfId="1973"/>
    <cellStyle name="Style 1 9 5" xfId="1782"/>
    <cellStyle name="Style 1_Exhibits" xfId="1059"/>
    <cellStyle name="Style 2" xfId="754"/>
    <cellStyle name="Style 2 2" xfId="755"/>
    <cellStyle name="Style 2 2 2" xfId="756"/>
    <cellStyle name="Style 2 2 2 2" xfId="1786"/>
    <cellStyle name="Style 2 2 3" xfId="1785"/>
    <cellStyle name="Style 2 3" xfId="757"/>
    <cellStyle name="Style 2 3 2" xfId="1010"/>
    <cellStyle name="Style 2 3 2 2" xfId="1788"/>
    <cellStyle name="Style 2 3 3" xfId="1787"/>
    <cellStyle name="Style 2 4" xfId="1088"/>
    <cellStyle name="Style 2 4 2" xfId="1087"/>
    <cellStyle name="Style 2 4 2 2" xfId="1790"/>
    <cellStyle name="Style 2 4 3" xfId="1789"/>
    <cellStyle name="Style 2 5" xfId="1086"/>
    <cellStyle name="Style 2 5 2" xfId="1085"/>
    <cellStyle name="Style 2 5 2 2" xfId="1792"/>
    <cellStyle name="Style 2 5 3" xfId="1791"/>
    <cellStyle name="Style 2 6" xfId="1084"/>
    <cellStyle name="Style 2 6 2" xfId="1793"/>
    <cellStyle name="Style 2 7" xfId="1784"/>
    <cellStyle name="Style 3" xfId="758"/>
    <cellStyle name="Style 4" xfId="759"/>
    <cellStyle name="Style 5" xfId="760"/>
    <cellStyle name="Style 5 2" xfId="761"/>
    <cellStyle name="Style 5 2 2" xfId="762"/>
    <cellStyle name="Style 5 2 2 2" xfId="763"/>
    <cellStyle name="Style 5 2 2 2 2" xfId="1797"/>
    <cellStyle name="Style 5 2 2 3" xfId="1796"/>
    <cellStyle name="Style 5 2 3" xfId="764"/>
    <cellStyle name="Style 5 2 3 2" xfId="1798"/>
    <cellStyle name="Style 5 2 4" xfId="1795"/>
    <cellStyle name="Style 5 3" xfId="765"/>
    <cellStyle name="Style 5 3 2" xfId="766"/>
    <cellStyle name="Style 5 3 2 2" xfId="1800"/>
    <cellStyle name="Style 5 3 3" xfId="1799"/>
    <cellStyle name="Style 5 4" xfId="767"/>
    <cellStyle name="Style 5 4 2" xfId="1083"/>
    <cellStyle name="Style 5 4 2 2" xfId="1802"/>
    <cellStyle name="Style 5 4 3" xfId="1801"/>
    <cellStyle name="Style 5 5" xfId="768"/>
    <cellStyle name="Style 5 5 2" xfId="825"/>
    <cellStyle name="Style 5 5 2 2" xfId="1804"/>
    <cellStyle name="Style 5 5 3" xfId="1803"/>
    <cellStyle name="Style 5 6" xfId="1082"/>
    <cellStyle name="Style 5 6 2" xfId="1805"/>
    <cellStyle name="Style 5 7" xfId="1794"/>
    <cellStyle name="Subtotal_left" xfId="769"/>
    <cellStyle name="Table Heading" xfId="1060"/>
    <cellStyle name="textbold" xfId="770"/>
    <cellStyle name="textbold 2" xfId="771"/>
    <cellStyle name="textbold 3" xfId="772"/>
    <cellStyle name="Title 2" xfId="773"/>
    <cellStyle name="Title Line" xfId="1061"/>
    <cellStyle name="title1" xfId="774"/>
    <cellStyle name="title2" xfId="775"/>
    <cellStyle name="Titles" xfId="776"/>
    <cellStyle name="Top Line" xfId="777"/>
    <cellStyle name="Top Row" xfId="1062"/>
    <cellStyle name="Top Row 2" xfId="1063"/>
    <cellStyle name="Total 2" xfId="778"/>
    <cellStyle name="Total Row" xfId="1064"/>
    <cellStyle name="Totals" xfId="779"/>
    <cellStyle name="underline 1 decimal" xfId="780"/>
    <cellStyle name="UnProtectedCalc" xfId="781"/>
    <cellStyle name="Upload Only" xfId="782"/>
    <cellStyle name="Warning Text 2" xfId="783"/>
    <cellStyle name="Year" xfId="784"/>
    <cellStyle name="Year 2" xfId="785"/>
    <cellStyle name="Year 2 2" xfId="786"/>
    <cellStyle name="Year 2 2 2" xfId="787"/>
    <cellStyle name="Year 2 2 2 2" xfId="1809"/>
    <cellStyle name="Year 2 2 3" xfId="1808"/>
    <cellStyle name="Year 2 3" xfId="788"/>
    <cellStyle name="Year 2 3 2" xfId="1810"/>
    <cellStyle name="Year 2 4" xfId="1807"/>
    <cellStyle name="Year 3" xfId="789"/>
    <cellStyle name="Year 3 2" xfId="790"/>
    <cellStyle name="Year 3 2 2" xfId="1812"/>
    <cellStyle name="Year 3 3" xfId="1811"/>
    <cellStyle name="Year 4" xfId="791"/>
    <cellStyle name="Year 4 2" xfId="1081"/>
    <cellStyle name="Year 4 2 2" xfId="1814"/>
    <cellStyle name="Year 4 3" xfId="1813"/>
    <cellStyle name="Year 5" xfId="792"/>
    <cellStyle name="Year 5 2" xfId="828"/>
    <cellStyle name="Year 5 2 2" xfId="1816"/>
    <cellStyle name="Year 5 3" xfId="1815"/>
    <cellStyle name="Year 6" xfId="1080"/>
    <cellStyle name="Year 6 2" xfId="1817"/>
    <cellStyle name="Year 7" xfId="1806"/>
    <cellStyle name="パーセント_QTBLNEW" xfId="1065"/>
    <cellStyle name="뷭?_BOOKSHIP_실적현황 " xfId="86"/>
    <cellStyle name="콤마 [0]_   " xfId="87"/>
    <cellStyle name="콤마_   " xfId="88"/>
    <cellStyle name="통화 [0]_AP02MSEst" xfId="1066"/>
    <cellStyle name="통화_AP02MSEst" xfId="1067"/>
    <cellStyle name="표준_AP02MSEst" xfId="1068"/>
    <cellStyle name="하이퍼링크_000727 IMT-2000 시설투자물량(4210) 4FA고려 필요 " xfId="89"/>
    <cellStyle name="桁区切り [0.00]_new dif survey sheet" xfId="1069"/>
    <cellStyle name="標準_Total (2)" xfId="1070"/>
  </cellStyles>
  <dxfs count="61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2270A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oneaddinshim.rtdformula">
      <tp t="s">
        <v>Manual Calculation</v>
        <stp/>
        <stp>0786b8db-fc9e-4f01-aecc-8e1102992f3c</stp>
        <tr r="AY128" s="1"/>
      </tp>
      <tp t="s">
        <v>Manual Calculation</v>
        <stp/>
        <stp>bdf078b3-438c-4fa3-9b70-f70edec18113</stp>
        <tr r="AV128" s="1"/>
      </tp>
      <tp t="s">
        <v>Manual Calculation</v>
        <stp/>
        <stp>559a1159-2711-4c03-8547-6ae617cecd99</stp>
        <tr r="AX128" s="1"/>
      </tp>
      <tp t="s">
        <v>Manual Calculation</v>
        <stp/>
        <stp>31b88e79-f36d-4312-a0db-58ca0fbb1f3f</stp>
        <tr r="AW128" s="1"/>
      </tp>
      <tp t="s">
        <v>Manual Calculation</v>
        <stp/>
        <stp>70f07729-527b-410b-9cf6-39243c292234</stp>
        <tr r="BE128" s="1"/>
      </tp>
      <tp t="s">
        <v>Manual Calculation</v>
        <stp/>
        <stp>a1dd3741-1e1e-46df-bc05-a2f74963d4fa</stp>
        <tr r="BF128" s="1"/>
      </tp>
      <tp t="s">
        <v xml:space="preserve"> $     12.76 </v>
        <stp/>
        <stp>7b84fbb5-beb2-40a1-9835-5623a41362d3</stp>
        <tr r="BK128" s="1"/>
      </tp>
      <tp t="s">
        <v>Manual Calculation</v>
        <stp/>
        <stp>8c31ccc4-42da-444e-adc7-de6c8e75ebea</stp>
        <tr r="BG128" s="1"/>
      </tp>
      <tp t="s">
        <v>Manual Calculation</v>
        <stp/>
        <stp>20c8aadb-e3fd-4c06-8041-bce11a5d7fd1</stp>
        <tr r="AU128" s="1"/>
      </tp>
      <tp t="s">
        <v>Manual Calculation</v>
        <stp/>
        <stp>d068eb20-eb74-42a3-ad67-33f08c7f748f</stp>
        <tr r="BD128" s="1"/>
      </tp>
    </main>
  </volType>
</volTypes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theme/theme1.xml" Type="http://schemas.openxmlformats.org/officeDocument/2006/relationships/theme"/>
<Relationship Id="rId13" Target="styles.xml" Type="http://schemas.openxmlformats.org/officeDocument/2006/relationships/styles"/>
<Relationship Id="rId14" Target="sharedStrings.xml" Type="http://schemas.openxmlformats.org/officeDocument/2006/relationships/sharedStrings"/>
<Relationship Id="rId15" Target="calcChain.xml" Type="http://schemas.openxmlformats.org/officeDocument/2006/relationships/calcChain"/>
<Relationship Id="rId16" Target="../customXml/item1.xml" Type="http://schemas.openxmlformats.org/officeDocument/2006/relationships/customXml"/>
<Relationship Id="rId17" Target="../customXml/item2.xml" Type="http://schemas.openxmlformats.org/officeDocument/2006/relationships/customXml"/>
<Relationship Id="rId18" Target="volatileDependencies.xml" Type="http://schemas.openxmlformats.org/officeDocument/2006/relationships/volatileDependencies"/>
<Relationship Id="rId19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76217403678207"/>
          <c:y val="7.162553704356342E-2"/>
          <c:w val="0.83428726615934923"/>
          <c:h val="0.727274683826951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'Segment Results'!$B$135</c:f>
              <c:strCache>
                <c:ptCount val="1"/>
                <c:pt idx="0">
                  <c:v>United States</c:v>
                </c:pt>
              </c:strCache>
            </c:strRef>
          </c:tx>
          <c:spPr>
            <a:solidFill>
              <a:srgbClr val="137CB1"/>
            </a:solidFill>
            <a:ln w="25400">
              <a:noFill/>
            </a:ln>
          </c:spPr>
          <c:invertIfNegative val="0"/>
          <c:cat>
            <c:multiLvlStrRef>
              <c:f>'Segment Results'!$AB$134:$AQ$134</c:f>
            </c:multiLvlStrRef>
          </c:cat>
          <c:val>
            <c:numRef>
              <c:f>'Segment Results'!$AB$135:$AQ$135</c:f>
            </c:numRef>
          </c:val>
        </c:ser>
        <c:ser>
          <c:idx val="1"/>
          <c:order val="1"/>
          <c:tx>
            <c:strRef>
              <c:f>'Segment Results'!$B$136</c:f>
              <c:strCache>
                <c:ptCount val="1"/>
                <c:pt idx="0">
                  <c:v>Other Americas</c:v>
                </c:pt>
              </c:strCache>
            </c:strRef>
          </c:tx>
          <c:spPr>
            <a:solidFill>
              <a:srgbClr val="EACC80"/>
            </a:solidFill>
            <a:ln w="25400">
              <a:noFill/>
            </a:ln>
          </c:spPr>
          <c:invertIfNegative val="0"/>
          <c:cat>
            <c:multiLvlStrRef>
              <c:f>'Segment Results'!$AB$134:$AQ$134</c:f>
            </c:multiLvlStrRef>
          </c:cat>
          <c:val>
            <c:numRef>
              <c:f>'Segment Results'!$AB$136:$AQ$136</c:f>
            </c:numRef>
          </c:val>
        </c:ser>
        <c:ser>
          <c:idx val="2"/>
          <c:order val="2"/>
          <c:tx>
            <c:strRef>
              <c:f>'Segment Results'!$B$137</c:f>
              <c:strCache>
                <c:ptCount val="1"/>
                <c:pt idx="0">
                  <c:v>United Kingdom</c:v>
                </c:pt>
              </c:strCache>
            </c:strRef>
          </c:tx>
          <c:spPr>
            <a:solidFill>
              <a:srgbClr val="4AAC6B"/>
            </a:solidFill>
            <a:ln w="25400">
              <a:noFill/>
            </a:ln>
          </c:spPr>
          <c:invertIfNegative val="0"/>
          <c:cat>
            <c:multiLvlStrRef>
              <c:f>'Segment Results'!$AB$134:$AQ$134</c:f>
            </c:multiLvlStrRef>
          </c:cat>
          <c:val>
            <c:numRef>
              <c:f>'Segment Results'!$AB$137:$AQ$137</c:f>
            </c:numRef>
          </c:val>
        </c:ser>
        <c:ser>
          <c:idx val="3"/>
          <c:order val="3"/>
          <c:tx>
            <c:strRef>
              <c:f>'Segment Results'!$B$138</c:f>
              <c:strCache>
                <c:ptCount val="1"/>
                <c:pt idx="0">
                  <c:v>Belgium</c:v>
                </c:pt>
              </c:strCache>
            </c:strRef>
          </c:tx>
          <c:spPr>
            <a:solidFill>
              <a:srgbClr val="A8D7E2"/>
            </a:solidFill>
            <a:ln w="25400">
              <a:noFill/>
            </a:ln>
          </c:spPr>
          <c:invertIfNegative val="0"/>
          <c:cat>
            <c:multiLvlStrRef>
              <c:f>'Segment Results'!$AB$134:$AQ$134</c:f>
            </c:multiLvlStrRef>
          </c:cat>
          <c:val>
            <c:numRef>
              <c:f>'Segment Results'!$AB$138:$AQ$138</c:f>
            </c:numRef>
          </c:val>
        </c:ser>
        <c:ser>
          <c:idx val="4"/>
          <c:order val="4"/>
          <c:tx>
            <c:strRef>
              <c:f>'Segment Results'!$B$139</c:f>
              <c:strCache>
                <c:ptCount val="1"/>
                <c:pt idx="0">
                  <c:v>China</c:v>
                </c:pt>
              </c:strCache>
            </c:strRef>
          </c:tx>
          <c:spPr>
            <a:solidFill>
              <a:srgbClr val="E58061"/>
            </a:solidFill>
            <a:ln w="25400">
              <a:noFill/>
            </a:ln>
          </c:spPr>
          <c:invertIfNegative val="0"/>
          <c:cat>
            <c:multiLvlStrRef>
              <c:f>'Segment Results'!$AB$134:$AQ$134</c:f>
            </c:multiLvlStrRef>
          </c:cat>
          <c:val>
            <c:numRef>
              <c:f>'Segment Results'!$AB$139:$AQ$139</c:f>
            </c:numRef>
          </c:val>
        </c:ser>
        <c:ser>
          <c:idx val="5"/>
          <c:order val="5"/>
          <c:tx>
            <c:strRef>
              <c:f>'Segment Results'!$B$140</c:f>
              <c:strCache>
                <c:ptCount val="1"/>
                <c:pt idx="0">
                  <c:v>Japan</c:v>
                </c:pt>
              </c:strCache>
            </c:strRef>
          </c:tx>
          <c:spPr>
            <a:solidFill>
              <a:srgbClr val="BCE3A1"/>
            </a:solidFill>
            <a:ln w="25400">
              <a:noFill/>
            </a:ln>
          </c:spPr>
          <c:invertIfNegative val="0"/>
          <c:cat>
            <c:multiLvlStrRef>
              <c:f>'Segment Results'!$AB$134:$AQ$134</c:f>
            </c:multiLvlStrRef>
          </c:cat>
          <c:val>
            <c:numRef>
              <c:f>'Segment Results'!$AB$140:$AQ$140</c:f>
            </c:numRef>
          </c:val>
        </c:ser>
        <c:ser>
          <c:idx val="6"/>
          <c:order val="6"/>
          <c:tx>
            <c:strRef>
              <c:f>'Segment Results'!$B$141</c:f>
              <c:strCache>
                <c:ptCount val="1"/>
                <c:pt idx="0">
                  <c:v>Singapore</c:v>
                </c:pt>
              </c:strCache>
            </c:strRef>
          </c:tx>
          <c:spPr>
            <a:solidFill>
              <a:srgbClr val="8E466A"/>
            </a:solidFill>
            <a:ln w="25400">
              <a:noFill/>
            </a:ln>
          </c:spPr>
          <c:invertIfNegative val="0"/>
          <c:cat>
            <c:multiLvlStrRef>
              <c:f>'Segment Results'!$AB$134:$AQ$134</c:f>
            </c:multiLvlStrRef>
          </c:cat>
          <c:val>
            <c:numRef>
              <c:f>'Segment Results'!$AB$141:$AQ$141</c:f>
            </c:numRef>
          </c:val>
        </c:ser>
        <c:ser>
          <c:idx val="7"/>
          <c:order val="7"/>
          <c:tx>
            <c:strRef>
              <c:f>'Segment Results'!$B$142</c:f>
              <c:strCache>
                <c:ptCount val="1"/>
                <c:pt idx="0">
                  <c:v>Other Asia/Pacific</c:v>
                </c:pt>
              </c:strCache>
            </c:strRef>
          </c:tx>
          <c:spPr>
            <a:solidFill>
              <a:srgbClr val="F3A7A9"/>
            </a:solidFill>
            <a:ln w="25400">
              <a:noFill/>
            </a:ln>
          </c:spPr>
          <c:invertIfNegative val="0"/>
          <c:cat>
            <c:multiLvlStrRef>
              <c:f>'Segment Results'!$AB$134:$AQ$134</c:f>
            </c:multiLvlStrRef>
          </c:cat>
          <c:val>
            <c:numRef>
              <c:f>'Segment Results'!$AB$142:$AQ$142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4685312"/>
        <c:axId val="594687104"/>
      </c:barChart>
      <c:catAx>
        <c:axId val="5946853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4687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4687104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468531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Relationship Id="rId2" Target="../charts/chart1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18586625" name="Picture 1" descr="C:\Users\sarlinde\AppData\Local\Temp\MercuryPriceRatingHistoryChart\ON.O_2018_02_04_18_43_13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981075</xdr:colOff>
      <xdr:row>0</xdr:row>
      <xdr:rowOff>19050</xdr:rowOff>
    </xdr:from>
    <xdr:to>
      <xdr:col>1</xdr:col>
      <xdr:colOff>1800225</xdr:colOff>
      <xdr:row>0</xdr:row>
      <xdr:rowOff>838200</xdr:rowOff>
    </xdr:to>
    <xdr:pic>
      <xdr:nvPicPr>
        <xdr:cNvPr id="17371184" name="Picture 94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9050"/>
          <a:ext cx="819150" cy="8191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981075</xdr:colOff>
      <xdr:row>0</xdr:row>
      <xdr:rowOff>19050</xdr:rowOff>
    </xdr:from>
    <xdr:to>
      <xdr:col>1</xdr:col>
      <xdr:colOff>1800225</xdr:colOff>
      <xdr:row>0</xdr:row>
      <xdr:rowOff>838200</xdr:rowOff>
    </xdr:to>
    <xdr:pic>
      <xdr:nvPicPr>
        <xdr:cNvPr id="14390506" name="Picture 94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9050"/>
          <a:ext cx="819150" cy="8191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981075</xdr:colOff>
      <xdr:row>0</xdr:row>
      <xdr:rowOff>19050</xdr:rowOff>
    </xdr:from>
    <xdr:to>
      <xdr:col>1</xdr:col>
      <xdr:colOff>1800225</xdr:colOff>
      <xdr:row>0</xdr:row>
      <xdr:rowOff>838200</xdr:rowOff>
    </xdr:to>
    <xdr:pic>
      <xdr:nvPicPr>
        <xdr:cNvPr id="759278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9050"/>
          <a:ext cx="819150" cy="8191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1095375</xdr:colOff>
      <xdr:row>0</xdr:row>
      <xdr:rowOff>19050</xdr:rowOff>
    </xdr:from>
    <xdr:to>
      <xdr:col>1</xdr:col>
      <xdr:colOff>1914525</xdr:colOff>
      <xdr:row>0</xdr:row>
      <xdr:rowOff>838200</xdr:rowOff>
    </xdr:to>
    <xdr:pic>
      <xdr:nvPicPr>
        <xdr:cNvPr id="11834155" name="Picture 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" y="19050"/>
          <a:ext cx="819150" cy="8191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35</xdr:col>
      <xdr:colOff>485775</xdr:colOff>
      <xdr:row>761</xdr:row>
      <xdr:rowOff>66675</xdr:rowOff>
    </xdr:from>
    <xdr:to>
      <xdr:col>45</xdr:col>
      <xdr:colOff>428625</xdr:colOff>
      <xdr:row>780</xdr:row>
      <xdr:rowOff>85725</xdr:rowOff>
    </xdr:to>
    <xdr:graphicFrame macro="">
      <xdr:nvGraphicFramePr>
        <xdr:cNvPr id="11834156" name="Chart 1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4.xml" Type="http://schemas.openxmlformats.org/officeDocument/2006/relationships/drawing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"/>
  <sheetViews>
    <sheetView workbookViewId="0"/>
  </sheetViews>
  <sheetFormatPr defaultRowHeight="12.75"/>
  <sheetData>
    <row r="1" spans="1:2">
      <c r="A1" s="307"/>
      <c r="B1" t="s">
        <v>302</v>
      </c>
    </row>
    <row r="2" spans="1:2"/>
  </sheetData>
  <phoneticPr fontId="27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7"/>
  <sheetViews>
    <sheetView showGridLines="0" tabSelected="1" workbookViewId="0">
      <selection activeCell="Z1" sqref="Z1"/>
    </sheetView>
  </sheetViews>
  <sheetFormatPr defaultRowHeight="12.75"/>
  <cols>
    <col min="1" max="1" width="25.7109375" style="1493" customWidth="1"/>
    <col min="2" max="5" width="9.140625" style="1493"/>
    <col min="6" max="6" width="18.7109375" style="1493" customWidth="1"/>
    <col min="7" max="256" width="9.140625" style="1493"/>
    <col min="257" max="257" width="100.7109375" style="1493" customWidth="1"/>
    <col min="258" max="512" width="9.140625" style="1493"/>
    <col min="513" max="513" width="100.7109375" style="1493" customWidth="1"/>
    <col min="514" max="768" width="9.140625" style="1493"/>
    <col min="769" max="769" width="100.7109375" style="1493" customWidth="1"/>
    <col min="770" max="1024" width="9.140625" style="1493"/>
    <col min="1025" max="1025" width="100.7109375" style="1493" customWidth="1"/>
    <col min="1026" max="1280" width="9.140625" style="1493"/>
    <col min="1281" max="1281" width="100.7109375" style="1493" customWidth="1"/>
    <col min="1282" max="1536" width="9.140625" style="1493"/>
    <col min="1537" max="1537" width="100.7109375" style="1493" customWidth="1"/>
    <col min="1538" max="1792" width="9.140625" style="1493"/>
    <col min="1793" max="1793" width="100.7109375" style="1493" customWidth="1"/>
    <col min="1794" max="2048" width="9.140625" style="1493"/>
    <col min="2049" max="2049" width="100.7109375" style="1493" customWidth="1"/>
    <col min="2050" max="2304" width="9.140625" style="1493"/>
    <col min="2305" max="2305" width="100.7109375" style="1493" customWidth="1"/>
    <col min="2306" max="2560" width="9.140625" style="1493"/>
    <col min="2561" max="2561" width="100.7109375" style="1493" customWidth="1"/>
    <col min="2562" max="2816" width="9.140625" style="1493"/>
    <col min="2817" max="2817" width="100.7109375" style="1493" customWidth="1"/>
    <col min="2818" max="3072" width="9.140625" style="1493"/>
    <col min="3073" max="3073" width="100.7109375" style="1493" customWidth="1"/>
    <col min="3074" max="3328" width="9.140625" style="1493"/>
    <col min="3329" max="3329" width="100.7109375" style="1493" customWidth="1"/>
    <col min="3330" max="3584" width="9.140625" style="1493"/>
    <col min="3585" max="3585" width="100.7109375" style="1493" customWidth="1"/>
    <col min="3586" max="3840" width="9.140625" style="1493"/>
    <col min="3841" max="3841" width="100.7109375" style="1493" customWidth="1"/>
    <col min="3842" max="4096" width="9.140625" style="1493"/>
    <col min="4097" max="4097" width="100.7109375" style="1493" customWidth="1"/>
    <col min="4098" max="4352" width="9.140625" style="1493"/>
    <col min="4353" max="4353" width="100.7109375" style="1493" customWidth="1"/>
    <col min="4354" max="4608" width="9.140625" style="1493"/>
    <col min="4609" max="4609" width="100.7109375" style="1493" customWidth="1"/>
    <col min="4610" max="4864" width="9.140625" style="1493"/>
    <col min="4865" max="4865" width="100.7109375" style="1493" customWidth="1"/>
    <col min="4866" max="5120" width="9.140625" style="1493"/>
    <col min="5121" max="5121" width="100.7109375" style="1493" customWidth="1"/>
    <col min="5122" max="5376" width="9.140625" style="1493"/>
    <col min="5377" max="5377" width="100.7109375" style="1493" customWidth="1"/>
    <col min="5378" max="5632" width="9.140625" style="1493"/>
    <col min="5633" max="5633" width="100.7109375" style="1493" customWidth="1"/>
    <col min="5634" max="5888" width="9.140625" style="1493"/>
    <col min="5889" max="5889" width="100.7109375" style="1493" customWidth="1"/>
    <col min="5890" max="6144" width="9.140625" style="1493"/>
    <col min="6145" max="6145" width="100.7109375" style="1493" customWidth="1"/>
    <col min="6146" max="6400" width="9.140625" style="1493"/>
    <col min="6401" max="6401" width="100.7109375" style="1493" customWidth="1"/>
    <col min="6402" max="6656" width="9.140625" style="1493"/>
    <col min="6657" max="6657" width="100.7109375" style="1493" customWidth="1"/>
    <col min="6658" max="6912" width="9.140625" style="1493"/>
    <col min="6913" max="6913" width="100.7109375" style="1493" customWidth="1"/>
    <col min="6914" max="7168" width="9.140625" style="1493"/>
    <col min="7169" max="7169" width="100.7109375" style="1493" customWidth="1"/>
    <col min="7170" max="7424" width="9.140625" style="1493"/>
    <col min="7425" max="7425" width="100.7109375" style="1493" customWidth="1"/>
    <col min="7426" max="7680" width="9.140625" style="1493"/>
    <col min="7681" max="7681" width="100.7109375" style="1493" customWidth="1"/>
    <col min="7682" max="7936" width="9.140625" style="1493"/>
    <col min="7937" max="7937" width="100.7109375" style="1493" customWidth="1"/>
    <col min="7938" max="8192" width="9.140625" style="1493"/>
    <col min="8193" max="8193" width="100.7109375" style="1493" customWidth="1"/>
    <col min="8194" max="8448" width="9.140625" style="1493"/>
    <col min="8449" max="8449" width="100.7109375" style="1493" customWidth="1"/>
    <col min="8450" max="8704" width="9.140625" style="1493"/>
    <col min="8705" max="8705" width="100.7109375" style="1493" customWidth="1"/>
    <col min="8706" max="8960" width="9.140625" style="1493"/>
    <col min="8961" max="8961" width="100.7109375" style="1493" customWidth="1"/>
    <col min="8962" max="9216" width="9.140625" style="1493"/>
    <col min="9217" max="9217" width="100.7109375" style="1493" customWidth="1"/>
    <col min="9218" max="9472" width="9.140625" style="1493"/>
    <col min="9473" max="9473" width="100.7109375" style="1493" customWidth="1"/>
    <col min="9474" max="9728" width="9.140625" style="1493"/>
    <col min="9729" max="9729" width="100.7109375" style="1493" customWidth="1"/>
    <col min="9730" max="9984" width="9.140625" style="1493"/>
    <col min="9985" max="9985" width="100.7109375" style="1493" customWidth="1"/>
    <col min="9986" max="10240" width="9.140625" style="1493"/>
    <col min="10241" max="10241" width="100.7109375" style="1493" customWidth="1"/>
    <col min="10242" max="10496" width="9.140625" style="1493"/>
    <col min="10497" max="10497" width="100.7109375" style="1493" customWidth="1"/>
    <col min="10498" max="10752" width="9.140625" style="1493"/>
    <col min="10753" max="10753" width="100.7109375" style="1493" customWidth="1"/>
    <col min="10754" max="11008" width="9.140625" style="1493"/>
    <col min="11009" max="11009" width="100.7109375" style="1493" customWidth="1"/>
    <col min="11010" max="11264" width="9.140625" style="1493"/>
    <col min="11265" max="11265" width="100.7109375" style="1493" customWidth="1"/>
    <col min="11266" max="11520" width="9.140625" style="1493"/>
    <col min="11521" max="11521" width="100.7109375" style="1493" customWidth="1"/>
    <col min="11522" max="11776" width="9.140625" style="1493"/>
    <col min="11777" max="11777" width="100.7109375" style="1493" customWidth="1"/>
    <col min="11778" max="12032" width="9.140625" style="1493"/>
    <col min="12033" max="12033" width="100.7109375" style="1493" customWidth="1"/>
    <col min="12034" max="12288" width="9.140625" style="1493"/>
    <col min="12289" max="12289" width="100.7109375" style="1493" customWidth="1"/>
    <col min="12290" max="12544" width="9.140625" style="1493"/>
    <col min="12545" max="12545" width="100.7109375" style="1493" customWidth="1"/>
    <col min="12546" max="12800" width="9.140625" style="1493"/>
    <col min="12801" max="12801" width="100.7109375" style="1493" customWidth="1"/>
    <col min="12802" max="13056" width="9.140625" style="1493"/>
    <col min="13057" max="13057" width="100.7109375" style="1493" customWidth="1"/>
    <col min="13058" max="13312" width="9.140625" style="1493"/>
    <col min="13313" max="13313" width="100.7109375" style="1493" customWidth="1"/>
    <col min="13314" max="13568" width="9.140625" style="1493"/>
    <col min="13569" max="13569" width="100.7109375" style="1493" customWidth="1"/>
    <col min="13570" max="13824" width="9.140625" style="1493"/>
    <col min="13825" max="13825" width="100.7109375" style="1493" customWidth="1"/>
    <col min="13826" max="14080" width="9.140625" style="1493"/>
    <col min="14081" max="14081" width="100.7109375" style="1493" customWidth="1"/>
    <col min="14082" max="14336" width="9.140625" style="1493"/>
    <col min="14337" max="14337" width="100.7109375" style="1493" customWidth="1"/>
    <col min="14338" max="14592" width="9.140625" style="1493"/>
    <col min="14593" max="14593" width="100.7109375" style="1493" customWidth="1"/>
    <col min="14594" max="14848" width="9.140625" style="1493"/>
    <col min="14849" max="14849" width="100.7109375" style="1493" customWidth="1"/>
    <col min="14850" max="15104" width="9.140625" style="1493"/>
    <col min="15105" max="15105" width="100.7109375" style="1493" customWidth="1"/>
    <col min="15106" max="15360" width="9.140625" style="1493"/>
    <col min="15361" max="15361" width="100.7109375" style="1493" customWidth="1"/>
    <col min="15362" max="15616" width="9.140625" style="1493"/>
    <col min="15617" max="15617" width="100.7109375" style="1493" customWidth="1"/>
    <col min="15618" max="15872" width="9.140625" style="1493"/>
    <col min="15873" max="15873" width="100.7109375" style="1493" customWidth="1"/>
    <col min="15874" max="16128" width="9.140625" style="1493"/>
    <col min="16129" max="16129" width="100.7109375" style="1493" customWidth="1"/>
    <col min="16130" max="16384" width="9.140625" style="1493"/>
  </cols>
  <sheetData>
    <row r="1" spans="1:8" ht="30" customHeight="1">
      <c r="A1" s="1491"/>
      <c r="B1" s="1492"/>
      <c r="C1" s="1492"/>
      <c r="D1" s="1492"/>
      <c r="E1" s="1492"/>
      <c r="F1" s="1492"/>
      <c r="G1" s="1492"/>
      <c r="H1" s="1492"/>
    </row>
    <row r="2" spans="1:8" ht="14.25">
      <c r="A2" s="1494" t="s">
        <v>683</v>
      </c>
      <c r="B2" s="1492"/>
      <c r="C2" s="1492"/>
      <c r="D2" s="1492"/>
      <c r="E2" s="1492"/>
      <c r="F2" s="1492"/>
      <c r="G2" s="1492"/>
      <c r="H2" s="1492"/>
    </row>
    <row r="3" spans="1:8" ht="14.25">
      <c r="A3" s="1494" t="s">
        <v>684</v>
      </c>
      <c r="B3" s="1492"/>
      <c r="C3" s="1492"/>
      <c r="D3" s="1492"/>
      <c r="E3" s="1492"/>
      <c r="F3" s="1492"/>
      <c r="G3" s="1492"/>
      <c r="H3" s="1492"/>
    </row>
    <row r="4" spans="1:8" ht="14.25">
      <c r="A4" s="1494" t="s">
        <v>63</v>
      </c>
      <c r="B4" s="1492"/>
      <c r="C4" s="1492"/>
      <c r="D4" s="1492"/>
      <c r="E4" s="1492"/>
      <c r="F4" s="1492"/>
      <c r="G4" s="1492"/>
      <c r="H4" s="1492"/>
    </row>
    <row r="5" spans="1:8" ht="14.25">
      <c r="A5" s="1494" t="s">
        <v>685</v>
      </c>
      <c r="B5" s="1492"/>
      <c r="C5" s="1492"/>
      <c r="D5" s="1492"/>
      <c r="E5" s="1492"/>
      <c r="F5" s="1492"/>
      <c r="G5" s="1492"/>
      <c r="H5" s="1492"/>
    </row>
    <row r="6" spans="1:8" ht="14.25">
      <c r="A6" s="1494"/>
      <c r="B6" s="1492"/>
      <c r="C6" s="1492"/>
      <c r="D6" s="1492"/>
      <c r="E6" s="1492"/>
      <c r="F6" s="1492"/>
      <c r="G6" s="1492"/>
      <c r="H6" s="1492"/>
    </row>
    <row r="7" spans="1:8">
      <c r="A7" s="1491" t="s">
        <v>686</v>
      </c>
      <c r="B7" s="1492"/>
      <c r="C7" s="1492"/>
      <c r="D7" s="1492"/>
      <c r="E7" s="1492"/>
      <c r="F7" s="1492"/>
      <c r="G7" s="1492"/>
      <c r="H7" s="1492"/>
    </row>
    <row r="8" spans="1:8">
      <c r="A8" s="1491" t="s">
        <v>687</v>
      </c>
      <c r="B8" s="1492"/>
      <c r="C8" s="1492"/>
      <c r="D8" s="1492"/>
      <c r="E8" s="1492"/>
      <c r="F8" s="1492"/>
      <c r="G8" s="1492"/>
      <c r="H8" s="1492"/>
    </row>
    <row r="9" spans="1:8">
      <c r="A9" s="1491"/>
      <c r="B9" s="1492"/>
      <c r="C9" s="1492"/>
      <c r="D9" s="1492"/>
      <c r="E9" s="1492"/>
      <c r="F9" s="1492"/>
      <c r="G9" s="1492"/>
      <c r="H9" s="1492"/>
    </row>
    <row r="10" spans="1:8">
      <c r="A10" s="1495" t="s">
        <v>688</v>
      </c>
      <c r="B10" s="1492"/>
      <c r="C10" s="1492"/>
      <c r="D10" s="1492"/>
      <c r="E10" s="1492"/>
      <c r="F10" s="1492"/>
      <c r="G10" s="1492"/>
      <c r="H10" s="1492"/>
    </row>
    <row r="11" spans="1:8">
      <c r="A11" s="1495" t="s">
        <v>689</v>
      </c>
      <c r="B11" s="1492"/>
      <c r="C11" s="1492"/>
      <c r="D11" s="1492"/>
      <c r="E11" s="1492"/>
      <c r="F11" s="1492"/>
      <c r="G11" s="1492"/>
      <c r="H11" s="1492"/>
    </row>
    <row r="12" spans="1:8">
      <c r="A12" s="1495" t="s">
        <v>690</v>
      </c>
      <c r="B12" s="1492"/>
      <c r="C12" s="1492"/>
      <c r="D12" s="1492"/>
      <c r="E12" s="1492"/>
      <c r="F12" s="1492"/>
      <c r="G12" s="1492"/>
      <c r="H12" s="1492"/>
    </row>
    <row r="13" spans="1:8">
      <c r="A13" s="1495" t="s">
        <v>691</v>
      </c>
      <c r="B13" s="1492"/>
      <c r="C13" s="1492"/>
      <c r="D13" s="1492"/>
      <c r="E13" s="1492"/>
      <c r="F13" s="1492"/>
      <c r="G13" s="1492"/>
      <c r="H13" s="1492"/>
    </row>
    <row r="14" spans="1:8">
      <c r="A14" s="1495" t="s">
        <v>692</v>
      </c>
      <c r="B14" s="1492"/>
      <c r="C14" s="1492"/>
      <c r="D14" s="1492"/>
      <c r="E14" s="1492"/>
      <c r="F14" s="1492"/>
      <c r="G14" s="1492"/>
      <c r="H14" s="1492"/>
    </row>
    <row r="15" spans="1:8">
      <c r="A15" s="1495" t="s">
        <v>693</v>
      </c>
      <c r="B15" s="1492"/>
      <c r="C15" s="1492"/>
      <c r="D15" s="1492"/>
      <c r="E15" s="1492"/>
      <c r="F15" s="1492"/>
      <c r="G15" s="1492"/>
      <c r="H15" s="1492"/>
    </row>
    <row r="16" spans="1:8">
      <c r="A16" s="1495"/>
      <c r="B16" s="1492"/>
      <c r="C16" s="1492"/>
      <c r="D16" s="1492"/>
      <c r="E16" s="1492"/>
      <c r="F16" s="1492"/>
      <c r="G16" s="1492"/>
      <c r="H16" s="1492"/>
    </row>
    <row r="17" spans="1:8">
      <c r="A17" s="1495" t="s">
        <v>680</v>
      </c>
      <c r="B17" s="1492"/>
      <c r="C17" s="1492"/>
      <c r="D17" s="1492"/>
      <c r="E17" s="1492"/>
      <c r="F17" s="1492"/>
      <c r="G17" s="1492"/>
      <c r="H17" s="1492"/>
    </row>
    <row r="18" spans="1:8">
      <c r="A18" s="1495"/>
      <c r="B18" s="1492"/>
      <c r="C18" s="1492"/>
      <c r="D18" s="1492"/>
      <c r="E18" s="1492"/>
      <c r="F18" s="1492"/>
      <c r="G18" s="1492"/>
      <c r="H18" s="1492"/>
    </row>
    <row r="19" spans="1:8">
      <c r="A19" s="1495" t="s">
        <v>681</v>
      </c>
      <c r="B19" s="1492"/>
      <c r="C19" s="1492"/>
      <c r="D19" s="1492"/>
      <c r="E19" s="1492"/>
      <c r="F19" s="1492"/>
      <c r="G19" s="1492"/>
      <c r="H19" s="1492"/>
    </row>
    <row r="20" spans="1:8">
      <c r="A20" s="1491"/>
      <c r="B20" s="1492"/>
      <c r="C20" s="1492"/>
      <c r="D20" s="1492"/>
      <c r="E20" s="1492"/>
      <c r="F20" s="1492"/>
      <c r="G20" s="1492"/>
      <c r="H20" s="1492"/>
    </row>
    <row r="21" spans="1:8">
      <c r="A21" s="1496" t="s">
        <v>682</v>
      </c>
      <c r="B21" s="1492"/>
      <c r="C21" s="1492"/>
      <c r="D21" s="1492"/>
      <c r="E21" s="1492"/>
      <c r="F21" s="1492"/>
      <c r="G21" s="1492"/>
      <c r="H21" s="1492"/>
    </row>
    <row r="22" spans="1:8">
      <c r="A22" s="1497"/>
      <c r="B22" s="1497"/>
      <c r="C22" s="1497"/>
      <c r="D22" s="1497"/>
      <c r="E22" s="1497"/>
      <c r="F22" s="1497"/>
      <c r="G22" s="1497"/>
      <c r="H22" s="1497"/>
    </row>
    <row r="23" spans="1:8">
      <c r="A23" s="1498" t="s">
        <v>975</v>
      </c>
      <c r="B23" s="1497"/>
      <c r="C23" s="1497"/>
      <c r="D23" s="1497"/>
      <c r="E23" s="1497"/>
      <c r="F23" s="1497"/>
      <c r="G23" s="1497"/>
      <c r="H23" s="1497"/>
    </row>
    <row r="24" spans="1:8">
      <c r="A24" s="1498" t="s">
        <v>976</v>
      </c>
      <c r="B24" s="1497"/>
      <c r="C24" s="1497"/>
      <c r="D24" s="1497"/>
      <c r="E24" s="1497"/>
      <c r="F24" s="1497"/>
      <c r="G24" s="1497"/>
      <c r="H24" s="1497"/>
    </row>
    <row r="25" spans="1:8">
      <c r="A25" s="1498" t="s">
        <v>977</v>
      </c>
      <c r="B25" s="1497"/>
      <c r="C25" s="1497"/>
      <c r="D25" s="1497"/>
      <c r="E25" s="1497"/>
      <c r="F25" s="1497"/>
      <c r="G25" s="1497"/>
      <c r="H25" s="1497"/>
    </row>
    <row r="26" spans="1:8">
      <c r="A26" s="1498" t="s">
        <v>978</v>
      </c>
      <c r="B26" s="1497"/>
      <c r="C26" s="1497"/>
      <c r="D26" s="1497"/>
      <c r="E26" s="1497"/>
      <c r="F26" s="1497"/>
      <c r="G26" s="1497"/>
      <c r="H26" s="1497"/>
    </row>
    <row r="27" spans="1:8">
      <c r="A27" s="1497"/>
      <c r="B27" s="1497"/>
      <c r="C27" s="1497"/>
      <c r="D27" s="1497"/>
      <c r="E27" s="1497"/>
      <c r="F27" s="1497"/>
      <c r="G27" s="1497"/>
      <c r="H27" s="1497"/>
    </row>
    <row r="28" spans="1:8">
      <c r="A28" s="1497"/>
      <c r="B28" s="1497"/>
      <c r="C28" s="1497"/>
      <c r="D28" s="1497"/>
      <c r="E28" s="1497"/>
      <c r="F28" s="1497"/>
      <c r="G28" s="1497"/>
      <c r="H28" s="1497"/>
    </row>
    <row r="29" spans="1:8">
      <c r="A29" s="1498" t="s">
        <v>970</v>
      </c>
      <c r="B29" s="1497"/>
      <c r="C29" s="1497"/>
      <c r="D29" s="1497"/>
      <c r="E29" s="1497"/>
      <c r="F29" s="1497"/>
      <c r="G29" s="1497"/>
      <c r="H29" s="1497"/>
    </row>
    <row r="30" spans="1:8">
      <c r="A30" s="1498" t="s">
        <v>971</v>
      </c>
      <c r="B30" s="1497"/>
      <c r="C30" s="1497"/>
      <c r="D30" s="1497"/>
      <c r="E30" s="1497"/>
      <c r="F30" s="1497"/>
      <c r="G30" s="1497"/>
      <c r="H30" s="1497"/>
    </row>
    <row r="31" spans="1:8">
      <c r="A31" s="1498" t="s">
        <v>972</v>
      </c>
      <c r="B31" s="1497"/>
      <c r="C31" s="1497"/>
      <c r="D31" s="1497"/>
      <c r="E31" s="1497"/>
      <c r="F31" s="1497"/>
      <c r="G31" s="1497"/>
      <c r="H31" s="1497"/>
    </row>
    <row r="32" spans="1:8">
      <c r="A32" s="1498" t="s">
        <v>973</v>
      </c>
      <c r="B32" s="1497"/>
      <c r="C32" s="1497"/>
      <c r="D32" s="1497"/>
      <c r="E32" s="1497"/>
      <c r="F32" s="1497"/>
      <c r="G32" s="1497"/>
      <c r="H32" s="1497"/>
    </row>
    <row r="33" spans="1:8">
      <c r="A33" s="1498" t="s">
        <v>974</v>
      </c>
      <c r="B33" s="1497"/>
      <c r="C33" s="1497"/>
      <c r="D33" s="1497"/>
      <c r="E33" s="1497"/>
      <c r="F33" s="1497"/>
      <c r="G33" s="1497"/>
      <c r="H33" s="1497"/>
    </row>
    <row r="34" spans="1:8">
      <c r="A34" s="1497"/>
      <c r="B34" s="1497"/>
      <c r="C34" s="1497"/>
      <c r="D34" s="1497"/>
      <c r="E34" s="1497"/>
      <c r="F34" s="1497"/>
      <c r="G34" s="1497"/>
      <c r="H34" s="1497"/>
    </row>
    <row r="35" spans="1:8">
      <c r="A35" s="1498" t="s">
        <v>966</v>
      </c>
      <c r="B35" s="1497"/>
      <c r="C35" s="1497"/>
      <c r="D35" s="1497"/>
      <c r="E35" s="1497"/>
      <c r="F35" s="1497"/>
      <c r="G35" s="1497"/>
      <c r="H35" s="1497"/>
    </row>
    <row r="36" spans="1:8">
      <c r="A36" s="1498" t="s">
        <v>967</v>
      </c>
      <c r="B36" s="1497"/>
      <c r="C36" s="1497"/>
      <c r="D36" s="1497"/>
      <c r="E36" s="1497"/>
      <c r="F36" s="1497"/>
      <c r="G36" s="1497"/>
      <c r="H36" s="1497"/>
    </row>
    <row r="37" spans="1:8">
      <c r="A37" s="1498" t="s">
        <v>968</v>
      </c>
      <c r="B37" s="1497"/>
      <c r="C37" s="1497"/>
      <c r="D37" s="1497"/>
      <c r="E37" s="1497"/>
      <c r="F37" s="1497"/>
      <c r="G37" s="1497"/>
      <c r="H37" s="1497"/>
    </row>
    <row r="38" spans="1:8">
      <c r="A38" s="1498" t="s">
        <v>969</v>
      </c>
      <c r="B38" s="1497"/>
      <c r="C38" s="1497"/>
      <c r="D38" s="1497"/>
      <c r="E38" s="1497"/>
      <c r="F38" s="1497"/>
      <c r="G38" s="1497"/>
      <c r="H38" s="1497"/>
    </row>
    <row r="39" spans="1:8">
      <c r="A39" s="1497"/>
      <c r="B39" s="1497"/>
      <c r="C39" s="1497"/>
      <c r="D39" s="1497"/>
      <c r="E39" s="1497"/>
      <c r="F39" s="1497"/>
      <c r="G39" s="1497"/>
      <c r="H39" s="1497"/>
    </row>
    <row r="40" spans="1:8">
      <c r="A40" s="1498" t="s">
        <v>960</v>
      </c>
      <c r="B40" s="1497"/>
      <c r="C40" s="1497"/>
      <c r="D40" s="1497"/>
      <c r="E40" s="1497"/>
      <c r="F40" s="1497"/>
      <c r="G40" s="1497"/>
      <c r="H40" s="1497"/>
    </row>
    <row r="41" spans="1:8">
      <c r="A41" s="1498" t="s">
        <v>961</v>
      </c>
      <c r="B41" s="1497"/>
      <c r="C41" s="1497"/>
      <c r="D41" s="1497"/>
      <c r="E41" s="1497"/>
      <c r="F41" s="1497"/>
      <c r="G41" s="1497"/>
      <c r="H41" s="1497"/>
    </row>
    <row r="42" spans="1:8">
      <c r="A42" s="1498" t="s">
        <v>962</v>
      </c>
      <c r="B42" s="1497"/>
      <c r="C42" s="1497"/>
      <c r="D42" s="1497"/>
      <c r="E42" s="1497"/>
      <c r="F42" s="1497"/>
      <c r="G42" s="1497"/>
      <c r="H42" s="1497"/>
    </row>
    <row r="43" spans="1:8">
      <c r="A43" s="1498" t="s">
        <v>963</v>
      </c>
      <c r="B43" s="1497"/>
      <c r="C43" s="1497"/>
      <c r="D43" s="1497"/>
      <c r="E43" s="1497"/>
      <c r="F43" s="1497"/>
      <c r="G43" s="1497"/>
      <c r="H43" s="1497"/>
    </row>
    <row r="44" spans="1:8">
      <c r="A44" s="1498" t="s">
        <v>964</v>
      </c>
      <c r="B44" s="1497"/>
      <c r="C44" s="1497"/>
      <c r="D44" s="1497"/>
      <c r="E44" s="1497"/>
      <c r="F44" s="1497"/>
      <c r="G44" s="1497"/>
      <c r="H44" s="1497"/>
    </row>
    <row r="45" spans="1:8">
      <c r="A45" s="1498" t="s">
        <v>965</v>
      </c>
      <c r="B45" s="1497"/>
      <c r="C45" s="1497"/>
      <c r="D45" s="1497"/>
      <c r="E45" s="1497"/>
      <c r="F45" s="1497"/>
      <c r="G45" s="1497"/>
      <c r="H45" s="1497"/>
    </row>
    <row r="46" spans="1:8">
      <c r="A46" s="1497"/>
      <c r="B46" s="1497"/>
      <c r="C46" s="1497"/>
      <c r="D46" s="1497"/>
      <c r="E46" s="1497"/>
      <c r="F46" s="1497"/>
      <c r="G46" s="1497"/>
      <c r="H46" s="1497"/>
    </row>
    <row r="47" spans="1:8" ht="15.75">
      <c r="A47" s="1499" t="s">
        <v>694</v>
      </c>
      <c r="B47" s="1497"/>
      <c r="C47" s="1497"/>
      <c r="D47" s="1497"/>
      <c r="E47" s="1497"/>
      <c r="F47" s="1497"/>
      <c r="G47" s="1497"/>
      <c r="H47" s="1497"/>
    </row>
    <row r="48" spans="1:8">
      <c r="A48" s="1497"/>
      <c r="B48" s="1497"/>
      <c r="C48" s="1497"/>
      <c r="D48" s="1497"/>
      <c r="E48" s="1497"/>
      <c r="F48" s="1497"/>
      <c r="G48" s="1497"/>
      <c r="H48" s="1497"/>
    </row>
    <row r="49" spans="1:8">
      <c r="A49" s="1498" t="s">
        <v>956</v>
      </c>
      <c r="B49" s="1497"/>
      <c r="C49" s="1497"/>
      <c r="D49" s="1497"/>
      <c r="E49" s="1497"/>
      <c r="F49" s="1497"/>
      <c r="G49" s="1497"/>
      <c r="H49" s="1497"/>
    </row>
    <row r="50" spans="1:8">
      <c r="A50" s="1498" t="s">
        <v>957</v>
      </c>
      <c r="B50" s="1497"/>
      <c r="C50" s="1497"/>
      <c r="D50" s="1497"/>
      <c r="E50" s="1497"/>
      <c r="F50" s="1497"/>
      <c r="G50" s="1497"/>
      <c r="H50" s="1497"/>
    </row>
    <row r="51" spans="1:8">
      <c r="A51" s="1498" t="s">
        <v>958</v>
      </c>
      <c r="B51" s="1497"/>
      <c r="C51" s="1497"/>
      <c r="D51" s="1497"/>
      <c r="E51" s="1497"/>
      <c r="F51" s="1497"/>
      <c r="G51" s="1497"/>
      <c r="H51" s="1497"/>
    </row>
    <row r="52" spans="1:8">
      <c r="A52" s="1498" t="s">
        <v>959</v>
      </c>
      <c r="B52" s="1497"/>
      <c r="C52" s="1497"/>
      <c r="D52" s="1497"/>
      <c r="E52" s="1497"/>
      <c r="F52" s="1497"/>
      <c r="G52" s="1497"/>
      <c r="H52" s="1497"/>
    </row>
    <row r="53" spans="1:8">
      <c r="A53" s="1497"/>
      <c r="B53" s="1497"/>
      <c r="C53" s="1497"/>
      <c r="D53" s="1497"/>
      <c r="E53" s="1497"/>
      <c r="F53" s="1497"/>
      <c r="G53" s="1497"/>
      <c r="H53" s="1497"/>
    </row>
    <row r="54" spans="1:8">
      <c r="A54" s="1498" t="s">
        <v>695</v>
      </c>
      <c r="B54" s="1497"/>
      <c r="C54" s="1497"/>
      <c r="D54" s="1497"/>
      <c r="E54" s="1497"/>
      <c r="F54" s="1497"/>
      <c r="G54" s="1497"/>
      <c r="H54" s="1497"/>
    </row>
    <row r="55" spans="1:8">
      <c r="A55" s="1497"/>
      <c r="B55" s="1497"/>
      <c r="C55" s="1497"/>
      <c r="D55" s="1497"/>
      <c r="E55" s="1497"/>
      <c r="F55" s="1497"/>
      <c r="G55" s="1497"/>
      <c r="H55" s="1497"/>
    </row>
    <row r="56" spans="1:8" ht="15.75">
      <c r="A56" s="1499" t="s">
        <v>696</v>
      </c>
      <c r="B56" s="1497"/>
      <c r="C56" s="1497"/>
      <c r="D56" s="1497"/>
      <c r="E56" s="1497"/>
      <c r="F56" s="1497"/>
      <c r="G56" s="1497"/>
      <c r="H56" s="1497"/>
    </row>
    <row r="57" spans="1:8">
      <c r="A57" s="1497"/>
      <c r="B57" s="1497"/>
      <c r="C57" s="1497"/>
      <c r="D57" s="1497"/>
      <c r="E57" s="1497"/>
      <c r="F57" s="1497"/>
      <c r="G57" s="1497"/>
      <c r="H57" s="1497"/>
    </row>
    <row r="58" spans="1:8">
      <c r="A58" s="1498" t="s">
        <v>954</v>
      </c>
      <c r="B58" s="1497"/>
      <c r="C58" s="1497"/>
      <c r="D58" s="1497"/>
      <c r="E58" s="1497"/>
      <c r="F58" s="1497"/>
      <c r="G58" s="1497"/>
      <c r="H58" s="1497"/>
    </row>
    <row r="59" spans="1:8">
      <c r="A59" s="1498" t="s">
        <v>955</v>
      </c>
      <c r="B59" s="1497"/>
      <c r="C59" s="1497"/>
      <c r="D59" s="1497"/>
      <c r="E59" s="1497"/>
      <c r="F59" s="1497"/>
      <c r="G59" s="1497"/>
      <c r="H59" s="1497"/>
    </row>
    <row r="60" spans="1:8">
      <c r="A60" s="1497"/>
      <c r="B60" s="1497"/>
      <c r="C60" s="1497"/>
      <c r="D60" s="1497"/>
      <c r="E60" s="1497"/>
      <c r="F60" s="1497"/>
      <c r="G60" s="1497"/>
      <c r="H60" s="1497"/>
    </row>
    <row r="61" spans="1:8" ht="15.75">
      <c r="A61" s="1499" t="s">
        <v>697</v>
      </c>
      <c r="B61" s="1497"/>
      <c r="C61" s="1497"/>
      <c r="D61" s="1497"/>
      <c r="E61" s="1497"/>
      <c r="F61" s="1497"/>
      <c r="G61" s="1497"/>
      <c r="H61" s="1497"/>
    </row>
    <row r="62" spans="1:8">
      <c r="A62" s="1497"/>
      <c r="B62" s="1497"/>
      <c r="C62" s="1497"/>
      <c r="D62" s="1497"/>
      <c r="E62" s="1497"/>
      <c r="F62" s="1497"/>
      <c r="G62" s="1497"/>
      <c r="H62" s="1497"/>
    </row>
    <row r="63" spans="1:8">
      <c r="A63" s="1498" t="s">
        <v>952</v>
      </c>
      <c r="B63" s="1497"/>
      <c r="C63" s="1497"/>
      <c r="D63" s="1497"/>
      <c r="E63" s="1497"/>
      <c r="F63" s="1497"/>
      <c r="G63" s="1497"/>
      <c r="H63" s="1497"/>
    </row>
    <row r="64" spans="1:8">
      <c r="A64" s="1498" t="s">
        <v>953</v>
      </c>
      <c r="B64" s="1497"/>
      <c r="C64" s="1497"/>
      <c r="D64" s="1497"/>
      <c r="E64" s="1497"/>
      <c r="F64" s="1497"/>
      <c r="G64" s="1497"/>
      <c r="H64" s="1497"/>
    </row>
    <row r="65" spans="1:8">
      <c r="A65" s="1497"/>
      <c r="B65" s="1497"/>
      <c r="C65" s="1497"/>
      <c r="D65" s="1497"/>
      <c r="E65" s="1497"/>
      <c r="F65" s="1497"/>
      <c r="G65" s="1497"/>
      <c r="H65" s="1497"/>
    </row>
    <row r="66" spans="1:8">
      <c r="A66" s="1498" t="s">
        <v>950</v>
      </c>
      <c r="B66" s="1497"/>
      <c r="C66" s="1497"/>
      <c r="D66" s="1497"/>
      <c r="E66" s="1497"/>
      <c r="F66" s="1497"/>
      <c r="G66" s="1497"/>
      <c r="H66" s="1497"/>
    </row>
    <row r="67" spans="1:8">
      <c r="A67" s="1498" t="s">
        <v>951</v>
      </c>
      <c r="B67" s="1497"/>
      <c r="C67" s="1497"/>
      <c r="D67" s="1497"/>
      <c r="E67" s="1497"/>
      <c r="F67" s="1497"/>
      <c r="G67" s="1497"/>
      <c r="H67" s="1497"/>
    </row>
    <row r="68" spans="1:8">
      <c r="A68" s="1497"/>
      <c r="B68" s="1497"/>
      <c r="C68" s="1497"/>
      <c r="D68" s="1497"/>
      <c r="E68" s="1497"/>
      <c r="F68" s="1497"/>
      <c r="G68" s="1497"/>
      <c r="H68" s="1497"/>
    </row>
    <row r="69" spans="1:8">
      <c r="A69" s="1498" t="s">
        <v>948</v>
      </c>
      <c r="B69" s="1497"/>
      <c r="C69" s="1497"/>
      <c r="D69" s="1497"/>
      <c r="E69" s="1497"/>
      <c r="F69" s="1497"/>
      <c r="G69" s="1497"/>
      <c r="H69" s="1497"/>
    </row>
    <row r="70" spans="1:8">
      <c r="A70" s="1498" t="s">
        <v>949</v>
      </c>
      <c r="B70" s="1497"/>
      <c r="C70" s="1497"/>
      <c r="D70" s="1497"/>
      <c r="E70" s="1497"/>
      <c r="F70" s="1497"/>
      <c r="G70" s="1497"/>
      <c r="H70" s="1497"/>
    </row>
    <row r="71" spans="1:8">
      <c r="A71" s="1497"/>
      <c r="B71" s="1497"/>
      <c r="C71" s="1497"/>
      <c r="D71" s="1497"/>
      <c r="E71" s="1497"/>
      <c r="F71" s="1497"/>
      <c r="G71" s="1497"/>
      <c r="H71" s="1497"/>
    </row>
    <row r="72" spans="1:8">
      <c r="A72" s="1498" t="s">
        <v>946</v>
      </c>
      <c r="B72" s="1497"/>
      <c r="C72" s="1497"/>
      <c r="D72" s="1497"/>
      <c r="E72" s="1497"/>
      <c r="F72" s="1497"/>
      <c r="G72" s="1497"/>
      <c r="H72" s="1497"/>
    </row>
    <row r="73" spans="1:8">
      <c r="A73" s="1498" t="s">
        <v>947</v>
      </c>
      <c r="B73" s="1497"/>
      <c r="C73" s="1497"/>
      <c r="D73" s="1497"/>
      <c r="E73" s="1497"/>
      <c r="F73" s="1497"/>
      <c r="G73" s="1497"/>
      <c r="H73" s="1497"/>
    </row>
    <row r="74" spans="1:8">
      <c r="A74" s="1497"/>
      <c r="B74" s="1497"/>
      <c r="C74" s="1497"/>
      <c r="D74" s="1497"/>
      <c r="E74" s="1497"/>
      <c r="F74" s="1497"/>
      <c r="G74" s="1497"/>
      <c r="H74" s="1497"/>
    </row>
    <row r="75" spans="1:8">
      <c r="A75" s="1498" t="s">
        <v>944</v>
      </c>
      <c r="B75" s="1497"/>
      <c r="C75" s="1497"/>
      <c r="D75" s="1497"/>
      <c r="E75" s="1497"/>
      <c r="F75" s="1497"/>
      <c r="G75" s="1497"/>
      <c r="H75" s="1497"/>
    </row>
    <row r="76" spans="1:8">
      <c r="A76" s="1498" t="s">
        <v>945</v>
      </c>
      <c r="B76" s="1497"/>
      <c r="C76" s="1497"/>
      <c r="D76" s="1497"/>
      <c r="E76" s="1497"/>
      <c r="F76" s="1497"/>
      <c r="G76" s="1497"/>
      <c r="H76" s="1497"/>
    </row>
    <row r="77" spans="1:8">
      <c r="A77" s="1497"/>
      <c r="B77" s="1497"/>
      <c r="C77" s="1497"/>
      <c r="D77" s="1497"/>
      <c r="E77" s="1497"/>
      <c r="F77" s="1497"/>
      <c r="G77" s="1497"/>
      <c r="H77" s="1497"/>
    </row>
    <row r="78" spans="1:8">
      <c r="A78" s="1498" t="s">
        <v>941</v>
      </c>
      <c r="B78" s="1497"/>
      <c r="C78" s="1497"/>
      <c r="D78" s="1497"/>
      <c r="E78" s="1497"/>
      <c r="F78" s="1497"/>
      <c r="G78" s="1497"/>
      <c r="H78" s="1497"/>
    </row>
    <row r="79" spans="1:8">
      <c r="A79" s="1498" t="s">
        <v>942</v>
      </c>
      <c r="B79" s="1497"/>
      <c r="C79" s="1497"/>
      <c r="D79" s="1497"/>
      <c r="E79" s="1497"/>
      <c r="F79" s="1497"/>
      <c r="G79" s="1497"/>
      <c r="H79" s="1497"/>
    </row>
    <row r="80" spans="1:8">
      <c r="A80" s="1498" t="s">
        <v>943</v>
      </c>
      <c r="B80" s="1497"/>
      <c r="C80" s="1497"/>
      <c r="D80" s="1497"/>
      <c r="E80" s="1497"/>
      <c r="F80" s="1497"/>
      <c r="G80" s="1497"/>
      <c r="H80" s="1497"/>
    </row>
    <row r="81" spans="1:8">
      <c r="A81" s="1497"/>
      <c r="B81" s="1497"/>
      <c r="C81" s="1497"/>
      <c r="D81" s="1497"/>
      <c r="E81" s="1497"/>
      <c r="F81" s="1497"/>
      <c r="G81" s="1497"/>
      <c r="H81" s="1497"/>
    </row>
    <row r="82" spans="1:8">
      <c r="A82" s="1498" t="s">
        <v>698</v>
      </c>
      <c r="B82" s="1497"/>
      <c r="C82" s="1497"/>
      <c r="D82" s="1497"/>
      <c r="E82" s="1497"/>
      <c r="F82" s="1497"/>
      <c r="G82" s="1497"/>
      <c r="H82" s="1497"/>
    </row>
    <row r="83" spans="1:8">
      <c r="A83" s="1497"/>
      <c r="B83" s="1497"/>
      <c r="C83" s="1497"/>
      <c r="D83" s="1497"/>
      <c r="E83" s="1497"/>
      <c r="F83" s="1497"/>
      <c r="G83" s="1497"/>
      <c r="H83" s="1497"/>
    </row>
    <row r="84" spans="1:8">
      <c r="A84" s="1498" t="s">
        <v>936</v>
      </c>
      <c r="B84" s="1497"/>
      <c r="C84" s="1497"/>
      <c r="D84" s="1497"/>
      <c r="E84" s="1497"/>
      <c r="F84" s="1497"/>
      <c r="G84" s="1497"/>
      <c r="H84" s="1497"/>
    </row>
    <row r="85" spans="1:8">
      <c r="A85" s="1498" t="s">
        <v>937</v>
      </c>
      <c r="B85" s="1497"/>
      <c r="C85" s="1497"/>
      <c r="D85" s="1497"/>
      <c r="E85" s="1497"/>
      <c r="F85" s="1497"/>
      <c r="G85" s="1497"/>
      <c r="H85" s="1497"/>
    </row>
    <row r="86" spans="1:8">
      <c r="A86" s="1498" t="s">
        <v>938</v>
      </c>
      <c r="B86" s="1497"/>
      <c r="C86" s="1497"/>
      <c r="D86" s="1497"/>
      <c r="E86" s="1497"/>
      <c r="F86" s="1497"/>
      <c r="G86" s="1497"/>
      <c r="H86" s="1497"/>
    </row>
    <row r="87" spans="1:8">
      <c r="A87" s="1498" t="s">
        <v>939</v>
      </c>
      <c r="B87" s="1497"/>
      <c r="C87" s="1497"/>
      <c r="D87" s="1497"/>
      <c r="E87" s="1497"/>
      <c r="F87" s="1497"/>
      <c r="G87" s="1497"/>
      <c r="H87" s="1497"/>
    </row>
    <row r="88" spans="1:8">
      <c r="A88" s="1498" t="s">
        <v>940</v>
      </c>
      <c r="B88" s="1497"/>
      <c r="C88" s="1497"/>
      <c r="D88" s="1497"/>
      <c r="E88" s="1497"/>
      <c r="F88" s="1497"/>
      <c r="G88" s="1497"/>
      <c r="H88" s="1497"/>
    </row>
    <row r="89" spans="1:8">
      <c r="A89" s="1498" t="s">
        <v>823</v>
      </c>
      <c r="B89" s="1497"/>
      <c r="C89" s="1497"/>
      <c r="D89" s="1497"/>
      <c r="E89" s="1497"/>
      <c r="F89" s="1497"/>
      <c r="G89" s="1497"/>
      <c r="H89" s="1497"/>
    </row>
    <row r="90" spans="1:8">
      <c r="A90" s="1497"/>
      <c r="B90" s="1497"/>
      <c r="C90" s="1497"/>
      <c r="D90" s="1497"/>
      <c r="E90" s="1497"/>
      <c r="F90" s="1497"/>
      <c r="G90" s="1497"/>
      <c r="H90" s="1497"/>
    </row>
    <row r="91" spans="1:8">
      <c r="A91" s="1498" t="s">
        <v>929</v>
      </c>
      <c r="B91" s="1497"/>
      <c r="C91" s="1497"/>
      <c r="D91" s="1497"/>
      <c r="E91" s="1497"/>
      <c r="F91" s="1497"/>
      <c r="G91" s="1497"/>
      <c r="H91" s="1497"/>
    </row>
    <row r="92" spans="1:8">
      <c r="A92" s="1498" t="s">
        <v>930</v>
      </c>
      <c r="B92" s="1497"/>
      <c r="C92" s="1497"/>
      <c r="D92" s="1497"/>
      <c r="E92" s="1497"/>
      <c r="F92" s="1497"/>
      <c r="G92" s="1497"/>
      <c r="H92" s="1497"/>
    </row>
    <row r="93" spans="1:8">
      <c r="A93" s="1498" t="s">
        <v>931</v>
      </c>
      <c r="B93" s="1497"/>
      <c r="C93" s="1497"/>
      <c r="D93" s="1497"/>
      <c r="E93" s="1497"/>
      <c r="F93" s="1497"/>
      <c r="G93" s="1497"/>
      <c r="H93" s="1497"/>
    </row>
    <row r="94" spans="1:8">
      <c r="A94" s="1498" t="s">
        <v>932</v>
      </c>
      <c r="B94" s="1497"/>
      <c r="C94" s="1497"/>
      <c r="D94" s="1497"/>
      <c r="E94" s="1497"/>
      <c r="F94" s="1497"/>
      <c r="G94" s="1497"/>
      <c r="H94" s="1497"/>
    </row>
    <row r="95" spans="1:8">
      <c r="A95" s="1498" t="s">
        <v>933</v>
      </c>
      <c r="B95" s="1497"/>
      <c r="C95" s="1497"/>
      <c r="D95" s="1497"/>
      <c r="E95" s="1497"/>
      <c r="F95" s="1497"/>
      <c r="G95" s="1497"/>
      <c r="H95" s="1497"/>
    </row>
    <row r="96" spans="1:8">
      <c r="A96" s="1498" t="s">
        <v>934</v>
      </c>
      <c r="B96" s="1497"/>
      <c r="C96" s="1497"/>
      <c r="D96" s="1497"/>
      <c r="E96" s="1497"/>
      <c r="F96" s="1497"/>
      <c r="G96" s="1497"/>
      <c r="H96" s="1497"/>
    </row>
    <row r="97" spans="1:8">
      <c r="A97" s="1498" t="s">
        <v>935</v>
      </c>
      <c r="B97" s="1497"/>
      <c r="C97" s="1497"/>
      <c r="D97" s="1497"/>
      <c r="E97" s="1497"/>
      <c r="F97" s="1497"/>
      <c r="G97" s="1497"/>
      <c r="H97" s="1497"/>
    </row>
    <row r="98" spans="1:8">
      <c r="A98" s="1497"/>
      <c r="B98" s="1497"/>
      <c r="C98" s="1497"/>
      <c r="D98" s="1497"/>
      <c r="E98" s="1497"/>
      <c r="F98" s="1497"/>
      <c r="G98" s="1497"/>
      <c r="H98" s="1497"/>
    </row>
    <row r="99" spans="1:8">
      <c r="A99" s="1498" t="s">
        <v>927</v>
      </c>
      <c r="B99" s="1497"/>
      <c r="C99" s="1497"/>
      <c r="D99" s="1497"/>
      <c r="E99" s="1497"/>
      <c r="F99" s="1497"/>
      <c r="G99" s="1497"/>
      <c r="H99" s="1497"/>
    </row>
    <row r="100" spans="1:8">
      <c r="A100" s="1498" t="s">
        <v>928</v>
      </c>
      <c r="B100" s="1497"/>
      <c r="C100" s="1497"/>
      <c r="D100" s="1497"/>
      <c r="E100" s="1497"/>
      <c r="F100" s="1497"/>
      <c r="G100" s="1497"/>
      <c r="H100" s="1497"/>
    </row>
    <row r="101" spans="1:8">
      <c r="A101" s="1497"/>
      <c r="B101" s="1497"/>
      <c r="C101" s="1497"/>
      <c r="D101" s="1497"/>
      <c r="E101" s="1497"/>
      <c r="F101" s="1497"/>
      <c r="G101" s="1497"/>
      <c r="H101" s="1497"/>
    </row>
    <row r="102" spans="1:8" ht="15.75">
      <c r="A102" s="1499" t="s">
        <v>699</v>
      </c>
      <c r="B102" s="1497"/>
      <c r="C102" s="1497"/>
      <c r="D102" s="1497"/>
      <c r="E102" s="1497"/>
      <c r="F102" s="1497"/>
      <c r="G102" s="1497"/>
      <c r="H102" s="1497"/>
    </row>
    <row r="103" spans="1:8">
      <c r="A103" s="1497"/>
      <c r="B103" s="1497"/>
      <c r="C103" s="1497"/>
      <c r="D103" s="1497"/>
      <c r="E103" s="1497"/>
      <c r="F103" s="1497"/>
      <c r="G103" s="1497"/>
      <c r="H103" s="1497"/>
    </row>
    <row r="104" spans="1:8">
      <c r="A104" s="1498" t="s">
        <v>918</v>
      </c>
      <c r="B104" s="1497"/>
      <c r="C104" s="1497"/>
      <c r="D104" s="1497"/>
      <c r="E104" s="1497"/>
      <c r="F104" s="1497"/>
      <c r="G104" s="1497"/>
      <c r="H104" s="1497"/>
    </row>
    <row r="105" spans="1:8">
      <c r="A105" s="1498" t="s">
        <v>919</v>
      </c>
      <c r="B105" s="1497"/>
      <c r="C105" s="1497"/>
      <c r="D105" s="1497"/>
      <c r="E105" s="1497"/>
      <c r="F105" s="1497"/>
      <c r="G105" s="1497"/>
      <c r="H105" s="1497"/>
    </row>
    <row r="106" spans="1:8">
      <c r="A106" s="1498" t="s">
        <v>920</v>
      </c>
      <c r="B106" s="1497"/>
      <c r="C106" s="1497"/>
      <c r="D106" s="1497"/>
      <c r="E106" s="1497"/>
      <c r="F106" s="1497"/>
      <c r="G106" s="1497"/>
      <c r="H106" s="1497"/>
    </row>
    <row r="107" spans="1:8">
      <c r="A107" s="1498" t="s">
        <v>921</v>
      </c>
      <c r="B107" s="1497"/>
      <c r="C107" s="1497"/>
      <c r="D107" s="1497"/>
      <c r="E107" s="1497"/>
      <c r="F107" s="1497"/>
      <c r="G107" s="1497"/>
      <c r="H107" s="1497"/>
    </row>
    <row r="108" spans="1:8">
      <c r="A108" s="1498" t="s">
        <v>922</v>
      </c>
      <c r="B108" s="1497"/>
      <c r="C108" s="1497"/>
      <c r="D108" s="1497"/>
      <c r="E108" s="1497"/>
      <c r="F108" s="1497"/>
      <c r="G108" s="1497"/>
      <c r="H108" s="1497"/>
    </row>
    <row r="109" spans="1:8">
      <c r="A109" s="1498" t="s">
        <v>923</v>
      </c>
      <c r="B109" s="1497"/>
      <c r="C109" s="1497"/>
      <c r="D109" s="1497"/>
      <c r="E109" s="1497"/>
      <c r="F109" s="1497"/>
      <c r="G109" s="1497"/>
      <c r="H109" s="1497"/>
    </row>
    <row r="110" spans="1:8">
      <c r="A110" s="1498" t="s">
        <v>924</v>
      </c>
      <c r="B110" s="1497"/>
      <c r="C110" s="1497"/>
      <c r="D110" s="1497"/>
      <c r="E110" s="1497"/>
      <c r="F110" s="1497"/>
      <c r="G110" s="1497"/>
      <c r="H110" s="1497"/>
    </row>
    <row r="111" spans="1:8">
      <c r="A111" s="1498" t="s">
        <v>925</v>
      </c>
      <c r="B111" s="1497"/>
      <c r="C111" s="1497"/>
      <c r="D111" s="1497"/>
      <c r="E111" s="1497"/>
      <c r="F111" s="1497"/>
      <c r="G111" s="1497"/>
      <c r="H111" s="1497"/>
    </row>
    <row r="112" spans="1:8">
      <c r="A112" s="1498" t="s">
        <v>926</v>
      </c>
      <c r="B112" s="1497"/>
      <c r="C112" s="1497"/>
      <c r="D112" s="1497"/>
      <c r="E112" s="1497"/>
      <c r="F112" s="1497"/>
      <c r="G112" s="1497"/>
      <c r="H112" s="1497"/>
    </row>
    <row r="113" spans="1:8">
      <c r="A113" s="1497"/>
      <c r="B113" s="1497"/>
      <c r="C113" s="1497"/>
      <c r="D113" s="1497"/>
      <c r="E113" s="1497"/>
      <c r="F113" s="1497"/>
      <c r="G113" s="1497"/>
      <c r="H113" s="1497"/>
    </row>
    <row r="114" spans="1:8" ht="15.75">
      <c r="A114" s="1500" t="s">
        <v>700</v>
      </c>
      <c r="B114" s="1500"/>
      <c r="C114" s="1500"/>
      <c r="D114" s="1500"/>
      <c r="E114" s="1500"/>
      <c r="F114" s="1500"/>
      <c r="G114" s="1500"/>
      <c r="H114" s="1500"/>
    </row>
    <row r="115" spans="1:8">
      <c r="A115" s="1501" t="s">
        <v>701</v>
      </c>
      <c r="B115" s="1501"/>
      <c r="C115" s="1501"/>
      <c r="D115" s="1501"/>
      <c r="E115" s="1501"/>
      <c r="F115" s="1501"/>
      <c r="G115" s="1501"/>
      <c r="H115" s="1501"/>
    </row>
    <row r="116" spans="1:8">
      <c r="A116" s="1502"/>
      <c r="B116" s="1502"/>
      <c r="C116" s="1502"/>
      <c r="D116" s="1502"/>
      <c r="E116" s="1502"/>
      <c r="F116" s="1502"/>
      <c r="G116" s="1502"/>
      <c r="H116" s="1502"/>
    </row>
    <row r="117" spans="1:8">
      <c r="A117" s="1501" t="s">
        <v>916</v>
      </c>
      <c r="B117" s="1501"/>
      <c r="C117" s="1501"/>
      <c r="D117" s="1501"/>
      <c r="E117" s="1501"/>
      <c r="F117" s="1501"/>
      <c r="G117" s="1501"/>
      <c r="H117" s="1501"/>
    </row>
    <row r="118" spans="1:8">
      <c r="A118" s="1498" t="s">
        <v>917</v>
      </c>
      <c r="B118" s="1498"/>
      <c r="C118" s="1498"/>
      <c r="D118" s="1498"/>
      <c r="E118" s="1498"/>
      <c r="F118" s="1498"/>
      <c r="G118" s="1498"/>
      <c r="H118" s="1498"/>
    </row>
    <row r="119" spans="1:8">
      <c r="A119" s="1502"/>
      <c r="B119" s="1502"/>
      <c r="C119" s="1502"/>
      <c r="D119" s="1502"/>
      <c r="E119" s="1502"/>
      <c r="F119" s="1502"/>
      <c r="G119" s="1502"/>
      <c r="H119" s="1502"/>
    </row>
    <row r="120" spans="1:8">
      <c r="A120" s="1501" t="s">
        <v>909</v>
      </c>
      <c r="B120" s="1501"/>
      <c r="C120" s="1501"/>
      <c r="D120" s="1501"/>
      <c r="E120" s="1501"/>
      <c r="F120" s="1501"/>
      <c r="G120" s="1501"/>
      <c r="H120" s="1501"/>
    </row>
    <row r="121" spans="1:8">
      <c r="A121" s="1498" t="s">
        <v>910</v>
      </c>
      <c r="B121" s="1498"/>
      <c r="C121" s="1498"/>
      <c r="D121" s="1498"/>
      <c r="E121" s="1498"/>
      <c r="F121" s="1498"/>
      <c r="G121" s="1498"/>
      <c r="H121" s="1498"/>
    </row>
    <row r="122" spans="1:8">
      <c r="A122" s="1498" t="s">
        <v>911</v>
      </c>
      <c r="B122" s="1498"/>
      <c r="C122" s="1498"/>
      <c r="D122" s="1498"/>
      <c r="E122" s="1498"/>
      <c r="F122" s="1498"/>
      <c r="G122" s="1498"/>
      <c r="H122" s="1498"/>
    </row>
    <row r="123" spans="1:8">
      <c r="A123" s="1498" t="s">
        <v>912</v>
      </c>
      <c r="B123" s="1498"/>
      <c r="C123" s="1498"/>
      <c r="D123" s="1498"/>
      <c r="E123" s="1498"/>
      <c r="F123" s="1498"/>
      <c r="G123" s="1498"/>
      <c r="H123" s="1498"/>
    </row>
    <row r="124" spans="1:8">
      <c r="A124" s="1498" t="s">
        <v>913</v>
      </c>
      <c r="B124" s="1498"/>
      <c r="C124" s="1498"/>
      <c r="D124" s="1498"/>
      <c r="E124" s="1498"/>
      <c r="F124" s="1498"/>
      <c r="G124" s="1498"/>
      <c r="H124" s="1498"/>
    </row>
    <row r="125" spans="1:8">
      <c r="A125" s="1498" t="s">
        <v>914</v>
      </c>
      <c r="B125" s="1498"/>
      <c r="C125" s="1498"/>
      <c r="D125" s="1498"/>
      <c r="E125" s="1498"/>
      <c r="F125" s="1498"/>
      <c r="G125" s="1498"/>
      <c r="H125" s="1498"/>
    </row>
    <row r="126" spans="1:8">
      <c r="A126" s="1498" t="s">
        <v>915</v>
      </c>
      <c r="B126" s="1498"/>
      <c r="C126" s="1498"/>
      <c r="D126" s="1498"/>
      <c r="E126" s="1498"/>
      <c r="F126" s="1498"/>
      <c r="G126" s="1498"/>
      <c r="H126" s="1498"/>
    </row>
    <row r="127" spans="1:8">
      <c r="A127" s="1503"/>
      <c r="B127" s="1503"/>
      <c r="C127" s="1503"/>
      <c r="D127" s="1503"/>
      <c r="E127" s="1503"/>
      <c r="F127" s="1503"/>
      <c r="G127" s="1503"/>
      <c r="H127" s="1503"/>
    </row>
    <row r="128" spans="1:8">
      <c r="A128" s="1504"/>
      <c r="B128" s="1505" t="s">
        <v>702</v>
      </c>
      <c r="C128" s="1506"/>
      <c r="D128" s="1505" t="s">
        <v>703</v>
      </c>
      <c r="E128" s="1507"/>
      <c r="F128" s="1506"/>
      <c r="G128" s="1505" t="s">
        <v>704</v>
      </c>
      <c r="H128" s="1506"/>
    </row>
    <row r="129" spans="1:8">
      <c r="A129" s="1504" t="s">
        <v>705</v>
      </c>
      <c r="B129" s="1504" t="s">
        <v>523</v>
      </c>
      <c r="C129" s="1504" t="s">
        <v>14</v>
      </c>
      <c r="D129" s="1504" t="s">
        <v>523</v>
      </c>
      <c r="E129" s="1504" t="s">
        <v>706</v>
      </c>
      <c r="F129" s="1504" t="s">
        <v>707</v>
      </c>
      <c r="G129" s="1504" t="s">
        <v>523</v>
      </c>
      <c r="H129" s="1504" t="s">
        <v>708</v>
      </c>
    </row>
    <row r="130" spans="1:8">
      <c r="A130" s="1504" t="s">
        <v>709</v>
      </c>
      <c r="B130" s="1504">
        <v>1173</v>
      </c>
      <c r="C130" s="1508">
        <v>0.37</v>
      </c>
      <c r="D130" s="1504">
        <v>318</v>
      </c>
      <c r="E130" s="1508">
        <v>0.41</v>
      </c>
      <c r="F130" s="1508">
        <v>0.27</v>
      </c>
      <c r="G130" s="1504">
        <v>571</v>
      </c>
      <c r="H130" s="1508">
        <v>0.39</v>
      </c>
    </row>
    <row r="131" spans="1:8">
      <c r="A131" s="1504" t="s">
        <v>710</v>
      </c>
      <c r="B131" s="1504">
        <v>1390</v>
      </c>
      <c r="C131" s="1508">
        <v>0.44</v>
      </c>
      <c r="D131" s="1504">
        <v>359</v>
      </c>
      <c r="E131" s="1508">
        <v>0.47</v>
      </c>
      <c r="F131" s="1508">
        <v>0.26</v>
      </c>
      <c r="G131" s="1504">
        <v>653</v>
      </c>
      <c r="H131" s="1508">
        <v>0.45</v>
      </c>
    </row>
    <row r="132" spans="1:8">
      <c r="A132" s="1504" t="s">
        <v>711</v>
      </c>
      <c r="B132" s="1504">
        <v>53</v>
      </c>
      <c r="C132" s="1508">
        <v>0.02</v>
      </c>
      <c r="D132" s="1504">
        <v>5</v>
      </c>
      <c r="E132" s="1508">
        <v>0.01</v>
      </c>
      <c r="F132" s="1508">
        <v>0.09</v>
      </c>
      <c r="G132" s="1504">
        <v>8</v>
      </c>
      <c r="H132" s="1508">
        <v>0.01</v>
      </c>
    </row>
    <row r="133" spans="1:8">
      <c r="A133" s="1504" t="s">
        <v>712</v>
      </c>
      <c r="B133" s="1504">
        <v>564</v>
      </c>
      <c r="C133" s="1508">
        <v>0.18</v>
      </c>
      <c r="D133" s="1504">
        <v>90</v>
      </c>
      <c r="E133" s="1508">
        <v>0.12</v>
      </c>
      <c r="F133" s="1508">
        <v>0.16</v>
      </c>
      <c r="G133" s="1504">
        <v>219</v>
      </c>
      <c r="H133" s="1508">
        <v>0.15</v>
      </c>
    </row>
    <row r="134" spans="1:8">
      <c r="A134" s="1504" t="s">
        <v>566</v>
      </c>
      <c r="B134" s="1509">
        <v>3180</v>
      </c>
      <c r="C134" s="1504"/>
      <c r="D134" s="1504">
        <v>772</v>
      </c>
      <c r="E134" s="1504"/>
      <c r="F134" s="1504"/>
      <c r="G134" s="1504">
        <v>1451</v>
      </c>
      <c r="H134" s="1504"/>
    </row>
    <row r="135" spans="1:8">
      <c r="A135" s="1510"/>
      <c r="B135" s="1510"/>
      <c r="C135" s="1510"/>
      <c r="D135" s="1510"/>
      <c r="E135" s="1510"/>
      <c r="F135" s="1510"/>
      <c r="G135" s="1510"/>
      <c r="H135" s="1510"/>
    </row>
    <row r="136" spans="1:8">
      <c r="A136" s="1501" t="s">
        <v>905</v>
      </c>
      <c r="B136" s="1501"/>
      <c r="C136" s="1501"/>
      <c r="D136" s="1501"/>
      <c r="E136" s="1501"/>
      <c r="F136" s="1501"/>
      <c r="G136" s="1501"/>
      <c r="H136" s="1501"/>
    </row>
    <row r="137" spans="1:8">
      <c r="A137" s="1498" t="s">
        <v>906</v>
      </c>
      <c r="B137" s="1498"/>
      <c r="C137" s="1498"/>
      <c r="D137" s="1498"/>
      <c r="E137" s="1498"/>
      <c r="F137" s="1498"/>
      <c r="G137" s="1498"/>
      <c r="H137" s="1498"/>
    </row>
    <row r="138" spans="1:8">
      <c r="A138" s="1498" t="s">
        <v>907</v>
      </c>
      <c r="B138" s="1498"/>
      <c r="C138" s="1498"/>
      <c r="D138" s="1498"/>
      <c r="E138" s="1498"/>
      <c r="F138" s="1498"/>
      <c r="G138" s="1498"/>
      <c r="H138" s="1498"/>
    </row>
    <row r="139" spans="1:8">
      <c r="A139" s="1498" t="s">
        <v>908</v>
      </c>
      <c r="B139" s="1498"/>
      <c r="C139" s="1498"/>
      <c r="D139" s="1498"/>
      <c r="E139" s="1498"/>
      <c r="F139" s="1498"/>
      <c r="G139" s="1498"/>
      <c r="H139" s="1498"/>
    </row>
    <row r="140" spans="1:8">
      <c r="A140" s="1497"/>
      <c r="B140" s="1497"/>
      <c r="C140" s="1497"/>
      <c r="D140" s="1497"/>
      <c r="E140" s="1497"/>
      <c r="F140" s="1497"/>
      <c r="G140" s="1497"/>
      <c r="H140" s="1497"/>
    </row>
    <row r="141" spans="1:8" ht="15.75">
      <c r="A141" s="1499" t="s">
        <v>713</v>
      </c>
      <c r="B141" s="1497"/>
      <c r="C141" s="1497"/>
      <c r="D141" s="1497"/>
      <c r="E141" s="1497"/>
      <c r="F141" s="1497"/>
      <c r="G141" s="1497"/>
      <c r="H141" s="1497"/>
    </row>
    <row r="142" spans="1:8">
      <c r="A142" s="1497"/>
      <c r="B142" s="1497"/>
      <c r="C142" s="1497"/>
      <c r="D142" s="1497"/>
      <c r="E142" s="1497"/>
      <c r="F142" s="1497"/>
      <c r="G142" s="1497"/>
      <c r="H142" s="1497"/>
    </row>
    <row r="143" spans="1:8">
      <c r="A143" s="1498" t="s">
        <v>903</v>
      </c>
      <c r="B143" s="1497"/>
      <c r="C143" s="1497"/>
      <c r="D143" s="1497"/>
      <c r="E143" s="1497"/>
      <c r="F143" s="1497"/>
      <c r="G143" s="1497"/>
      <c r="H143" s="1497"/>
    </row>
    <row r="144" spans="1:8">
      <c r="A144" s="1498" t="s">
        <v>904</v>
      </c>
      <c r="B144" s="1497"/>
      <c r="C144" s="1497"/>
      <c r="D144" s="1497"/>
      <c r="E144" s="1497"/>
      <c r="F144" s="1497"/>
      <c r="G144" s="1497"/>
      <c r="H144" s="1497"/>
    </row>
    <row r="145" spans="1:8">
      <c r="A145" s="1497"/>
      <c r="B145" s="1497"/>
      <c r="C145" s="1497"/>
      <c r="D145" s="1497"/>
      <c r="E145" s="1497"/>
      <c r="F145" s="1497"/>
      <c r="G145" s="1497"/>
      <c r="H145" s="1497"/>
    </row>
    <row r="146" spans="1:8">
      <c r="A146" s="1498" t="s">
        <v>900</v>
      </c>
      <c r="B146" s="1497"/>
      <c r="C146" s="1497"/>
      <c r="D146" s="1497"/>
      <c r="E146" s="1497"/>
      <c r="F146" s="1497"/>
      <c r="G146" s="1497"/>
      <c r="H146" s="1497"/>
    </row>
    <row r="147" spans="1:8">
      <c r="A147" s="1498" t="s">
        <v>901</v>
      </c>
      <c r="B147" s="1497"/>
      <c r="C147" s="1497"/>
      <c r="D147" s="1497"/>
      <c r="E147" s="1497"/>
      <c r="F147" s="1497"/>
      <c r="G147" s="1497"/>
      <c r="H147" s="1497"/>
    </row>
    <row r="148" spans="1:8">
      <c r="A148" s="1498" t="s">
        <v>902</v>
      </c>
      <c r="B148" s="1497"/>
      <c r="C148" s="1497"/>
      <c r="D148" s="1497"/>
      <c r="E148" s="1497"/>
      <c r="F148" s="1497"/>
      <c r="G148" s="1497"/>
      <c r="H148" s="1497"/>
    </row>
    <row r="149" spans="1:8">
      <c r="A149" s="1497"/>
      <c r="B149" s="1497"/>
      <c r="C149" s="1497"/>
      <c r="D149" s="1497"/>
      <c r="E149" s="1497"/>
      <c r="F149" s="1497"/>
      <c r="G149" s="1497"/>
      <c r="H149" s="1497"/>
    </row>
    <row r="150" spans="1:8">
      <c r="A150" s="1498" t="s">
        <v>897</v>
      </c>
      <c r="B150" s="1497"/>
      <c r="C150" s="1497"/>
      <c r="D150" s="1497"/>
      <c r="E150" s="1497"/>
      <c r="F150" s="1497"/>
      <c r="G150" s="1497"/>
      <c r="H150" s="1497"/>
    </row>
    <row r="151" spans="1:8">
      <c r="A151" s="1498" t="s">
        <v>898</v>
      </c>
      <c r="B151" s="1497"/>
      <c r="C151" s="1497"/>
      <c r="D151" s="1497"/>
      <c r="E151" s="1497"/>
      <c r="F151" s="1497"/>
      <c r="G151" s="1497"/>
      <c r="H151" s="1497"/>
    </row>
    <row r="152" spans="1:8">
      <c r="A152" s="1498" t="s">
        <v>899</v>
      </c>
      <c r="B152" s="1497"/>
      <c r="C152" s="1497"/>
      <c r="D152" s="1497"/>
      <c r="E152" s="1497"/>
      <c r="F152" s="1497"/>
      <c r="G152" s="1497"/>
      <c r="H152" s="1497"/>
    </row>
    <row r="153" spans="1:8">
      <c r="A153" s="1497"/>
      <c r="B153" s="1497"/>
      <c r="C153" s="1497"/>
      <c r="D153" s="1497"/>
      <c r="E153" s="1497"/>
      <c r="F153" s="1497"/>
      <c r="G153" s="1497"/>
      <c r="H153" s="1497"/>
    </row>
    <row r="154" spans="1:8">
      <c r="A154" s="1498" t="s">
        <v>894</v>
      </c>
      <c r="B154" s="1497"/>
      <c r="C154" s="1497"/>
      <c r="D154" s="1497"/>
      <c r="E154" s="1497"/>
      <c r="F154" s="1497"/>
      <c r="G154" s="1497"/>
      <c r="H154" s="1497"/>
    </row>
    <row r="155" spans="1:8">
      <c r="A155" s="1498" t="s">
        <v>895</v>
      </c>
      <c r="B155" s="1497"/>
      <c r="C155" s="1497"/>
      <c r="D155" s="1497"/>
      <c r="E155" s="1497"/>
      <c r="F155" s="1497"/>
      <c r="G155" s="1497"/>
      <c r="H155" s="1497"/>
    </row>
    <row r="156" spans="1:8">
      <c r="A156" s="1498" t="s">
        <v>896</v>
      </c>
      <c r="B156" s="1497"/>
      <c r="C156" s="1497"/>
      <c r="D156" s="1497"/>
      <c r="E156" s="1497"/>
      <c r="F156" s="1497"/>
      <c r="G156" s="1497"/>
      <c r="H156" s="1497"/>
    </row>
    <row r="157" spans="1:8">
      <c r="A157" s="1497"/>
      <c r="B157" s="1497"/>
      <c r="C157" s="1497"/>
      <c r="D157" s="1497"/>
      <c r="E157" s="1497"/>
      <c r="F157" s="1497"/>
      <c r="G157" s="1497"/>
      <c r="H157" s="1497"/>
    </row>
    <row r="158" spans="1:8">
      <c r="A158" s="1498" t="s">
        <v>892</v>
      </c>
      <c r="B158" s="1497"/>
      <c r="C158" s="1497"/>
      <c r="D158" s="1497"/>
      <c r="E158" s="1497"/>
      <c r="F158" s="1497"/>
      <c r="G158" s="1497"/>
      <c r="H158" s="1497"/>
    </row>
    <row r="159" spans="1:8">
      <c r="A159" s="1498" t="s">
        <v>893</v>
      </c>
      <c r="B159" s="1497"/>
      <c r="C159" s="1497"/>
      <c r="D159" s="1497"/>
      <c r="E159" s="1497"/>
      <c r="F159" s="1497"/>
      <c r="G159" s="1497"/>
      <c r="H159" s="1497"/>
    </row>
    <row r="160" spans="1:8">
      <c r="A160" s="1497"/>
      <c r="B160" s="1497"/>
      <c r="C160" s="1497"/>
      <c r="D160" s="1497"/>
      <c r="E160" s="1497"/>
      <c r="F160" s="1497"/>
      <c r="G160" s="1497"/>
      <c r="H160" s="1497"/>
    </row>
    <row r="161" spans="1:8" ht="15.75">
      <c r="A161" s="1499" t="s">
        <v>714</v>
      </c>
      <c r="B161" s="1497"/>
      <c r="C161" s="1497"/>
      <c r="D161" s="1497"/>
      <c r="E161" s="1497"/>
      <c r="F161" s="1497"/>
      <c r="G161" s="1497"/>
      <c r="H161" s="1497"/>
    </row>
    <row r="162" spans="1:8">
      <c r="A162" s="1497"/>
      <c r="B162" s="1497"/>
      <c r="C162" s="1497"/>
      <c r="D162" s="1497"/>
      <c r="E162" s="1497"/>
      <c r="F162" s="1497"/>
      <c r="G162" s="1497"/>
      <c r="H162" s="1497"/>
    </row>
    <row r="163" spans="1:8">
      <c r="A163" s="1498" t="s">
        <v>890</v>
      </c>
      <c r="B163" s="1497"/>
      <c r="C163" s="1497"/>
      <c r="D163" s="1497"/>
      <c r="E163" s="1497"/>
      <c r="F163" s="1497"/>
      <c r="G163" s="1497"/>
      <c r="H163" s="1497"/>
    </row>
    <row r="164" spans="1:8">
      <c r="A164" s="1498" t="s">
        <v>891</v>
      </c>
      <c r="B164" s="1497"/>
      <c r="C164" s="1497"/>
      <c r="D164" s="1497"/>
      <c r="E164" s="1497"/>
      <c r="F164" s="1497"/>
      <c r="G164" s="1497"/>
      <c r="H164" s="1497"/>
    </row>
    <row r="165" spans="1:8">
      <c r="A165" s="1497"/>
      <c r="B165" s="1497"/>
      <c r="C165" s="1497"/>
      <c r="D165" s="1497"/>
      <c r="E165" s="1497"/>
      <c r="F165" s="1497"/>
      <c r="G165" s="1497"/>
      <c r="H165" s="1497"/>
    </row>
    <row r="166" spans="1:8">
      <c r="A166" s="1498" t="s">
        <v>888</v>
      </c>
      <c r="B166" s="1497"/>
      <c r="C166" s="1497"/>
      <c r="D166" s="1497"/>
      <c r="E166" s="1497"/>
      <c r="F166" s="1497"/>
      <c r="G166" s="1497"/>
      <c r="H166" s="1497"/>
    </row>
    <row r="167" spans="1:8">
      <c r="A167" s="1498" t="s">
        <v>889</v>
      </c>
      <c r="B167" s="1497"/>
      <c r="C167" s="1497"/>
      <c r="D167" s="1497"/>
      <c r="E167" s="1497"/>
      <c r="F167" s="1497"/>
      <c r="G167" s="1497"/>
      <c r="H167" s="1497"/>
    </row>
    <row r="168" spans="1:8">
      <c r="A168" s="1497"/>
      <c r="B168" s="1497"/>
      <c r="C168" s="1497"/>
      <c r="D168" s="1497"/>
      <c r="E168" s="1497"/>
      <c r="F168" s="1497"/>
      <c r="G168" s="1497"/>
      <c r="H168" s="1497"/>
    </row>
    <row r="169" spans="1:8">
      <c r="A169" s="1498" t="s">
        <v>886</v>
      </c>
      <c r="B169" s="1497"/>
      <c r="C169" s="1497"/>
      <c r="D169" s="1497"/>
      <c r="E169" s="1497"/>
      <c r="F169" s="1497"/>
      <c r="G169" s="1497"/>
      <c r="H169" s="1497"/>
    </row>
    <row r="170" spans="1:8">
      <c r="A170" s="1498" t="s">
        <v>887</v>
      </c>
      <c r="B170" s="1497"/>
      <c r="C170" s="1497"/>
      <c r="D170" s="1497"/>
      <c r="E170" s="1497"/>
      <c r="F170" s="1497"/>
      <c r="G170" s="1497"/>
      <c r="H170" s="1497"/>
    </row>
    <row r="171" spans="1:8">
      <c r="A171" s="1497"/>
      <c r="B171" s="1497"/>
      <c r="C171" s="1497"/>
      <c r="D171" s="1497"/>
      <c r="E171" s="1497"/>
      <c r="F171" s="1497"/>
      <c r="G171" s="1497"/>
      <c r="H171" s="1497"/>
    </row>
    <row r="172" spans="1:8">
      <c r="A172" s="1498" t="s">
        <v>883</v>
      </c>
      <c r="B172" s="1497"/>
      <c r="C172" s="1497"/>
      <c r="D172" s="1497"/>
      <c r="E172" s="1497"/>
      <c r="F172" s="1497"/>
      <c r="G172" s="1497"/>
      <c r="H172" s="1497"/>
    </row>
    <row r="173" spans="1:8">
      <c r="A173" s="1498" t="s">
        <v>884</v>
      </c>
      <c r="B173" s="1497"/>
      <c r="C173" s="1497"/>
      <c r="D173" s="1497"/>
      <c r="E173" s="1497"/>
      <c r="F173" s="1497"/>
      <c r="G173" s="1497"/>
      <c r="H173" s="1497"/>
    </row>
    <row r="174" spans="1:8">
      <c r="A174" s="1498" t="s">
        <v>885</v>
      </c>
      <c r="B174" s="1497"/>
      <c r="C174" s="1497"/>
      <c r="D174" s="1497"/>
      <c r="E174" s="1497"/>
      <c r="F174" s="1497"/>
      <c r="G174" s="1497"/>
      <c r="H174" s="1497"/>
    </row>
    <row r="175" spans="1:8">
      <c r="A175" s="1497"/>
      <c r="B175" s="1497"/>
      <c r="C175" s="1497"/>
      <c r="D175" s="1497"/>
      <c r="E175" s="1497"/>
      <c r="F175" s="1497"/>
      <c r="G175" s="1497"/>
      <c r="H175" s="1497"/>
    </row>
    <row r="176" spans="1:8">
      <c r="A176" s="1497"/>
      <c r="B176" s="1497"/>
      <c r="C176" s="1497"/>
      <c r="D176" s="1497"/>
      <c r="E176" s="1497"/>
      <c r="F176" s="1497"/>
      <c r="G176" s="1497"/>
      <c r="H176" s="1497"/>
    </row>
    <row r="177" spans="1:8">
      <c r="A177" s="1498" t="s">
        <v>715</v>
      </c>
      <c r="B177" s="1497"/>
      <c r="C177" s="1497"/>
      <c r="D177" s="1497"/>
      <c r="E177" s="1497"/>
      <c r="F177" s="1497"/>
      <c r="G177" s="1497"/>
      <c r="H177" s="1497"/>
    </row>
    <row r="178" spans="1:8">
      <c r="A178" s="1497"/>
      <c r="B178" s="1497"/>
      <c r="C178" s="1497"/>
      <c r="D178" s="1497"/>
      <c r="E178" s="1497"/>
      <c r="F178" s="1497"/>
      <c r="G178" s="1497"/>
      <c r="H178" s="1497"/>
    </row>
    <row r="179" spans="1:8" ht="15.75">
      <c r="A179" s="1499" t="s">
        <v>716</v>
      </c>
      <c r="B179" s="1497"/>
      <c r="C179" s="1497"/>
      <c r="D179" s="1497"/>
      <c r="E179" s="1497"/>
      <c r="F179" s="1497"/>
      <c r="G179" s="1497"/>
      <c r="H179" s="1497"/>
    </row>
    <row r="180" spans="1:8">
      <c r="A180" s="1497"/>
      <c r="B180" s="1497"/>
      <c r="C180" s="1497"/>
      <c r="D180" s="1497"/>
      <c r="E180" s="1497"/>
      <c r="F180" s="1497"/>
      <c r="G180" s="1497"/>
      <c r="H180" s="1497"/>
    </row>
    <row r="181" spans="1:8">
      <c r="A181" s="1497"/>
      <c r="B181" s="1497"/>
      <c r="C181" s="1497"/>
      <c r="D181" s="1497"/>
      <c r="E181" s="1497"/>
      <c r="F181" s="1497"/>
      <c r="G181" s="1497"/>
      <c r="H181" s="1497"/>
    </row>
    <row r="182" spans="1:8">
      <c r="A182" s="1497"/>
      <c r="B182" s="1497"/>
      <c r="C182" s="1497"/>
      <c r="D182" s="1497"/>
      <c r="E182" s="1497"/>
      <c r="F182" s="1497"/>
      <c r="G182" s="1497"/>
      <c r="H182" s="1497"/>
    </row>
    <row r="183" spans="1:8">
      <c r="A183" s="1497"/>
      <c r="B183" s="1497"/>
      <c r="C183" s="1497"/>
      <c r="D183" s="1497"/>
      <c r="E183" s="1497"/>
      <c r="F183" s="1497"/>
      <c r="G183" s="1497"/>
      <c r="H183" s="1497"/>
    </row>
    <row r="184" spans="1:8">
      <c r="A184" s="1497"/>
      <c r="B184" s="1497"/>
      <c r="C184" s="1497"/>
      <c r="D184" s="1497"/>
      <c r="E184" s="1497"/>
      <c r="F184" s="1497"/>
      <c r="G184" s="1497"/>
      <c r="H184" s="1497"/>
    </row>
    <row r="185" spans="1:8">
      <c r="A185" s="1497"/>
      <c r="B185" s="1497"/>
      <c r="C185" s="1497"/>
      <c r="D185" s="1497"/>
      <c r="E185" s="1497"/>
      <c r="F185" s="1497"/>
      <c r="G185" s="1497"/>
      <c r="H185" s="1497"/>
    </row>
    <row r="186" spans="1:8">
      <c r="A186" s="1497"/>
      <c r="B186" s="1497"/>
      <c r="C186" s="1497"/>
      <c r="D186" s="1497"/>
      <c r="E186" s="1497"/>
      <c r="F186" s="1497"/>
      <c r="G186" s="1497"/>
      <c r="H186" s="1497"/>
    </row>
    <row r="187" spans="1:8">
      <c r="A187" s="1497"/>
      <c r="B187" s="1497"/>
      <c r="C187" s="1497"/>
      <c r="D187" s="1497"/>
      <c r="E187" s="1497"/>
      <c r="F187" s="1497"/>
      <c r="G187" s="1497"/>
      <c r="H187" s="1497"/>
    </row>
    <row r="188" spans="1:8">
      <c r="A188" s="1497"/>
      <c r="B188" s="1497"/>
      <c r="C188" s="1497"/>
      <c r="D188" s="1497"/>
      <c r="E188" s="1497"/>
      <c r="F188" s="1497"/>
      <c r="G188" s="1497"/>
      <c r="H188" s="1497"/>
    </row>
    <row r="189" spans="1:8">
      <c r="A189" s="1497"/>
      <c r="B189" s="1497"/>
      <c r="C189" s="1497"/>
      <c r="D189" s="1497"/>
      <c r="E189" s="1497"/>
      <c r="F189" s="1497"/>
      <c r="G189" s="1497"/>
      <c r="H189" s="1497"/>
    </row>
    <row r="190" spans="1:8">
      <c r="A190" s="1497"/>
      <c r="B190" s="1497"/>
      <c r="C190" s="1497"/>
      <c r="D190" s="1497"/>
      <c r="E190" s="1497"/>
      <c r="F190" s="1497"/>
      <c r="G190" s="1497"/>
      <c r="H190" s="1497"/>
    </row>
    <row r="191" spans="1:8">
      <c r="A191" s="1497"/>
      <c r="B191" s="1497"/>
      <c r="C191" s="1497"/>
      <c r="D191" s="1497"/>
      <c r="E191" s="1497"/>
      <c r="F191" s="1497"/>
      <c r="G191" s="1497"/>
      <c r="H191" s="1497"/>
    </row>
    <row r="192" spans="1:8">
      <c r="A192" s="1497"/>
      <c r="B192" s="1497"/>
      <c r="C192" s="1497"/>
      <c r="D192" s="1497"/>
      <c r="E192" s="1497"/>
      <c r="F192" s="1497"/>
      <c r="G192" s="1497"/>
      <c r="H192" s="1497"/>
    </row>
    <row r="193" spans="1:8">
      <c r="A193" s="1497"/>
      <c r="B193" s="1497"/>
      <c r="C193" s="1497"/>
      <c r="D193" s="1497"/>
      <c r="E193" s="1497"/>
      <c r="F193" s="1497"/>
      <c r="G193" s="1497"/>
      <c r="H193" s="1497"/>
    </row>
    <row r="194" spans="1:8">
      <c r="A194" s="1497"/>
      <c r="B194" s="1497"/>
      <c r="C194" s="1497"/>
      <c r="D194" s="1497"/>
      <c r="E194" s="1497"/>
      <c r="F194" s="1497"/>
      <c r="G194" s="1497"/>
      <c r="H194" s="1497"/>
    </row>
    <row r="195" spans="1:8">
      <c r="A195" s="1497"/>
      <c r="B195" s="1497"/>
      <c r="C195" s="1497"/>
      <c r="D195" s="1497"/>
      <c r="E195" s="1497"/>
      <c r="F195" s="1497"/>
      <c r="G195" s="1497"/>
      <c r="H195" s="1497"/>
    </row>
    <row r="196" spans="1:8">
      <c r="A196" s="1497"/>
      <c r="B196" s="1497"/>
      <c r="C196" s="1497"/>
      <c r="D196" s="1497"/>
      <c r="E196" s="1497"/>
      <c r="F196" s="1497"/>
      <c r="G196" s="1497"/>
      <c r="H196" s="1497"/>
    </row>
    <row r="197" spans="1:8">
      <c r="A197" s="1497"/>
      <c r="B197" s="1497"/>
      <c r="C197" s="1497"/>
      <c r="D197" s="1497"/>
      <c r="E197" s="1497"/>
      <c r="F197" s="1497"/>
      <c r="G197" s="1497"/>
      <c r="H197" s="1497"/>
    </row>
    <row r="198" spans="1:8">
      <c r="A198" s="1497"/>
      <c r="B198" s="1497"/>
      <c r="C198" s="1497"/>
      <c r="D198" s="1497"/>
      <c r="E198" s="1497"/>
      <c r="F198" s="1497"/>
      <c r="G198" s="1497"/>
      <c r="H198" s="1497"/>
    </row>
    <row r="199" spans="1:8">
      <c r="A199" s="1497"/>
      <c r="B199" s="1497"/>
      <c r="C199" s="1497"/>
      <c r="D199" s="1497"/>
      <c r="E199" s="1497"/>
      <c r="F199" s="1497"/>
      <c r="G199" s="1497"/>
      <c r="H199" s="1497"/>
    </row>
    <row r="200" spans="1:8">
      <c r="A200" s="1497"/>
      <c r="B200" s="1497"/>
      <c r="C200" s="1497"/>
      <c r="D200" s="1497"/>
      <c r="E200" s="1497"/>
      <c r="F200" s="1497"/>
      <c r="G200" s="1497"/>
      <c r="H200" s="1497"/>
    </row>
    <row r="201" spans="1:8">
      <c r="A201" s="1497"/>
      <c r="B201" s="1497"/>
      <c r="C201" s="1497"/>
      <c r="D201" s="1497"/>
      <c r="E201" s="1497"/>
      <c r="F201" s="1497"/>
      <c r="G201" s="1497"/>
      <c r="H201" s="1497"/>
    </row>
    <row r="202" spans="1:8">
      <c r="A202" s="1497"/>
      <c r="B202" s="1497"/>
      <c r="C202" s="1497"/>
      <c r="D202" s="1497"/>
      <c r="E202" s="1497"/>
      <c r="F202" s="1497"/>
      <c r="G202" s="1497"/>
      <c r="H202" s="1497"/>
    </row>
    <row r="203" spans="1:8">
      <c r="A203" s="1497"/>
      <c r="B203" s="1497"/>
      <c r="C203" s="1497"/>
      <c r="D203" s="1497"/>
      <c r="E203" s="1497"/>
      <c r="F203" s="1497"/>
      <c r="G203" s="1497"/>
      <c r="H203" s="1497"/>
    </row>
    <row r="204" spans="1:8">
      <c r="A204" s="1497"/>
      <c r="B204" s="1497"/>
      <c r="C204" s="1497"/>
      <c r="D204" s="1497"/>
      <c r="E204" s="1497"/>
      <c r="F204" s="1497"/>
      <c r="G204" s="1497"/>
      <c r="H204" s="1497"/>
    </row>
    <row r="205" spans="1:8">
      <c r="A205" s="1497"/>
      <c r="B205" s="1497"/>
      <c r="C205" s="1497"/>
      <c r="D205" s="1497"/>
      <c r="E205" s="1497"/>
      <c r="F205" s="1497"/>
      <c r="G205" s="1497"/>
      <c r="H205" s="1497"/>
    </row>
    <row r="206" spans="1:8" ht="15.75">
      <c r="A206" s="1499" t="s">
        <v>717</v>
      </c>
      <c r="B206" s="1497"/>
      <c r="C206" s="1497"/>
      <c r="D206" s="1497"/>
      <c r="E206" s="1497"/>
      <c r="F206" s="1497"/>
      <c r="G206" s="1497"/>
      <c r="H206" s="1497"/>
    </row>
    <row r="207" spans="1:8">
      <c r="A207" s="1497"/>
      <c r="B207" s="1497"/>
      <c r="C207" s="1497"/>
      <c r="D207" s="1497"/>
      <c r="E207" s="1497"/>
      <c r="F207" s="1497"/>
      <c r="G207" s="1497"/>
      <c r="H207" s="1497"/>
    </row>
    <row r="208" spans="1:8">
      <c r="A208" s="1498" t="s">
        <v>878</v>
      </c>
      <c r="B208" s="1497"/>
      <c r="C208" s="1497"/>
      <c r="D208" s="1497"/>
      <c r="E208" s="1497"/>
      <c r="F208" s="1497"/>
      <c r="G208" s="1497"/>
      <c r="H208" s="1497"/>
    </row>
    <row r="209" spans="1:8">
      <c r="A209" s="1498" t="s">
        <v>879</v>
      </c>
      <c r="B209" s="1497"/>
      <c r="C209" s="1497"/>
      <c r="D209" s="1497"/>
      <c r="E209" s="1497"/>
      <c r="F209" s="1497"/>
      <c r="G209" s="1497"/>
      <c r="H209" s="1497"/>
    </row>
    <row r="210" spans="1:8">
      <c r="A210" s="1498" t="s">
        <v>880</v>
      </c>
      <c r="B210" s="1497"/>
      <c r="C210" s="1497"/>
      <c r="D210" s="1497"/>
      <c r="E210" s="1497"/>
      <c r="F210" s="1497"/>
      <c r="G210" s="1497"/>
      <c r="H210" s="1497"/>
    </row>
    <row r="211" spans="1:8">
      <c r="A211" s="1498" t="s">
        <v>881</v>
      </c>
      <c r="B211" s="1497"/>
      <c r="C211" s="1497"/>
      <c r="D211" s="1497"/>
      <c r="E211" s="1497"/>
      <c r="F211" s="1497"/>
      <c r="G211" s="1497"/>
      <c r="H211" s="1497"/>
    </row>
    <row r="212" spans="1:8">
      <c r="A212" s="1498" t="s">
        <v>882</v>
      </c>
      <c r="B212" s="1497"/>
      <c r="C212" s="1497"/>
      <c r="D212" s="1497"/>
      <c r="E212" s="1497"/>
      <c r="F212" s="1497"/>
      <c r="G212" s="1497"/>
      <c r="H212" s="1497"/>
    </row>
    <row r="213" spans="1:8">
      <c r="A213" s="1497"/>
      <c r="B213" s="1497"/>
      <c r="C213" s="1497"/>
      <c r="D213" s="1497"/>
      <c r="E213" s="1497"/>
      <c r="F213" s="1497"/>
      <c r="G213" s="1497"/>
      <c r="H213" s="1497"/>
    </row>
    <row r="214" spans="1:8">
      <c r="A214" s="1498" t="s">
        <v>875</v>
      </c>
      <c r="B214" s="1497"/>
      <c r="C214" s="1497"/>
      <c r="D214" s="1497"/>
      <c r="E214" s="1497"/>
      <c r="F214" s="1497"/>
      <c r="G214" s="1497"/>
      <c r="H214" s="1497"/>
    </row>
    <row r="215" spans="1:8">
      <c r="A215" s="1498" t="s">
        <v>876</v>
      </c>
      <c r="B215" s="1497"/>
      <c r="C215" s="1497"/>
      <c r="D215" s="1497"/>
      <c r="E215" s="1497"/>
      <c r="F215" s="1497"/>
      <c r="G215" s="1497"/>
      <c r="H215" s="1497"/>
    </row>
    <row r="216" spans="1:8">
      <c r="A216" s="1498" t="s">
        <v>877</v>
      </c>
      <c r="B216" s="1497"/>
      <c r="C216" s="1497"/>
      <c r="D216" s="1497"/>
      <c r="E216" s="1497"/>
      <c r="F216" s="1497"/>
      <c r="G216" s="1497"/>
      <c r="H216" s="1497"/>
    </row>
    <row r="217" spans="1:8" ht="15.75">
      <c r="A217" s="1499" t="s">
        <v>718</v>
      </c>
      <c r="B217" s="1497"/>
      <c r="C217" s="1497"/>
      <c r="D217" s="1497"/>
      <c r="E217" s="1497"/>
      <c r="F217" s="1497"/>
      <c r="G217" s="1497"/>
      <c r="H217" s="1497"/>
    </row>
    <row r="218" spans="1:8">
      <c r="A218" s="1497"/>
      <c r="B218" s="1497"/>
      <c r="C218" s="1497"/>
      <c r="D218" s="1497"/>
      <c r="E218" s="1497"/>
      <c r="F218" s="1497"/>
      <c r="G218" s="1497"/>
      <c r="H218" s="1497"/>
    </row>
    <row r="219" spans="1:8">
      <c r="A219" s="1498" t="s">
        <v>873</v>
      </c>
      <c r="B219" s="1497"/>
      <c r="C219" s="1497"/>
      <c r="D219" s="1497"/>
      <c r="E219" s="1497"/>
      <c r="F219" s="1497"/>
      <c r="G219" s="1497"/>
      <c r="H219" s="1497"/>
    </row>
    <row r="220" spans="1:8">
      <c r="A220" s="1498" t="s">
        <v>874</v>
      </c>
      <c r="B220" s="1497"/>
      <c r="C220" s="1497"/>
      <c r="D220" s="1497"/>
      <c r="E220" s="1497"/>
      <c r="F220" s="1497"/>
      <c r="G220" s="1497"/>
      <c r="H220" s="1497"/>
    </row>
    <row r="221" spans="1:8">
      <c r="A221" s="1497"/>
      <c r="B221" s="1497"/>
      <c r="C221" s="1497"/>
      <c r="D221" s="1497"/>
      <c r="E221" s="1497"/>
      <c r="F221" s="1497"/>
      <c r="G221" s="1497"/>
      <c r="H221" s="1497"/>
    </row>
    <row r="222" spans="1:8">
      <c r="A222" s="1498" t="s">
        <v>866</v>
      </c>
      <c r="B222" s="1497"/>
      <c r="C222" s="1497"/>
      <c r="D222" s="1497"/>
      <c r="E222" s="1497"/>
      <c r="F222" s="1497"/>
      <c r="G222" s="1497"/>
      <c r="H222" s="1497"/>
    </row>
    <row r="223" spans="1:8">
      <c r="A223" s="1498" t="s">
        <v>867</v>
      </c>
      <c r="B223" s="1497"/>
      <c r="C223" s="1497"/>
      <c r="D223" s="1497"/>
      <c r="E223" s="1497"/>
      <c r="F223" s="1497"/>
      <c r="G223" s="1497"/>
      <c r="H223" s="1497"/>
    </row>
    <row r="224" spans="1:8">
      <c r="A224" s="1498" t="s">
        <v>868</v>
      </c>
      <c r="B224" s="1497"/>
      <c r="C224" s="1497"/>
      <c r="D224" s="1497"/>
      <c r="E224" s="1497"/>
      <c r="F224" s="1497"/>
      <c r="G224" s="1497"/>
      <c r="H224" s="1497"/>
    </row>
    <row r="225" spans="1:8">
      <c r="A225" s="1498" t="s">
        <v>869</v>
      </c>
      <c r="B225" s="1497"/>
      <c r="C225" s="1497"/>
      <c r="D225" s="1497"/>
      <c r="E225" s="1497"/>
      <c r="F225" s="1497"/>
      <c r="G225" s="1497"/>
      <c r="H225" s="1497"/>
    </row>
    <row r="226" spans="1:8">
      <c r="A226" s="1498" t="s">
        <v>870</v>
      </c>
      <c r="B226" s="1497"/>
      <c r="C226" s="1497"/>
      <c r="D226" s="1497"/>
      <c r="E226" s="1497"/>
      <c r="F226" s="1497"/>
      <c r="G226" s="1497"/>
      <c r="H226" s="1497"/>
    </row>
    <row r="227" spans="1:8">
      <c r="A227" s="1498" t="s">
        <v>871</v>
      </c>
      <c r="B227" s="1497"/>
      <c r="C227" s="1497"/>
      <c r="D227" s="1497"/>
      <c r="E227" s="1497"/>
      <c r="F227" s="1497"/>
      <c r="G227" s="1497"/>
      <c r="H227" s="1497"/>
    </row>
    <row r="228" spans="1:8">
      <c r="A228" s="1498" t="s">
        <v>872</v>
      </c>
      <c r="B228" s="1497"/>
      <c r="C228" s="1497"/>
      <c r="D228" s="1497"/>
      <c r="E228" s="1497"/>
      <c r="F228" s="1497"/>
      <c r="G228" s="1497"/>
      <c r="H228" s="1497"/>
    </row>
    <row r="229" spans="1:8">
      <c r="A229" s="1497"/>
      <c r="B229" s="1497"/>
      <c r="C229" s="1497"/>
      <c r="D229" s="1497"/>
      <c r="E229" s="1497"/>
      <c r="F229" s="1497"/>
      <c r="G229" s="1497"/>
      <c r="H229" s="1497"/>
    </row>
    <row r="230" spans="1:8">
      <c r="A230" s="1498" t="s">
        <v>863</v>
      </c>
      <c r="B230" s="1497"/>
      <c r="C230" s="1497"/>
      <c r="D230" s="1497"/>
      <c r="E230" s="1497"/>
      <c r="F230" s="1497"/>
      <c r="G230" s="1497"/>
      <c r="H230" s="1497"/>
    </row>
    <row r="231" spans="1:8">
      <c r="A231" s="1498" t="s">
        <v>864</v>
      </c>
      <c r="B231" s="1497"/>
      <c r="C231" s="1497"/>
      <c r="D231" s="1497"/>
      <c r="E231" s="1497"/>
      <c r="F231" s="1497"/>
      <c r="G231" s="1497"/>
      <c r="H231" s="1497"/>
    </row>
    <row r="232" spans="1:8">
      <c r="A232" s="1498" t="s">
        <v>865</v>
      </c>
      <c r="B232" s="1497"/>
      <c r="C232" s="1497"/>
      <c r="D232" s="1497"/>
      <c r="E232" s="1497"/>
      <c r="F232" s="1497"/>
      <c r="G232" s="1497"/>
      <c r="H232" s="1497"/>
    </row>
    <row r="233" spans="1:8">
      <c r="A233" s="1497"/>
      <c r="B233" s="1497"/>
      <c r="C233" s="1497"/>
      <c r="D233" s="1497"/>
      <c r="E233" s="1497"/>
      <c r="F233" s="1497"/>
      <c r="G233" s="1497"/>
      <c r="H233" s="1497"/>
    </row>
    <row r="234" spans="1:8">
      <c r="A234" s="1498" t="s">
        <v>858</v>
      </c>
      <c r="B234" s="1497"/>
      <c r="C234" s="1497"/>
      <c r="D234" s="1497"/>
      <c r="E234" s="1497"/>
      <c r="F234" s="1497"/>
      <c r="G234" s="1497"/>
      <c r="H234" s="1497"/>
    </row>
    <row r="235" spans="1:8">
      <c r="A235" s="1498" t="s">
        <v>859</v>
      </c>
      <c r="B235" s="1497"/>
      <c r="C235" s="1497"/>
      <c r="D235" s="1497"/>
      <c r="E235" s="1497"/>
      <c r="F235" s="1497"/>
      <c r="G235" s="1497"/>
      <c r="H235" s="1497"/>
    </row>
    <row r="236" spans="1:8">
      <c r="A236" s="1498" t="s">
        <v>860</v>
      </c>
      <c r="B236" s="1497"/>
      <c r="C236" s="1497"/>
      <c r="D236" s="1497"/>
      <c r="E236" s="1497"/>
      <c r="F236" s="1497"/>
      <c r="G236" s="1497"/>
      <c r="H236" s="1497"/>
    </row>
    <row r="237" spans="1:8">
      <c r="A237" s="1498" t="s">
        <v>861</v>
      </c>
      <c r="B237" s="1497"/>
      <c r="C237" s="1497"/>
      <c r="D237" s="1497"/>
      <c r="E237" s="1497"/>
      <c r="F237" s="1497"/>
      <c r="G237" s="1497"/>
      <c r="H237" s="1497"/>
    </row>
    <row r="238" spans="1:8">
      <c r="A238" s="1498" t="s">
        <v>862</v>
      </c>
      <c r="B238" s="1497"/>
      <c r="C238" s="1497"/>
      <c r="D238" s="1497"/>
      <c r="E238" s="1497"/>
      <c r="F238" s="1497"/>
      <c r="G238" s="1497"/>
      <c r="H238" s="1497"/>
    </row>
    <row r="239" spans="1:8">
      <c r="A239" s="1497"/>
      <c r="B239" s="1497"/>
      <c r="C239" s="1497"/>
      <c r="D239" s="1497"/>
      <c r="E239" s="1497"/>
      <c r="F239" s="1497"/>
      <c r="G239" s="1497"/>
      <c r="H239" s="1497"/>
    </row>
    <row r="240" spans="1:8">
      <c r="A240" s="1498" t="s">
        <v>852</v>
      </c>
      <c r="B240" s="1497"/>
      <c r="C240" s="1497"/>
      <c r="D240" s="1497"/>
      <c r="E240" s="1497"/>
      <c r="F240" s="1497"/>
      <c r="G240" s="1497"/>
      <c r="H240" s="1497"/>
    </row>
    <row r="241" spans="1:8">
      <c r="A241" s="1498" t="s">
        <v>853</v>
      </c>
      <c r="B241" s="1497"/>
      <c r="C241" s="1497"/>
      <c r="D241" s="1497"/>
      <c r="E241" s="1497"/>
      <c r="F241" s="1497"/>
      <c r="G241" s="1497"/>
      <c r="H241" s="1497"/>
    </row>
    <row r="242" spans="1:8">
      <c r="A242" s="1498" t="s">
        <v>854</v>
      </c>
      <c r="B242" s="1497"/>
      <c r="C242" s="1497"/>
      <c r="D242" s="1497"/>
      <c r="E242" s="1497"/>
      <c r="F242" s="1497"/>
      <c r="G242" s="1497"/>
      <c r="H242" s="1497"/>
    </row>
    <row r="243" spans="1:8">
      <c r="A243" s="1498" t="s">
        <v>855</v>
      </c>
      <c r="B243" s="1497"/>
      <c r="C243" s="1497"/>
      <c r="D243" s="1497"/>
      <c r="E243" s="1497"/>
      <c r="F243" s="1497"/>
      <c r="G243" s="1497"/>
      <c r="H243" s="1497"/>
    </row>
    <row r="244" spans="1:8">
      <c r="A244" s="1498" t="s">
        <v>856</v>
      </c>
      <c r="B244" s="1497"/>
      <c r="C244" s="1497"/>
      <c r="D244" s="1497"/>
      <c r="E244" s="1497"/>
      <c r="F244" s="1497"/>
      <c r="G244" s="1497"/>
      <c r="H244" s="1497"/>
    </row>
    <row r="245" spans="1:8">
      <c r="A245" s="1498" t="s">
        <v>857</v>
      </c>
      <c r="B245" s="1497"/>
      <c r="C245" s="1497"/>
      <c r="D245" s="1497"/>
      <c r="E245" s="1497"/>
      <c r="F245" s="1497"/>
      <c r="G245" s="1497"/>
      <c r="H245" s="1497"/>
    </row>
    <row r="246" spans="1:8">
      <c r="A246" s="1497"/>
      <c r="B246" s="1497"/>
      <c r="C246" s="1497"/>
      <c r="D246" s="1497"/>
      <c r="E246" s="1497"/>
      <c r="F246" s="1497"/>
      <c r="G246" s="1497"/>
      <c r="H246" s="1497"/>
    </row>
    <row r="247" spans="1:8">
      <c r="A247" s="1498" t="s">
        <v>842</v>
      </c>
      <c r="B247" s="1497"/>
      <c r="C247" s="1497"/>
      <c r="D247" s="1497"/>
      <c r="E247" s="1497"/>
      <c r="F247" s="1497"/>
      <c r="G247" s="1497"/>
      <c r="H247" s="1497"/>
    </row>
    <row r="248" spans="1:8">
      <c r="A248" s="1498" t="s">
        <v>843</v>
      </c>
      <c r="B248" s="1497"/>
      <c r="C248" s="1497"/>
      <c r="D248" s="1497"/>
      <c r="E248" s="1497"/>
      <c r="F248" s="1497"/>
      <c r="G248" s="1497"/>
      <c r="H248" s="1497"/>
    </row>
    <row r="249" spans="1:8">
      <c r="A249" s="1498" t="s">
        <v>844</v>
      </c>
      <c r="B249" s="1497"/>
      <c r="C249" s="1497"/>
      <c r="D249" s="1497"/>
      <c r="E249" s="1497"/>
      <c r="F249" s="1497"/>
      <c r="G249" s="1497"/>
      <c r="H249" s="1497"/>
    </row>
    <row r="250" spans="1:8">
      <c r="A250" s="1498" t="s">
        <v>845</v>
      </c>
      <c r="B250" s="1497"/>
      <c r="C250" s="1497"/>
      <c r="D250" s="1497"/>
      <c r="E250" s="1497"/>
      <c r="F250" s="1497"/>
      <c r="G250" s="1497"/>
      <c r="H250" s="1497"/>
    </row>
    <row r="251" spans="1:8">
      <c r="A251" s="1498" t="s">
        <v>846</v>
      </c>
      <c r="B251" s="1497"/>
      <c r="C251" s="1497"/>
      <c r="D251" s="1497"/>
      <c r="E251" s="1497"/>
      <c r="F251" s="1497"/>
      <c r="G251" s="1497"/>
      <c r="H251" s="1497"/>
    </row>
    <row r="252" spans="1:8">
      <c r="A252" s="1498" t="s">
        <v>847</v>
      </c>
      <c r="B252" s="1497"/>
      <c r="C252" s="1497"/>
      <c r="D252" s="1497"/>
      <c r="E252" s="1497"/>
      <c r="F252" s="1497"/>
      <c r="G252" s="1497"/>
      <c r="H252" s="1497"/>
    </row>
    <row r="253" spans="1:8">
      <c r="A253" s="1498" t="s">
        <v>848</v>
      </c>
      <c r="B253" s="1497"/>
      <c r="C253" s="1497"/>
      <c r="D253" s="1497"/>
      <c r="E253" s="1497"/>
      <c r="F253" s="1497"/>
      <c r="G253" s="1497"/>
      <c r="H253" s="1497"/>
    </row>
    <row r="254" spans="1:8">
      <c r="A254" s="1498" t="s">
        <v>849</v>
      </c>
      <c r="B254" s="1497"/>
      <c r="C254" s="1497"/>
      <c r="D254" s="1497"/>
      <c r="E254" s="1497"/>
      <c r="F254" s="1497"/>
      <c r="G254" s="1497"/>
      <c r="H254" s="1497"/>
    </row>
    <row r="255" spans="1:8">
      <c r="A255" s="1498" t="s">
        <v>850</v>
      </c>
      <c r="B255" s="1497"/>
      <c r="C255" s="1497"/>
      <c r="D255" s="1497"/>
      <c r="E255" s="1497"/>
      <c r="F255" s="1497"/>
      <c r="G255" s="1497"/>
      <c r="H255" s="1497"/>
    </row>
    <row r="256" spans="1:8">
      <c r="A256" s="1498" t="s">
        <v>851</v>
      </c>
      <c r="B256" s="1497"/>
      <c r="C256" s="1497"/>
      <c r="D256" s="1497"/>
      <c r="E256" s="1497"/>
      <c r="F256" s="1497"/>
      <c r="G256" s="1497"/>
      <c r="H256" s="1497"/>
    </row>
    <row r="257" spans="1:8">
      <c r="A257" s="1497"/>
      <c r="B257" s="1497"/>
      <c r="C257" s="1497"/>
      <c r="D257" s="1497"/>
      <c r="E257" s="1497"/>
      <c r="F257" s="1497"/>
      <c r="G257" s="1497"/>
      <c r="H257" s="1497"/>
    </row>
    <row r="258" spans="1:8">
      <c r="A258" s="1498" t="s">
        <v>840</v>
      </c>
      <c r="B258" s="1497"/>
      <c r="C258" s="1497"/>
      <c r="D258" s="1497"/>
      <c r="E258" s="1497"/>
      <c r="F258" s="1497"/>
      <c r="G258" s="1497"/>
      <c r="H258" s="1497"/>
    </row>
    <row r="259" spans="1:8">
      <c r="A259" s="1498" t="s">
        <v>841</v>
      </c>
      <c r="B259" s="1497"/>
      <c r="C259" s="1497"/>
      <c r="D259" s="1497"/>
      <c r="E259" s="1497"/>
      <c r="F259" s="1497"/>
      <c r="G259" s="1497"/>
      <c r="H259" s="1497"/>
    </row>
    <row r="260" spans="1:8">
      <c r="A260" s="1497"/>
      <c r="B260" s="1497"/>
      <c r="C260" s="1497"/>
      <c r="D260" s="1497"/>
      <c r="E260" s="1497"/>
      <c r="F260" s="1497"/>
      <c r="G260" s="1497"/>
      <c r="H260" s="1497"/>
    </row>
    <row r="261" spans="1:8">
      <c r="A261" s="1498" t="s">
        <v>824</v>
      </c>
      <c r="B261" s="1497"/>
      <c r="C261" s="1497"/>
      <c r="D261" s="1497"/>
      <c r="E261" s="1497"/>
      <c r="F261" s="1497"/>
      <c r="G261" s="1497"/>
      <c r="H261" s="1497"/>
    </row>
    <row r="262" spans="1:8">
      <c r="A262" s="1498" t="s">
        <v>825</v>
      </c>
      <c r="B262" s="1497"/>
      <c r="C262" s="1497"/>
      <c r="D262" s="1497"/>
      <c r="E262" s="1497"/>
      <c r="F262" s="1497"/>
      <c r="G262" s="1497"/>
      <c r="H262" s="1497"/>
    </row>
    <row r="263" spans="1:8">
      <c r="A263" s="1498" t="s">
        <v>826</v>
      </c>
      <c r="B263" s="1497"/>
      <c r="C263" s="1497"/>
      <c r="D263" s="1497"/>
      <c r="E263" s="1497"/>
      <c r="F263" s="1497"/>
      <c r="G263" s="1497"/>
      <c r="H263" s="1497"/>
    </row>
    <row r="264" spans="1:8">
      <c r="A264" s="1498" t="s">
        <v>827</v>
      </c>
      <c r="B264" s="1497"/>
      <c r="C264" s="1497"/>
      <c r="D264" s="1497"/>
      <c r="E264" s="1497"/>
      <c r="F264" s="1497"/>
      <c r="G264" s="1497"/>
      <c r="H264" s="1497"/>
    </row>
    <row r="265" spans="1:8">
      <c r="A265" s="1498" t="s">
        <v>828</v>
      </c>
      <c r="B265" s="1497"/>
      <c r="C265" s="1497"/>
      <c r="D265" s="1497"/>
      <c r="E265" s="1497"/>
      <c r="F265" s="1497"/>
      <c r="G265" s="1497"/>
      <c r="H265" s="1497"/>
    </row>
    <row r="266" spans="1:8">
      <c r="A266" s="1498" t="s">
        <v>829</v>
      </c>
      <c r="B266" s="1497"/>
      <c r="C266" s="1497"/>
      <c r="D266" s="1497"/>
      <c r="E266" s="1497"/>
      <c r="F266" s="1497"/>
      <c r="G266" s="1497"/>
      <c r="H266" s="1497"/>
    </row>
    <row r="267" spans="1:8">
      <c r="A267" s="1498" t="s">
        <v>830</v>
      </c>
      <c r="B267" s="1497"/>
      <c r="C267" s="1497"/>
      <c r="D267" s="1497"/>
      <c r="E267" s="1497"/>
      <c r="F267" s="1497"/>
      <c r="G267" s="1497"/>
      <c r="H267" s="1497"/>
    </row>
    <row r="268" spans="1:8">
      <c r="A268" s="1498" t="s">
        <v>831</v>
      </c>
      <c r="B268" s="1497"/>
      <c r="C268" s="1497"/>
      <c r="D268" s="1497"/>
      <c r="E268" s="1497"/>
      <c r="F268" s="1497"/>
      <c r="G268" s="1497"/>
      <c r="H268" s="1497"/>
    </row>
    <row r="269" spans="1:8">
      <c r="A269" s="1498" t="s">
        <v>832</v>
      </c>
      <c r="B269" s="1497"/>
      <c r="C269" s="1497"/>
      <c r="D269" s="1497"/>
      <c r="E269" s="1497"/>
      <c r="F269" s="1497"/>
      <c r="G269" s="1497"/>
      <c r="H269" s="1497"/>
    </row>
    <row r="270" spans="1:8">
      <c r="A270" s="1498" t="s">
        <v>833</v>
      </c>
      <c r="B270" s="1497"/>
      <c r="C270" s="1497"/>
      <c r="D270" s="1497"/>
      <c r="E270" s="1497"/>
      <c r="F270" s="1497"/>
      <c r="G270" s="1497"/>
      <c r="H270" s="1497"/>
    </row>
    <row r="271" spans="1:8">
      <c r="A271" s="1498" t="s">
        <v>834</v>
      </c>
      <c r="B271" s="1497"/>
      <c r="C271" s="1497"/>
      <c r="D271" s="1497"/>
      <c r="E271" s="1497"/>
      <c r="F271" s="1497"/>
      <c r="G271" s="1497"/>
      <c r="H271" s="1497"/>
    </row>
    <row r="272" spans="1:8">
      <c r="A272" s="1498" t="s">
        <v>835</v>
      </c>
      <c r="B272" s="1497"/>
      <c r="C272" s="1497"/>
      <c r="D272" s="1497"/>
      <c r="E272" s="1497"/>
      <c r="F272" s="1497"/>
      <c r="G272" s="1497"/>
      <c r="H272" s="1497"/>
    </row>
    <row r="273" spans="1:8">
      <c r="A273" s="1498" t="s">
        <v>836</v>
      </c>
      <c r="B273" s="1497"/>
      <c r="C273" s="1497"/>
      <c r="D273" s="1497"/>
      <c r="E273" s="1497"/>
      <c r="F273" s="1497"/>
      <c r="G273" s="1497"/>
      <c r="H273" s="1497"/>
    </row>
    <row r="274" spans="1:8">
      <c r="A274" s="1498" t="s">
        <v>837</v>
      </c>
      <c r="B274" s="1497"/>
      <c r="C274" s="1497"/>
      <c r="D274" s="1497"/>
      <c r="E274" s="1497"/>
      <c r="F274" s="1497"/>
      <c r="G274" s="1497"/>
      <c r="H274" s="1497"/>
    </row>
    <row r="275" spans="1:8">
      <c r="A275" s="1498" t="s">
        <v>838</v>
      </c>
      <c r="B275" s="1497"/>
      <c r="C275" s="1497"/>
      <c r="D275" s="1497"/>
      <c r="E275" s="1497"/>
      <c r="F275" s="1497"/>
      <c r="G275" s="1497"/>
      <c r="H275" s="1497"/>
    </row>
    <row r="276" spans="1:8">
      <c r="A276" s="1498" t="s">
        <v>839</v>
      </c>
      <c r="B276" s="1497"/>
      <c r="C276" s="1497"/>
      <c r="D276" s="1497"/>
      <c r="E276" s="1497"/>
      <c r="F276" s="1497"/>
      <c r="G276" s="1497"/>
      <c r="H276" s="1497"/>
    </row>
    <row r="277" spans="1:8">
      <c r="A277" s="1497"/>
      <c r="B277" s="1497"/>
      <c r="C277" s="1497"/>
      <c r="D277" s="1497"/>
      <c r="E277" s="1497"/>
      <c r="F277" s="1497"/>
      <c r="G277" s="1497"/>
      <c r="H277" s="1497"/>
    </row>
    <row r="278" spans="1:8">
      <c r="A278" s="1498" t="s">
        <v>817</v>
      </c>
      <c r="B278" s="1497"/>
      <c r="C278" s="1497"/>
      <c r="D278" s="1497"/>
      <c r="E278" s="1497"/>
      <c r="F278" s="1497"/>
      <c r="G278" s="1497"/>
      <c r="H278" s="1497"/>
    </row>
    <row r="279" spans="1:8">
      <c r="A279" s="1498" t="s">
        <v>818</v>
      </c>
      <c r="B279" s="1497"/>
      <c r="C279" s="1497"/>
      <c r="D279" s="1497"/>
      <c r="E279" s="1497"/>
      <c r="F279" s="1497"/>
      <c r="G279" s="1497"/>
      <c r="H279" s="1497"/>
    </row>
    <row r="280" spans="1:8">
      <c r="A280" s="1498" t="s">
        <v>819</v>
      </c>
      <c r="B280" s="1497"/>
      <c r="C280" s="1497"/>
      <c r="D280" s="1497"/>
      <c r="E280" s="1497"/>
      <c r="F280" s="1497"/>
      <c r="G280" s="1497"/>
      <c r="H280" s="1497"/>
    </row>
    <row r="281" spans="1:8">
      <c r="A281" s="1498" t="s">
        <v>820</v>
      </c>
      <c r="B281" s="1497"/>
      <c r="C281" s="1497"/>
      <c r="D281" s="1497"/>
      <c r="E281" s="1497"/>
      <c r="F281" s="1497"/>
      <c r="G281" s="1497"/>
      <c r="H281" s="1497"/>
    </row>
    <row r="282" spans="1:8">
      <c r="A282" s="1498" t="s">
        <v>821</v>
      </c>
      <c r="B282" s="1497"/>
      <c r="C282" s="1497"/>
      <c r="D282" s="1497"/>
      <c r="E282" s="1497"/>
      <c r="F282" s="1497"/>
      <c r="G282" s="1497"/>
      <c r="H282" s="1497"/>
    </row>
    <row r="283" spans="1:8">
      <c r="A283" s="1498" t="s">
        <v>822</v>
      </c>
      <c r="B283" s="1497"/>
      <c r="C283" s="1497"/>
      <c r="D283" s="1497"/>
      <c r="E283" s="1497"/>
      <c r="F283" s="1497"/>
      <c r="G283" s="1497"/>
      <c r="H283" s="1497"/>
    </row>
    <row r="284" spans="1:8">
      <c r="A284" s="1498" t="s">
        <v>823</v>
      </c>
      <c r="B284" s="1497"/>
      <c r="C284" s="1497"/>
      <c r="D284" s="1497"/>
      <c r="E284" s="1497"/>
      <c r="F284" s="1497"/>
      <c r="G284" s="1497"/>
      <c r="H284" s="1497"/>
    </row>
    <row r="285" spans="1:8">
      <c r="A285" s="1497"/>
      <c r="B285" s="1497"/>
      <c r="C285" s="1497"/>
      <c r="D285" s="1497"/>
      <c r="E285" s="1497"/>
      <c r="F285" s="1497"/>
      <c r="G285" s="1497"/>
      <c r="H285" s="1497"/>
    </row>
    <row r="286" spans="1:8">
      <c r="A286" s="1498" t="s">
        <v>808</v>
      </c>
      <c r="B286" s="1497"/>
      <c r="C286" s="1497"/>
      <c r="D286" s="1497"/>
      <c r="E286" s="1497"/>
      <c r="F286" s="1497"/>
      <c r="G286" s="1497"/>
      <c r="H286" s="1497"/>
    </row>
    <row r="287" spans="1:8">
      <c r="A287" s="1498" t="s">
        <v>809</v>
      </c>
      <c r="B287" s="1497"/>
      <c r="C287" s="1497"/>
      <c r="D287" s="1497"/>
      <c r="E287" s="1497"/>
      <c r="F287" s="1497"/>
      <c r="G287" s="1497"/>
      <c r="H287" s="1497"/>
    </row>
    <row r="288" spans="1:8">
      <c r="A288" s="1498" t="s">
        <v>810</v>
      </c>
      <c r="B288" s="1497"/>
      <c r="C288" s="1497"/>
      <c r="D288" s="1497"/>
      <c r="E288" s="1497"/>
      <c r="F288" s="1497"/>
      <c r="G288" s="1497"/>
      <c r="H288" s="1497"/>
    </row>
    <row r="289" spans="1:8">
      <c r="A289" s="1498" t="s">
        <v>811</v>
      </c>
      <c r="B289" s="1497"/>
      <c r="C289" s="1497"/>
      <c r="D289" s="1497"/>
      <c r="E289" s="1497"/>
      <c r="F289" s="1497"/>
      <c r="G289" s="1497"/>
      <c r="H289" s="1497"/>
    </row>
    <row r="290" spans="1:8">
      <c r="A290" s="1498" t="s">
        <v>812</v>
      </c>
      <c r="B290" s="1497"/>
      <c r="C290" s="1497"/>
      <c r="D290" s="1497"/>
      <c r="E290" s="1497"/>
      <c r="F290" s="1497"/>
      <c r="G290" s="1497"/>
      <c r="H290" s="1497"/>
    </row>
    <row r="291" spans="1:8">
      <c r="A291" s="1498" t="s">
        <v>813</v>
      </c>
      <c r="B291" s="1497"/>
      <c r="C291" s="1497"/>
      <c r="D291" s="1497"/>
      <c r="E291" s="1497"/>
      <c r="F291" s="1497"/>
      <c r="G291" s="1497"/>
      <c r="H291" s="1497"/>
    </row>
    <row r="292" spans="1:8">
      <c r="A292" s="1498" t="s">
        <v>814</v>
      </c>
      <c r="B292" s="1497"/>
      <c r="C292" s="1497"/>
      <c r="D292" s="1497"/>
      <c r="E292" s="1497"/>
      <c r="F292" s="1497"/>
      <c r="G292" s="1497"/>
      <c r="H292" s="1497"/>
    </row>
    <row r="293" spans="1:8">
      <c r="A293" s="1498" t="s">
        <v>815</v>
      </c>
      <c r="B293" s="1497"/>
      <c r="C293" s="1497"/>
      <c r="D293" s="1497"/>
      <c r="E293" s="1497"/>
      <c r="F293" s="1497"/>
      <c r="G293" s="1497"/>
      <c r="H293" s="1497"/>
    </row>
    <row r="294" spans="1:8">
      <c r="A294" s="1498" t="s">
        <v>816</v>
      </c>
      <c r="B294" s="1497"/>
      <c r="C294" s="1497"/>
      <c r="D294" s="1497"/>
      <c r="E294" s="1497"/>
      <c r="F294" s="1497"/>
      <c r="G294" s="1497"/>
      <c r="H294" s="1497"/>
    </row>
    <row r="295" spans="1:8">
      <c r="A295" s="1497"/>
      <c r="B295" s="1497"/>
      <c r="C295" s="1497"/>
      <c r="D295" s="1497"/>
      <c r="E295" s="1497"/>
      <c r="F295" s="1497"/>
      <c r="G295" s="1497"/>
      <c r="H295" s="1497"/>
    </row>
    <row r="296" spans="1:8">
      <c r="A296" s="1498" t="s">
        <v>801</v>
      </c>
      <c r="B296" s="1497"/>
      <c r="C296" s="1497"/>
      <c r="D296" s="1497"/>
      <c r="E296" s="1497"/>
      <c r="F296" s="1497"/>
      <c r="G296" s="1497"/>
      <c r="H296" s="1497"/>
    </row>
    <row r="297" spans="1:8">
      <c r="A297" s="1498" t="s">
        <v>802</v>
      </c>
      <c r="B297" s="1497"/>
      <c r="C297" s="1497"/>
      <c r="D297" s="1497"/>
      <c r="E297" s="1497"/>
      <c r="F297" s="1497"/>
      <c r="G297" s="1497"/>
      <c r="H297" s="1497"/>
    </row>
    <row r="298" spans="1:8">
      <c r="A298" s="1498" t="s">
        <v>803</v>
      </c>
      <c r="B298" s="1497"/>
      <c r="C298" s="1497"/>
      <c r="D298" s="1497"/>
      <c r="E298" s="1497"/>
      <c r="F298" s="1497"/>
      <c r="G298" s="1497"/>
      <c r="H298" s="1497"/>
    </row>
    <row r="299" spans="1:8">
      <c r="A299" s="1498" t="s">
        <v>804</v>
      </c>
      <c r="B299" s="1497"/>
      <c r="C299" s="1497"/>
      <c r="D299" s="1497"/>
      <c r="E299" s="1497"/>
      <c r="F299" s="1497"/>
      <c r="G299" s="1497"/>
      <c r="H299" s="1497"/>
    </row>
    <row r="300" spans="1:8">
      <c r="A300" s="1498" t="s">
        <v>805</v>
      </c>
      <c r="B300" s="1497"/>
      <c r="C300" s="1497"/>
      <c r="D300" s="1497"/>
      <c r="E300" s="1497"/>
      <c r="F300" s="1497"/>
      <c r="G300" s="1497"/>
      <c r="H300" s="1497"/>
    </row>
    <row r="301" spans="1:8">
      <c r="A301" s="1498" t="s">
        <v>806</v>
      </c>
      <c r="B301" s="1497"/>
      <c r="C301" s="1497"/>
      <c r="D301" s="1497"/>
      <c r="E301" s="1497"/>
      <c r="F301" s="1497"/>
      <c r="G301" s="1497"/>
      <c r="H301" s="1497"/>
    </row>
    <row r="302" spans="1:8">
      <c r="A302" s="1498" t="s">
        <v>807</v>
      </c>
      <c r="B302" s="1497"/>
      <c r="C302" s="1497"/>
      <c r="D302" s="1497"/>
      <c r="E302" s="1497"/>
      <c r="F302" s="1497"/>
      <c r="G302" s="1497"/>
      <c r="H302" s="1497"/>
    </row>
    <row r="303" spans="1:8">
      <c r="A303" s="1497"/>
      <c r="B303" s="1497"/>
      <c r="C303" s="1497"/>
      <c r="D303" s="1497"/>
      <c r="E303" s="1497"/>
      <c r="F303" s="1497"/>
      <c r="G303" s="1497"/>
      <c r="H303" s="1497"/>
    </row>
    <row r="304" spans="1:8">
      <c r="A304" s="1498" t="s">
        <v>798</v>
      </c>
      <c r="B304" s="1497"/>
      <c r="C304" s="1497"/>
      <c r="D304" s="1497"/>
      <c r="E304" s="1497"/>
      <c r="F304" s="1497"/>
      <c r="G304" s="1497"/>
      <c r="H304" s="1497"/>
    </row>
    <row r="305" spans="1:8">
      <c r="A305" s="1498" t="s">
        <v>799</v>
      </c>
      <c r="B305" s="1497"/>
      <c r="C305" s="1497"/>
      <c r="D305" s="1497"/>
      <c r="E305" s="1497"/>
      <c r="F305" s="1497"/>
      <c r="G305" s="1497"/>
      <c r="H305" s="1497"/>
    </row>
    <row r="306" spans="1:8">
      <c r="A306" s="1498" t="s">
        <v>800</v>
      </c>
      <c r="B306" s="1497"/>
      <c r="C306" s="1497"/>
      <c r="D306" s="1497"/>
      <c r="E306" s="1497"/>
      <c r="F306" s="1497"/>
      <c r="G306" s="1497"/>
      <c r="H306" s="1497"/>
    </row>
    <row r="307" spans="1:8">
      <c r="A307" s="1497"/>
      <c r="B307" s="1497"/>
      <c r="C307" s="1497"/>
      <c r="D307" s="1497"/>
      <c r="E307" s="1497"/>
      <c r="F307" s="1497"/>
      <c r="G307" s="1497"/>
      <c r="H307" s="1497"/>
    </row>
    <row r="308" spans="1:8">
      <c r="A308" s="1498" t="s">
        <v>796</v>
      </c>
      <c r="B308" s="1497"/>
      <c r="C308" s="1497"/>
      <c r="D308" s="1497"/>
      <c r="E308" s="1497"/>
      <c r="F308" s="1497"/>
      <c r="G308" s="1497"/>
      <c r="H308" s="1497"/>
    </row>
    <row r="309" spans="1:8">
      <c r="A309" s="1498" t="s">
        <v>797</v>
      </c>
      <c r="B309" s="1497"/>
      <c r="C309" s="1497"/>
      <c r="D309" s="1497"/>
      <c r="E309" s="1497"/>
      <c r="F309" s="1497"/>
      <c r="G309" s="1497"/>
      <c r="H309" s="1497"/>
    </row>
    <row r="310" spans="1:8">
      <c r="A310" s="1497"/>
      <c r="B310" s="1497"/>
      <c r="C310" s="1497"/>
      <c r="D310" s="1497"/>
      <c r="E310" s="1497"/>
      <c r="F310" s="1497"/>
      <c r="G310" s="1497"/>
      <c r="H310" s="1497"/>
    </row>
    <row r="311" spans="1:8">
      <c r="A311" s="1498" t="s">
        <v>783</v>
      </c>
      <c r="B311" s="1497"/>
      <c r="C311" s="1497"/>
      <c r="D311" s="1497"/>
      <c r="E311" s="1497"/>
      <c r="F311" s="1497"/>
      <c r="G311" s="1497"/>
      <c r="H311" s="1497"/>
    </row>
    <row r="312" spans="1:8">
      <c r="A312" s="1498" t="s">
        <v>784</v>
      </c>
      <c r="B312" s="1497"/>
      <c r="C312" s="1497"/>
      <c r="D312" s="1497"/>
      <c r="E312" s="1497"/>
      <c r="F312" s="1497"/>
      <c r="G312" s="1497"/>
      <c r="H312" s="1497"/>
    </row>
    <row r="313" spans="1:8">
      <c r="A313" s="1498" t="s">
        <v>785</v>
      </c>
      <c r="B313" s="1497"/>
      <c r="C313" s="1497"/>
      <c r="D313" s="1497"/>
      <c r="E313" s="1497"/>
      <c r="F313" s="1497"/>
      <c r="G313" s="1497"/>
      <c r="H313" s="1497"/>
    </row>
    <row r="314" spans="1:8">
      <c r="A314" s="1498" t="s">
        <v>786</v>
      </c>
      <c r="B314" s="1497"/>
      <c r="C314" s="1497"/>
      <c r="D314" s="1497"/>
      <c r="E314" s="1497"/>
      <c r="F314" s="1497"/>
      <c r="G314" s="1497"/>
      <c r="H314" s="1497"/>
    </row>
    <row r="315" spans="1:8">
      <c r="A315" s="1498" t="s">
        <v>787</v>
      </c>
      <c r="B315" s="1497"/>
      <c r="C315" s="1497"/>
      <c r="D315" s="1497"/>
      <c r="E315" s="1497"/>
      <c r="F315" s="1497"/>
      <c r="G315" s="1497"/>
      <c r="H315" s="1497"/>
    </row>
    <row r="316" spans="1:8">
      <c r="A316" s="1498" t="s">
        <v>788</v>
      </c>
      <c r="B316" s="1497"/>
      <c r="C316" s="1497"/>
      <c r="D316" s="1497"/>
      <c r="E316" s="1497"/>
      <c r="F316" s="1497"/>
      <c r="G316" s="1497"/>
      <c r="H316" s="1497"/>
    </row>
    <row r="317" spans="1:8">
      <c r="A317" s="1498" t="s">
        <v>789</v>
      </c>
      <c r="B317" s="1497"/>
      <c r="C317" s="1497"/>
      <c r="D317" s="1497"/>
      <c r="E317" s="1497"/>
      <c r="F317" s="1497"/>
      <c r="G317" s="1497"/>
      <c r="H317" s="1497"/>
    </row>
    <row r="318" spans="1:8">
      <c r="A318" s="1498" t="s">
        <v>790</v>
      </c>
      <c r="B318" s="1497"/>
      <c r="C318" s="1497"/>
      <c r="D318" s="1497"/>
      <c r="E318" s="1497"/>
      <c r="F318" s="1497"/>
      <c r="G318" s="1497"/>
      <c r="H318" s="1497"/>
    </row>
    <row r="319" spans="1:8">
      <c r="A319" s="1498" t="s">
        <v>791</v>
      </c>
      <c r="B319" s="1497"/>
      <c r="C319" s="1497"/>
      <c r="D319" s="1497"/>
      <c r="E319" s="1497"/>
      <c r="F319" s="1497"/>
      <c r="G319" s="1497"/>
      <c r="H319" s="1497"/>
    </row>
    <row r="320" spans="1:8">
      <c r="A320" s="1498" t="s">
        <v>792</v>
      </c>
      <c r="B320" s="1497"/>
      <c r="C320" s="1497"/>
      <c r="D320" s="1497"/>
      <c r="E320" s="1497"/>
      <c r="F320" s="1497"/>
      <c r="G320" s="1497"/>
      <c r="H320" s="1497"/>
    </row>
    <row r="321" spans="1:8">
      <c r="A321" s="1498" t="s">
        <v>793</v>
      </c>
      <c r="B321" s="1497"/>
      <c r="C321" s="1497"/>
      <c r="D321" s="1497"/>
      <c r="E321" s="1497"/>
      <c r="F321" s="1497"/>
      <c r="G321" s="1497"/>
      <c r="H321" s="1497"/>
    </row>
    <row r="322" spans="1:8">
      <c r="A322" s="1498" t="s">
        <v>794</v>
      </c>
      <c r="B322" s="1497"/>
      <c r="C322" s="1497"/>
      <c r="D322" s="1497"/>
      <c r="E322" s="1497"/>
      <c r="F322" s="1497"/>
      <c r="G322" s="1497"/>
      <c r="H322" s="1497"/>
    </row>
    <row r="323" spans="1:8">
      <c r="A323" s="1498" t="s">
        <v>795</v>
      </c>
      <c r="B323" s="1497"/>
      <c r="C323" s="1497"/>
      <c r="D323" s="1497"/>
      <c r="E323" s="1497"/>
      <c r="F323" s="1497"/>
      <c r="G323" s="1497"/>
      <c r="H323" s="1497"/>
    </row>
    <row r="324" spans="1:8">
      <c r="A324" s="1497"/>
      <c r="B324" s="1497"/>
      <c r="C324" s="1497"/>
      <c r="D324" s="1497"/>
      <c r="E324" s="1497"/>
      <c r="F324" s="1497"/>
      <c r="G324" s="1497"/>
      <c r="H324" s="1497"/>
    </row>
    <row r="325" spans="1:8">
      <c r="A325" s="1498" t="s">
        <v>775</v>
      </c>
      <c r="B325" s="1497"/>
      <c r="C325" s="1497"/>
      <c r="D325" s="1497"/>
      <c r="E325" s="1497"/>
      <c r="F325" s="1497"/>
      <c r="G325" s="1497"/>
      <c r="H325" s="1497"/>
    </row>
    <row r="326" spans="1:8">
      <c r="A326" s="1498" t="s">
        <v>776</v>
      </c>
      <c r="B326" s="1497"/>
      <c r="C326" s="1497"/>
      <c r="D326" s="1497"/>
      <c r="E326" s="1497"/>
      <c r="F326" s="1497"/>
      <c r="G326" s="1497"/>
      <c r="H326" s="1497"/>
    </row>
    <row r="327" spans="1:8">
      <c r="A327" s="1498" t="s">
        <v>777</v>
      </c>
      <c r="B327" s="1497"/>
      <c r="C327" s="1497"/>
      <c r="D327" s="1497"/>
      <c r="E327" s="1497"/>
      <c r="F327" s="1497"/>
      <c r="G327" s="1497"/>
      <c r="H327" s="1497"/>
    </row>
    <row r="328" spans="1:8">
      <c r="A328" s="1498" t="s">
        <v>778</v>
      </c>
      <c r="B328" s="1497"/>
      <c r="C328" s="1497"/>
      <c r="D328" s="1497"/>
      <c r="E328" s="1497"/>
      <c r="F328" s="1497"/>
      <c r="G328" s="1497"/>
      <c r="H328" s="1497"/>
    </row>
    <row r="329" spans="1:8">
      <c r="A329" s="1498" t="s">
        <v>779</v>
      </c>
      <c r="B329" s="1497"/>
      <c r="C329" s="1497"/>
      <c r="D329" s="1497"/>
      <c r="E329" s="1497"/>
      <c r="F329" s="1497"/>
      <c r="G329" s="1497"/>
      <c r="H329" s="1497"/>
    </row>
    <row r="330" spans="1:8">
      <c r="A330" s="1498" t="s">
        <v>780</v>
      </c>
      <c r="B330" s="1497"/>
      <c r="C330" s="1497"/>
      <c r="D330" s="1497"/>
      <c r="E330" s="1497"/>
      <c r="F330" s="1497"/>
      <c r="G330" s="1497"/>
      <c r="H330" s="1497"/>
    </row>
    <row r="331" spans="1:8">
      <c r="A331" s="1498" t="s">
        <v>781</v>
      </c>
      <c r="B331" s="1497"/>
      <c r="C331" s="1497"/>
      <c r="D331" s="1497"/>
      <c r="E331" s="1497"/>
      <c r="F331" s="1497"/>
      <c r="G331" s="1497"/>
      <c r="H331" s="1497"/>
    </row>
    <row r="332" spans="1:8">
      <c r="A332" s="1498" t="s">
        <v>782</v>
      </c>
      <c r="B332" s="1497"/>
      <c r="C332" s="1497"/>
      <c r="D332" s="1497"/>
      <c r="E332" s="1497"/>
      <c r="F332" s="1497"/>
      <c r="G332" s="1497"/>
      <c r="H332" s="1497"/>
    </row>
    <row r="333" spans="1:8">
      <c r="A333" s="1497"/>
      <c r="B333" s="1497"/>
      <c r="C333" s="1497"/>
      <c r="D333" s="1497"/>
      <c r="E333" s="1497"/>
      <c r="F333" s="1497"/>
      <c r="G333" s="1497"/>
      <c r="H333" s="1497"/>
    </row>
    <row r="334" spans="1:8">
      <c r="A334" s="1498" t="s">
        <v>740</v>
      </c>
      <c r="B334" s="1497"/>
      <c r="C334" s="1497"/>
      <c r="D334" s="1497"/>
      <c r="E334" s="1497"/>
      <c r="F334" s="1497"/>
      <c r="G334" s="1497"/>
      <c r="H334" s="1497"/>
    </row>
    <row r="335" spans="1:8">
      <c r="A335" s="1498" t="s">
        <v>741</v>
      </c>
      <c r="B335" s="1497"/>
      <c r="C335" s="1497"/>
      <c r="D335" s="1497"/>
      <c r="E335" s="1497"/>
      <c r="F335" s="1497"/>
      <c r="G335" s="1497"/>
      <c r="H335" s="1497"/>
    </row>
    <row r="336" spans="1:8">
      <c r="A336" s="1498" t="s">
        <v>742</v>
      </c>
      <c r="B336" s="1497"/>
      <c r="C336" s="1497"/>
      <c r="D336" s="1497"/>
      <c r="E336" s="1497"/>
      <c r="F336" s="1497"/>
      <c r="G336" s="1497"/>
      <c r="H336" s="1497"/>
    </row>
    <row r="337" spans="1:8">
      <c r="A337" s="1498" t="s">
        <v>743</v>
      </c>
      <c r="B337" s="1497"/>
      <c r="C337" s="1497"/>
      <c r="D337" s="1497"/>
      <c r="E337" s="1497"/>
      <c r="F337" s="1497"/>
      <c r="G337" s="1497"/>
      <c r="H337" s="1497"/>
    </row>
    <row r="338" spans="1:8">
      <c r="A338" s="1498" t="s">
        <v>744</v>
      </c>
      <c r="B338" s="1497"/>
      <c r="C338" s="1497"/>
      <c r="D338" s="1497"/>
      <c r="E338" s="1497"/>
      <c r="F338" s="1497"/>
      <c r="G338" s="1497"/>
      <c r="H338" s="1497"/>
    </row>
    <row r="339" spans="1:8">
      <c r="A339" s="1498" t="s">
        <v>745</v>
      </c>
      <c r="B339" s="1497"/>
      <c r="C339" s="1497"/>
      <c r="D339" s="1497"/>
      <c r="E339" s="1497"/>
      <c r="F339" s="1497"/>
      <c r="G339" s="1497"/>
      <c r="H339" s="1497"/>
    </row>
    <row r="340" spans="1:8">
      <c r="A340" s="1498" t="s">
        <v>746</v>
      </c>
      <c r="B340" s="1497"/>
      <c r="C340" s="1497"/>
      <c r="D340" s="1497"/>
      <c r="E340" s="1497"/>
      <c r="F340" s="1497"/>
      <c r="G340" s="1497"/>
      <c r="H340" s="1497"/>
    </row>
    <row r="341" spans="1:8">
      <c r="A341" s="1498" t="s">
        <v>747</v>
      </c>
      <c r="B341" s="1497"/>
      <c r="C341" s="1497"/>
      <c r="D341" s="1497"/>
      <c r="E341" s="1497"/>
      <c r="F341" s="1497"/>
      <c r="G341" s="1497"/>
      <c r="H341" s="1497"/>
    </row>
    <row r="342" spans="1:8">
      <c r="A342" s="1498" t="s">
        <v>748</v>
      </c>
      <c r="B342" s="1497"/>
      <c r="C342" s="1497"/>
      <c r="D342" s="1497"/>
      <c r="E342" s="1497"/>
      <c r="F342" s="1497"/>
      <c r="G342" s="1497"/>
      <c r="H342" s="1497"/>
    </row>
    <row r="343" spans="1:8">
      <c r="A343" s="1498" t="s">
        <v>749</v>
      </c>
      <c r="B343" s="1497"/>
      <c r="C343" s="1497"/>
      <c r="D343" s="1497"/>
      <c r="E343" s="1497"/>
      <c r="F343" s="1497"/>
      <c r="G343" s="1497"/>
      <c r="H343" s="1497"/>
    </row>
    <row r="344" spans="1:8">
      <c r="A344" s="1498" t="s">
        <v>750</v>
      </c>
      <c r="B344" s="1497"/>
      <c r="C344" s="1497"/>
      <c r="D344" s="1497"/>
      <c r="E344" s="1497"/>
      <c r="F344" s="1497"/>
      <c r="G344" s="1497"/>
      <c r="H344" s="1497"/>
    </row>
    <row r="345" spans="1:8">
      <c r="A345" s="1498" t="s">
        <v>751</v>
      </c>
      <c r="B345" s="1497"/>
      <c r="C345" s="1497"/>
      <c r="D345" s="1497"/>
      <c r="E345" s="1497"/>
      <c r="F345" s="1497"/>
      <c r="G345" s="1497"/>
      <c r="H345" s="1497"/>
    </row>
    <row r="346" spans="1:8">
      <c r="A346" s="1498" t="s">
        <v>752</v>
      </c>
      <c r="B346" s="1497"/>
      <c r="C346" s="1497"/>
      <c r="D346" s="1497"/>
      <c r="E346" s="1497"/>
      <c r="F346" s="1497"/>
      <c r="G346" s="1497"/>
      <c r="H346" s="1497"/>
    </row>
    <row r="347" spans="1:8">
      <c r="A347" s="1498" t="s">
        <v>753</v>
      </c>
      <c r="B347" s="1497"/>
      <c r="C347" s="1497"/>
      <c r="D347" s="1497"/>
      <c r="E347" s="1497"/>
      <c r="F347" s="1497"/>
      <c r="G347" s="1497"/>
      <c r="H347" s="1497"/>
    </row>
    <row r="348" spans="1:8">
      <c r="A348" s="1498" t="s">
        <v>754</v>
      </c>
      <c r="B348" s="1497"/>
      <c r="C348" s="1497"/>
      <c r="D348" s="1497"/>
      <c r="E348" s="1497"/>
      <c r="F348" s="1497"/>
      <c r="G348" s="1497"/>
      <c r="H348" s="1497"/>
    </row>
    <row r="349" spans="1:8">
      <c r="A349" s="1498" t="s">
        <v>755</v>
      </c>
      <c r="B349" s="1497"/>
      <c r="C349" s="1497"/>
      <c r="D349" s="1497"/>
      <c r="E349" s="1497"/>
      <c r="F349" s="1497"/>
      <c r="G349" s="1497"/>
      <c r="H349" s="1497"/>
    </row>
    <row r="350" spans="1:8">
      <c r="A350" s="1498" t="s">
        <v>756</v>
      </c>
      <c r="B350" s="1497"/>
      <c r="C350" s="1497"/>
      <c r="D350" s="1497"/>
      <c r="E350" s="1497"/>
      <c r="F350" s="1497"/>
      <c r="G350" s="1497"/>
      <c r="H350" s="1497"/>
    </row>
    <row r="351" spans="1:8">
      <c r="A351" s="1498" t="s">
        <v>757</v>
      </c>
      <c r="B351" s="1497"/>
      <c r="C351" s="1497"/>
      <c r="D351" s="1497"/>
      <c r="E351" s="1497"/>
      <c r="F351" s="1497"/>
      <c r="G351" s="1497"/>
      <c r="H351" s="1497"/>
    </row>
    <row r="352" spans="1:8">
      <c r="A352" s="1498" t="s">
        <v>758</v>
      </c>
      <c r="B352" s="1497"/>
      <c r="C352" s="1497"/>
      <c r="D352" s="1497"/>
      <c r="E352" s="1497"/>
      <c r="F352" s="1497"/>
      <c r="G352" s="1497"/>
      <c r="H352" s="1497"/>
    </row>
    <row r="353" spans="1:8">
      <c r="A353" s="1498" t="s">
        <v>759</v>
      </c>
      <c r="B353" s="1497"/>
      <c r="C353" s="1497"/>
      <c r="D353" s="1497"/>
      <c r="E353" s="1497"/>
      <c r="F353" s="1497"/>
      <c r="G353" s="1497"/>
      <c r="H353" s="1497"/>
    </row>
    <row r="354" spans="1:8">
      <c r="A354" s="1498" t="s">
        <v>760</v>
      </c>
      <c r="B354" s="1497"/>
      <c r="C354" s="1497"/>
      <c r="D354" s="1497"/>
      <c r="E354" s="1497"/>
      <c r="F354" s="1497"/>
      <c r="G354" s="1497"/>
      <c r="H354" s="1497"/>
    </row>
    <row r="355" spans="1:8">
      <c r="A355" s="1498" t="s">
        <v>761</v>
      </c>
      <c r="B355" s="1497"/>
      <c r="C355" s="1497"/>
      <c r="D355" s="1497"/>
      <c r="E355" s="1497"/>
      <c r="F355" s="1497"/>
      <c r="G355" s="1497"/>
      <c r="H355" s="1497"/>
    </row>
    <row r="356" spans="1:8">
      <c r="A356" s="1498" t="s">
        <v>762</v>
      </c>
      <c r="B356" s="1497"/>
      <c r="C356" s="1497"/>
      <c r="D356" s="1497"/>
      <c r="E356" s="1497"/>
      <c r="F356" s="1497"/>
      <c r="G356" s="1497"/>
      <c r="H356" s="1497"/>
    </row>
    <row r="357" spans="1:8">
      <c r="A357" s="1498" t="s">
        <v>763</v>
      </c>
      <c r="B357" s="1497"/>
      <c r="C357" s="1497"/>
      <c r="D357" s="1497"/>
      <c r="E357" s="1497"/>
      <c r="F357" s="1497"/>
      <c r="G357" s="1497"/>
      <c r="H357" s="1497"/>
    </row>
    <row r="358" spans="1:8">
      <c r="A358" s="1498" t="s">
        <v>764</v>
      </c>
      <c r="B358" s="1497"/>
      <c r="C358" s="1497"/>
      <c r="D358" s="1497"/>
      <c r="E358" s="1497"/>
      <c r="F358" s="1497"/>
      <c r="G358" s="1497"/>
      <c r="H358" s="1497"/>
    </row>
    <row r="359" spans="1:8">
      <c r="A359" s="1498" t="s">
        <v>765</v>
      </c>
      <c r="B359" s="1497"/>
      <c r="C359" s="1497"/>
      <c r="D359" s="1497"/>
      <c r="E359" s="1497"/>
      <c r="F359" s="1497"/>
      <c r="G359" s="1497"/>
      <c r="H359" s="1497"/>
    </row>
    <row r="360" spans="1:8">
      <c r="A360" s="1498" t="s">
        <v>766</v>
      </c>
      <c r="B360" s="1497"/>
      <c r="C360" s="1497"/>
      <c r="D360" s="1497"/>
      <c r="E360" s="1497"/>
      <c r="F360" s="1497"/>
      <c r="G360" s="1497"/>
      <c r="H360" s="1497"/>
    </row>
    <row r="361" spans="1:8">
      <c r="A361" s="1498" t="s">
        <v>767</v>
      </c>
      <c r="B361" s="1497"/>
      <c r="C361" s="1497"/>
      <c r="D361" s="1497"/>
      <c r="E361" s="1497"/>
      <c r="F361" s="1497"/>
      <c r="G361" s="1497"/>
      <c r="H361" s="1497"/>
    </row>
    <row r="362" spans="1:8">
      <c r="A362" s="1498" t="s">
        <v>768</v>
      </c>
      <c r="B362" s="1497"/>
      <c r="C362" s="1497"/>
      <c r="D362" s="1497"/>
      <c r="E362" s="1497"/>
      <c r="F362" s="1497"/>
      <c r="G362" s="1497"/>
      <c r="H362" s="1497"/>
    </row>
    <row r="363" spans="1:8">
      <c r="A363" s="1498" t="s">
        <v>769</v>
      </c>
      <c r="B363" s="1497"/>
      <c r="C363" s="1497"/>
      <c r="D363" s="1497"/>
      <c r="E363" s="1497"/>
      <c r="F363" s="1497"/>
      <c r="G363" s="1497"/>
      <c r="H363" s="1497"/>
    </row>
    <row r="364" spans="1:8">
      <c r="A364" s="1498" t="s">
        <v>770</v>
      </c>
      <c r="B364" s="1497"/>
      <c r="C364" s="1497"/>
      <c r="D364" s="1497"/>
      <c r="E364" s="1497"/>
      <c r="F364" s="1497"/>
      <c r="G364" s="1497"/>
      <c r="H364" s="1497"/>
    </row>
    <row r="365" spans="1:8">
      <c r="A365" s="1498" t="s">
        <v>771</v>
      </c>
      <c r="B365" s="1497"/>
      <c r="C365" s="1497"/>
      <c r="D365" s="1497"/>
      <c r="E365" s="1497"/>
      <c r="F365" s="1497"/>
      <c r="G365" s="1497"/>
      <c r="H365" s="1497"/>
    </row>
    <row r="366" spans="1:8">
      <c r="A366" s="1498" t="s">
        <v>772</v>
      </c>
      <c r="B366" s="1497"/>
      <c r="C366" s="1497"/>
      <c r="D366" s="1497"/>
      <c r="E366" s="1497"/>
      <c r="F366" s="1497"/>
      <c r="G366" s="1497"/>
      <c r="H366" s="1497"/>
    </row>
    <row r="367" spans="1:8">
      <c r="A367" s="1498" t="s">
        <v>773</v>
      </c>
      <c r="B367" s="1497"/>
      <c r="C367" s="1497"/>
      <c r="D367" s="1497"/>
      <c r="E367" s="1497"/>
      <c r="F367" s="1497"/>
      <c r="G367" s="1497"/>
      <c r="H367" s="1497"/>
    </row>
    <row r="368" spans="1:8">
      <c r="A368" s="1498" t="s">
        <v>774</v>
      </c>
      <c r="B368" s="1497"/>
      <c r="C368" s="1497"/>
      <c r="D368" s="1497"/>
      <c r="E368" s="1497"/>
      <c r="F368" s="1497"/>
      <c r="G368" s="1497"/>
      <c r="H368" s="1497"/>
    </row>
    <row r="369" spans="1:8">
      <c r="A369" s="1497"/>
      <c r="B369" s="1497"/>
      <c r="C369" s="1497"/>
      <c r="D369" s="1497"/>
      <c r="E369" s="1497"/>
      <c r="F369" s="1497"/>
      <c r="G369" s="1497"/>
      <c r="H369" s="1497"/>
    </row>
    <row r="370" spans="1:8">
      <c r="A370" s="1498" t="s">
        <v>732</v>
      </c>
      <c r="B370" s="1497"/>
      <c r="C370" s="1497"/>
      <c r="D370" s="1497"/>
      <c r="E370" s="1497"/>
      <c r="F370" s="1497"/>
      <c r="G370" s="1497"/>
      <c r="H370" s="1497"/>
    </row>
    <row r="371" spans="1:8">
      <c r="A371" s="1498" t="s">
        <v>736</v>
      </c>
      <c r="B371" s="1497"/>
      <c r="C371" s="1497"/>
      <c r="D371" s="1497"/>
      <c r="E371" s="1497"/>
      <c r="F371" s="1497"/>
      <c r="G371" s="1497"/>
      <c r="H371" s="1497"/>
    </row>
    <row r="372" spans="1:8">
      <c r="A372" s="1498" t="s">
        <v>737</v>
      </c>
      <c r="B372" s="1497"/>
      <c r="C372" s="1497"/>
      <c r="D372" s="1497"/>
      <c r="E372" s="1497"/>
      <c r="F372" s="1497"/>
      <c r="G372" s="1497"/>
      <c r="H372" s="1497"/>
    </row>
    <row r="373" spans="1:8">
      <c r="A373" s="1498" t="s">
        <v>738</v>
      </c>
      <c r="B373" s="1497"/>
      <c r="C373" s="1497"/>
      <c r="D373" s="1497"/>
      <c r="E373" s="1497"/>
      <c r="F373" s="1497"/>
      <c r="G373" s="1497"/>
      <c r="H373" s="1497"/>
    </row>
    <row r="374" spans="1:8">
      <c r="A374" s="1498" t="s">
        <v>739</v>
      </c>
      <c r="B374" s="1497"/>
      <c r="C374" s="1497"/>
      <c r="D374" s="1497"/>
      <c r="E374" s="1497"/>
      <c r="F374" s="1497"/>
      <c r="G374" s="1497"/>
      <c r="H374" s="1497"/>
    </row>
    <row r="375" spans="1:8">
      <c r="A375" s="1497"/>
      <c r="B375" s="1497"/>
      <c r="C375" s="1497"/>
      <c r="D375" s="1497"/>
      <c r="E375" s="1497"/>
      <c r="F375" s="1497"/>
      <c r="G375" s="1497"/>
      <c r="H375" s="1497"/>
    </row>
    <row r="376" spans="1:8">
      <c r="A376" s="1498" t="s">
        <v>732</v>
      </c>
      <c r="B376" s="1497"/>
      <c r="C376" s="1497"/>
      <c r="D376" s="1497"/>
      <c r="E376" s="1497"/>
      <c r="F376" s="1497"/>
      <c r="G376" s="1497"/>
      <c r="H376" s="1497"/>
    </row>
    <row r="377" spans="1:8">
      <c r="A377" s="1498" t="s">
        <v>733</v>
      </c>
      <c r="B377" s="1497"/>
      <c r="C377" s="1497"/>
      <c r="D377" s="1497"/>
      <c r="E377" s="1497"/>
      <c r="F377" s="1497"/>
      <c r="G377" s="1497"/>
      <c r="H377" s="1497"/>
    </row>
    <row r="378" spans="1:8">
      <c r="A378" s="1498" t="s">
        <v>734</v>
      </c>
      <c r="B378" s="1497"/>
      <c r="C378" s="1497"/>
      <c r="D378" s="1497"/>
      <c r="E378" s="1497"/>
      <c r="F378" s="1497"/>
      <c r="G378" s="1497"/>
      <c r="H378" s="1497"/>
    </row>
    <row r="379" spans="1:8">
      <c r="A379" s="1498" t="s">
        <v>735</v>
      </c>
      <c r="B379" s="1497"/>
      <c r="C379" s="1497"/>
      <c r="D379" s="1497"/>
      <c r="E379" s="1497"/>
      <c r="F379" s="1497"/>
      <c r="G379" s="1497"/>
      <c r="H379" s="1497"/>
    </row>
    <row r="380" spans="1:8">
      <c r="A380" s="1497"/>
      <c r="B380" s="1497"/>
      <c r="C380" s="1497"/>
      <c r="D380" s="1497"/>
      <c r="E380" s="1497"/>
      <c r="F380" s="1497"/>
      <c r="G380" s="1497"/>
      <c r="H380" s="1497"/>
    </row>
    <row r="381" spans="1:8">
      <c r="A381" s="1498" t="s">
        <v>726</v>
      </c>
      <c r="B381" s="1497"/>
      <c r="C381" s="1497"/>
      <c r="D381" s="1497"/>
      <c r="E381" s="1497"/>
      <c r="F381" s="1497"/>
      <c r="G381" s="1497"/>
      <c r="H381" s="1497"/>
    </row>
    <row r="382" spans="1:8">
      <c r="A382" s="1498" t="s">
        <v>727</v>
      </c>
      <c r="B382" s="1497"/>
      <c r="C382" s="1497"/>
      <c r="D382" s="1497"/>
      <c r="E382" s="1497"/>
      <c r="F382" s="1497"/>
      <c r="G382" s="1497"/>
      <c r="H382" s="1497"/>
    </row>
    <row r="383" spans="1:8">
      <c r="A383" s="1498" t="s">
        <v>728</v>
      </c>
      <c r="B383" s="1497"/>
      <c r="C383" s="1497"/>
      <c r="D383" s="1497"/>
      <c r="E383" s="1497"/>
      <c r="F383" s="1497"/>
      <c r="G383" s="1497"/>
      <c r="H383" s="1497"/>
    </row>
    <row r="384" spans="1:8">
      <c r="A384" s="1498" t="s">
        <v>729</v>
      </c>
      <c r="B384" s="1497"/>
      <c r="C384" s="1497"/>
      <c r="D384" s="1497"/>
      <c r="E384" s="1497"/>
      <c r="F384" s="1497"/>
      <c r="G384" s="1497"/>
      <c r="H384" s="1497"/>
    </row>
    <row r="385" spans="1:8">
      <c r="A385" s="1498" t="s">
        <v>730</v>
      </c>
      <c r="B385" s="1497"/>
      <c r="C385" s="1497"/>
      <c r="D385" s="1497"/>
      <c r="E385" s="1497"/>
      <c r="F385" s="1497"/>
      <c r="G385" s="1497"/>
      <c r="H385" s="1497"/>
    </row>
    <row r="386" spans="1:8">
      <c r="A386" s="1498" t="s">
        <v>731</v>
      </c>
      <c r="B386" s="1497"/>
      <c r="C386" s="1497"/>
      <c r="D386" s="1497"/>
      <c r="E386" s="1497"/>
      <c r="F386" s="1497"/>
      <c r="G386" s="1497"/>
      <c r="H386" s="1497"/>
    </row>
    <row r="387" spans="1:8">
      <c r="A387" s="1497"/>
      <c r="B387" s="1497"/>
      <c r="C387" s="1497"/>
      <c r="D387" s="1497"/>
      <c r="E387" s="1497"/>
      <c r="F387" s="1497"/>
      <c r="G387" s="1497"/>
      <c r="H387" s="1497"/>
    </row>
    <row r="388" spans="1:8">
      <c r="A388" s="1498" t="s">
        <v>721</v>
      </c>
      <c r="B388" s="1497"/>
      <c r="C388" s="1497"/>
      <c r="D388" s="1497"/>
      <c r="E388" s="1497"/>
      <c r="F388" s="1497"/>
      <c r="G388" s="1497"/>
      <c r="H388" s="1497"/>
    </row>
    <row r="389" spans="1:8">
      <c r="A389" s="1498" t="s">
        <v>722</v>
      </c>
      <c r="B389" s="1497"/>
      <c r="C389" s="1497"/>
      <c r="D389" s="1497"/>
      <c r="E389" s="1497"/>
      <c r="F389" s="1497"/>
      <c r="G389" s="1497"/>
      <c r="H389" s="1497"/>
    </row>
    <row r="390" spans="1:8">
      <c r="A390" s="1498" t="s">
        <v>723</v>
      </c>
      <c r="B390" s="1497"/>
      <c r="C390" s="1497"/>
      <c r="D390" s="1497"/>
      <c r="E390" s="1497"/>
      <c r="F390" s="1497"/>
      <c r="G390" s="1497"/>
      <c r="H390" s="1497"/>
    </row>
    <row r="391" spans="1:8">
      <c r="A391" s="1498" t="s">
        <v>724</v>
      </c>
      <c r="B391" s="1497"/>
      <c r="C391" s="1497"/>
      <c r="D391" s="1497"/>
      <c r="E391" s="1497"/>
      <c r="F391" s="1497"/>
      <c r="G391" s="1497"/>
      <c r="H391" s="1497"/>
    </row>
    <row r="392" spans="1:8">
      <c r="A392" s="1498" t="s">
        <v>725</v>
      </c>
      <c r="B392" s="1497"/>
      <c r="C392" s="1497"/>
      <c r="D392" s="1497"/>
      <c r="E392" s="1497"/>
      <c r="F392" s="1497"/>
      <c r="G392" s="1497"/>
      <c r="H392" s="1497"/>
    </row>
    <row r="393" spans="1:8">
      <c r="A393" s="1497"/>
      <c r="B393" s="1497"/>
      <c r="C393" s="1497"/>
      <c r="D393" s="1497"/>
      <c r="E393" s="1497"/>
      <c r="F393" s="1497"/>
      <c r="G393" s="1497"/>
      <c r="H393" s="1497"/>
    </row>
    <row r="394" spans="1:8">
      <c r="A394" s="1498" t="s">
        <v>719</v>
      </c>
      <c r="B394" s="1497"/>
      <c r="C394" s="1497"/>
      <c r="D394" s="1497"/>
      <c r="E394" s="1497"/>
      <c r="F394" s="1497"/>
      <c r="G394" s="1497"/>
      <c r="H394" s="1497"/>
    </row>
    <row r="395" spans="1:8">
      <c r="A395" s="1498" t="s">
        <v>720</v>
      </c>
      <c r="B395" s="1497"/>
      <c r="C395" s="1497"/>
      <c r="D395" s="1497"/>
      <c r="E395" s="1497"/>
      <c r="F395" s="1497"/>
      <c r="G395" s="1497"/>
      <c r="H395" s="1497"/>
    </row>
    <row r="397" spans="1:8">
      <c r="A397" s="1493" t="s">
        <v>979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7"/>
    <pageSetUpPr fitToPage="1"/>
  </sheetPr>
  <dimension ref="A1:DA181"/>
  <sheetViews>
    <sheetView zoomScale="80" zoomScaleNormal="80" workbookViewId="0">
      <pane xSplit="3" ySplit="7" topLeftCell="BH99" activePane="bottomRight" state="frozen"/>
      <selection pane="topRight" activeCell="D1" sqref="D1"/>
      <selection pane="bottomLeft" activeCell="A8" sqref="A8"/>
      <selection pane="bottomRight" activeCell="BI139" sqref="BI139"/>
    </sheetView>
  </sheetViews>
  <sheetFormatPr defaultRowHeight="14.25" customHeight="1" outlineLevelRow="2" outlineLevelCol="1"/>
  <cols>
    <col min="1" max="1" width="1.5703125" customWidth="1"/>
    <col min="2" max="2" width="44.7109375" customWidth="1"/>
    <col min="3" max="3" width="1.7109375" customWidth="1"/>
    <col min="4" max="35" width="11.42578125" hidden="1" customWidth="1" outlineLevel="1"/>
    <col min="36" max="36" width="11.42578125" hidden="1" customWidth="1" outlineLevel="1" collapsed="1"/>
    <col min="37" max="51" width="11.42578125" hidden="1" customWidth="1" outlineLevel="1"/>
    <col min="52" max="52" width="11.42578125" hidden="1" customWidth="1" outlineLevel="1" collapsed="1"/>
    <col min="53" max="56" width="11.42578125" hidden="1" customWidth="1" outlineLevel="1"/>
    <col min="57" max="59" width="11.42578125" style="1043" hidden="1" customWidth="1" outlineLevel="1"/>
    <col min="60" max="60" width="11.42578125" style="1043" customWidth="1" collapsed="1"/>
    <col min="61" max="71" width="11.42578125" style="1043" customWidth="1"/>
    <col min="72" max="75" width="11.42578125" style="1043" hidden="1" customWidth="1" outlineLevel="1"/>
    <col min="76" max="76" width="2.7109375" customWidth="1" collapsed="1"/>
    <col min="77" max="82" width="11.42578125" hidden="1" customWidth="1" outlineLevel="1"/>
    <col min="83" max="88" width="11.42578125" style="1458" hidden="1" customWidth="1" outlineLevel="1"/>
    <col min="89" max="89" width="11.42578125" style="1043" hidden="1" customWidth="1" outlineLevel="1"/>
    <col min="90" max="90" width="12.140625" style="1043" hidden="1" customWidth="1" outlineLevel="1"/>
    <col min="91" max="91" width="12.140625" style="1043" customWidth="1" collapsed="1"/>
    <col min="92" max="93" width="12.140625" style="1043" customWidth="1"/>
    <col min="94" max="94" width="11.42578125" style="1043" hidden="1" customWidth="1" outlineLevel="1"/>
    <col min="95" max="95" width="11.42578125" customWidth="1" collapsed="1"/>
    <col min="96" max="96" width="44.5703125" hidden="1" customWidth="1" outlineLevel="1"/>
    <col min="97" max="101" width="9.140625" hidden="1" customWidth="1" outlineLevel="1"/>
    <col min="102" max="102" width="9.140625" customWidth="1" collapsed="1"/>
    <col min="103" max="103" width="9.140625" customWidth="1"/>
  </cols>
  <sheetData>
    <row r="1" spans="1:103" ht="67.5" customHeight="1">
      <c r="A1" s="2"/>
      <c r="B1" s="273"/>
      <c r="C1" s="2"/>
      <c r="D1" s="3"/>
      <c r="E1" s="2"/>
      <c r="F1" s="3"/>
      <c r="G1" s="2"/>
      <c r="H1" s="3"/>
      <c r="I1" s="2"/>
      <c r="J1" s="3"/>
      <c r="K1" s="2"/>
      <c r="L1" s="3"/>
      <c r="M1" s="2"/>
      <c r="N1" s="3"/>
      <c r="O1" s="2"/>
      <c r="P1" s="3"/>
      <c r="Q1" s="2"/>
      <c r="R1" s="3"/>
      <c r="S1" s="2"/>
      <c r="T1" s="3"/>
      <c r="U1" s="2"/>
      <c r="V1" s="3"/>
      <c r="W1" s="2"/>
      <c r="X1" s="3"/>
      <c r="Y1" s="2"/>
      <c r="Z1" s="3"/>
      <c r="AA1" s="2"/>
      <c r="AB1" s="3"/>
      <c r="AC1" s="2"/>
      <c r="AD1" s="3"/>
      <c r="AE1" s="2"/>
      <c r="AF1" s="3"/>
      <c r="AG1" s="2"/>
      <c r="AH1" s="3"/>
      <c r="AI1" s="2"/>
      <c r="AJ1" s="3"/>
      <c r="AK1" s="2"/>
      <c r="AL1" s="3"/>
      <c r="AM1" s="2"/>
      <c r="AN1" s="531"/>
      <c r="AO1" s="2"/>
      <c r="AP1" s="531"/>
      <c r="AQ1" s="2"/>
      <c r="AR1" s="3"/>
      <c r="AS1" s="2"/>
      <c r="AT1" s="3"/>
      <c r="AU1" s="2"/>
      <c r="AV1" s="3"/>
      <c r="AW1" s="2"/>
      <c r="AX1" s="3"/>
      <c r="AY1" s="2"/>
      <c r="AZ1" s="3"/>
      <c r="BA1" s="2"/>
      <c r="BB1" s="3"/>
      <c r="BC1" s="2"/>
      <c r="BD1" s="3"/>
      <c r="BE1" s="9"/>
      <c r="BF1" s="1195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3"/>
      <c r="BY1" s="3"/>
      <c r="BZ1" s="2"/>
      <c r="CA1" s="3"/>
      <c r="CB1" s="2"/>
      <c r="CC1" s="3"/>
      <c r="CD1" s="2"/>
      <c r="CE1" s="2"/>
      <c r="CF1" s="2"/>
      <c r="CG1" s="2"/>
      <c r="CH1" s="2"/>
      <c r="CI1" s="2"/>
      <c r="CJ1" s="2"/>
      <c r="CK1" s="1195"/>
      <c r="CL1" s="1195"/>
      <c r="CM1" s="1195"/>
      <c r="CN1" s="1195"/>
      <c r="CO1" s="1195"/>
      <c r="CP1" s="1195"/>
      <c r="CQ1" s="531"/>
    </row>
    <row r="2" spans="1:103" ht="18" customHeight="1">
      <c r="A2" s="2"/>
      <c r="B2" s="5" t="s">
        <v>338</v>
      </c>
      <c r="C2" s="5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1490"/>
      <c r="AO2" s="1490"/>
      <c r="AP2" s="1490"/>
      <c r="AQ2" s="1490"/>
      <c r="AR2" s="1490"/>
      <c r="AS2" s="1490"/>
      <c r="AT2" s="1490"/>
      <c r="AU2" s="1037"/>
      <c r="AV2" s="2"/>
      <c r="AW2" s="1037"/>
      <c r="AX2" s="1037"/>
      <c r="AY2" s="956"/>
      <c r="AZ2" s="2"/>
      <c r="BA2" s="2"/>
      <c r="BB2" s="1082"/>
      <c r="BC2" s="956"/>
      <c r="BD2" s="1242"/>
      <c r="BE2" s="1219"/>
      <c r="BF2" s="1220"/>
      <c r="BG2" s="1220"/>
      <c r="BH2" s="1220"/>
      <c r="BI2" s="1220"/>
      <c r="BJ2" s="1219"/>
      <c r="BK2" s="1220"/>
      <c r="BL2" s="1389"/>
      <c r="BM2" s="1389"/>
      <c r="BN2" s="1220"/>
      <c r="BO2" s="1220"/>
      <c r="BP2" s="1220"/>
      <c r="BQ2" s="1435"/>
      <c r="BR2" s="1220"/>
      <c r="BS2" s="1220"/>
      <c r="BT2" s="1220"/>
      <c r="BU2" s="1435"/>
      <c r="BV2" s="1220"/>
      <c r="BW2" s="1220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9"/>
      <c r="CL2" s="1042"/>
      <c r="CM2" s="1042"/>
      <c r="CN2" s="1042"/>
      <c r="CO2" s="1042"/>
      <c r="CP2" s="1042"/>
      <c r="CQ2" s="160"/>
    </row>
    <row r="3" spans="1:103" ht="14.25" customHeight="1">
      <c r="A3" s="2"/>
      <c r="B3" s="470" t="s">
        <v>598</v>
      </c>
      <c r="C3" s="2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2"/>
      <c r="AN3" s="1038"/>
      <c r="AO3" s="1038"/>
      <c r="AP3" s="1038"/>
      <c r="AQ3" s="1038"/>
      <c r="AR3" s="1038"/>
      <c r="AS3" s="1038"/>
      <c r="AT3" s="1038"/>
      <c r="AU3" s="1038"/>
      <c r="AV3" s="2"/>
      <c r="AW3" s="52"/>
      <c r="AX3" s="52"/>
      <c r="AY3" s="52"/>
      <c r="AZ3" s="2"/>
      <c r="BA3" s="2"/>
      <c r="BB3" s="7"/>
      <c r="BC3" s="52"/>
      <c r="BD3" s="1265"/>
      <c r="BE3" s="1042"/>
      <c r="BF3" s="432"/>
      <c r="BG3" s="432"/>
      <c r="BH3" s="432"/>
      <c r="BI3" s="432"/>
      <c r="BJ3" s="1042"/>
      <c r="BK3" s="432"/>
      <c r="BL3" s="432"/>
      <c r="BM3" s="432"/>
      <c r="BN3" s="432"/>
      <c r="BO3" s="432"/>
      <c r="BP3" s="432"/>
      <c r="BQ3" s="432"/>
      <c r="BR3" s="432"/>
      <c r="BS3" s="432"/>
      <c r="BT3" s="432"/>
      <c r="BU3" s="432"/>
      <c r="BV3" s="432"/>
      <c r="BW3" s="43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9"/>
      <c r="CL3" s="257"/>
      <c r="CM3" s="257"/>
      <c r="CN3" s="257"/>
      <c r="CO3" s="257"/>
      <c r="CP3" s="257"/>
      <c r="CQ3" s="160"/>
    </row>
    <row r="4" spans="1:103" ht="14.25" customHeight="1">
      <c r="A4" s="2"/>
      <c r="B4" s="454"/>
      <c r="C4" s="2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2"/>
      <c r="AN4" s="578"/>
      <c r="AO4" s="520"/>
      <c r="AP4" s="580"/>
      <c r="AQ4" s="520"/>
      <c r="AR4" s="520"/>
      <c r="AS4" s="520"/>
      <c r="AT4" s="520"/>
      <c r="AU4" s="520"/>
      <c r="AV4" s="417"/>
      <c r="AW4" s="520"/>
      <c r="AX4" s="520"/>
      <c r="AY4" s="520"/>
      <c r="AZ4" s="417"/>
      <c r="BA4" s="417"/>
      <c r="BB4" s="417"/>
      <c r="BC4" s="520"/>
      <c r="BD4" s="1279"/>
      <c r="BE4" s="484"/>
      <c r="BF4" s="484"/>
      <c r="BG4" s="484"/>
      <c r="BH4" s="484"/>
      <c r="BI4" s="484"/>
      <c r="BJ4" s="484"/>
      <c r="BK4" s="484"/>
      <c r="BL4" s="484"/>
      <c r="BM4" s="484"/>
      <c r="BN4" s="484"/>
      <c r="BO4" s="484"/>
      <c r="BP4" s="484"/>
      <c r="BQ4" s="484"/>
      <c r="BR4" s="484"/>
      <c r="BS4" s="484"/>
      <c r="BT4" s="484"/>
      <c r="BU4" s="484"/>
      <c r="BV4" s="484"/>
      <c r="BW4" s="484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484"/>
      <c r="CL4" s="1196"/>
      <c r="CM4" s="1424"/>
      <c r="CN4" s="1424"/>
      <c r="CO4" s="1424"/>
      <c r="CP4" s="1424"/>
      <c r="CQ4" s="1424"/>
      <c r="CX4" s="1424"/>
      <c r="CY4" s="1424"/>
    </row>
    <row r="5" spans="1:103" ht="14.25" customHeight="1">
      <c r="A5" s="9"/>
      <c r="B5" s="455" t="s">
        <v>494</v>
      </c>
      <c r="C5" s="11"/>
      <c r="D5" s="18" t="s">
        <v>24</v>
      </c>
      <c r="E5" s="19" t="s">
        <v>26</v>
      </c>
      <c r="F5" s="19" t="s">
        <v>28</v>
      </c>
      <c r="G5" s="19" t="s">
        <v>30</v>
      </c>
      <c r="H5" s="18" t="s">
        <v>32</v>
      </c>
      <c r="I5" s="19" t="s">
        <v>34</v>
      </c>
      <c r="J5" s="19" t="s">
        <v>36</v>
      </c>
      <c r="K5" s="19" t="s">
        <v>38</v>
      </c>
      <c r="L5" s="18" t="s">
        <v>437</v>
      </c>
      <c r="M5" s="19" t="s">
        <v>438</v>
      </c>
      <c r="N5" s="19" t="s">
        <v>439</v>
      </c>
      <c r="O5" s="19" t="s">
        <v>440</v>
      </c>
      <c r="P5" s="18" t="s">
        <v>441</v>
      </c>
      <c r="Q5" s="19" t="s">
        <v>442</v>
      </c>
      <c r="R5" s="19" t="s">
        <v>443</v>
      </c>
      <c r="S5" s="19" t="s">
        <v>444</v>
      </c>
      <c r="T5" s="18" t="s">
        <v>445</v>
      </c>
      <c r="U5" s="19" t="s">
        <v>446</v>
      </c>
      <c r="V5" s="19" t="s">
        <v>447</v>
      </c>
      <c r="W5" s="19" t="s">
        <v>448</v>
      </c>
      <c r="X5" s="18" t="s">
        <v>449</v>
      </c>
      <c r="Y5" s="19" t="s">
        <v>450</v>
      </c>
      <c r="Z5" s="19" t="s">
        <v>451</v>
      </c>
      <c r="AA5" s="19" t="s">
        <v>452</v>
      </c>
      <c r="AB5" s="18" t="s">
        <v>453</v>
      </c>
      <c r="AC5" s="19" t="s">
        <v>454</v>
      </c>
      <c r="AD5" s="19" t="s">
        <v>455</v>
      </c>
      <c r="AE5" s="19" t="s">
        <v>456</v>
      </c>
      <c r="AF5" s="18" t="s">
        <v>457</v>
      </c>
      <c r="AG5" s="19" t="s">
        <v>458</v>
      </c>
      <c r="AH5" s="19" t="s">
        <v>459</v>
      </c>
      <c r="AI5" s="19" t="s">
        <v>460</v>
      </c>
      <c r="AJ5" s="18" t="s">
        <v>461</v>
      </c>
      <c r="AK5" s="19" t="s">
        <v>462</v>
      </c>
      <c r="AL5" s="19" t="s">
        <v>463</v>
      </c>
      <c r="AM5" s="19" t="s">
        <v>464</v>
      </c>
      <c r="AN5" s="18" t="s">
        <v>465</v>
      </c>
      <c r="AO5" s="19" t="s">
        <v>485</v>
      </c>
      <c r="AP5" s="19" t="s">
        <v>493</v>
      </c>
      <c r="AQ5" s="20" t="s">
        <v>64</v>
      </c>
      <c r="AR5" s="18" t="s">
        <v>2</v>
      </c>
      <c r="AS5" s="19" t="s">
        <v>3</v>
      </c>
      <c r="AT5" s="19" t="s">
        <v>4</v>
      </c>
      <c r="AU5" s="19" t="s">
        <v>5</v>
      </c>
      <c r="AV5" s="18" t="s">
        <v>19</v>
      </c>
      <c r="AW5" s="19" t="s">
        <v>21</v>
      </c>
      <c r="AX5" s="19" t="s">
        <v>12</v>
      </c>
      <c r="AY5" s="20" t="s">
        <v>587</v>
      </c>
      <c r="AZ5" s="19" t="s">
        <v>594</v>
      </c>
      <c r="BA5" s="19" t="s">
        <v>17</v>
      </c>
      <c r="BB5" s="19" t="s">
        <v>604</v>
      </c>
      <c r="BC5" s="20" t="s">
        <v>608</v>
      </c>
      <c r="BD5" s="19" t="s">
        <v>628</v>
      </c>
      <c r="BE5" s="1247" t="s">
        <v>629</v>
      </c>
      <c r="BF5" s="1247" t="s">
        <v>630</v>
      </c>
      <c r="BG5" s="1247" t="s">
        <v>632</v>
      </c>
      <c r="BH5" s="1299" t="s">
        <v>660</v>
      </c>
      <c r="BI5" s="1300" t="s">
        <v>662</v>
      </c>
      <c r="BJ5" s="1391" t="s">
        <v>664</v>
      </c>
      <c r="BK5" s="1391" t="s">
        <v>676</v>
      </c>
      <c r="BL5" s="1390" t="s">
        <v>610</v>
      </c>
      <c r="BM5" s="1391" t="s">
        <v>611</v>
      </c>
      <c r="BN5" s="1391" t="s">
        <v>612</v>
      </c>
      <c r="BO5" s="1392" t="s">
        <v>613</v>
      </c>
      <c r="BP5" s="1390" t="s">
        <v>651</v>
      </c>
      <c r="BQ5" s="1391" t="s">
        <v>652</v>
      </c>
      <c r="BR5" s="1391" t="s">
        <v>653</v>
      </c>
      <c r="BS5" s="1392" t="s">
        <v>654</v>
      </c>
      <c r="BT5" s="1390" t="s">
        <v>666</v>
      </c>
      <c r="BU5" s="1391" t="s">
        <v>667</v>
      </c>
      <c r="BV5" s="1391" t="s">
        <v>668</v>
      </c>
      <c r="BW5" s="1392" t="s">
        <v>669</v>
      </c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257"/>
      <c r="CL5" s="257"/>
      <c r="CM5" s="257"/>
      <c r="CN5" s="257"/>
      <c r="CO5" s="257"/>
      <c r="CP5" s="257"/>
      <c r="CQ5" s="257"/>
      <c r="CX5" s="257"/>
      <c r="CY5" s="257"/>
    </row>
    <row r="6" spans="1:103" ht="14.25" customHeight="1">
      <c r="A6" s="9"/>
      <c r="B6" s="456" t="s">
        <v>317</v>
      </c>
      <c r="C6" s="14"/>
      <c r="D6" s="446">
        <v>37711</v>
      </c>
      <c r="E6" s="446">
        <v>37802</v>
      </c>
      <c r="F6" s="446">
        <v>37894</v>
      </c>
      <c r="G6" s="446">
        <v>37986</v>
      </c>
      <c r="H6" s="447">
        <v>38077</v>
      </c>
      <c r="I6" s="446">
        <v>38168</v>
      </c>
      <c r="J6" s="446">
        <v>38260</v>
      </c>
      <c r="K6" s="446">
        <v>38352</v>
      </c>
      <c r="L6" s="447">
        <v>38442</v>
      </c>
      <c r="M6" s="446">
        <v>38533</v>
      </c>
      <c r="N6" s="446">
        <v>38625</v>
      </c>
      <c r="O6" s="446">
        <v>38717</v>
      </c>
      <c r="P6" s="447">
        <v>38807</v>
      </c>
      <c r="Q6" s="446">
        <v>38898</v>
      </c>
      <c r="R6" s="446">
        <v>38990</v>
      </c>
      <c r="S6" s="446">
        <v>39082</v>
      </c>
      <c r="T6" s="447">
        <v>39172</v>
      </c>
      <c r="U6" s="446">
        <v>39263</v>
      </c>
      <c r="V6" s="446">
        <v>39355</v>
      </c>
      <c r="W6" s="446">
        <v>39447</v>
      </c>
      <c r="X6" s="447">
        <v>39538</v>
      </c>
      <c r="Y6" s="446">
        <v>39629</v>
      </c>
      <c r="Z6" s="446">
        <v>39721</v>
      </c>
      <c r="AA6" s="446">
        <v>39813</v>
      </c>
      <c r="AB6" s="447">
        <v>39903</v>
      </c>
      <c r="AC6" s="446">
        <v>39994</v>
      </c>
      <c r="AD6" s="446">
        <v>40086</v>
      </c>
      <c r="AE6" s="446">
        <v>40178</v>
      </c>
      <c r="AF6" s="447">
        <v>40268</v>
      </c>
      <c r="AG6" s="446">
        <v>40359</v>
      </c>
      <c r="AH6" s="446">
        <v>40451</v>
      </c>
      <c r="AI6" s="446">
        <v>40543</v>
      </c>
      <c r="AJ6" s="447">
        <v>40633</v>
      </c>
      <c r="AK6" s="446">
        <v>40724</v>
      </c>
      <c r="AL6" s="446">
        <v>40816</v>
      </c>
      <c r="AM6" s="446">
        <v>40908</v>
      </c>
      <c r="AN6" s="447">
        <v>40999</v>
      </c>
      <c r="AO6" s="446">
        <v>41090</v>
      </c>
      <c r="AP6" s="446">
        <v>41182</v>
      </c>
      <c r="AQ6" s="448">
        <v>41274</v>
      </c>
      <c r="AR6" s="447">
        <v>41364</v>
      </c>
      <c r="AS6" s="446">
        <v>41455</v>
      </c>
      <c r="AT6" s="446">
        <v>41547</v>
      </c>
      <c r="AU6" s="446">
        <v>41639</v>
      </c>
      <c r="AV6" s="447">
        <v>41729</v>
      </c>
      <c r="AW6" s="446">
        <v>41820</v>
      </c>
      <c r="AX6" s="446">
        <v>41912</v>
      </c>
      <c r="AY6" s="448">
        <v>42004</v>
      </c>
      <c r="AZ6" s="446">
        <v>42094</v>
      </c>
      <c r="BA6" s="446">
        <v>42185</v>
      </c>
      <c r="BB6" s="446">
        <v>42277</v>
      </c>
      <c r="BC6" s="448">
        <v>42369</v>
      </c>
      <c r="BD6" s="446">
        <v>42460</v>
      </c>
      <c r="BE6" s="1259">
        <v>42551</v>
      </c>
      <c r="BF6" s="1259">
        <v>42643</v>
      </c>
      <c r="BG6" s="1259">
        <v>42735</v>
      </c>
      <c r="BH6" s="1303">
        <v>42825</v>
      </c>
      <c r="BI6" s="1302">
        <v>42916</v>
      </c>
      <c r="BJ6" s="1398">
        <v>43008</v>
      </c>
      <c r="BK6" s="1398">
        <v>43100</v>
      </c>
      <c r="BL6" s="1399">
        <v>43190</v>
      </c>
      <c r="BM6" s="1398">
        <v>43281</v>
      </c>
      <c r="BN6" s="1398">
        <v>43373</v>
      </c>
      <c r="BO6" s="1400">
        <v>43465</v>
      </c>
      <c r="BP6" s="1399">
        <v>43555</v>
      </c>
      <c r="BQ6" s="1398">
        <v>43646</v>
      </c>
      <c r="BR6" s="1398">
        <v>43738</v>
      </c>
      <c r="BS6" s="1400">
        <v>43830</v>
      </c>
      <c r="BT6" s="1399">
        <v>43921</v>
      </c>
      <c r="BU6" s="1398">
        <v>44012</v>
      </c>
      <c r="BV6" s="1398">
        <v>44104</v>
      </c>
      <c r="BW6" s="1400">
        <v>44196</v>
      </c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1197"/>
      <c r="CM6" s="1197"/>
      <c r="CN6" s="1197"/>
      <c r="CO6" s="1197"/>
      <c r="CP6" s="1197"/>
      <c r="CQ6" s="15"/>
    </row>
    <row r="7" spans="1:103" ht="14.25" customHeight="1">
      <c r="A7" s="9"/>
      <c r="B7" s="457"/>
      <c r="C7" s="17"/>
      <c r="D7" s="19" t="s">
        <v>25</v>
      </c>
      <c r="E7" s="19" t="s">
        <v>27</v>
      </c>
      <c r="F7" s="19" t="s">
        <v>29</v>
      </c>
      <c r="G7" s="19" t="s">
        <v>31</v>
      </c>
      <c r="H7" s="18" t="s">
        <v>33</v>
      </c>
      <c r="I7" s="19" t="s">
        <v>35</v>
      </c>
      <c r="J7" s="19" t="s">
        <v>37</v>
      </c>
      <c r="K7" s="19" t="s">
        <v>39</v>
      </c>
      <c r="L7" s="18" t="s">
        <v>466</v>
      </c>
      <c r="M7" s="19" t="s">
        <v>467</v>
      </c>
      <c r="N7" s="19" t="s">
        <v>468</v>
      </c>
      <c r="O7" s="19" t="s">
        <v>469</v>
      </c>
      <c r="P7" s="18" t="s">
        <v>470</v>
      </c>
      <c r="Q7" s="19" t="s">
        <v>471</v>
      </c>
      <c r="R7" s="19" t="s">
        <v>472</v>
      </c>
      <c r="S7" s="19" t="s">
        <v>473</v>
      </c>
      <c r="T7" s="18" t="s">
        <v>375</v>
      </c>
      <c r="U7" s="19" t="s">
        <v>376</v>
      </c>
      <c r="V7" s="19" t="s">
        <v>377</v>
      </c>
      <c r="W7" s="19" t="s">
        <v>378</v>
      </c>
      <c r="X7" s="18" t="s">
        <v>379</v>
      </c>
      <c r="Y7" s="19" t="s">
        <v>380</v>
      </c>
      <c r="Z7" s="19" t="s">
        <v>381</v>
      </c>
      <c r="AA7" s="19" t="s">
        <v>382</v>
      </c>
      <c r="AB7" s="18" t="s">
        <v>383</v>
      </c>
      <c r="AC7" s="19" t="s">
        <v>384</v>
      </c>
      <c r="AD7" s="19" t="s">
        <v>385</v>
      </c>
      <c r="AE7" s="19" t="s">
        <v>386</v>
      </c>
      <c r="AF7" s="18" t="s">
        <v>387</v>
      </c>
      <c r="AG7" s="19" t="s">
        <v>388</v>
      </c>
      <c r="AH7" s="19" t="s">
        <v>389</v>
      </c>
      <c r="AI7" s="19" t="s">
        <v>390</v>
      </c>
      <c r="AJ7" s="18" t="s">
        <v>391</v>
      </c>
      <c r="AK7" s="19" t="s">
        <v>392</v>
      </c>
      <c r="AL7" s="19" t="s">
        <v>474</v>
      </c>
      <c r="AM7" s="19" t="s">
        <v>475</v>
      </c>
      <c r="AN7" s="18" t="s">
        <v>476</v>
      </c>
      <c r="AO7" s="19" t="s">
        <v>484</v>
      </c>
      <c r="AP7" s="19" t="s">
        <v>492</v>
      </c>
      <c r="AQ7" s="20" t="s">
        <v>65</v>
      </c>
      <c r="AR7" s="18" t="s">
        <v>584</v>
      </c>
      <c r="AS7" s="19" t="s">
        <v>585</v>
      </c>
      <c r="AT7" s="19" t="s">
        <v>586</v>
      </c>
      <c r="AU7" s="19" t="s">
        <v>6</v>
      </c>
      <c r="AV7" s="18" t="s">
        <v>18</v>
      </c>
      <c r="AW7" s="19" t="s">
        <v>22</v>
      </c>
      <c r="AX7" s="19" t="s">
        <v>13</v>
      </c>
      <c r="AY7" s="20" t="s">
        <v>588</v>
      </c>
      <c r="AZ7" s="18" t="s">
        <v>595</v>
      </c>
      <c r="BA7" s="19" t="s">
        <v>602</v>
      </c>
      <c r="BB7" s="19" t="s">
        <v>603</v>
      </c>
      <c r="BC7" s="20" t="s">
        <v>607</v>
      </c>
      <c r="BD7" s="19" t="s">
        <v>620</v>
      </c>
      <c r="BE7" s="1247" t="s">
        <v>621</v>
      </c>
      <c r="BF7" s="1247" t="s">
        <v>631</v>
      </c>
      <c r="BG7" s="1247" t="s">
        <v>633</v>
      </c>
      <c r="BH7" s="1299" t="s">
        <v>659</v>
      </c>
      <c r="BI7" s="1300" t="s">
        <v>663</v>
      </c>
      <c r="BJ7" s="1391" t="s">
        <v>665</v>
      </c>
      <c r="BK7" s="1391" t="s">
        <v>677</v>
      </c>
      <c r="BL7" s="1390" t="s">
        <v>614</v>
      </c>
      <c r="BM7" s="1401" t="s">
        <v>615</v>
      </c>
      <c r="BN7" s="1401" t="s">
        <v>616</v>
      </c>
      <c r="BO7" s="1392" t="s">
        <v>617</v>
      </c>
      <c r="BP7" s="1390" t="s">
        <v>647</v>
      </c>
      <c r="BQ7" s="1401" t="s">
        <v>648</v>
      </c>
      <c r="BR7" s="1401" t="s">
        <v>649</v>
      </c>
      <c r="BS7" s="1392" t="s">
        <v>650</v>
      </c>
      <c r="BT7" s="1390" t="s">
        <v>670</v>
      </c>
      <c r="BU7" s="1401" t="s">
        <v>671</v>
      </c>
      <c r="BV7" s="1401" t="s">
        <v>672</v>
      </c>
      <c r="BW7" s="1392" t="s">
        <v>673</v>
      </c>
      <c r="BX7" s="211"/>
      <c r="BY7" s="19" t="s">
        <v>336</v>
      </c>
      <c r="BZ7" s="19" t="s">
        <v>337</v>
      </c>
      <c r="CA7" s="19" t="s">
        <v>477</v>
      </c>
      <c r="CB7" s="19" t="s">
        <v>478</v>
      </c>
      <c r="CC7" s="19" t="s">
        <v>393</v>
      </c>
      <c r="CD7" s="19" t="s">
        <v>394</v>
      </c>
      <c r="CE7" s="1391" t="s">
        <v>395</v>
      </c>
      <c r="CF7" s="1391" t="s">
        <v>396</v>
      </c>
      <c r="CG7" s="1391" t="s">
        <v>479</v>
      </c>
      <c r="CH7" s="1391" t="s">
        <v>495</v>
      </c>
      <c r="CI7" s="1391" t="s">
        <v>16</v>
      </c>
      <c r="CJ7" s="1391" t="s">
        <v>593</v>
      </c>
      <c r="CK7" s="1391" t="s">
        <v>609</v>
      </c>
      <c r="CL7" s="1391" t="s">
        <v>661</v>
      </c>
      <c r="CM7" s="1391" t="s">
        <v>678</v>
      </c>
      <c r="CN7" s="1391" t="s">
        <v>399</v>
      </c>
      <c r="CO7" s="1391" t="s">
        <v>400</v>
      </c>
      <c r="CP7" s="1392" t="s">
        <v>674</v>
      </c>
      <c r="CQ7" s="22"/>
    </row>
    <row r="8" spans="1:103" ht="14.25" customHeight="1">
      <c r="A8" s="426"/>
      <c r="B8" s="453" t="s">
        <v>172</v>
      </c>
      <c r="C8" s="427"/>
      <c r="D8" s="589">
        <v>269.5</v>
      </c>
      <c r="E8" s="589">
        <v>256.2</v>
      </c>
      <c r="F8" s="589">
        <v>264.8</v>
      </c>
      <c r="G8" s="622">
        <v>278.60000000000002</v>
      </c>
      <c r="H8" s="626">
        <v>308.2</v>
      </c>
      <c r="I8" s="589">
        <v>333.5</v>
      </c>
      <c r="J8" s="589">
        <v>318.39999999999998</v>
      </c>
      <c r="K8" s="622">
        <v>306.8</v>
      </c>
      <c r="L8" s="626">
        <v>302.39999999999998</v>
      </c>
      <c r="M8" s="589">
        <v>302.8</v>
      </c>
      <c r="N8" s="589">
        <v>313.60000000000002</v>
      </c>
      <c r="O8" s="622">
        <v>341.8</v>
      </c>
      <c r="P8" s="626">
        <v>334</v>
      </c>
      <c r="Q8" s="589">
        <v>375.3</v>
      </c>
      <c r="R8" s="589">
        <v>420.9</v>
      </c>
      <c r="S8" s="622">
        <v>401.6</v>
      </c>
      <c r="T8" s="626">
        <v>374.2</v>
      </c>
      <c r="U8" s="589">
        <v>381.2</v>
      </c>
      <c r="V8" s="589">
        <v>402.9</v>
      </c>
      <c r="W8" s="622">
        <v>407.9</v>
      </c>
      <c r="X8" s="626">
        <v>421.9</v>
      </c>
      <c r="Y8" s="589">
        <v>562.70000000000005</v>
      </c>
      <c r="Z8" s="589">
        <v>581.5</v>
      </c>
      <c r="AA8" s="622">
        <v>488.7</v>
      </c>
      <c r="AB8" s="626">
        <v>379.1</v>
      </c>
      <c r="AC8" s="589">
        <v>419.8</v>
      </c>
      <c r="AD8" s="589">
        <v>472.9</v>
      </c>
      <c r="AE8" s="622">
        <v>497.1</v>
      </c>
      <c r="AF8" s="626">
        <v>550.20000000000005</v>
      </c>
      <c r="AG8" s="589">
        <v>583.29999999999995</v>
      </c>
      <c r="AH8" s="589">
        <v>600.70000000000005</v>
      </c>
      <c r="AI8" s="622">
        <v>579.20000000000005</v>
      </c>
      <c r="AJ8" s="626">
        <v>870.6</v>
      </c>
      <c r="AK8" s="589">
        <v>905.8</v>
      </c>
      <c r="AL8" s="589">
        <v>898</v>
      </c>
      <c r="AM8" s="622">
        <v>767.9</v>
      </c>
      <c r="AN8" s="626">
        <v>744.4</v>
      </c>
      <c r="AO8" s="589">
        <v>744.8</v>
      </c>
      <c r="AP8" s="589">
        <v>725.5</v>
      </c>
      <c r="AQ8" s="590">
        <v>680.2</v>
      </c>
      <c r="AR8" s="626">
        <v>661</v>
      </c>
      <c r="AS8" s="589">
        <v>688.3</v>
      </c>
      <c r="AT8" s="589">
        <v>715.4</v>
      </c>
      <c r="AU8" s="622">
        <v>718</v>
      </c>
      <c r="AV8" s="1069">
        <v>706.5</v>
      </c>
      <c r="AW8" s="622">
        <v>757.6</v>
      </c>
      <c r="AX8" s="1085">
        <v>833.5</v>
      </c>
      <c r="AY8" s="590">
        <v>864.2</v>
      </c>
      <c r="AZ8" s="626">
        <v>870.8</v>
      </c>
      <c r="BA8" s="589">
        <v>880.5</v>
      </c>
      <c r="BB8" s="1085">
        <v>904.2</v>
      </c>
      <c r="BC8" s="590">
        <v>840.3</v>
      </c>
      <c r="BD8" s="626">
        <v>817.2</v>
      </c>
      <c r="BE8" s="589">
        <v>877.8</v>
      </c>
      <c r="BF8" s="589">
        <v>950.9</v>
      </c>
      <c r="BG8" s="590">
        <v>1261</v>
      </c>
      <c r="BH8" s="626">
        <v>1436.7</v>
      </c>
      <c r="BI8" s="589">
        <v>1338</v>
      </c>
      <c r="BJ8" s="589">
        <v>1390.9</v>
      </c>
      <c r="BK8" s="590">
        <v>1377.5</v>
      </c>
      <c r="BL8" s="1243">
        <f>'Segment Results'!BL76</f>
        <v>1369.8570000000002</v>
      </c>
      <c r="BM8" s="1206">
        <f>'Segment Results'!BM76</f>
        <v>1428.3854699999999</v>
      </c>
      <c r="BN8" s="1206">
        <f>'Segment Results'!BN76</f>
        <v>1462.1209246000001</v>
      </c>
      <c r="BO8" s="1207">
        <f>'Segment Results'!BO76</f>
        <v>1436.2157754979999</v>
      </c>
      <c r="BP8" s="1243">
        <f>'Segment Results'!BP76</f>
        <v>1428.2476192559</v>
      </c>
      <c r="BQ8" s="1206">
        <f>'Segment Results'!BQ76</f>
        <v>1481.625145527059</v>
      </c>
      <c r="BR8" s="1206">
        <f>'Segment Results'!BR76</f>
        <v>1513.799568262451</v>
      </c>
      <c r="BS8" s="1207">
        <f>'Segment Results'!BS76</f>
        <v>1487.5019898772639</v>
      </c>
      <c r="BT8" s="1243">
        <f>'Segment Results'!BT76</f>
        <v>1481.3892830431141</v>
      </c>
      <c r="BU8" s="1206">
        <f>'Segment Results'!BU76</f>
        <v>1536.6192424277208</v>
      </c>
      <c r="BV8" s="1206">
        <f>'Segment Results'!BV76</f>
        <v>1568.4983613978361</v>
      </c>
      <c r="BW8" s="1207">
        <f>'Segment Results'!BW76</f>
        <v>1541.799580271286</v>
      </c>
      <c r="BX8" s="1186"/>
      <c r="BY8" s="615">
        <f>SUM(D8:G8)</f>
        <v>1069.0999999999999</v>
      </c>
      <c r="BZ8" s="615">
        <f>SUM(H8:K8)</f>
        <v>1266.9000000000001</v>
      </c>
      <c r="CA8" s="615">
        <f>SUM(L8:O8)</f>
        <v>1260.6000000000001</v>
      </c>
      <c r="CB8" s="615">
        <f>SUM(P8:S8)</f>
        <v>1531.7999999999997</v>
      </c>
      <c r="CC8" s="615">
        <f>SUM(T8:W8)</f>
        <v>1566.1999999999998</v>
      </c>
      <c r="CD8" s="615">
        <f>SUM(X8:AA8)</f>
        <v>2054.7999999999997</v>
      </c>
      <c r="CE8" s="615">
        <f>SUM(AB8:AE8)</f>
        <v>1768.9</v>
      </c>
      <c r="CF8" s="615">
        <f>SUM(AF8:AI8)</f>
        <v>2313.4</v>
      </c>
      <c r="CG8" s="615">
        <f>SUM(AJ8:AM8)</f>
        <v>3442.3</v>
      </c>
      <c r="CH8" s="615">
        <f>SUM(AN8:AQ8)</f>
        <v>2894.8999999999996</v>
      </c>
      <c r="CI8" s="615">
        <f>SUM(AR8:AU8)</f>
        <v>2782.7</v>
      </c>
      <c r="CJ8" s="615">
        <f>SUM(AV8:AY8)</f>
        <v>3161.8</v>
      </c>
      <c r="CK8" s="615">
        <f>SUM(AZ8:BC8)</f>
        <v>3495.8</v>
      </c>
      <c r="CL8" s="1206">
        <f>SUM(BD8:BG8)</f>
        <v>3906.9</v>
      </c>
      <c r="CM8" s="1206">
        <f>SUM(BH8:BK8)</f>
        <v>5543.1</v>
      </c>
      <c r="CN8" s="1206">
        <f>SUM(BL8:BO8)</f>
        <v>5696.5791700979998</v>
      </c>
      <c r="CO8" s="1206">
        <f>SUM(BP8:BS8)</f>
        <v>5911.174322922674</v>
      </c>
      <c r="CP8" s="1194">
        <f>SUM(BT8:BW8)</f>
        <v>6128.3064671399561</v>
      </c>
      <c r="CQ8" s="1465"/>
    </row>
    <row r="9" spans="1:103" ht="14.25" hidden="1" customHeight="1" outlineLevel="1">
      <c r="A9" s="428"/>
      <c r="B9" s="458" t="s">
        <v>367</v>
      </c>
      <c r="C9" s="429"/>
      <c r="D9" s="430"/>
      <c r="E9" s="430"/>
      <c r="F9" s="583"/>
      <c r="G9" s="623"/>
      <c r="H9" s="431"/>
      <c r="I9" s="430"/>
      <c r="J9" s="583"/>
      <c r="K9" s="623"/>
      <c r="L9" s="431"/>
      <c r="M9" s="430"/>
      <c r="N9" s="583"/>
      <c r="O9" s="623"/>
      <c r="P9" s="431"/>
      <c r="Q9" s="430"/>
      <c r="R9" s="583"/>
      <c r="S9" s="623"/>
      <c r="T9" s="431"/>
      <c r="U9" s="430"/>
      <c r="V9" s="583"/>
      <c r="W9" s="623"/>
      <c r="X9" s="431"/>
      <c r="Y9" s="430"/>
      <c r="Z9" s="583"/>
      <c r="AA9" s="623"/>
      <c r="AB9" s="431"/>
      <c r="AC9" s="430"/>
      <c r="AD9" s="583"/>
      <c r="AE9" s="623"/>
      <c r="AF9" s="431"/>
      <c r="AG9" s="430"/>
      <c r="AH9" s="583"/>
      <c r="AI9" s="623"/>
      <c r="AJ9" s="431"/>
      <c r="AK9" s="430"/>
      <c r="AL9" s="583"/>
      <c r="AM9" s="623"/>
      <c r="AN9" s="431"/>
      <c r="AO9" s="430"/>
      <c r="AP9" s="583"/>
      <c r="AQ9" s="584"/>
      <c r="AR9" s="431"/>
      <c r="AS9" s="430"/>
      <c r="AT9" s="583"/>
      <c r="AU9" s="623"/>
      <c r="AV9" s="431"/>
      <c r="AW9" s="430"/>
      <c r="AX9" s="583"/>
      <c r="AY9" s="584"/>
      <c r="AZ9" s="431"/>
      <c r="BA9" s="430"/>
      <c r="BB9" s="583"/>
      <c r="BC9" s="584"/>
      <c r="BD9" s="431"/>
      <c r="BE9" s="1208"/>
      <c r="BF9" s="1208"/>
      <c r="BG9" s="584"/>
      <c r="BH9" s="431"/>
      <c r="BI9" s="1208"/>
      <c r="BJ9" s="1208"/>
      <c r="BK9" s="584"/>
      <c r="BL9" s="1258"/>
      <c r="BM9" s="1257"/>
      <c r="BN9" s="1257"/>
      <c r="BO9" s="1263"/>
      <c r="BP9" s="1258"/>
      <c r="BQ9" s="1257"/>
      <c r="BR9" s="1257"/>
      <c r="BS9" s="1263"/>
      <c r="BT9" s="1258"/>
      <c r="BU9" s="1257"/>
      <c r="BV9" s="1257"/>
      <c r="BW9" s="1263"/>
      <c r="BX9" s="1187"/>
      <c r="BY9" s="585"/>
      <c r="BZ9" s="585"/>
      <c r="CA9" s="585"/>
      <c r="CB9" s="585"/>
      <c r="CC9" s="585"/>
      <c r="CD9" s="585"/>
      <c r="CE9" s="585"/>
      <c r="CF9" s="585"/>
      <c r="CG9" s="585"/>
      <c r="CH9" s="585"/>
      <c r="CI9" s="585"/>
      <c r="CJ9" s="585"/>
      <c r="CK9" s="585"/>
      <c r="CL9" s="585"/>
      <c r="CM9" s="585"/>
      <c r="CN9" s="585"/>
      <c r="CO9" s="585"/>
      <c r="CP9" s="586"/>
      <c r="CQ9" s="1466"/>
    </row>
    <row r="10" spans="1:103" ht="14.25" customHeight="1" collapsed="1">
      <c r="A10" s="9"/>
      <c r="B10" s="459" t="s">
        <v>480</v>
      </c>
      <c r="C10" s="33"/>
      <c r="D10" s="34"/>
      <c r="E10" s="34">
        <f>E8/D8-1</f>
        <v>-4.9350649350649367E-2</v>
      </c>
      <c r="F10" s="34">
        <f t="shared" ref="F10:BA10" si="0">F8/E8-1</f>
        <v>3.3567525370804097E-2</v>
      </c>
      <c r="G10" s="34">
        <f t="shared" si="0"/>
        <v>5.2114803625377792E-2</v>
      </c>
      <c r="H10" s="36">
        <f t="shared" si="0"/>
        <v>0.10624551328068899</v>
      </c>
      <c r="I10" s="34">
        <f t="shared" si="0"/>
        <v>8.2089552238806096E-2</v>
      </c>
      <c r="J10" s="34">
        <f t="shared" si="0"/>
        <v>-4.5277361319340348E-2</v>
      </c>
      <c r="K10" s="34">
        <f t="shared" si="0"/>
        <v>-3.6432160804020008E-2</v>
      </c>
      <c r="L10" s="36">
        <f t="shared" si="0"/>
        <v>-1.4341590612777178E-2</v>
      </c>
      <c r="M10" s="34">
        <f t="shared" si="0"/>
        <v>1.3227513227513921E-3</v>
      </c>
      <c r="N10" s="34">
        <f t="shared" si="0"/>
        <v>3.566710700132103E-2</v>
      </c>
      <c r="O10" s="34">
        <f t="shared" si="0"/>
        <v>8.9923469387755084E-2</v>
      </c>
      <c r="P10" s="36">
        <f t="shared" si="0"/>
        <v>-2.2820362785254567E-2</v>
      </c>
      <c r="Q10" s="34">
        <f t="shared" si="0"/>
        <v>0.12365269461077855</v>
      </c>
      <c r="R10" s="34">
        <f t="shared" si="0"/>
        <v>0.1215027977617904</v>
      </c>
      <c r="S10" s="34">
        <f t="shared" si="0"/>
        <v>-4.5854122119268093E-2</v>
      </c>
      <c r="T10" s="36">
        <f t="shared" si="0"/>
        <v>-6.8227091633466186E-2</v>
      </c>
      <c r="U10" s="34">
        <f t="shared" si="0"/>
        <v>1.8706574024585754E-2</v>
      </c>
      <c r="V10" s="34">
        <f t="shared" si="0"/>
        <v>5.6925498426023013E-2</v>
      </c>
      <c r="W10" s="34">
        <f t="shared" si="0"/>
        <v>1.2410027302059978E-2</v>
      </c>
      <c r="X10" s="36">
        <f t="shared" si="0"/>
        <v>3.432213777886739E-2</v>
      </c>
      <c r="Y10" s="34">
        <f t="shared" si="0"/>
        <v>0.33372837165205049</v>
      </c>
      <c r="Z10" s="34">
        <f t="shared" si="0"/>
        <v>3.3410342989159236E-2</v>
      </c>
      <c r="AA10" s="34">
        <f t="shared" si="0"/>
        <v>-0.15958727429062769</v>
      </c>
      <c r="AB10" s="36">
        <f t="shared" si="0"/>
        <v>-0.22426846736238992</v>
      </c>
      <c r="AC10" s="34">
        <f t="shared" si="0"/>
        <v>0.10735953574254808</v>
      </c>
      <c r="AD10" s="34">
        <f t="shared" si="0"/>
        <v>0.12648880419247255</v>
      </c>
      <c r="AE10" s="34">
        <f t="shared" si="0"/>
        <v>5.1173609642630735E-2</v>
      </c>
      <c r="AF10" s="36">
        <f t="shared" si="0"/>
        <v>0.10681955340977667</v>
      </c>
      <c r="AG10" s="34">
        <f t="shared" si="0"/>
        <v>6.0159941839331044E-2</v>
      </c>
      <c r="AH10" s="34">
        <f t="shared" si="0"/>
        <v>2.9830276015772483E-2</v>
      </c>
      <c r="AI10" s="34">
        <f t="shared" si="0"/>
        <v>-3.579157649409026E-2</v>
      </c>
      <c r="AJ10" s="36">
        <f t="shared" si="0"/>
        <v>0.50310773480662974</v>
      </c>
      <c r="AK10" s="34">
        <f t="shared" si="0"/>
        <v>4.0431886055593669E-2</v>
      </c>
      <c r="AL10" s="34">
        <f t="shared" si="0"/>
        <v>-8.6111724442481385E-3</v>
      </c>
      <c r="AM10" s="34">
        <f t="shared" si="0"/>
        <v>-0.14487750556792878</v>
      </c>
      <c r="AN10" s="36">
        <f t="shared" si="0"/>
        <v>-3.0602943091548429E-2</v>
      </c>
      <c r="AO10" s="34">
        <f t="shared" si="0"/>
        <v>5.3734551316497736E-4</v>
      </c>
      <c r="AP10" s="34">
        <f t="shared" si="0"/>
        <v>-2.5912996777658348E-2</v>
      </c>
      <c r="AQ10" s="34">
        <f t="shared" si="0"/>
        <v>-6.243969676085448E-2</v>
      </c>
      <c r="AR10" s="36">
        <f t="shared" si="0"/>
        <v>-2.8226992061158529E-2</v>
      </c>
      <c r="AS10" s="34">
        <f t="shared" si="0"/>
        <v>4.1301059001512819E-2</v>
      </c>
      <c r="AT10" s="34">
        <f t="shared" si="0"/>
        <v>3.9372366700566541E-2</v>
      </c>
      <c r="AU10" s="34">
        <f t="shared" si="0"/>
        <v>3.6343304445065616E-3</v>
      </c>
      <c r="AV10" s="36">
        <f t="shared" si="0"/>
        <v>-1.6016713091921986E-2</v>
      </c>
      <c r="AW10" s="34">
        <f t="shared" si="0"/>
        <v>7.2328379334748893E-2</v>
      </c>
      <c r="AX10" s="34">
        <f>AX8/AW8-1</f>
        <v>0.1001847940865892</v>
      </c>
      <c r="AY10" s="35">
        <f t="shared" si="0"/>
        <v>3.6832633473305343E-2</v>
      </c>
      <c r="AZ10" s="36">
        <f t="shared" si="0"/>
        <v>7.6371210367969233E-3</v>
      </c>
      <c r="BA10" s="34">
        <f t="shared" si="0"/>
        <v>1.1139182361047384E-2</v>
      </c>
      <c r="BB10" s="34">
        <f t="shared" ref="BB10:BK10" si="1">BB8/BA8-1</f>
        <v>2.691652470187389E-2</v>
      </c>
      <c r="BC10" s="35">
        <f t="shared" si="1"/>
        <v>-7.0670205706702127E-2</v>
      </c>
      <c r="BD10" s="36">
        <f t="shared" si="1"/>
        <v>-2.7490182077829273E-2</v>
      </c>
      <c r="BE10" s="34">
        <f t="shared" si="1"/>
        <v>7.4155653450807435E-2</v>
      </c>
      <c r="BF10" s="34">
        <f t="shared" si="1"/>
        <v>8.3276372750056948E-2</v>
      </c>
      <c r="BG10" s="35">
        <f t="shared" si="1"/>
        <v>0.32611210432222104</v>
      </c>
      <c r="BH10" s="36">
        <f t="shared" si="1"/>
        <v>0.13933386201427433</v>
      </c>
      <c r="BI10" s="1393">
        <f t="shared" si="1"/>
        <v>-6.8699102108999766E-2</v>
      </c>
      <c r="BJ10" s="1393">
        <f t="shared" ref="BJ10:BO10" si="2">BJ8/BI8-1</f>
        <v>3.9536621823617502E-2</v>
      </c>
      <c r="BK10" s="1394">
        <f t="shared" si="1"/>
        <v>-9.6340498957510068E-3</v>
      </c>
      <c r="BL10" s="1175">
        <f t="shared" si="2"/>
        <v>-5.5484573502720957E-3</v>
      </c>
      <c r="BM10" s="1173">
        <f t="shared" si="2"/>
        <v>4.2725970667011115E-2</v>
      </c>
      <c r="BN10" s="1173">
        <f t="shared" si="2"/>
        <v>2.361789258469571E-2</v>
      </c>
      <c r="BO10" s="1174">
        <f t="shared" si="2"/>
        <v>-1.7717514787012001E-2</v>
      </c>
      <c r="BP10" s="1175">
        <f t="shared" ref="BP10" si="3">BP8/BO8-1</f>
        <v>-5.5480216678005512E-3</v>
      </c>
      <c r="BQ10" s="1173">
        <f t="shared" ref="BQ10" si="4">BQ8/BP8-1</f>
        <v>3.7372739538657829E-2</v>
      </c>
      <c r="BR10" s="1173">
        <f t="shared" ref="BR10" si="5">BR8/BQ8-1</f>
        <v>2.1715629511637857E-2</v>
      </c>
      <c r="BS10" s="1174">
        <f t="shared" ref="BS10" si="6">BS8/BR8-1</f>
        <v>-1.7371902421250973E-2</v>
      </c>
      <c r="BT10" s="1175">
        <f t="shared" ref="BT10" si="7">BT8/BS8-1</f>
        <v>-4.1093772483989932E-3</v>
      </c>
      <c r="BU10" s="1173">
        <f t="shared" ref="BU10" si="8">BU8/BT8-1</f>
        <v>3.7282542824362608E-2</v>
      </c>
      <c r="BV10" s="1173">
        <f t="shared" ref="BV10" si="9">BV8/BU8-1</f>
        <v>2.0746270832681546E-2</v>
      </c>
      <c r="BW10" s="1174">
        <f t="shared" ref="BW10" si="10">BW8/BV8-1</f>
        <v>-1.7021873776620566E-2</v>
      </c>
      <c r="BX10" s="211"/>
      <c r="BY10" s="585"/>
      <c r="BZ10" s="585"/>
      <c r="CA10" s="585"/>
      <c r="CB10" s="585"/>
      <c r="CC10" s="585"/>
      <c r="CD10" s="585"/>
      <c r="CE10" s="585"/>
      <c r="CF10" s="585"/>
      <c r="CG10" s="585"/>
      <c r="CH10" s="585"/>
      <c r="CI10" s="585"/>
      <c r="CJ10" s="585"/>
      <c r="CK10" s="585"/>
      <c r="CL10" s="585"/>
      <c r="CM10" s="585"/>
      <c r="CN10" s="585"/>
      <c r="CO10" s="585"/>
      <c r="CP10" s="586"/>
      <c r="CQ10" s="22"/>
    </row>
    <row r="11" spans="1:103" ht="14.25" customHeight="1">
      <c r="A11" s="9"/>
      <c r="B11" s="459" t="s">
        <v>404</v>
      </c>
      <c r="C11" s="33"/>
      <c r="D11" s="34"/>
      <c r="E11" s="34"/>
      <c r="F11" s="585"/>
      <c r="G11" s="585"/>
      <c r="H11" s="36">
        <f>H8/D8-1</f>
        <v>0.14359925788497208</v>
      </c>
      <c r="I11" s="34">
        <f t="shared" ref="I11:BB11" si="11">I8/E8-1</f>
        <v>0.30171740827478533</v>
      </c>
      <c r="J11" s="34">
        <f t="shared" si="11"/>
        <v>0.20241691842900278</v>
      </c>
      <c r="K11" s="34">
        <f t="shared" si="11"/>
        <v>0.10122038765254837</v>
      </c>
      <c r="L11" s="36">
        <f t="shared" si="11"/>
        <v>-1.8818948734588004E-2</v>
      </c>
      <c r="M11" s="34">
        <f t="shared" si="11"/>
        <v>-9.2053973013493273E-2</v>
      </c>
      <c r="N11" s="34">
        <f t="shared" si="11"/>
        <v>-1.5075376884421954E-2</v>
      </c>
      <c r="O11" s="34">
        <f t="shared" si="11"/>
        <v>0.11408083441981742</v>
      </c>
      <c r="P11" s="36">
        <f t="shared" si="11"/>
        <v>0.10449735449735464</v>
      </c>
      <c r="Q11" s="34">
        <f t="shared" si="11"/>
        <v>0.23943196829590496</v>
      </c>
      <c r="R11" s="34">
        <f t="shared" si="11"/>
        <v>0.34215561224489788</v>
      </c>
      <c r="S11" s="34">
        <f t="shared" si="11"/>
        <v>0.17495611468695138</v>
      </c>
      <c r="T11" s="36">
        <f t="shared" si="11"/>
        <v>0.12035928143712571</v>
      </c>
      <c r="U11" s="34">
        <f t="shared" si="11"/>
        <v>1.5720756727950924E-2</v>
      </c>
      <c r="V11" s="34">
        <f t="shared" si="11"/>
        <v>-4.2765502494654273E-2</v>
      </c>
      <c r="W11" s="34">
        <f t="shared" si="11"/>
        <v>1.5687250996015756E-2</v>
      </c>
      <c r="X11" s="36">
        <f t="shared" si="11"/>
        <v>0.12747194013896301</v>
      </c>
      <c r="Y11" s="34">
        <f t="shared" si="11"/>
        <v>0.47612801678908734</v>
      </c>
      <c r="Z11" s="34">
        <f t="shared" si="11"/>
        <v>0.44328617522958558</v>
      </c>
      <c r="AA11" s="34">
        <f t="shared" si="11"/>
        <v>0.19808776660946315</v>
      </c>
      <c r="AB11" s="36">
        <f t="shared" si="11"/>
        <v>-0.10144584024650383</v>
      </c>
      <c r="AC11" s="34">
        <f t="shared" si="11"/>
        <v>-0.25395414963568508</v>
      </c>
      <c r="AD11" s="34">
        <f t="shared" si="11"/>
        <v>-0.18675838349097162</v>
      </c>
      <c r="AE11" s="34">
        <f t="shared" si="11"/>
        <v>1.7188459177409632E-2</v>
      </c>
      <c r="AF11" s="36">
        <f t="shared" si="11"/>
        <v>0.45133210234766552</v>
      </c>
      <c r="AG11" s="34">
        <f t="shared" si="11"/>
        <v>0.38947117675083365</v>
      </c>
      <c r="AH11" s="34">
        <f t="shared" si="11"/>
        <v>0.27024740960033844</v>
      </c>
      <c r="AI11" s="34">
        <f t="shared" si="11"/>
        <v>0.16515791591229134</v>
      </c>
      <c r="AJ11" s="36">
        <f t="shared" si="11"/>
        <v>0.58233369683751346</v>
      </c>
      <c r="AK11" s="34">
        <f t="shared" si="11"/>
        <v>0.55288873649922854</v>
      </c>
      <c r="AL11" s="34">
        <f t="shared" si="11"/>
        <v>0.49492259031130326</v>
      </c>
      <c r="AM11" s="34">
        <f t="shared" si="11"/>
        <v>0.32579419889502748</v>
      </c>
      <c r="AN11" s="36">
        <f t="shared" si="11"/>
        <v>-0.14495750057431667</v>
      </c>
      <c r="AO11" s="34">
        <f t="shared" si="11"/>
        <v>-0.1777434312210201</v>
      </c>
      <c r="AP11" s="34">
        <f t="shared" si="11"/>
        <v>-0.19209354120267264</v>
      </c>
      <c r="AQ11" s="34">
        <f t="shared" si="11"/>
        <v>-0.11420757911186341</v>
      </c>
      <c r="AR11" s="36">
        <f t="shared" si="11"/>
        <v>-0.11203653949489523</v>
      </c>
      <c r="AS11" s="34">
        <f t="shared" si="11"/>
        <v>-7.5859291084855007E-2</v>
      </c>
      <c r="AT11" s="34">
        <f t="shared" si="11"/>
        <v>-1.3921433494141988E-2</v>
      </c>
      <c r="AU11" s="34">
        <f t="shared" si="11"/>
        <v>5.5571890620405684E-2</v>
      </c>
      <c r="AV11" s="36">
        <f t="shared" si="11"/>
        <v>6.8835098335854772E-2</v>
      </c>
      <c r="AW11" s="34">
        <f t="shared" si="11"/>
        <v>0.10068284178410591</v>
      </c>
      <c r="AX11" s="34">
        <f t="shared" si="11"/>
        <v>0.16508247134470233</v>
      </c>
      <c r="AY11" s="35">
        <f t="shared" si="11"/>
        <v>0.20362116991643453</v>
      </c>
      <c r="AZ11" s="36">
        <f t="shared" si="11"/>
        <v>0.23255484784147207</v>
      </c>
      <c r="BA11" s="34">
        <f t="shared" si="11"/>
        <v>0.16222280887011609</v>
      </c>
      <c r="BB11" s="34">
        <f t="shared" si="11"/>
        <v>8.4823035392921575E-2</v>
      </c>
      <c r="BC11" s="35">
        <f t="shared" ref="BC11:BK11" si="12">BC8/AY8-1</f>
        <v>-2.7655635269613565E-2</v>
      </c>
      <c r="BD11" s="36">
        <f t="shared" si="12"/>
        <v>-6.1552595314653069E-2</v>
      </c>
      <c r="BE11" s="34">
        <f t="shared" si="12"/>
        <v>-3.0664395229983432E-3</v>
      </c>
      <c r="BF11" s="34">
        <f t="shared" si="12"/>
        <v>5.1647865516478486E-2</v>
      </c>
      <c r="BG11" s="35">
        <f t="shared" si="12"/>
        <v>0.50065452814471034</v>
      </c>
      <c r="BH11" s="36">
        <f t="shared" si="12"/>
        <v>0.75807635829662257</v>
      </c>
      <c r="BI11" s="1393">
        <f t="shared" si="12"/>
        <v>0.52426520847573488</v>
      </c>
      <c r="BJ11" s="1393">
        <f t="shared" ref="BJ11:BO11" si="13">BJ8/BF8-1</f>
        <v>0.46271952886738887</v>
      </c>
      <c r="BK11" s="1394">
        <f t="shared" si="12"/>
        <v>9.2386994448850013E-2</v>
      </c>
      <c r="BL11" s="1395">
        <f>BL8/(BH8-155.1)-1</f>
        <v>6.8864700374531962E-2</v>
      </c>
      <c r="BM11" s="1393">
        <f t="shared" si="13"/>
        <v>6.7552668161434903E-2</v>
      </c>
      <c r="BN11" s="1393">
        <f t="shared" si="13"/>
        <v>5.1204920986411606E-2</v>
      </c>
      <c r="BO11" s="1394">
        <f t="shared" si="13"/>
        <v>4.2624882394192376E-2</v>
      </c>
      <c r="BP11" s="1395">
        <f t="shared" ref="BP11" si="14">BP8/BL8-1</f>
        <v>4.2625339182045918E-2</v>
      </c>
      <c r="BQ11" s="1393">
        <f t="shared" ref="BQ11" si="15">BQ8/BM8-1</f>
        <v>3.7272624683769129E-2</v>
      </c>
      <c r="BR11" s="1393">
        <f t="shared" ref="BR11" si="16">BR8/BN8-1</f>
        <v>3.5344986035672044E-2</v>
      </c>
      <c r="BS11" s="1394">
        <f t="shared" ref="BS11" si="17">BS8/BO8-1</f>
        <v>3.570926824103493E-2</v>
      </c>
      <c r="BT11" s="1395">
        <f t="shared" ref="BT11" si="18">BT8/BP8-1</f>
        <v>3.7207598367921868E-2</v>
      </c>
      <c r="BU11" s="1393">
        <f t="shared" ref="BU11" si="19">BU8/BQ8-1</f>
        <v>3.7117416012198312E-2</v>
      </c>
      <c r="BV11" s="1393">
        <f t="shared" ref="BV11" si="20">BV8/BR8-1</f>
        <v>3.6133444798223113E-2</v>
      </c>
      <c r="BW11" s="1394">
        <f t="shared" ref="BW11" si="21">BW8/BS8-1</f>
        <v>3.6502532946865118E-2</v>
      </c>
      <c r="BX11" s="211"/>
      <c r="BY11" s="585"/>
      <c r="BZ11" s="34">
        <f>BZ8/BY8-1</f>
        <v>0.18501543354223204</v>
      </c>
      <c r="CA11" s="34">
        <f t="shared" ref="CA11:CH11" si="22">CA8/BZ8-1</f>
        <v>-4.9727681742836038E-3</v>
      </c>
      <c r="CB11" s="34">
        <f t="shared" si="22"/>
        <v>0.21513564969062315</v>
      </c>
      <c r="CC11" s="34">
        <f t="shared" si="22"/>
        <v>2.2457239848544308E-2</v>
      </c>
      <c r="CD11" s="34">
        <f t="shared" si="22"/>
        <v>0.31196526624952114</v>
      </c>
      <c r="CE11" s="1393">
        <f t="shared" si="22"/>
        <v>-0.13913762896632265</v>
      </c>
      <c r="CF11" s="1393">
        <f t="shared" si="22"/>
        <v>0.30781841822601619</v>
      </c>
      <c r="CG11" s="1393">
        <f t="shared" si="22"/>
        <v>0.48798305524336483</v>
      </c>
      <c r="CH11" s="1393">
        <f t="shared" si="22"/>
        <v>-0.15902158440577541</v>
      </c>
      <c r="CI11" s="1393">
        <f t="shared" ref="CI11:CK11" si="23">CI8/CH8-1</f>
        <v>-3.875781546858259E-2</v>
      </c>
      <c r="CJ11" s="1393">
        <f t="shared" si="23"/>
        <v>0.13623459230244017</v>
      </c>
      <c r="CK11" s="1393">
        <f t="shared" si="23"/>
        <v>0.10563603010943123</v>
      </c>
      <c r="CL11" s="1393">
        <f t="shared" ref="CL11" si="24">CL8/CK8-1</f>
        <v>0.11759826077006696</v>
      </c>
      <c r="CM11" s="1393">
        <f t="shared" ref="CM11" si="25">CM8/CL8-1</f>
        <v>0.41879751209398752</v>
      </c>
      <c r="CN11" s="1393">
        <f t="shared" ref="CN11:CP11" si="26">CN8/CM8-1</f>
        <v>2.7688327848676586E-2</v>
      </c>
      <c r="CO11" s="1393">
        <f t="shared" si="26"/>
        <v>3.7670880438405607E-2</v>
      </c>
      <c r="CP11" s="1394">
        <f t="shared" si="26"/>
        <v>3.6732488733292046E-2</v>
      </c>
      <c r="CQ11" s="22"/>
    </row>
    <row r="12" spans="1:103" ht="2.25" customHeight="1">
      <c r="A12" s="9"/>
      <c r="B12" s="460"/>
      <c r="C12" s="33"/>
      <c r="D12" s="34"/>
      <c r="E12" s="34"/>
      <c r="F12" s="585"/>
      <c r="G12" s="585"/>
      <c r="H12" s="36"/>
      <c r="I12" s="34"/>
      <c r="J12" s="34"/>
      <c r="K12" s="34"/>
      <c r="L12" s="36"/>
      <c r="M12" s="34"/>
      <c r="N12" s="34"/>
      <c r="O12" s="34"/>
      <c r="P12" s="36"/>
      <c r="Q12" s="34"/>
      <c r="R12" s="34"/>
      <c r="S12" s="34"/>
      <c r="T12" s="36"/>
      <c r="U12" s="34"/>
      <c r="V12" s="34"/>
      <c r="W12" s="34"/>
      <c r="X12" s="36"/>
      <c r="Y12" s="34"/>
      <c r="Z12" s="34"/>
      <c r="AA12" s="34"/>
      <c r="AB12" s="36"/>
      <c r="AC12" s="34"/>
      <c r="AD12" s="34"/>
      <c r="AE12" s="34"/>
      <c r="AF12" s="36"/>
      <c r="AG12" s="34"/>
      <c r="AH12" s="34"/>
      <c r="AI12" s="34"/>
      <c r="AJ12" s="36"/>
      <c r="AK12" s="34"/>
      <c r="AL12" s="34"/>
      <c r="AM12" s="34"/>
      <c r="AN12" s="36"/>
      <c r="AO12" s="34"/>
      <c r="AP12" s="34"/>
      <c r="AQ12" s="34"/>
      <c r="AR12" s="36"/>
      <c r="AS12" s="34"/>
      <c r="AT12" s="34"/>
      <c r="AU12" s="34"/>
      <c r="AV12" s="36"/>
      <c r="AW12" s="34"/>
      <c r="AX12" s="34"/>
      <c r="AY12" s="35"/>
      <c r="AZ12" s="36"/>
      <c r="BA12" s="34"/>
      <c r="BB12" s="34"/>
      <c r="BC12" s="35"/>
      <c r="BD12" s="36"/>
      <c r="BE12" s="34"/>
      <c r="BF12" s="34"/>
      <c r="BG12" s="35"/>
      <c r="BH12" s="36"/>
      <c r="BI12" s="1393"/>
      <c r="BJ12" s="1393"/>
      <c r="BK12" s="1394"/>
      <c r="BL12" s="1395"/>
      <c r="BM12" s="1393"/>
      <c r="BN12" s="1393"/>
      <c r="BO12" s="1394"/>
      <c r="BP12" s="1395"/>
      <c r="BQ12" s="1393"/>
      <c r="BR12" s="1393"/>
      <c r="BS12" s="1394"/>
      <c r="BT12" s="1395"/>
      <c r="BU12" s="1393"/>
      <c r="BV12" s="1393"/>
      <c r="BW12" s="1394"/>
      <c r="BX12" s="211"/>
      <c r="BY12" s="585"/>
      <c r="BZ12" s="34"/>
      <c r="CA12" s="34"/>
      <c r="CB12" s="34"/>
      <c r="CC12" s="34"/>
      <c r="CD12" s="34"/>
      <c r="CE12" s="1393"/>
      <c r="CF12" s="1393"/>
      <c r="CG12" s="1393"/>
      <c r="CH12" s="1393"/>
      <c r="CI12" s="1393"/>
      <c r="CJ12" s="1393"/>
      <c r="CK12" s="1393"/>
      <c r="CL12" s="1393"/>
      <c r="CM12" s="1393"/>
      <c r="CN12" s="1393"/>
      <c r="CO12" s="1393"/>
      <c r="CP12" s="1394"/>
      <c r="CQ12" s="22"/>
    </row>
    <row r="13" spans="1:103" ht="14.25" customHeight="1">
      <c r="A13" s="9"/>
      <c r="B13" s="459"/>
      <c r="C13" s="24"/>
      <c r="D13" s="39"/>
      <c r="E13" s="39"/>
      <c r="F13" s="581"/>
      <c r="G13" s="581"/>
      <c r="H13" s="41"/>
      <c r="I13" s="39"/>
      <c r="J13" s="581"/>
      <c r="K13" s="581"/>
      <c r="L13" s="41"/>
      <c r="M13" s="39"/>
      <c r="N13" s="581"/>
      <c r="O13" s="581"/>
      <c r="P13" s="41"/>
      <c r="Q13" s="39"/>
      <c r="R13" s="581"/>
      <c r="S13" s="581"/>
      <c r="T13" s="41"/>
      <c r="U13" s="39"/>
      <c r="V13" s="581"/>
      <c r="W13" s="581"/>
      <c r="X13" s="41"/>
      <c r="Y13" s="39"/>
      <c r="Z13" s="581"/>
      <c r="AA13" s="581"/>
      <c r="AB13" s="41"/>
      <c r="AC13" s="39"/>
      <c r="AD13" s="581"/>
      <c r="AE13" s="581"/>
      <c r="AF13" s="41"/>
      <c r="AG13" s="39"/>
      <c r="AH13" s="581"/>
      <c r="AI13" s="581"/>
      <c r="AJ13" s="41"/>
      <c r="AK13" s="39"/>
      <c r="AL13" s="581"/>
      <c r="AM13" s="581"/>
      <c r="AN13" s="41"/>
      <c r="AO13" s="39"/>
      <c r="AP13" s="581"/>
      <c r="AQ13" s="582"/>
      <c r="AR13" s="41"/>
      <c r="AS13" s="39"/>
      <c r="AT13" s="581"/>
      <c r="AU13" s="581"/>
      <c r="AV13" s="41"/>
      <c r="AW13" s="39"/>
      <c r="AX13" s="581"/>
      <c r="AY13" s="582"/>
      <c r="AZ13" s="41"/>
      <c r="BA13" s="39"/>
      <c r="BB13" s="581"/>
      <c r="BC13" s="582"/>
      <c r="BD13" s="41"/>
      <c r="BE13" s="39"/>
      <c r="BF13" s="39"/>
      <c r="BG13" s="582"/>
      <c r="BH13" s="41"/>
      <c r="BI13" s="39"/>
      <c r="BJ13" s="39"/>
      <c r="BK13" s="582"/>
      <c r="BL13" s="41"/>
      <c r="BM13" s="39"/>
      <c r="BN13" s="39"/>
      <c r="BO13" s="40"/>
      <c r="BP13" s="41"/>
      <c r="BQ13" s="39"/>
      <c r="BR13" s="39"/>
      <c r="BS13" s="40"/>
      <c r="BT13" s="41"/>
      <c r="BU13" s="39"/>
      <c r="BV13" s="39"/>
      <c r="BW13" s="40"/>
      <c r="BX13" s="211"/>
      <c r="BY13" s="616"/>
      <c r="BZ13" s="616"/>
      <c r="CA13" s="616"/>
      <c r="CB13" s="616"/>
      <c r="CC13" s="616"/>
      <c r="CD13" s="616"/>
      <c r="CE13" s="616"/>
      <c r="CF13" s="616"/>
      <c r="CG13" s="616"/>
      <c r="CH13" s="616"/>
      <c r="CI13" s="616"/>
      <c r="CJ13" s="616"/>
      <c r="CK13" s="616"/>
      <c r="CL13" s="616"/>
      <c r="CM13" s="616"/>
      <c r="CN13" s="616"/>
      <c r="CO13" s="616"/>
      <c r="CP13" s="587"/>
      <c r="CQ13" s="22"/>
    </row>
    <row r="14" spans="1:103" ht="14.25" customHeight="1">
      <c r="A14" s="475"/>
      <c r="B14" s="471" t="s">
        <v>303</v>
      </c>
      <c r="C14" s="476"/>
      <c r="D14" s="538">
        <v>194.7</v>
      </c>
      <c r="E14" s="538">
        <v>182.3</v>
      </c>
      <c r="F14" s="591">
        <v>191.2</v>
      </c>
      <c r="G14" s="591">
        <v>200.2</v>
      </c>
      <c r="H14" s="540">
        <v>212.3</v>
      </c>
      <c r="I14" s="538">
        <v>221.1</v>
      </c>
      <c r="J14" s="591">
        <v>215.4</v>
      </c>
      <c r="K14" s="591">
        <v>208.2</v>
      </c>
      <c r="L14" s="540">
        <v>206.2</v>
      </c>
      <c r="M14" s="538">
        <v>204.3</v>
      </c>
      <c r="N14" s="591">
        <v>209.5</v>
      </c>
      <c r="O14" s="591">
        <v>222.1</v>
      </c>
      <c r="P14" s="540">
        <v>216.3</v>
      </c>
      <c r="Q14" s="538">
        <v>222.1</v>
      </c>
      <c r="R14" s="591">
        <v>260.5</v>
      </c>
      <c r="S14" s="591">
        <v>243.9</v>
      </c>
      <c r="T14" s="540">
        <v>237.6</v>
      </c>
      <c r="U14" s="538">
        <v>235.2</v>
      </c>
      <c r="V14" s="591">
        <v>247.3</v>
      </c>
      <c r="W14" s="591">
        <v>255.6</v>
      </c>
      <c r="X14" s="540">
        <v>275.3</v>
      </c>
      <c r="Y14" s="538">
        <v>371.1</v>
      </c>
      <c r="Z14" s="591">
        <v>359.9</v>
      </c>
      <c r="AA14" s="591">
        <v>303</v>
      </c>
      <c r="AB14" s="540">
        <v>267</v>
      </c>
      <c r="AC14" s="538">
        <v>281.60000000000002</v>
      </c>
      <c r="AD14" s="591">
        <v>297.10000000000002</v>
      </c>
      <c r="AE14" s="591">
        <v>302.5</v>
      </c>
      <c r="AF14" s="540">
        <v>322.10000000000002</v>
      </c>
      <c r="AG14" s="538">
        <v>339.5</v>
      </c>
      <c r="AH14" s="591">
        <v>354.2</v>
      </c>
      <c r="AI14" s="591">
        <v>341.6</v>
      </c>
      <c r="AJ14" s="540">
        <v>628.20000000000005</v>
      </c>
      <c r="AK14" s="538">
        <v>639.70000000000005</v>
      </c>
      <c r="AL14" s="591">
        <v>636.9</v>
      </c>
      <c r="AM14" s="591">
        <v>528.70000000000005</v>
      </c>
      <c r="AN14" s="540">
        <v>499.2</v>
      </c>
      <c r="AO14" s="538">
        <v>486.5</v>
      </c>
      <c r="AP14" s="591">
        <v>487.5</v>
      </c>
      <c r="AQ14" s="592">
        <v>469.8</v>
      </c>
      <c r="AR14" s="540">
        <v>456.5</v>
      </c>
      <c r="AS14" s="538">
        <v>456.5</v>
      </c>
      <c r="AT14" s="591">
        <v>466.2</v>
      </c>
      <c r="AU14" s="591">
        <v>465.1</v>
      </c>
      <c r="AV14" s="540">
        <v>455.7</v>
      </c>
      <c r="AW14" s="538">
        <v>484.6</v>
      </c>
      <c r="AX14" s="591">
        <v>549.4</v>
      </c>
      <c r="AY14" s="592">
        <v>586.5</v>
      </c>
      <c r="AZ14" s="540">
        <v>570.4</v>
      </c>
      <c r="BA14" s="538">
        <v>576.1</v>
      </c>
      <c r="BB14" s="591">
        <v>595.70000000000005</v>
      </c>
      <c r="BC14" s="592">
        <v>560.4</v>
      </c>
      <c r="BD14" s="540">
        <v>541.70000000000005</v>
      </c>
      <c r="BE14" s="538">
        <v>569.9</v>
      </c>
      <c r="BF14" s="538">
        <v>621.9</v>
      </c>
      <c r="BG14" s="592">
        <v>876.5</v>
      </c>
      <c r="BH14" s="540">
        <v>933.4</v>
      </c>
      <c r="BI14" s="538">
        <v>845.9</v>
      </c>
      <c r="BJ14" s="538">
        <v>866.7</v>
      </c>
      <c r="BK14" s="592">
        <v>863.3</v>
      </c>
      <c r="BL14" s="1210">
        <f>BL8-'Segment Results'!BL95</f>
        <v>854.05501100000015</v>
      </c>
      <c r="BM14" s="1209">
        <f>BM8-'Segment Results'!BM95</f>
        <v>886.21207798</v>
      </c>
      <c r="BN14" s="1209">
        <f>BN8-'Segment Results'!BN95</f>
        <v>906.33433184329999</v>
      </c>
      <c r="BO14" s="1211">
        <f>BO8-'Segment Results'!BO95</f>
        <v>892.60167987972875</v>
      </c>
      <c r="BP14" s="1210">
        <f>BP8-'Segment Results'!BP95</f>
        <v>887.83270051552313</v>
      </c>
      <c r="BQ14" s="1209">
        <f>BQ8-'Segment Results'!BQ95</f>
        <v>914.84951923961444</v>
      </c>
      <c r="BR14" s="1209">
        <f>BR8-'Segment Results'!BR95</f>
        <v>925.19986990018765</v>
      </c>
      <c r="BS14" s="1211">
        <f>BS8-'Segment Results'!BS95</f>
        <v>909.1806040982741</v>
      </c>
      <c r="BT14" s="1210">
        <f>BT8-'Segment Results'!BT95</f>
        <v>914.23229271773744</v>
      </c>
      <c r="BU14" s="1209">
        <f>BU8-'Segment Results'!BU95</f>
        <v>941.91118517144128</v>
      </c>
      <c r="BV14" s="1209">
        <f>BV8-'Segment Results'!BV95</f>
        <v>951.31719363715649</v>
      </c>
      <c r="BW14" s="1211">
        <f>BW8-'Segment Results'!BW95</f>
        <v>935.23963868441865</v>
      </c>
      <c r="BX14" s="1177"/>
      <c r="BY14" s="603">
        <f>SUM(D14:G14)</f>
        <v>768.40000000000009</v>
      </c>
      <c r="BZ14" s="603">
        <f>SUM(H14:K14)</f>
        <v>857</v>
      </c>
      <c r="CA14" s="603">
        <f>SUM(L14:O14)</f>
        <v>842.1</v>
      </c>
      <c r="CB14" s="603">
        <f>SUM(P14:S14)</f>
        <v>942.8</v>
      </c>
      <c r="CC14" s="603">
        <f>SUM(T14:W14)</f>
        <v>975.69999999999993</v>
      </c>
      <c r="CD14" s="603">
        <f>SUM(X14:AA14)</f>
        <v>1309.3000000000002</v>
      </c>
      <c r="CE14" s="1412">
        <f>SUM(AB14:AE14)</f>
        <v>1148.2</v>
      </c>
      <c r="CF14" s="1412">
        <f>SUM(AF14:AI14)</f>
        <v>1357.4</v>
      </c>
      <c r="CG14" s="1412">
        <f>SUM(AJ14:AM14)</f>
        <v>2433.5</v>
      </c>
      <c r="CH14" s="1412">
        <f>SUM(AN14:AQ14)</f>
        <v>1943</v>
      </c>
      <c r="CI14" s="1412">
        <f>SUM(AR14:AU14)</f>
        <v>1844.3000000000002</v>
      </c>
      <c r="CJ14" s="1412">
        <f>SUM(AV14:AY14)</f>
        <v>2076.1999999999998</v>
      </c>
      <c r="CK14" s="1412">
        <f>SUM(AZ14:BC14)</f>
        <v>2302.6</v>
      </c>
      <c r="CL14" s="1412">
        <f>SUM(BD14:BG14)</f>
        <v>2610</v>
      </c>
      <c r="CM14" s="1412">
        <f>SUM(BH14:BK14)</f>
        <v>3509.3</v>
      </c>
      <c r="CN14" s="1412">
        <f>SUM(BL14:BO14)</f>
        <v>3539.2031007030287</v>
      </c>
      <c r="CO14" s="1412">
        <f>SUM(BP14:BS14)</f>
        <v>3637.0626937535994</v>
      </c>
      <c r="CP14" s="1413">
        <f>SUM(BT14:BW14)</f>
        <v>3742.7003102107537</v>
      </c>
      <c r="CQ14" s="1467"/>
    </row>
    <row r="15" spans="1:103" ht="5.25" customHeight="1">
      <c r="A15" s="432"/>
      <c r="B15" s="453"/>
      <c r="C15" s="433"/>
      <c r="D15" s="27"/>
      <c r="E15" s="27"/>
      <c r="F15" s="593"/>
      <c r="G15" s="593"/>
      <c r="H15" s="493"/>
      <c r="I15" s="27"/>
      <c r="J15" s="593"/>
      <c r="K15" s="593"/>
      <c r="L15" s="493"/>
      <c r="M15" s="27"/>
      <c r="N15" s="593"/>
      <c r="O15" s="593"/>
      <c r="P15" s="493"/>
      <c r="Q15" s="27"/>
      <c r="R15" s="593"/>
      <c r="S15" s="593"/>
      <c r="T15" s="493"/>
      <c r="U15" s="27"/>
      <c r="V15" s="593"/>
      <c r="W15" s="593"/>
      <c r="X15" s="493"/>
      <c r="Y15" s="27"/>
      <c r="Z15" s="593"/>
      <c r="AA15" s="593"/>
      <c r="AB15" s="493"/>
      <c r="AC15" s="27"/>
      <c r="AD15" s="593"/>
      <c r="AE15" s="593"/>
      <c r="AF15" s="493"/>
      <c r="AG15" s="27"/>
      <c r="AH15" s="593"/>
      <c r="AI15" s="593"/>
      <c r="AJ15" s="493"/>
      <c r="AK15" s="27"/>
      <c r="AL15" s="593"/>
      <c r="AM15" s="593"/>
      <c r="AN15" s="493"/>
      <c r="AO15" s="27"/>
      <c r="AP15" s="593"/>
      <c r="AQ15" s="594"/>
      <c r="AR15" s="493"/>
      <c r="AS15" s="27"/>
      <c r="AT15" s="593"/>
      <c r="AU15" s="593"/>
      <c r="AV15" s="493"/>
      <c r="AW15" s="27"/>
      <c r="AX15" s="593"/>
      <c r="AY15" s="594"/>
      <c r="AZ15" s="493"/>
      <c r="BA15" s="27"/>
      <c r="BB15" s="593"/>
      <c r="BC15" s="594"/>
      <c r="BD15" s="493"/>
      <c r="BE15" s="27"/>
      <c r="BF15" s="536"/>
      <c r="BG15" s="594"/>
      <c r="BH15" s="1178"/>
      <c r="BI15" s="536"/>
      <c r="BJ15" s="27"/>
      <c r="BK15" s="536"/>
      <c r="BL15" s="1178"/>
      <c r="BM15" s="536"/>
      <c r="BN15" s="536"/>
      <c r="BO15" s="1070"/>
      <c r="BP15" s="1178"/>
      <c r="BQ15" s="536"/>
      <c r="BR15" s="536"/>
      <c r="BS15" s="1070"/>
      <c r="BT15" s="1178"/>
      <c r="BU15" s="536"/>
      <c r="BV15" s="536"/>
      <c r="BW15" s="1070"/>
      <c r="BX15" s="1236"/>
      <c r="BY15" s="595"/>
      <c r="BZ15" s="595"/>
      <c r="CA15" s="595"/>
      <c r="CB15" s="595"/>
      <c r="CC15" s="595"/>
      <c r="CD15" s="595"/>
      <c r="CE15" s="1408"/>
      <c r="CF15" s="1408"/>
      <c r="CG15" s="1408"/>
      <c r="CH15" s="1408"/>
      <c r="CI15" s="1408"/>
      <c r="CJ15" s="1408"/>
      <c r="CK15" s="1408"/>
      <c r="CL15" s="1408"/>
      <c r="CM15" s="1408"/>
      <c r="CN15" s="1408"/>
      <c r="CO15" s="1408"/>
      <c r="CP15" s="1409"/>
      <c r="CQ15" s="1468"/>
    </row>
    <row r="16" spans="1:103" ht="14.25" customHeight="1">
      <c r="A16" s="432"/>
      <c r="B16" s="460" t="s">
        <v>623</v>
      </c>
      <c r="C16" s="433"/>
      <c r="D16" s="27"/>
      <c r="E16" s="27"/>
      <c r="F16" s="593"/>
      <c r="G16" s="593"/>
      <c r="H16" s="493"/>
      <c r="I16" s="27"/>
      <c r="J16" s="593"/>
      <c r="K16" s="593"/>
      <c r="L16" s="493"/>
      <c r="M16" s="27"/>
      <c r="N16" s="593"/>
      <c r="O16" s="593"/>
      <c r="P16" s="493"/>
      <c r="Q16" s="27"/>
      <c r="R16" s="593"/>
      <c r="S16" s="593"/>
      <c r="T16" s="493"/>
      <c r="U16" s="27"/>
      <c r="V16" s="593"/>
      <c r="W16" s="593"/>
      <c r="X16" s="493"/>
      <c r="Y16" s="27"/>
      <c r="Z16" s="593"/>
      <c r="AA16" s="593"/>
      <c r="AB16" s="493"/>
      <c r="AC16" s="27"/>
      <c r="AD16" s="593"/>
      <c r="AE16" s="593"/>
      <c r="AF16" s="493"/>
      <c r="AG16" s="27"/>
      <c r="AH16" s="593"/>
      <c r="AI16" s="593"/>
      <c r="AJ16" s="493"/>
      <c r="AK16" s="27"/>
      <c r="AL16" s="593"/>
      <c r="AM16" s="593"/>
      <c r="AN16" s="493"/>
      <c r="AO16" s="27"/>
      <c r="AP16" s="593"/>
      <c r="AQ16" s="594"/>
      <c r="AR16" s="493"/>
      <c r="AS16" s="27"/>
      <c r="AT16" s="593"/>
      <c r="AU16" s="593"/>
      <c r="AV16" s="493"/>
      <c r="AW16" s="27"/>
      <c r="AX16" s="593"/>
      <c r="AY16" s="594"/>
      <c r="AZ16" s="493"/>
      <c r="BA16" s="27"/>
      <c r="BB16" s="593"/>
      <c r="BC16" s="594"/>
      <c r="BD16" s="493"/>
      <c r="BE16" s="27"/>
      <c r="BF16" s="27"/>
      <c r="BG16" s="594">
        <v>1</v>
      </c>
      <c r="BH16" s="1232">
        <v>1</v>
      </c>
      <c r="BI16" s="1221">
        <v>2</v>
      </c>
      <c r="BJ16" s="27">
        <v>5</v>
      </c>
      <c r="BK16" s="1221">
        <v>7.5</v>
      </c>
      <c r="BL16" s="1232">
        <v>10</v>
      </c>
      <c r="BM16" s="1221">
        <v>12.5</v>
      </c>
      <c r="BN16" s="1221">
        <v>15</v>
      </c>
      <c r="BO16" s="1222">
        <v>17.5</v>
      </c>
      <c r="BP16" s="1232">
        <v>10</v>
      </c>
      <c r="BQ16" s="1221">
        <v>12.5</v>
      </c>
      <c r="BR16" s="1221">
        <v>15</v>
      </c>
      <c r="BS16" s="1222">
        <v>17.5</v>
      </c>
      <c r="BT16" s="1232">
        <v>10</v>
      </c>
      <c r="BU16" s="1221">
        <v>12.5</v>
      </c>
      <c r="BV16" s="1221">
        <v>15</v>
      </c>
      <c r="BW16" s="1222">
        <v>17.5</v>
      </c>
      <c r="BX16" s="1236"/>
      <c r="BY16" s="595"/>
      <c r="BZ16" s="595"/>
      <c r="CA16" s="595"/>
      <c r="CB16" s="595"/>
      <c r="CC16" s="595"/>
      <c r="CD16" s="595"/>
      <c r="CE16" s="1408"/>
      <c r="CF16" s="1408"/>
      <c r="CG16" s="1408"/>
      <c r="CH16" s="1408"/>
      <c r="CI16" s="1408"/>
      <c r="CJ16" s="1408"/>
      <c r="CK16" s="1408"/>
      <c r="CL16" s="1206">
        <f>SUM(BD16:BG16)</f>
        <v>1</v>
      </c>
      <c r="CM16" s="1206">
        <f>SUM(BH16:BK16)</f>
        <v>15.5</v>
      </c>
      <c r="CN16" s="1206">
        <f>SUM(BL16:BO16)</f>
        <v>55</v>
      </c>
      <c r="CO16" s="1206">
        <f>SUM(BP16:BS16)</f>
        <v>55</v>
      </c>
      <c r="CP16" s="1194">
        <f>SUM(BT16:BW16)</f>
        <v>55</v>
      </c>
      <c r="CQ16" s="1468"/>
    </row>
    <row r="17" spans="1:95" ht="3.75" customHeight="1">
      <c r="A17" s="432"/>
      <c r="B17" s="453"/>
      <c r="C17" s="433"/>
      <c r="D17" s="27"/>
      <c r="E17" s="27"/>
      <c r="F17" s="593"/>
      <c r="G17" s="593"/>
      <c r="H17" s="493"/>
      <c r="I17" s="27"/>
      <c r="J17" s="593"/>
      <c r="K17" s="593"/>
      <c r="L17" s="493"/>
      <c r="M17" s="27"/>
      <c r="N17" s="593"/>
      <c r="O17" s="593"/>
      <c r="P17" s="493"/>
      <c r="Q17" s="27"/>
      <c r="R17" s="593"/>
      <c r="S17" s="593"/>
      <c r="T17" s="493"/>
      <c r="U17" s="27"/>
      <c r="V17" s="593"/>
      <c r="W17" s="593"/>
      <c r="X17" s="493"/>
      <c r="Y17" s="27"/>
      <c r="Z17" s="593"/>
      <c r="AA17" s="593"/>
      <c r="AB17" s="493"/>
      <c r="AC17" s="27"/>
      <c r="AD17" s="593"/>
      <c r="AE17" s="593"/>
      <c r="AF17" s="493"/>
      <c r="AG17" s="27"/>
      <c r="AH17" s="593"/>
      <c r="AI17" s="593"/>
      <c r="AJ17" s="493"/>
      <c r="AK17" s="27"/>
      <c r="AL17" s="593"/>
      <c r="AM17" s="593"/>
      <c r="AN17" s="493"/>
      <c r="AO17" s="27"/>
      <c r="AP17" s="593"/>
      <c r="AQ17" s="594"/>
      <c r="AR17" s="493"/>
      <c r="AS17" s="27"/>
      <c r="AT17" s="593"/>
      <c r="AU17" s="593"/>
      <c r="AV17" s="493"/>
      <c r="AW17" s="27"/>
      <c r="AX17" s="593"/>
      <c r="AY17" s="594"/>
      <c r="AZ17" s="493"/>
      <c r="BA17" s="27"/>
      <c r="BB17" s="593"/>
      <c r="BC17" s="594"/>
      <c r="BD17" s="493"/>
      <c r="BE17" s="27"/>
      <c r="BF17" s="536"/>
      <c r="BG17" s="594"/>
      <c r="BH17" s="1178"/>
      <c r="BI17" s="536"/>
      <c r="BJ17" s="27"/>
      <c r="BK17" s="536"/>
      <c r="BL17" s="1178"/>
      <c r="BM17" s="536"/>
      <c r="BN17" s="536"/>
      <c r="BO17" s="1070"/>
      <c r="BP17" s="1178"/>
      <c r="BQ17" s="536"/>
      <c r="BR17" s="536"/>
      <c r="BS17" s="1070"/>
      <c r="BT17" s="1178"/>
      <c r="BU17" s="536"/>
      <c r="BV17" s="536"/>
      <c r="BW17" s="1070"/>
      <c r="BX17" s="1236"/>
      <c r="BY17" s="595"/>
      <c r="BZ17" s="595"/>
      <c r="CA17" s="595"/>
      <c r="CB17" s="595"/>
      <c r="CC17" s="595"/>
      <c r="CD17" s="595"/>
      <c r="CE17" s="1408"/>
      <c r="CF17" s="1408"/>
      <c r="CG17" s="1408"/>
      <c r="CH17" s="1408"/>
      <c r="CI17" s="1408"/>
      <c r="CJ17" s="1408"/>
      <c r="CK17" s="1408"/>
      <c r="CL17" s="1408"/>
      <c r="CM17" s="1408"/>
      <c r="CN17" s="1408"/>
      <c r="CO17" s="1408"/>
      <c r="CP17" s="1409"/>
      <c r="CQ17" s="1468"/>
    </row>
    <row r="18" spans="1:95" ht="14.25" customHeight="1">
      <c r="A18" s="9"/>
      <c r="B18" s="467" t="s">
        <v>490</v>
      </c>
      <c r="C18" s="26"/>
      <c r="D18" s="27">
        <v>0</v>
      </c>
      <c r="E18" s="27">
        <v>0</v>
      </c>
      <c r="F18" s="593">
        <v>0</v>
      </c>
      <c r="G18" s="593">
        <v>0</v>
      </c>
      <c r="H18" s="493">
        <v>0</v>
      </c>
      <c r="I18" s="27">
        <v>0</v>
      </c>
      <c r="J18" s="593">
        <v>0</v>
      </c>
      <c r="K18" s="593">
        <v>0</v>
      </c>
      <c r="L18" s="493">
        <v>0</v>
      </c>
      <c r="M18" s="27">
        <v>0</v>
      </c>
      <c r="N18" s="593">
        <v>0</v>
      </c>
      <c r="O18" s="593">
        <v>0</v>
      </c>
      <c r="P18" s="493">
        <v>0</v>
      </c>
      <c r="Q18" s="27">
        <v>0</v>
      </c>
      <c r="R18" s="593">
        <v>0</v>
      </c>
      <c r="S18" s="593">
        <v>0</v>
      </c>
      <c r="T18" s="493">
        <v>0</v>
      </c>
      <c r="U18" s="27">
        <v>0</v>
      </c>
      <c r="V18" s="593">
        <v>0</v>
      </c>
      <c r="W18" s="641">
        <f>2.4-T18-U18-V18</f>
        <v>2.4</v>
      </c>
      <c r="X18" s="493">
        <v>0.6</v>
      </c>
      <c r="Y18" s="27">
        <v>0.6</v>
      </c>
      <c r="Z18" s="593">
        <v>0.6</v>
      </c>
      <c r="AA18" s="593">
        <v>0.6</v>
      </c>
      <c r="AB18" s="493">
        <v>0.6</v>
      </c>
      <c r="AC18" s="27">
        <v>0.5</v>
      </c>
      <c r="AD18" s="593">
        <v>0.6</v>
      </c>
      <c r="AE18" s="593">
        <v>0.6</v>
      </c>
      <c r="AF18" s="493">
        <v>0.6</v>
      </c>
      <c r="AG18" s="27">
        <v>0.6</v>
      </c>
      <c r="AH18" s="593">
        <v>0.6</v>
      </c>
      <c r="AI18" s="593">
        <v>0.6</v>
      </c>
      <c r="AJ18" s="493">
        <v>50.6</v>
      </c>
      <c r="AK18" s="27">
        <v>30.9</v>
      </c>
      <c r="AL18" s="593">
        <v>0</v>
      </c>
      <c r="AM18" s="593">
        <v>0</v>
      </c>
      <c r="AN18" s="493">
        <v>0</v>
      </c>
      <c r="AO18" s="27">
        <v>0</v>
      </c>
      <c r="AP18" s="593">
        <v>0</v>
      </c>
      <c r="AQ18" s="594">
        <v>0</v>
      </c>
      <c r="AR18" s="493">
        <v>0</v>
      </c>
      <c r="AS18" s="27">
        <v>0</v>
      </c>
      <c r="AT18" s="593">
        <v>0</v>
      </c>
      <c r="AU18" s="593">
        <v>0</v>
      </c>
      <c r="AV18" s="493">
        <v>0</v>
      </c>
      <c r="AW18" s="27">
        <v>0</v>
      </c>
      <c r="AX18" s="593">
        <v>0</v>
      </c>
      <c r="AY18" s="594">
        <v>0</v>
      </c>
      <c r="AZ18" s="493">
        <v>0</v>
      </c>
      <c r="BA18" s="27">
        <v>0</v>
      </c>
      <c r="BB18" s="593">
        <v>0</v>
      </c>
      <c r="BC18" s="594">
        <v>0</v>
      </c>
      <c r="BD18" s="493">
        <v>0</v>
      </c>
      <c r="BE18" s="27">
        <v>0</v>
      </c>
      <c r="BF18" s="1152">
        <v>0</v>
      </c>
      <c r="BG18" s="594">
        <v>0</v>
      </c>
      <c r="BH18" s="1179">
        <v>0</v>
      </c>
      <c r="BI18" s="1152">
        <v>0</v>
      </c>
      <c r="BJ18" s="27">
        <v>0</v>
      </c>
      <c r="BK18" s="1407">
        <v>0</v>
      </c>
      <c r="BL18" s="1179">
        <v>0</v>
      </c>
      <c r="BM18" s="1152">
        <v>0</v>
      </c>
      <c r="BN18" s="1152">
        <v>0</v>
      </c>
      <c r="BO18" s="1153">
        <v>0</v>
      </c>
      <c r="BP18" s="1179">
        <v>0</v>
      </c>
      <c r="BQ18" s="1152">
        <v>0</v>
      </c>
      <c r="BR18" s="1152">
        <v>0</v>
      </c>
      <c r="BS18" s="1153">
        <v>0</v>
      </c>
      <c r="BT18" s="1179">
        <v>0</v>
      </c>
      <c r="BU18" s="1152">
        <v>0</v>
      </c>
      <c r="BV18" s="1152">
        <v>0</v>
      </c>
      <c r="BW18" s="1153">
        <v>0</v>
      </c>
      <c r="BX18" s="211"/>
      <c r="BY18" s="595">
        <f>SUM(D18:G18)</f>
        <v>0</v>
      </c>
      <c r="BZ18" s="595">
        <f>SUM(H18:K18)</f>
        <v>0</v>
      </c>
      <c r="CA18" s="595">
        <f>SUM(L18:O18)</f>
        <v>0</v>
      </c>
      <c r="CB18" s="595">
        <f>SUM(P18:S18)</f>
        <v>0</v>
      </c>
      <c r="CC18" s="595">
        <f>SUM(T18:W18)</f>
        <v>2.4</v>
      </c>
      <c r="CD18" s="595">
        <f>SUM(X18:AA18)</f>
        <v>2.4</v>
      </c>
      <c r="CE18" s="1408">
        <f>SUM(AB18:AE18)</f>
        <v>2.3000000000000003</v>
      </c>
      <c r="CF18" s="1408">
        <f>SUM(AF18:AI18)</f>
        <v>2.4</v>
      </c>
      <c r="CG18" s="1408">
        <f>SUM(AJ18:AM18)</f>
        <v>81.5</v>
      </c>
      <c r="CH18" s="1408">
        <f>SUM(AN18:AQ18)</f>
        <v>0</v>
      </c>
      <c r="CI18" s="1408">
        <f>SUM(AR18:AU18)</f>
        <v>0</v>
      </c>
      <c r="CJ18" s="1408">
        <f>SUM(AV18:AY18)</f>
        <v>0</v>
      </c>
      <c r="CK18" s="1408">
        <f>SUM(AZ18:BC18)</f>
        <v>0</v>
      </c>
      <c r="CL18" s="1408">
        <f>SUM(BD18:BG18)</f>
        <v>0</v>
      </c>
      <c r="CM18" s="1408">
        <f>SUM(BH18:BK18)</f>
        <v>0</v>
      </c>
      <c r="CN18" s="1408">
        <f>SUM(BL18:BO18)</f>
        <v>0</v>
      </c>
      <c r="CO18" s="1408">
        <f>SUM(BP18:BS18)</f>
        <v>0</v>
      </c>
      <c r="CP18" s="1409">
        <f>SUM(BT18:BW18)</f>
        <v>0</v>
      </c>
      <c r="CQ18" s="22"/>
    </row>
    <row r="19" spans="1:95" ht="14.25" customHeight="1">
      <c r="A19" s="409"/>
      <c r="B19" s="504" t="s">
        <v>70</v>
      </c>
      <c r="C19" s="537"/>
      <c r="D19" s="538">
        <v>0</v>
      </c>
      <c r="E19" s="538">
        <v>0</v>
      </c>
      <c r="F19" s="591">
        <v>0</v>
      </c>
      <c r="G19" s="591">
        <v>0</v>
      </c>
      <c r="H19" s="540">
        <v>0</v>
      </c>
      <c r="I19" s="538">
        <v>0</v>
      </c>
      <c r="J19" s="591">
        <v>0</v>
      </c>
      <c r="K19" s="591">
        <v>0</v>
      </c>
      <c r="L19" s="540">
        <v>0</v>
      </c>
      <c r="M19" s="538">
        <v>0</v>
      </c>
      <c r="N19" s="591">
        <v>0</v>
      </c>
      <c r="O19" s="591">
        <v>0</v>
      </c>
      <c r="P19" s="540">
        <v>0.4</v>
      </c>
      <c r="Q19" s="538">
        <v>0.6</v>
      </c>
      <c r="R19" s="591">
        <v>0.7</v>
      </c>
      <c r="S19" s="836">
        <f>2.5-P19-Q19-R19</f>
        <v>0.8</v>
      </c>
      <c r="T19" s="540">
        <v>1</v>
      </c>
      <c r="U19" s="538">
        <v>1.1000000000000001</v>
      </c>
      <c r="V19" s="591">
        <v>1.2</v>
      </c>
      <c r="W19" s="836">
        <f>4.7-T19-U19-V19</f>
        <v>1.4000000000000001</v>
      </c>
      <c r="X19" s="540">
        <f>9.9+1.4</f>
        <v>11.3</v>
      </c>
      <c r="Y19" s="538">
        <f>2.3+38.2</f>
        <v>40.5</v>
      </c>
      <c r="Z19" s="591">
        <f>3.6+15.3</f>
        <v>18.900000000000002</v>
      </c>
      <c r="AA19" s="591">
        <f>70.7-X19-Y19-Z19</f>
        <v>0</v>
      </c>
      <c r="AB19" s="540">
        <v>3.1</v>
      </c>
      <c r="AC19" s="538">
        <v>2.7</v>
      </c>
      <c r="AD19" s="591">
        <v>2.4</v>
      </c>
      <c r="AE19" s="591">
        <v>3.3</v>
      </c>
      <c r="AF19" s="540">
        <v>3.1</v>
      </c>
      <c r="AG19" s="538">
        <v>3.3</v>
      </c>
      <c r="AH19" s="591">
        <v>1</v>
      </c>
      <c r="AI19" s="591">
        <v>0.6</v>
      </c>
      <c r="AJ19" s="540">
        <f>20.3</f>
        <v>20.3</v>
      </c>
      <c r="AK19" s="538">
        <v>22.1</v>
      </c>
      <c r="AL19" s="591">
        <f>10.6+1.5+41.5</f>
        <v>53.6</v>
      </c>
      <c r="AM19" s="591">
        <f>5.3+1.3+6.7</f>
        <v>13.3</v>
      </c>
      <c r="AN19" s="540">
        <v>0</v>
      </c>
      <c r="AO19" s="538">
        <f>2.6+4.9</f>
        <v>7.5</v>
      </c>
      <c r="AP19" s="591">
        <v>3.1</v>
      </c>
      <c r="AQ19" s="592">
        <v>0.5</v>
      </c>
      <c r="AR19" s="540">
        <v>6.7</v>
      </c>
      <c r="AS19" s="538">
        <v>0</v>
      </c>
      <c r="AT19" s="591">
        <v>0</v>
      </c>
      <c r="AU19" s="591">
        <v>-2.7</v>
      </c>
      <c r="AV19" s="540">
        <v>0</v>
      </c>
      <c r="AW19" s="538">
        <v>1.3</v>
      </c>
      <c r="AX19" s="591">
        <v>12.9</v>
      </c>
      <c r="AY19" s="592">
        <f>3.9+12.8</f>
        <v>16.7</v>
      </c>
      <c r="AZ19" s="540">
        <v>0</v>
      </c>
      <c r="BA19" s="538">
        <v>0</v>
      </c>
      <c r="BB19" s="591">
        <v>0</v>
      </c>
      <c r="BC19" s="592">
        <v>-0.8</v>
      </c>
      <c r="BD19" s="540">
        <v>0</v>
      </c>
      <c r="BE19" s="538">
        <v>0</v>
      </c>
      <c r="BF19" s="819">
        <v>11.9</v>
      </c>
      <c r="BG19" s="592">
        <f>3.2+55.6</f>
        <v>58.800000000000004</v>
      </c>
      <c r="BH19" s="1180">
        <f>9.8-59</f>
        <v>-49.2</v>
      </c>
      <c r="BI19" s="819">
        <v>1.3</v>
      </c>
      <c r="BJ19" s="538">
        <v>2.5</v>
      </c>
      <c r="BK19" s="592">
        <v>2.6</v>
      </c>
      <c r="BL19" s="1180">
        <v>0</v>
      </c>
      <c r="BM19" s="819">
        <v>0</v>
      </c>
      <c r="BN19" s="819">
        <v>0</v>
      </c>
      <c r="BO19" s="820">
        <v>0</v>
      </c>
      <c r="BP19" s="1180">
        <v>0</v>
      </c>
      <c r="BQ19" s="819">
        <v>0</v>
      </c>
      <c r="BR19" s="819">
        <v>0</v>
      </c>
      <c r="BS19" s="820">
        <v>0</v>
      </c>
      <c r="BT19" s="1180">
        <v>0</v>
      </c>
      <c r="BU19" s="819">
        <v>0</v>
      </c>
      <c r="BV19" s="819">
        <v>0</v>
      </c>
      <c r="BW19" s="820">
        <v>0</v>
      </c>
      <c r="BX19" s="411"/>
      <c r="BY19" s="603">
        <f>SUM(D19:G19)</f>
        <v>0</v>
      </c>
      <c r="BZ19" s="603">
        <f>SUM(H19:K19)</f>
        <v>0</v>
      </c>
      <c r="CA19" s="603">
        <f>SUM(L19:O19)</f>
        <v>0</v>
      </c>
      <c r="CB19" s="603">
        <f>SUM(P19:S19)</f>
        <v>2.5</v>
      </c>
      <c r="CC19" s="603">
        <f>SUM(T19:W19)</f>
        <v>4.7</v>
      </c>
      <c r="CD19" s="603">
        <f>SUM(X19:AA19)</f>
        <v>70.7</v>
      </c>
      <c r="CE19" s="1412">
        <f>SUM(AB19:AE19)</f>
        <v>11.5</v>
      </c>
      <c r="CF19" s="1412">
        <f>SUM(AF19:AI19)</f>
        <v>8</v>
      </c>
      <c r="CG19" s="1412">
        <f>SUM(AJ19:AM19)</f>
        <v>109.3</v>
      </c>
      <c r="CH19" s="1412">
        <f>SUM(AN19:AQ19)</f>
        <v>11.1</v>
      </c>
      <c r="CI19" s="1412">
        <f>SUM(AR19:AU19)</f>
        <v>4</v>
      </c>
      <c r="CJ19" s="1412">
        <f>SUM(AV19:AY19)</f>
        <v>30.9</v>
      </c>
      <c r="CK19" s="1412">
        <f>SUM(AZ19:BC19)</f>
        <v>-0.8</v>
      </c>
      <c r="CL19" s="1412">
        <f>SUM(BD19:BG19)</f>
        <v>70.7</v>
      </c>
      <c r="CM19" s="1412">
        <f>SUM(BH19:BK19)</f>
        <v>-42.800000000000004</v>
      </c>
      <c r="CN19" s="1412">
        <f>SUM(BL19:BO19)</f>
        <v>0</v>
      </c>
      <c r="CO19" s="1412">
        <f>SUM(BP19:BS19)</f>
        <v>0</v>
      </c>
      <c r="CP19" s="1413">
        <f>SUM(BT19:BW19)</f>
        <v>0</v>
      </c>
      <c r="CQ19" s="410"/>
    </row>
    <row r="20" spans="1:95" ht="14.25" customHeight="1">
      <c r="A20" s="9"/>
      <c r="B20" s="453" t="s">
        <v>78</v>
      </c>
      <c r="C20" s="24"/>
      <c r="D20" s="595">
        <f t="shared" ref="D20:AI20" si="27">D14-D18-D19</f>
        <v>194.7</v>
      </c>
      <c r="E20" s="595">
        <f t="shared" si="27"/>
        <v>182.3</v>
      </c>
      <c r="F20" s="595">
        <f t="shared" si="27"/>
        <v>191.2</v>
      </c>
      <c r="G20" s="595">
        <f t="shared" si="27"/>
        <v>200.2</v>
      </c>
      <c r="H20" s="627">
        <f t="shared" si="27"/>
        <v>212.3</v>
      </c>
      <c r="I20" s="595">
        <f t="shared" si="27"/>
        <v>221.1</v>
      </c>
      <c r="J20" s="595">
        <f t="shared" si="27"/>
        <v>215.4</v>
      </c>
      <c r="K20" s="595">
        <f t="shared" si="27"/>
        <v>208.2</v>
      </c>
      <c r="L20" s="627">
        <f t="shared" si="27"/>
        <v>206.2</v>
      </c>
      <c r="M20" s="595">
        <f t="shared" si="27"/>
        <v>204.3</v>
      </c>
      <c r="N20" s="595">
        <f t="shared" si="27"/>
        <v>209.5</v>
      </c>
      <c r="O20" s="595">
        <f t="shared" si="27"/>
        <v>222.1</v>
      </c>
      <c r="P20" s="627">
        <f t="shared" si="27"/>
        <v>215.9</v>
      </c>
      <c r="Q20" s="595">
        <f t="shared" si="27"/>
        <v>221.5</v>
      </c>
      <c r="R20" s="595">
        <f t="shared" si="27"/>
        <v>259.8</v>
      </c>
      <c r="S20" s="595">
        <f t="shared" si="27"/>
        <v>243.1</v>
      </c>
      <c r="T20" s="627">
        <f t="shared" si="27"/>
        <v>236.6</v>
      </c>
      <c r="U20" s="595">
        <f t="shared" si="27"/>
        <v>234.1</v>
      </c>
      <c r="V20" s="595">
        <f t="shared" si="27"/>
        <v>246.10000000000002</v>
      </c>
      <c r="W20" s="595">
        <f t="shared" si="27"/>
        <v>251.79999999999998</v>
      </c>
      <c r="X20" s="627">
        <f t="shared" si="27"/>
        <v>263.39999999999998</v>
      </c>
      <c r="Y20" s="595">
        <f t="shared" si="27"/>
        <v>330</v>
      </c>
      <c r="Z20" s="595">
        <f t="shared" si="27"/>
        <v>340.4</v>
      </c>
      <c r="AA20" s="595">
        <f t="shared" si="27"/>
        <v>302.39999999999998</v>
      </c>
      <c r="AB20" s="627">
        <f t="shared" si="27"/>
        <v>263.29999999999995</v>
      </c>
      <c r="AC20" s="595">
        <f t="shared" si="27"/>
        <v>278.40000000000003</v>
      </c>
      <c r="AD20" s="595">
        <f t="shared" si="27"/>
        <v>294.10000000000002</v>
      </c>
      <c r="AE20" s="595">
        <f t="shared" si="27"/>
        <v>298.59999999999997</v>
      </c>
      <c r="AF20" s="627">
        <f t="shared" si="27"/>
        <v>318.39999999999998</v>
      </c>
      <c r="AG20" s="595">
        <f t="shared" si="27"/>
        <v>335.59999999999997</v>
      </c>
      <c r="AH20" s="595">
        <f t="shared" si="27"/>
        <v>352.59999999999997</v>
      </c>
      <c r="AI20" s="595">
        <f t="shared" si="27"/>
        <v>340.4</v>
      </c>
      <c r="AJ20" s="627">
        <f t="shared" ref="AJ20:BO20" si="28">AJ14-AJ18-AJ19</f>
        <v>557.30000000000007</v>
      </c>
      <c r="AK20" s="595">
        <f t="shared" si="28"/>
        <v>586.70000000000005</v>
      </c>
      <c r="AL20" s="595">
        <f t="shared" si="28"/>
        <v>583.29999999999995</v>
      </c>
      <c r="AM20" s="595">
        <f t="shared" si="28"/>
        <v>515.40000000000009</v>
      </c>
      <c r="AN20" s="627">
        <f t="shared" si="28"/>
        <v>499.2</v>
      </c>
      <c r="AO20" s="595">
        <f t="shared" si="28"/>
        <v>479</v>
      </c>
      <c r="AP20" s="595">
        <f t="shared" si="28"/>
        <v>484.4</v>
      </c>
      <c r="AQ20" s="596">
        <f t="shared" si="28"/>
        <v>469.3</v>
      </c>
      <c r="AR20" s="627">
        <f t="shared" si="28"/>
        <v>449.8</v>
      </c>
      <c r="AS20" s="595">
        <f t="shared" si="28"/>
        <v>456.5</v>
      </c>
      <c r="AT20" s="595">
        <f t="shared" si="28"/>
        <v>466.2</v>
      </c>
      <c r="AU20" s="595">
        <f t="shared" si="28"/>
        <v>467.8</v>
      </c>
      <c r="AV20" s="627">
        <f t="shared" si="28"/>
        <v>455.7</v>
      </c>
      <c r="AW20" s="595">
        <f t="shared" si="28"/>
        <v>483.3</v>
      </c>
      <c r="AX20" s="595">
        <f t="shared" si="28"/>
        <v>536.5</v>
      </c>
      <c r="AY20" s="596">
        <f t="shared" si="28"/>
        <v>569.79999999999995</v>
      </c>
      <c r="AZ20" s="627">
        <f t="shared" si="28"/>
        <v>570.4</v>
      </c>
      <c r="BA20" s="595">
        <f t="shared" si="28"/>
        <v>576.1</v>
      </c>
      <c r="BB20" s="595">
        <f t="shared" si="28"/>
        <v>595.70000000000005</v>
      </c>
      <c r="BC20" s="596">
        <f t="shared" si="28"/>
        <v>561.19999999999993</v>
      </c>
      <c r="BD20" s="627">
        <f t="shared" si="28"/>
        <v>541.70000000000005</v>
      </c>
      <c r="BE20" s="595">
        <f t="shared" si="28"/>
        <v>569.9</v>
      </c>
      <c r="BF20" s="29">
        <f t="shared" si="28"/>
        <v>610</v>
      </c>
      <c r="BG20" s="596">
        <f t="shared" ref="BG20:BI20" si="29">BG14-BG18-BG19</f>
        <v>817.7</v>
      </c>
      <c r="BH20" s="31">
        <f t="shared" si="29"/>
        <v>982.6</v>
      </c>
      <c r="BI20" s="1408">
        <f t="shared" si="29"/>
        <v>844.6</v>
      </c>
      <c r="BJ20" s="1408">
        <f t="shared" si="28"/>
        <v>864.2</v>
      </c>
      <c r="BK20" s="1409">
        <f t="shared" si="28"/>
        <v>860.69999999999993</v>
      </c>
      <c r="BL20" s="31">
        <f t="shared" si="28"/>
        <v>854.05501100000015</v>
      </c>
      <c r="BM20" s="29">
        <f t="shared" si="28"/>
        <v>886.21207798</v>
      </c>
      <c r="BN20" s="29">
        <f t="shared" si="28"/>
        <v>906.33433184329999</v>
      </c>
      <c r="BO20" s="30">
        <f t="shared" si="28"/>
        <v>892.60167987972875</v>
      </c>
      <c r="BP20" s="31">
        <f t="shared" ref="BP20:BS20" si="30">BP14-BP18-BP19</f>
        <v>887.83270051552313</v>
      </c>
      <c r="BQ20" s="29">
        <f t="shared" si="30"/>
        <v>914.84951923961444</v>
      </c>
      <c r="BR20" s="29">
        <f t="shared" si="30"/>
        <v>925.19986990018765</v>
      </c>
      <c r="BS20" s="30">
        <f t="shared" si="30"/>
        <v>909.1806040982741</v>
      </c>
      <c r="BT20" s="31">
        <f t="shared" ref="BT20:BW20" si="31">BT14-BT18-BT19</f>
        <v>914.23229271773744</v>
      </c>
      <c r="BU20" s="29">
        <f t="shared" si="31"/>
        <v>941.91118517144128</v>
      </c>
      <c r="BV20" s="29">
        <f t="shared" si="31"/>
        <v>951.31719363715649</v>
      </c>
      <c r="BW20" s="30">
        <f t="shared" si="31"/>
        <v>935.23963868441865</v>
      </c>
      <c r="BX20" s="211"/>
      <c r="BY20" s="595">
        <f t="shared" ref="BY20:CN20" si="32">BY14-BY18-BY19</f>
        <v>768.40000000000009</v>
      </c>
      <c r="BZ20" s="595">
        <f t="shared" si="32"/>
        <v>857</v>
      </c>
      <c r="CA20" s="595">
        <f t="shared" si="32"/>
        <v>842.1</v>
      </c>
      <c r="CB20" s="595">
        <f t="shared" si="32"/>
        <v>940.3</v>
      </c>
      <c r="CC20" s="595">
        <f t="shared" si="32"/>
        <v>968.59999999999991</v>
      </c>
      <c r="CD20" s="595">
        <f t="shared" si="32"/>
        <v>1236.2</v>
      </c>
      <c r="CE20" s="1408">
        <f t="shared" si="32"/>
        <v>1134.4000000000001</v>
      </c>
      <c r="CF20" s="1408">
        <f t="shared" si="32"/>
        <v>1347</v>
      </c>
      <c r="CG20" s="1408">
        <f t="shared" si="32"/>
        <v>2242.6999999999998</v>
      </c>
      <c r="CH20" s="1408">
        <f t="shared" si="32"/>
        <v>1931.9</v>
      </c>
      <c r="CI20" s="1408">
        <f t="shared" si="32"/>
        <v>1840.3000000000002</v>
      </c>
      <c r="CJ20" s="1408">
        <f t="shared" si="32"/>
        <v>2045.2999999999997</v>
      </c>
      <c r="CK20" s="1408">
        <f t="shared" si="32"/>
        <v>2303.4</v>
      </c>
      <c r="CL20" s="1408">
        <f t="shared" si="32"/>
        <v>2539.3000000000002</v>
      </c>
      <c r="CM20" s="1408">
        <f t="shared" si="32"/>
        <v>3552.1000000000004</v>
      </c>
      <c r="CN20" s="1408">
        <f t="shared" si="32"/>
        <v>3539.2031007030287</v>
      </c>
      <c r="CO20" s="1408">
        <f t="shared" ref="CO20:CP20" si="33">CO14-CO18-CO19</f>
        <v>3637.0626937535994</v>
      </c>
      <c r="CP20" s="1409">
        <f t="shared" si="33"/>
        <v>3742.7003102107537</v>
      </c>
      <c r="CQ20" s="22"/>
    </row>
    <row r="21" spans="1:95" ht="14.25" customHeight="1">
      <c r="A21" s="9"/>
      <c r="B21" s="459"/>
      <c r="C21" s="33"/>
      <c r="D21" s="597"/>
      <c r="E21" s="597"/>
      <c r="F21" s="598"/>
      <c r="G21" s="598"/>
      <c r="H21" s="613"/>
      <c r="I21" s="597"/>
      <c r="J21" s="598"/>
      <c r="K21" s="598"/>
      <c r="L21" s="613"/>
      <c r="M21" s="597"/>
      <c r="N21" s="598"/>
      <c r="O21" s="598"/>
      <c r="P21" s="613"/>
      <c r="Q21" s="597"/>
      <c r="R21" s="598"/>
      <c r="S21" s="598"/>
      <c r="T21" s="613"/>
      <c r="U21" s="597"/>
      <c r="V21" s="598"/>
      <c r="W21" s="598"/>
      <c r="X21" s="613"/>
      <c r="Y21" s="597"/>
      <c r="Z21" s="598"/>
      <c r="AA21" s="598"/>
      <c r="AB21" s="613"/>
      <c r="AC21" s="597"/>
      <c r="AD21" s="598"/>
      <c r="AE21" s="598"/>
      <c r="AF21" s="613"/>
      <c r="AG21" s="597"/>
      <c r="AH21" s="598"/>
      <c r="AI21" s="598"/>
      <c r="AJ21" s="613"/>
      <c r="AK21" s="597"/>
      <c r="AL21" s="598"/>
      <c r="AM21" s="598"/>
      <c r="AN21" s="613"/>
      <c r="AO21" s="597"/>
      <c r="AP21" s="598"/>
      <c r="AQ21" s="599"/>
      <c r="AR21" s="613"/>
      <c r="AS21" s="597"/>
      <c r="AT21" s="598"/>
      <c r="AU21" s="598"/>
      <c r="AV21" s="613"/>
      <c r="AW21" s="597"/>
      <c r="AX21" s="598"/>
      <c r="AY21" s="599"/>
      <c r="AZ21" s="613"/>
      <c r="BA21" s="597"/>
      <c r="BB21" s="598"/>
      <c r="BC21" s="599"/>
      <c r="BD21" s="613"/>
      <c r="BE21" s="597"/>
      <c r="BF21" s="34"/>
      <c r="BG21" s="599"/>
      <c r="BH21" s="36"/>
      <c r="BI21" s="597"/>
      <c r="BJ21" s="597"/>
      <c r="BK21" s="599"/>
      <c r="BL21" s="1395"/>
      <c r="BM21" s="1393"/>
      <c r="BN21" s="1393"/>
      <c r="BO21" s="1394"/>
      <c r="BP21" s="1395"/>
      <c r="BQ21" s="1393"/>
      <c r="BR21" s="1393"/>
      <c r="BS21" s="1394"/>
      <c r="BT21" s="1395"/>
      <c r="BU21" s="1393"/>
      <c r="BV21" s="1393"/>
      <c r="BW21" s="1394"/>
      <c r="BX21" s="211"/>
      <c r="BY21" s="598"/>
      <c r="BZ21" s="598"/>
      <c r="CA21" s="598"/>
      <c r="CB21" s="598"/>
      <c r="CC21" s="598"/>
      <c r="CD21" s="598"/>
      <c r="CE21" s="598"/>
      <c r="CF21" s="598"/>
      <c r="CG21" s="598"/>
      <c r="CH21" s="598"/>
      <c r="CI21" s="598"/>
      <c r="CJ21" s="598"/>
      <c r="CK21" s="598"/>
      <c r="CL21" s="598"/>
      <c r="CM21" s="598"/>
      <c r="CN21" s="598"/>
      <c r="CO21" s="598"/>
      <c r="CP21" s="599"/>
      <c r="CQ21" s="22"/>
    </row>
    <row r="22" spans="1:95" ht="14.25" customHeight="1">
      <c r="A22" s="432"/>
      <c r="B22" s="461" t="s">
        <v>304</v>
      </c>
      <c r="C22" s="437"/>
      <c r="D22" s="600">
        <f t="shared" ref="D22:AI22" si="34">D8-D14</f>
        <v>74.800000000000011</v>
      </c>
      <c r="E22" s="600">
        <f t="shared" si="34"/>
        <v>73.899999999999977</v>
      </c>
      <c r="F22" s="600">
        <f t="shared" si="34"/>
        <v>73.600000000000023</v>
      </c>
      <c r="G22" s="600">
        <f t="shared" si="34"/>
        <v>78.400000000000034</v>
      </c>
      <c r="H22" s="628">
        <f t="shared" si="34"/>
        <v>95.899999999999977</v>
      </c>
      <c r="I22" s="600">
        <f t="shared" si="34"/>
        <v>112.4</v>
      </c>
      <c r="J22" s="600">
        <f t="shared" si="34"/>
        <v>102.99999999999997</v>
      </c>
      <c r="K22" s="600">
        <f t="shared" si="34"/>
        <v>98.600000000000023</v>
      </c>
      <c r="L22" s="628">
        <f t="shared" si="34"/>
        <v>96.199999999999989</v>
      </c>
      <c r="M22" s="600">
        <f t="shared" si="34"/>
        <v>98.5</v>
      </c>
      <c r="N22" s="600">
        <f t="shared" si="34"/>
        <v>104.10000000000002</v>
      </c>
      <c r="O22" s="600">
        <f t="shared" si="34"/>
        <v>119.70000000000002</v>
      </c>
      <c r="P22" s="628">
        <f t="shared" si="34"/>
        <v>117.69999999999999</v>
      </c>
      <c r="Q22" s="600">
        <f t="shared" si="34"/>
        <v>153.20000000000002</v>
      </c>
      <c r="R22" s="600">
        <f t="shared" si="34"/>
        <v>160.39999999999998</v>
      </c>
      <c r="S22" s="600">
        <f t="shared" si="34"/>
        <v>157.70000000000002</v>
      </c>
      <c r="T22" s="628">
        <f t="shared" si="34"/>
        <v>136.6</v>
      </c>
      <c r="U22" s="600">
        <f t="shared" si="34"/>
        <v>146</v>
      </c>
      <c r="V22" s="600">
        <f t="shared" si="34"/>
        <v>155.59999999999997</v>
      </c>
      <c r="W22" s="600">
        <f t="shared" si="34"/>
        <v>152.29999999999998</v>
      </c>
      <c r="X22" s="628">
        <f t="shared" si="34"/>
        <v>146.59999999999997</v>
      </c>
      <c r="Y22" s="600">
        <f t="shared" si="34"/>
        <v>191.60000000000002</v>
      </c>
      <c r="Z22" s="600">
        <f t="shared" si="34"/>
        <v>221.60000000000002</v>
      </c>
      <c r="AA22" s="600">
        <f t="shared" si="34"/>
        <v>185.7</v>
      </c>
      <c r="AB22" s="628">
        <f t="shared" si="34"/>
        <v>112.10000000000002</v>
      </c>
      <c r="AC22" s="600">
        <f t="shared" si="34"/>
        <v>138.19999999999999</v>
      </c>
      <c r="AD22" s="600">
        <f t="shared" si="34"/>
        <v>175.79999999999995</v>
      </c>
      <c r="AE22" s="600">
        <f t="shared" si="34"/>
        <v>194.60000000000002</v>
      </c>
      <c r="AF22" s="628">
        <f t="shared" si="34"/>
        <v>228.10000000000002</v>
      </c>
      <c r="AG22" s="600">
        <f t="shared" si="34"/>
        <v>243.79999999999995</v>
      </c>
      <c r="AH22" s="600">
        <f t="shared" si="34"/>
        <v>246.50000000000006</v>
      </c>
      <c r="AI22" s="600">
        <f t="shared" si="34"/>
        <v>237.60000000000002</v>
      </c>
      <c r="AJ22" s="628">
        <f t="shared" ref="AJ22:BS22" si="35">AJ8-AJ14</f>
        <v>242.39999999999998</v>
      </c>
      <c r="AK22" s="600">
        <f t="shared" si="35"/>
        <v>266.09999999999991</v>
      </c>
      <c r="AL22" s="600">
        <f t="shared" si="35"/>
        <v>261.10000000000002</v>
      </c>
      <c r="AM22" s="600">
        <f t="shared" si="35"/>
        <v>239.19999999999993</v>
      </c>
      <c r="AN22" s="628">
        <f t="shared" si="35"/>
        <v>245.2</v>
      </c>
      <c r="AO22" s="600">
        <f t="shared" si="35"/>
        <v>258.29999999999995</v>
      </c>
      <c r="AP22" s="600">
        <f t="shared" si="35"/>
        <v>238</v>
      </c>
      <c r="AQ22" s="601">
        <f t="shared" si="35"/>
        <v>210.40000000000003</v>
      </c>
      <c r="AR22" s="628">
        <f t="shared" si="35"/>
        <v>204.5</v>
      </c>
      <c r="AS22" s="600">
        <f t="shared" si="35"/>
        <v>231.79999999999995</v>
      </c>
      <c r="AT22" s="600">
        <f t="shared" si="35"/>
        <v>249.2</v>
      </c>
      <c r="AU22" s="600">
        <f t="shared" si="35"/>
        <v>252.89999999999998</v>
      </c>
      <c r="AV22" s="628">
        <f t="shared" si="35"/>
        <v>250.8</v>
      </c>
      <c r="AW22" s="600">
        <f t="shared" si="35"/>
        <v>273</v>
      </c>
      <c r="AX22" s="600">
        <f t="shared" si="35"/>
        <v>284.10000000000002</v>
      </c>
      <c r="AY22" s="601">
        <f t="shared" si="35"/>
        <v>277.70000000000005</v>
      </c>
      <c r="AZ22" s="628">
        <f t="shared" si="35"/>
        <v>300.39999999999998</v>
      </c>
      <c r="BA22" s="600">
        <f t="shared" si="35"/>
        <v>304.39999999999998</v>
      </c>
      <c r="BB22" s="600">
        <f t="shared" si="35"/>
        <v>308.5</v>
      </c>
      <c r="BC22" s="601">
        <f t="shared" si="35"/>
        <v>279.89999999999998</v>
      </c>
      <c r="BD22" s="628">
        <f t="shared" si="35"/>
        <v>275.5</v>
      </c>
      <c r="BE22" s="600">
        <f t="shared" si="35"/>
        <v>307.89999999999998</v>
      </c>
      <c r="BF22" s="1176">
        <f t="shared" si="35"/>
        <v>329</v>
      </c>
      <c r="BG22" s="601">
        <f t="shared" si="35"/>
        <v>384.5</v>
      </c>
      <c r="BH22" s="1181">
        <f t="shared" si="35"/>
        <v>503.30000000000007</v>
      </c>
      <c r="BI22" s="1410">
        <f>BI8-BI14</f>
        <v>492.1</v>
      </c>
      <c r="BJ22" s="1410">
        <f>BJ8-BJ14</f>
        <v>524.20000000000005</v>
      </c>
      <c r="BK22" s="1411">
        <f>BK8-BK14</f>
        <v>514.20000000000005</v>
      </c>
      <c r="BL22" s="1181">
        <f t="shared" si="35"/>
        <v>515.80198900000005</v>
      </c>
      <c r="BM22" s="1176">
        <f t="shared" si="35"/>
        <v>542.17339201999994</v>
      </c>
      <c r="BN22" s="1176">
        <f t="shared" si="35"/>
        <v>555.78659275670009</v>
      </c>
      <c r="BO22" s="1182">
        <f t="shared" si="35"/>
        <v>543.61409561827111</v>
      </c>
      <c r="BP22" s="1181">
        <f t="shared" si="35"/>
        <v>540.41491874037683</v>
      </c>
      <c r="BQ22" s="1176">
        <f t="shared" si="35"/>
        <v>566.77562628744454</v>
      </c>
      <c r="BR22" s="1176">
        <f t="shared" si="35"/>
        <v>588.59969836226333</v>
      </c>
      <c r="BS22" s="1182">
        <f t="shared" si="35"/>
        <v>578.32138577898979</v>
      </c>
      <c r="BT22" s="1181">
        <f t="shared" ref="BT22:BW22" si="36">BT8-BT14</f>
        <v>567.15699032537668</v>
      </c>
      <c r="BU22" s="1176">
        <f t="shared" si="36"/>
        <v>594.70805725627952</v>
      </c>
      <c r="BV22" s="1176">
        <f t="shared" si="36"/>
        <v>617.18116776067961</v>
      </c>
      <c r="BW22" s="1182">
        <f t="shared" si="36"/>
        <v>606.55994158686735</v>
      </c>
      <c r="BX22" s="1236"/>
      <c r="BY22" s="600">
        <f t="shared" ref="BY22:CO22" si="37">BY8-BY14</f>
        <v>300.69999999999982</v>
      </c>
      <c r="BZ22" s="600">
        <f t="shared" si="37"/>
        <v>409.90000000000009</v>
      </c>
      <c r="CA22" s="600">
        <f t="shared" si="37"/>
        <v>418.50000000000011</v>
      </c>
      <c r="CB22" s="600">
        <f t="shared" si="37"/>
        <v>588.99999999999977</v>
      </c>
      <c r="CC22" s="600">
        <f t="shared" si="37"/>
        <v>590.49999999999989</v>
      </c>
      <c r="CD22" s="600">
        <f t="shared" si="37"/>
        <v>745.49999999999955</v>
      </c>
      <c r="CE22" s="1410">
        <f t="shared" si="37"/>
        <v>620.70000000000005</v>
      </c>
      <c r="CF22" s="1410">
        <f t="shared" si="37"/>
        <v>956</v>
      </c>
      <c r="CG22" s="1410">
        <f t="shared" si="37"/>
        <v>1008.8000000000002</v>
      </c>
      <c r="CH22" s="1410">
        <f t="shared" si="37"/>
        <v>951.89999999999964</v>
      </c>
      <c r="CI22" s="1410">
        <f t="shared" si="37"/>
        <v>938.39999999999964</v>
      </c>
      <c r="CJ22" s="1410">
        <f t="shared" si="37"/>
        <v>1085.6000000000004</v>
      </c>
      <c r="CK22" s="1410">
        <f t="shared" si="37"/>
        <v>1193.2000000000003</v>
      </c>
      <c r="CL22" s="1410">
        <f t="shared" si="37"/>
        <v>1296.9000000000001</v>
      </c>
      <c r="CM22" s="1410">
        <f t="shared" si="37"/>
        <v>2033.8000000000002</v>
      </c>
      <c r="CN22" s="1410">
        <f t="shared" si="37"/>
        <v>2157.3760693949712</v>
      </c>
      <c r="CO22" s="1410">
        <f t="shared" si="37"/>
        <v>2274.1116291690746</v>
      </c>
      <c r="CP22" s="1411">
        <f t="shared" ref="CP22" si="38">CP8-CP14</f>
        <v>2385.6061569292024</v>
      </c>
      <c r="CQ22" s="1468"/>
    </row>
    <row r="23" spans="1:95" ht="14.25" customHeight="1">
      <c r="A23" s="9"/>
      <c r="B23" s="459" t="s">
        <v>293</v>
      </c>
      <c r="C23" s="33"/>
      <c r="D23" s="34">
        <f t="shared" ref="D23:AI23" si="39">D22/D8</f>
        <v>0.27755102040816332</v>
      </c>
      <c r="E23" s="34">
        <f t="shared" si="39"/>
        <v>0.28844652615144412</v>
      </c>
      <c r="F23" s="34">
        <f t="shared" si="39"/>
        <v>0.2779456193353475</v>
      </c>
      <c r="G23" s="34">
        <f t="shared" si="39"/>
        <v>0.28140703517587951</v>
      </c>
      <c r="H23" s="36">
        <f t="shared" si="39"/>
        <v>0.31116158338741073</v>
      </c>
      <c r="I23" s="34">
        <f t="shared" si="39"/>
        <v>0.33703148425787111</v>
      </c>
      <c r="J23" s="34">
        <f t="shared" si="39"/>
        <v>0.3234924623115577</v>
      </c>
      <c r="K23" s="34">
        <f t="shared" si="39"/>
        <v>0.32138200782268583</v>
      </c>
      <c r="L23" s="36">
        <f t="shared" si="39"/>
        <v>0.31812169312169308</v>
      </c>
      <c r="M23" s="34">
        <f t="shared" si="39"/>
        <v>0.32529722589167764</v>
      </c>
      <c r="N23" s="34">
        <f t="shared" si="39"/>
        <v>0.33195153061224497</v>
      </c>
      <c r="O23" s="34">
        <f t="shared" si="39"/>
        <v>0.35020479812756</v>
      </c>
      <c r="P23" s="36">
        <f t="shared" si="39"/>
        <v>0.35239520958083831</v>
      </c>
      <c r="Q23" s="34">
        <f t="shared" si="39"/>
        <v>0.40820676791899818</v>
      </c>
      <c r="R23" s="34">
        <f t="shared" si="39"/>
        <v>0.38108814445236394</v>
      </c>
      <c r="S23" s="34">
        <f t="shared" si="39"/>
        <v>0.39267928286852594</v>
      </c>
      <c r="T23" s="36">
        <f t="shared" si="39"/>
        <v>0.36504543025120256</v>
      </c>
      <c r="U23" s="34">
        <f t="shared" si="39"/>
        <v>0.38300104931794332</v>
      </c>
      <c r="V23" s="34">
        <f t="shared" si="39"/>
        <v>0.38620004964010912</v>
      </c>
      <c r="W23" s="34">
        <f t="shared" si="39"/>
        <v>0.37337582740867858</v>
      </c>
      <c r="X23" s="36">
        <f t="shared" si="39"/>
        <v>0.34747570514339887</v>
      </c>
      <c r="Y23" s="34">
        <f t="shared" si="39"/>
        <v>0.34050115514483742</v>
      </c>
      <c r="Z23" s="34">
        <f t="shared" si="39"/>
        <v>0.38108340498710236</v>
      </c>
      <c r="AA23" s="34">
        <f t="shared" si="39"/>
        <v>0.37998772252915897</v>
      </c>
      <c r="AB23" s="36">
        <f t="shared" si="39"/>
        <v>0.29570034291743608</v>
      </c>
      <c r="AC23" s="34">
        <f t="shared" si="39"/>
        <v>0.32920438303954258</v>
      </c>
      <c r="AD23" s="34">
        <f t="shared" si="39"/>
        <v>0.3717487840981179</v>
      </c>
      <c r="AE23" s="34">
        <f t="shared" si="39"/>
        <v>0.39147052906859792</v>
      </c>
      <c r="AF23" s="36">
        <f t="shared" si="39"/>
        <v>0.41457651762995273</v>
      </c>
      <c r="AG23" s="34">
        <f t="shared" si="39"/>
        <v>0.41796674095662606</v>
      </c>
      <c r="AH23" s="34">
        <f t="shared" si="39"/>
        <v>0.41035458631596478</v>
      </c>
      <c r="AI23" s="34">
        <f t="shared" si="39"/>
        <v>0.4102209944751381</v>
      </c>
      <c r="AJ23" s="36">
        <f t="shared" ref="AJ23:BO23" si="40">AJ22/AJ8</f>
        <v>0.27842866988283937</v>
      </c>
      <c r="AK23" s="34">
        <f t="shared" si="40"/>
        <v>0.29377345992492815</v>
      </c>
      <c r="AL23" s="34">
        <f t="shared" si="40"/>
        <v>0.29075723830734967</v>
      </c>
      <c r="AM23" s="34">
        <f t="shared" si="40"/>
        <v>0.31149889308503703</v>
      </c>
      <c r="AN23" s="36">
        <f t="shared" si="40"/>
        <v>0.32939279957012357</v>
      </c>
      <c r="AO23" s="34">
        <f t="shared" si="40"/>
        <v>0.34680451127819545</v>
      </c>
      <c r="AP23" s="34">
        <f t="shared" si="40"/>
        <v>0.32804962095106821</v>
      </c>
      <c r="AQ23" s="34">
        <f t="shared" si="40"/>
        <v>0.30932078800352841</v>
      </c>
      <c r="AR23" s="36">
        <f t="shared" si="40"/>
        <v>0.30937972768532529</v>
      </c>
      <c r="AS23" s="34">
        <f t="shared" si="40"/>
        <v>0.33677175650152547</v>
      </c>
      <c r="AT23" s="34">
        <f t="shared" si="40"/>
        <v>0.34833659491193736</v>
      </c>
      <c r="AU23" s="34">
        <f t="shared" si="40"/>
        <v>0.35222841225626739</v>
      </c>
      <c r="AV23" s="36">
        <f t="shared" si="40"/>
        <v>0.35498938428874738</v>
      </c>
      <c r="AW23" s="34">
        <f t="shared" si="40"/>
        <v>0.36034846884899679</v>
      </c>
      <c r="AX23" s="34">
        <f t="shared" si="40"/>
        <v>0.34085182963407323</v>
      </c>
      <c r="AY23" s="35">
        <f t="shared" si="40"/>
        <v>0.32133765332099057</v>
      </c>
      <c r="AZ23" s="36">
        <f t="shared" si="40"/>
        <v>0.34497014239779511</v>
      </c>
      <c r="BA23" s="34">
        <f t="shared" si="40"/>
        <v>0.34571266325951161</v>
      </c>
      <c r="BB23" s="34">
        <f t="shared" si="40"/>
        <v>0.34118557841185576</v>
      </c>
      <c r="BC23" s="35">
        <f t="shared" si="40"/>
        <v>0.33309532309889323</v>
      </c>
      <c r="BD23" s="36">
        <f t="shared" si="40"/>
        <v>0.33712677435144395</v>
      </c>
      <c r="BE23" s="34">
        <f t="shared" si="40"/>
        <v>0.35076327181590339</v>
      </c>
      <c r="BF23" s="34">
        <f t="shared" si="40"/>
        <v>0.34598801135766116</v>
      </c>
      <c r="BG23" s="35">
        <f t="shared" si="40"/>
        <v>0.30491673275178433</v>
      </c>
      <c r="BH23" s="36">
        <f t="shared" si="40"/>
        <v>0.35031669798844578</v>
      </c>
      <c r="BI23" s="1393">
        <f t="shared" ref="BI23" si="41">BI22/BI8</f>
        <v>0.36778774289985056</v>
      </c>
      <c r="BJ23" s="1393">
        <f t="shared" si="40"/>
        <v>0.37687828025019771</v>
      </c>
      <c r="BK23" s="1394">
        <f t="shared" ref="BK23" si="42">BK22/BK8</f>
        <v>0.37328493647912891</v>
      </c>
      <c r="BL23" s="1395">
        <f t="shared" si="40"/>
        <v>0.37653710496789078</v>
      </c>
      <c r="BM23" s="1393">
        <f t="shared" si="40"/>
        <v>0.37957078352246187</v>
      </c>
      <c r="BN23" s="1393">
        <f t="shared" si="40"/>
        <v>0.38012354751625588</v>
      </c>
      <c r="BO23" s="1394">
        <f t="shared" si="40"/>
        <v>0.37850447327789305</v>
      </c>
      <c r="BP23" s="1395">
        <f t="shared" ref="BP23:BS23" si="43">BP22/BP8</f>
        <v>0.37837620833698754</v>
      </c>
      <c r="BQ23" s="1393">
        <f t="shared" si="43"/>
        <v>0.38253645194839431</v>
      </c>
      <c r="BR23" s="1393">
        <f t="shared" si="43"/>
        <v>0.3888227415983887</v>
      </c>
      <c r="BS23" s="1394">
        <f t="shared" si="43"/>
        <v>0.38878696614497166</v>
      </c>
      <c r="BT23" s="1395">
        <f t="shared" ref="BT23:BW23" si="44">BT22/BT8</f>
        <v>0.3828547950342302</v>
      </c>
      <c r="BU23" s="1393">
        <f t="shared" si="44"/>
        <v>0.38702369515866147</v>
      </c>
      <c r="BV23" s="1393">
        <f t="shared" si="44"/>
        <v>0.39348537617256518</v>
      </c>
      <c r="BW23" s="1394">
        <f t="shared" si="44"/>
        <v>0.3934103688626901</v>
      </c>
      <c r="BX23" s="211"/>
      <c r="BY23" s="34">
        <f t="shared" ref="BY23:CO23" si="45">BY22/BY8</f>
        <v>0.28126461509681028</v>
      </c>
      <c r="BZ23" s="34">
        <f t="shared" si="45"/>
        <v>0.32354566264109247</v>
      </c>
      <c r="CA23" s="34">
        <f t="shared" si="45"/>
        <v>0.3319847691575441</v>
      </c>
      <c r="CB23" s="34">
        <f t="shared" si="45"/>
        <v>0.38451494973234096</v>
      </c>
      <c r="CC23" s="34">
        <f t="shared" si="45"/>
        <v>0.3770271995913676</v>
      </c>
      <c r="CD23" s="34">
        <f t="shared" si="45"/>
        <v>0.36280903250924645</v>
      </c>
      <c r="CE23" s="1393">
        <f t="shared" si="45"/>
        <v>0.35089603708519418</v>
      </c>
      <c r="CF23" s="1393">
        <f t="shared" si="45"/>
        <v>0.41324457508429152</v>
      </c>
      <c r="CG23" s="1393">
        <f t="shared" si="45"/>
        <v>0.29305987275949225</v>
      </c>
      <c r="CH23" s="1393">
        <f t="shared" si="45"/>
        <v>0.3288196483470931</v>
      </c>
      <c r="CI23" s="1393">
        <f t="shared" si="45"/>
        <v>0.33722643475760938</v>
      </c>
      <c r="CJ23" s="1393">
        <f t="shared" si="45"/>
        <v>0.34334872540957689</v>
      </c>
      <c r="CK23" s="1393">
        <f t="shared" si="45"/>
        <v>0.34132387436352202</v>
      </c>
      <c r="CL23" s="1393">
        <f t="shared" si="45"/>
        <v>0.33195116332642249</v>
      </c>
      <c r="CM23" s="1393">
        <f t="shared" si="45"/>
        <v>0.36690660460753011</v>
      </c>
      <c r="CN23" s="1393">
        <f t="shared" si="45"/>
        <v>0.37871431344609174</v>
      </c>
      <c r="CO23" s="1393">
        <f t="shared" si="45"/>
        <v>0.38471401872727734</v>
      </c>
      <c r="CP23" s="1394">
        <f t="shared" ref="CP23" si="46">CP22/CP8</f>
        <v>0.38927657579150909</v>
      </c>
      <c r="CQ23" s="22"/>
    </row>
    <row r="24" spans="1:95" ht="14.25" hidden="1" customHeight="1" outlineLevel="1">
      <c r="A24" s="9"/>
      <c r="B24" s="461"/>
      <c r="C24" s="46"/>
      <c r="D24" s="488"/>
      <c r="E24" s="488"/>
      <c r="F24" s="488"/>
      <c r="G24" s="488"/>
      <c r="H24" s="490"/>
      <c r="I24" s="488"/>
      <c r="J24" s="488"/>
      <c r="K24" s="488"/>
      <c r="L24" s="490"/>
      <c r="M24" s="488"/>
      <c r="N24" s="488"/>
      <c r="O24" s="488"/>
      <c r="P24" s="490"/>
      <c r="Q24" s="488"/>
      <c r="R24" s="488"/>
      <c r="S24" s="488"/>
      <c r="T24" s="490"/>
      <c r="U24" s="488"/>
      <c r="V24" s="488"/>
      <c r="W24" s="488"/>
      <c r="X24" s="490"/>
      <c r="Y24" s="488"/>
      <c r="Z24" s="488"/>
      <c r="AA24" s="488"/>
      <c r="AB24" s="490"/>
      <c r="AC24" s="488"/>
      <c r="AD24" s="488"/>
      <c r="AE24" s="488"/>
      <c r="AF24" s="490"/>
      <c r="AG24" s="488"/>
      <c r="AH24" s="488"/>
      <c r="AI24" s="488"/>
      <c r="AJ24" s="490"/>
      <c r="AK24" s="488"/>
      <c r="AL24" s="488"/>
      <c r="AM24" s="488"/>
      <c r="AN24" s="490"/>
      <c r="AO24" s="488"/>
      <c r="AP24" s="488"/>
      <c r="AQ24" s="489"/>
      <c r="AR24" s="490"/>
      <c r="AS24" s="488"/>
      <c r="AT24" s="488"/>
      <c r="AU24" s="488"/>
      <c r="AV24" s="490"/>
      <c r="AW24" s="488"/>
      <c r="AX24" s="488"/>
      <c r="AY24" s="489"/>
      <c r="AZ24" s="490"/>
      <c r="BA24" s="488"/>
      <c r="BB24" s="488"/>
      <c r="BC24" s="489"/>
      <c r="BD24" s="490"/>
      <c r="BE24" s="488"/>
      <c r="BF24" s="47"/>
      <c r="BG24" s="489"/>
      <c r="BH24" s="1183"/>
      <c r="BI24" s="488"/>
      <c r="BJ24" s="488"/>
      <c r="BK24" s="489"/>
      <c r="BL24" s="1183"/>
      <c r="BM24" s="47"/>
      <c r="BN24" s="47"/>
      <c r="BO24" s="1071"/>
      <c r="BP24" s="1183"/>
      <c r="BQ24" s="47"/>
      <c r="BR24" s="47"/>
      <c r="BS24" s="1071"/>
      <c r="BT24" s="1183"/>
      <c r="BU24" s="47"/>
      <c r="BV24" s="47"/>
      <c r="BW24" s="1071"/>
      <c r="BX24" s="1188"/>
      <c r="BY24" s="488"/>
      <c r="BZ24" s="488"/>
      <c r="CA24" s="488"/>
      <c r="CB24" s="488"/>
      <c r="CC24" s="488"/>
      <c r="CD24" s="488"/>
      <c r="CE24" s="488"/>
      <c r="CF24" s="488"/>
      <c r="CG24" s="488"/>
      <c r="CH24" s="488"/>
      <c r="CI24" s="488"/>
      <c r="CJ24" s="488"/>
      <c r="CK24" s="488"/>
      <c r="CL24" s="488"/>
      <c r="CM24" s="488"/>
      <c r="CN24" s="488"/>
      <c r="CO24" s="488"/>
      <c r="CP24" s="489"/>
      <c r="CQ24" s="22"/>
    </row>
    <row r="25" spans="1:95" ht="14.25" hidden="1" customHeight="1" outlineLevel="1">
      <c r="A25" s="9"/>
      <c r="B25" s="461" t="s">
        <v>79</v>
      </c>
      <c r="C25" s="46"/>
      <c r="D25" s="579">
        <f t="shared" ref="D25:AI25" si="47">D8-D20</f>
        <v>74.800000000000011</v>
      </c>
      <c r="E25" s="579">
        <f t="shared" si="47"/>
        <v>73.899999999999977</v>
      </c>
      <c r="F25" s="579">
        <f t="shared" si="47"/>
        <v>73.600000000000023</v>
      </c>
      <c r="G25" s="579">
        <f t="shared" si="47"/>
        <v>78.400000000000034</v>
      </c>
      <c r="H25" s="629">
        <f t="shared" si="47"/>
        <v>95.899999999999977</v>
      </c>
      <c r="I25" s="579">
        <f t="shared" si="47"/>
        <v>112.4</v>
      </c>
      <c r="J25" s="579">
        <f t="shared" si="47"/>
        <v>102.99999999999997</v>
      </c>
      <c r="K25" s="579">
        <f t="shared" si="47"/>
        <v>98.600000000000023</v>
      </c>
      <c r="L25" s="629">
        <f t="shared" si="47"/>
        <v>96.199999999999989</v>
      </c>
      <c r="M25" s="579">
        <f t="shared" si="47"/>
        <v>98.5</v>
      </c>
      <c r="N25" s="579">
        <f t="shared" si="47"/>
        <v>104.10000000000002</v>
      </c>
      <c r="O25" s="579">
        <f t="shared" si="47"/>
        <v>119.70000000000002</v>
      </c>
      <c r="P25" s="629">
        <f t="shared" si="47"/>
        <v>118.1</v>
      </c>
      <c r="Q25" s="579">
        <f t="shared" si="47"/>
        <v>153.80000000000001</v>
      </c>
      <c r="R25" s="579">
        <f t="shared" si="47"/>
        <v>161.09999999999997</v>
      </c>
      <c r="S25" s="579">
        <f t="shared" si="47"/>
        <v>158.50000000000003</v>
      </c>
      <c r="T25" s="629">
        <f t="shared" si="47"/>
        <v>137.6</v>
      </c>
      <c r="U25" s="579">
        <f t="shared" si="47"/>
        <v>147.1</v>
      </c>
      <c r="V25" s="579">
        <f t="shared" si="47"/>
        <v>156.79999999999995</v>
      </c>
      <c r="W25" s="579">
        <f t="shared" si="47"/>
        <v>156.1</v>
      </c>
      <c r="X25" s="629">
        <f t="shared" si="47"/>
        <v>158.5</v>
      </c>
      <c r="Y25" s="579">
        <f t="shared" si="47"/>
        <v>232.70000000000005</v>
      </c>
      <c r="Z25" s="579">
        <f t="shared" si="47"/>
        <v>241.10000000000002</v>
      </c>
      <c r="AA25" s="579">
        <f t="shared" si="47"/>
        <v>186.3</v>
      </c>
      <c r="AB25" s="629">
        <f t="shared" si="47"/>
        <v>115.80000000000007</v>
      </c>
      <c r="AC25" s="579">
        <f t="shared" si="47"/>
        <v>141.39999999999998</v>
      </c>
      <c r="AD25" s="579">
        <f t="shared" si="47"/>
        <v>178.79999999999995</v>
      </c>
      <c r="AE25" s="579">
        <f t="shared" si="47"/>
        <v>198.50000000000006</v>
      </c>
      <c r="AF25" s="629">
        <f t="shared" si="47"/>
        <v>231.80000000000007</v>
      </c>
      <c r="AG25" s="579">
        <f t="shared" si="47"/>
        <v>247.7</v>
      </c>
      <c r="AH25" s="579">
        <f t="shared" si="47"/>
        <v>248.10000000000008</v>
      </c>
      <c r="AI25" s="579">
        <f t="shared" si="47"/>
        <v>238.80000000000007</v>
      </c>
      <c r="AJ25" s="629">
        <f t="shared" ref="AJ25:BH25" si="48">AJ8-AJ20</f>
        <v>313.29999999999995</v>
      </c>
      <c r="AK25" s="579">
        <f t="shared" si="48"/>
        <v>319.09999999999991</v>
      </c>
      <c r="AL25" s="579">
        <f t="shared" si="48"/>
        <v>314.70000000000005</v>
      </c>
      <c r="AM25" s="579">
        <f t="shared" si="48"/>
        <v>252.49999999999989</v>
      </c>
      <c r="AN25" s="629">
        <f t="shared" si="48"/>
        <v>245.2</v>
      </c>
      <c r="AO25" s="579">
        <f t="shared" si="48"/>
        <v>265.79999999999995</v>
      </c>
      <c r="AP25" s="579">
        <f t="shared" si="48"/>
        <v>241.10000000000002</v>
      </c>
      <c r="AQ25" s="588">
        <f t="shared" si="48"/>
        <v>210.90000000000003</v>
      </c>
      <c r="AR25" s="629">
        <f t="shared" si="48"/>
        <v>211.2</v>
      </c>
      <c r="AS25" s="579">
        <f t="shared" si="48"/>
        <v>231.79999999999995</v>
      </c>
      <c r="AT25" s="579">
        <f t="shared" si="48"/>
        <v>249.2</v>
      </c>
      <c r="AU25" s="579">
        <f t="shared" si="48"/>
        <v>250.2</v>
      </c>
      <c r="AV25" s="629">
        <f t="shared" si="48"/>
        <v>250.8</v>
      </c>
      <c r="AW25" s="579">
        <f t="shared" si="48"/>
        <v>274.3</v>
      </c>
      <c r="AX25" s="579">
        <f t="shared" si="48"/>
        <v>297</v>
      </c>
      <c r="AY25" s="588">
        <f t="shared" si="48"/>
        <v>294.40000000000009</v>
      </c>
      <c r="AZ25" s="629">
        <f t="shared" si="48"/>
        <v>300.39999999999998</v>
      </c>
      <c r="BA25" s="579">
        <f t="shared" si="48"/>
        <v>304.39999999999998</v>
      </c>
      <c r="BB25" s="579">
        <f t="shared" si="48"/>
        <v>308.5</v>
      </c>
      <c r="BC25" s="588">
        <f t="shared" si="48"/>
        <v>279.10000000000002</v>
      </c>
      <c r="BD25" s="629">
        <f t="shared" si="48"/>
        <v>275.5</v>
      </c>
      <c r="BE25" s="579">
        <f t="shared" si="48"/>
        <v>307.89999999999998</v>
      </c>
      <c r="BF25" s="579">
        <f t="shared" si="48"/>
        <v>340.9</v>
      </c>
      <c r="BG25" s="588">
        <f t="shared" si="48"/>
        <v>443.29999999999995</v>
      </c>
      <c r="BH25" s="629">
        <f t="shared" si="48"/>
        <v>454.1</v>
      </c>
      <c r="BI25" s="579">
        <f t="shared" ref="BI25:BK25" si="49">BI8-BI20</f>
        <v>493.4</v>
      </c>
      <c r="BJ25" s="579">
        <f t="shared" si="49"/>
        <v>526.70000000000005</v>
      </c>
      <c r="BK25" s="588">
        <f t="shared" si="49"/>
        <v>516.80000000000007</v>
      </c>
      <c r="BL25" s="1183">
        <f t="shared" ref="BL25:BO25" si="50">BL22-BL19</f>
        <v>515.80198900000005</v>
      </c>
      <c r="BM25" s="47">
        <f t="shared" si="50"/>
        <v>542.17339201999994</v>
      </c>
      <c r="BN25" s="47">
        <f t="shared" si="50"/>
        <v>555.78659275670009</v>
      </c>
      <c r="BO25" s="1071">
        <f t="shared" si="50"/>
        <v>543.61409561827111</v>
      </c>
      <c r="BP25" s="1183">
        <f t="shared" ref="BP25:BS25" si="51">BP22-BP19</f>
        <v>540.41491874037683</v>
      </c>
      <c r="BQ25" s="47">
        <f t="shared" si="51"/>
        <v>566.77562628744454</v>
      </c>
      <c r="BR25" s="47">
        <f t="shared" si="51"/>
        <v>588.59969836226333</v>
      </c>
      <c r="BS25" s="1071">
        <f t="shared" si="51"/>
        <v>578.32138577898979</v>
      </c>
      <c r="BT25" s="1183">
        <f t="shared" ref="BT25:BW25" si="52">BT22-BT19</f>
        <v>567.15699032537668</v>
      </c>
      <c r="BU25" s="47">
        <f t="shared" si="52"/>
        <v>594.70805725627952</v>
      </c>
      <c r="BV25" s="47">
        <f t="shared" si="52"/>
        <v>617.18116776067961</v>
      </c>
      <c r="BW25" s="1071">
        <f t="shared" si="52"/>
        <v>606.55994158686735</v>
      </c>
      <c r="BX25" s="211"/>
      <c r="BY25" s="579">
        <f t="shared" ref="BY25:CO25" si="53">BY8-BY20</f>
        <v>300.69999999999982</v>
      </c>
      <c r="BZ25" s="579">
        <f t="shared" si="53"/>
        <v>409.90000000000009</v>
      </c>
      <c r="CA25" s="579">
        <f t="shared" si="53"/>
        <v>418.50000000000011</v>
      </c>
      <c r="CB25" s="579">
        <f t="shared" si="53"/>
        <v>591.49999999999977</v>
      </c>
      <c r="CC25" s="579">
        <f t="shared" si="53"/>
        <v>597.59999999999991</v>
      </c>
      <c r="CD25" s="579">
        <f t="shared" si="53"/>
        <v>818.59999999999968</v>
      </c>
      <c r="CE25" s="579">
        <f t="shared" si="53"/>
        <v>634.5</v>
      </c>
      <c r="CF25" s="579">
        <f t="shared" si="53"/>
        <v>966.40000000000009</v>
      </c>
      <c r="CG25" s="579">
        <f t="shared" si="53"/>
        <v>1199.6000000000004</v>
      </c>
      <c r="CH25" s="579">
        <f t="shared" si="53"/>
        <v>962.99999999999955</v>
      </c>
      <c r="CI25" s="579">
        <f t="shared" si="53"/>
        <v>942.39999999999964</v>
      </c>
      <c r="CJ25" s="579">
        <f t="shared" si="53"/>
        <v>1116.5000000000005</v>
      </c>
      <c r="CK25" s="579">
        <f t="shared" si="53"/>
        <v>1192.4000000000001</v>
      </c>
      <c r="CL25" s="579">
        <f t="shared" si="53"/>
        <v>1367.6</v>
      </c>
      <c r="CM25" s="579">
        <f t="shared" si="53"/>
        <v>1991</v>
      </c>
      <c r="CN25" s="579">
        <f t="shared" si="53"/>
        <v>2157.3760693949712</v>
      </c>
      <c r="CO25" s="579">
        <f t="shared" si="53"/>
        <v>2274.1116291690746</v>
      </c>
      <c r="CP25" s="588">
        <f t="shared" ref="CP25" si="54">CP8-CP20</f>
        <v>2385.6061569292024</v>
      </c>
      <c r="CQ25" s="1469"/>
    </row>
    <row r="26" spans="1:95" ht="14.25" hidden="1" customHeight="1" outlineLevel="1">
      <c r="A26" s="9"/>
      <c r="B26" s="459" t="s">
        <v>80</v>
      </c>
      <c r="C26" s="33"/>
      <c r="D26" s="34">
        <f t="shared" ref="D26:AI26" si="55">D25/D8</f>
        <v>0.27755102040816332</v>
      </c>
      <c r="E26" s="34">
        <f t="shared" si="55"/>
        <v>0.28844652615144412</v>
      </c>
      <c r="F26" s="34">
        <f t="shared" si="55"/>
        <v>0.2779456193353475</v>
      </c>
      <c r="G26" s="34">
        <f t="shared" si="55"/>
        <v>0.28140703517587951</v>
      </c>
      <c r="H26" s="36">
        <f t="shared" si="55"/>
        <v>0.31116158338741073</v>
      </c>
      <c r="I26" s="34">
        <f t="shared" si="55"/>
        <v>0.33703148425787111</v>
      </c>
      <c r="J26" s="34">
        <f t="shared" si="55"/>
        <v>0.3234924623115577</v>
      </c>
      <c r="K26" s="34">
        <f t="shared" si="55"/>
        <v>0.32138200782268583</v>
      </c>
      <c r="L26" s="36">
        <f t="shared" si="55"/>
        <v>0.31812169312169308</v>
      </c>
      <c r="M26" s="34">
        <f t="shared" si="55"/>
        <v>0.32529722589167764</v>
      </c>
      <c r="N26" s="34">
        <f t="shared" si="55"/>
        <v>0.33195153061224497</v>
      </c>
      <c r="O26" s="34">
        <f t="shared" si="55"/>
        <v>0.35020479812756</v>
      </c>
      <c r="P26" s="36">
        <f t="shared" si="55"/>
        <v>0.35359281437125745</v>
      </c>
      <c r="Q26" s="34">
        <f t="shared" si="55"/>
        <v>0.40980548894217961</v>
      </c>
      <c r="R26" s="34">
        <f t="shared" si="55"/>
        <v>0.38275124732715604</v>
      </c>
      <c r="S26" s="34">
        <f t="shared" si="55"/>
        <v>0.39467131474103589</v>
      </c>
      <c r="T26" s="36">
        <f t="shared" si="55"/>
        <v>0.3677177979690005</v>
      </c>
      <c r="U26" s="34">
        <f t="shared" si="55"/>
        <v>0.38588667366211959</v>
      </c>
      <c r="V26" s="34">
        <f t="shared" si="55"/>
        <v>0.38917845619260355</v>
      </c>
      <c r="W26" s="34">
        <f t="shared" si="55"/>
        <v>0.3826918362343712</v>
      </c>
      <c r="X26" s="36">
        <f t="shared" si="55"/>
        <v>0.37568144109978668</v>
      </c>
      <c r="Y26" s="34">
        <f t="shared" si="55"/>
        <v>0.4135418517860317</v>
      </c>
      <c r="Z26" s="34">
        <f t="shared" si="55"/>
        <v>0.41461736887360279</v>
      </c>
      <c r="AA26" s="34">
        <f t="shared" si="55"/>
        <v>0.38121546961325969</v>
      </c>
      <c r="AB26" s="36">
        <f t="shared" si="55"/>
        <v>0.30546030071221331</v>
      </c>
      <c r="AC26" s="34">
        <f t="shared" si="55"/>
        <v>0.33682706050500233</v>
      </c>
      <c r="AD26" s="34">
        <f t="shared" si="55"/>
        <v>0.37809262000422916</v>
      </c>
      <c r="AE26" s="34">
        <f t="shared" si="55"/>
        <v>0.39931603299134993</v>
      </c>
      <c r="AF26" s="36">
        <f t="shared" si="55"/>
        <v>0.42130134496546717</v>
      </c>
      <c r="AG26" s="34">
        <f t="shared" si="55"/>
        <v>0.42465283730498887</v>
      </c>
      <c r="AH26" s="34">
        <f t="shared" si="55"/>
        <v>0.41301814549692034</v>
      </c>
      <c r="AI26" s="34">
        <f t="shared" si="55"/>
        <v>0.41229281767955811</v>
      </c>
      <c r="AJ26" s="36">
        <f t="shared" ref="AJ26:BG26" si="56">AJ25/AJ8</f>
        <v>0.35986675855731676</v>
      </c>
      <c r="AK26" s="34">
        <f t="shared" si="56"/>
        <v>0.35228527268712734</v>
      </c>
      <c r="AL26" s="34">
        <f t="shared" si="56"/>
        <v>0.35044543429844105</v>
      </c>
      <c r="AM26" s="34">
        <f t="shared" si="56"/>
        <v>0.32881885662195587</v>
      </c>
      <c r="AN26" s="36">
        <f t="shared" si="56"/>
        <v>0.32939279957012357</v>
      </c>
      <c r="AO26" s="34">
        <f t="shared" si="56"/>
        <v>0.35687432867883989</v>
      </c>
      <c r="AP26" s="34">
        <f t="shared" si="56"/>
        <v>0.33232253618194352</v>
      </c>
      <c r="AQ26" s="34">
        <f t="shared" si="56"/>
        <v>0.31005586592178774</v>
      </c>
      <c r="AR26" s="36">
        <f t="shared" si="56"/>
        <v>0.31951588502269285</v>
      </c>
      <c r="AS26" s="34">
        <f t="shared" si="56"/>
        <v>0.33677175650152547</v>
      </c>
      <c r="AT26" s="34">
        <f t="shared" si="56"/>
        <v>0.34833659491193736</v>
      </c>
      <c r="AU26" s="34">
        <f t="shared" si="56"/>
        <v>0.34846796657381612</v>
      </c>
      <c r="AV26" s="36">
        <f t="shared" si="56"/>
        <v>0.35498938428874738</v>
      </c>
      <c r="AW26" s="34">
        <f t="shared" si="56"/>
        <v>0.36206441393875394</v>
      </c>
      <c r="AX26" s="34">
        <f t="shared" si="56"/>
        <v>0.35632873425314937</v>
      </c>
      <c r="AY26" s="35">
        <f t="shared" si="56"/>
        <v>0.34066188382318918</v>
      </c>
      <c r="AZ26" s="36">
        <f t="shared" si="56"/>
        <v>0.34497014239779511</v>
      </c>
      <c r="BA26" s="34">
        <f t="shared" si="56"/>
        <v>0.34571266325951161</v>
      </c>
      <c r="BB26" s="34">
        <f t="shared" si="56"/>
        <v>0.34118557841185576</v>
      </c>
      <c r="BC26" s="35">
        <f t="shared" si="56"/>
        <v>0.33214328216113298</v>
      </c>
      <c r="BD26" s="36">
        <f t="shared" si="56"/>
        <v>0.33712677435144395</v>
      </c>
      <c r="BE26" s="34">
        <f t="shared" si="56"/>
        <v>0.35076327181590339</v>
      </c>
      <c r="BF26" s="34">
        <f t="shared" si="56"/>
        <v>0.35850247134293828</v>
      </c>
      <c r="BG26" s="35">
        <f t="shared" si="56"/>
        <v>0.35154639175257729</v>
      </c>
      <c r="BH26" s="36">
        <f>BH25/(BH8-155.1)</f>
        <v>0.35432272159800249</v>
      </c>
      <c r="BI26" s="1393">
        <f t="shared" ref="BI26" si="57">BI25/BI8</f>
        <v>0.36875934230194318</v>
      </c>
      <c r="BJ26" s="1393">
        <f t="shared" ref="BJ26:BS26" si="58">BJ25/BJ8</f>
        <v>0.37867567761880799</v>
      </c>
      <c r="BK26" s="1394">
        <f t="shared" si="58"/>
        <v>0.37517241379310351</v>
      </c>
      <c r="BL26" s="1395">
        <f t="shared" si="58"/>
        <v>0.37653710496789078</v>
      </c>
      <c r="BM26" s="1393">
        <f t="shared" si="58"/>
        <v>0.37957078352246187</v>
      </c>
      <c r="BN26" s="1393">
        <f t="shared" si="58"/>
        <v>0.38012354751625588</v>
      </c>
      <c r="BO26" s="1394">
        <f t="shared" si="58"/>
        <v>0.37850447327789305</v>
      </c>
      <c r="BP26" s="1395">
        <f t="shared" si="58"/>
        <v>0.37837620833698754</v>
      </c>
      <c r="BQ26" s="1393">
        <f t="shared" si="58"/>
        <v>0.38253645194839431</v>
      </c>
      <c r="BR26" s="1393">
        <f t="shared" si="58"/>
        <v>0.3888227415983887</v>
      </c>
      <c r="BS26" s="1394">
        <f t="shared" si="58"/>
        <v>0.38878696614497166</v>
      </c>
      <c r="BT26" s="1395">
        <f t="shared" ref="BT26:BW26" si="59">BT25/BT8</f>
        <v>0.3828547950342302</v>
      </c>
      <c r="BU26" s="1393">
        <f t="shared" si="59"/>
        <v>0.38702369515866147</v>
      </c>
      <c r="BV26" s="1393">
        <f t="shared" si="59"/>
        <v>0.39348537617256518</v>
      </c>
      <c r="BW26" s="1394">
        <f t="shared" si="59"/>
        <v>0.3934103688626901</v>
      </c>
      <c r="BX26" s="211"/>
      <c r="BY26" s="34">
        <f t="shared" ref="BY26:CO26" si="60">BY25/BY8</f>
        <v>0.28126461509681028</v>
      </c>
      <c r="BZ26" s="34">
        <f t="shared" si="60"/>
        <v>0.32354566264109247</v>
      </c>
      <c r="CA26" s="34">
        <f t="shared" si="60"/>
        <v>0.3319847691575441</v>
      </c>
      <c r="CB26" s="34">
        <f t="shared" si="60"/>
        <v>0.38614701658179912</v>
      </c>
      <c r="CC26" s="34">
        <f t="shared" si="60"/>
        <v>0.38156046481930789</v>
      </c>
      <c r="CD26" s="34">
        <f t="shared" si="60"/>
        <v>0.39838427097527729</v>
      </c>
      <c r="CE26" s="1393">
        <f t="shared" si="60"/>
        <v>0.35869749561874609</v>
      </c>
      <c r="CF26" s="1393">
        <f t="shared" si="60"/>
        <v>0.4177401227630328</v>
      </c>
      <c r="CG26" s="1393">
        <f t="shared" si="60"/>
        <v>0.34848792958196562</v>
      </c>
      <c r="CH26" s="1393">
        <f t="shared" si="60"/>
        <v>0.33265397768489402</v>
      </c>
      <c r="CI26" s="1393">
        <f t="shared" si="60"/>
        <v>0.33866388759118832</v>
      </c>
      <c r="CJ26" s="1393">
        <f t="shared" si="60"/>
        <v>0.35312163957239562</v>
      </c>
      <c r="CK26" s="1393">
        <f t="shared" si="60"/>
        <v>0.34109502831969796</v>
      </c>
      <c r="CL26" s="1393">
        <f t="shared" si="60"/>
        <v>0.35004735212060711</v>
      </c>
      <c r="CM26" s="1393">
        <f>CM25/(CM8-155.1)</f>
        <v>0.36952487008166296</v>
      </c>
      <c r="CN26" s="1393">
        <f t="shared" si="60"/>
        <v>0.37871431344609174</v>
      </c>
      <c r="CO26" s="1393">
        <f t="shared" si="60"/>
        <v>0.38471401872727734</v>
      </c>
      <c r="CP26" s="1394">
        <f t="shared" ref="CP26" si="61">CP25/CP8</f>
        <v>0.38927657579150909</v>
      </c>
      <c r="CQ26" s="22"/>
    </row>
    <row r="27" spans="1:95" ht="14.25" customHeight="1" collapsed="1">
      <c r="A27" s="9"/>
      <c r="B27" s="453"/>
      <c r="C27" s="24"/>
      <c r="D27" s="519"/>
      <c r="E27" s="519"/>
      <c r="F27" s="581"/>
      <c r="G27" s="616"/>
      <c r="H27" s="630"/>
      <c r="I27" s="519"/>
      <c r="J27" s="581"/>
      <c r="K27" s="616"/>
      <c r="L27" s="630"/>
      <c r="M27" s="519"/>
      <c r="N27" s="581"/>
      <c r="O27" s="616"/>
      <c r="P27" s="630"/>
      <c r="Q27" s="519"/>
      <c r="R27" s="581"/>
      <c r="S27" s="616"/>
      <c r="T27" s="630"/>
      <c r="U27" s="519"/>
      <c r="V27" s="581"/>
      <c r="W27" s="616"/>
      <c r="X27" s="630"/>
      <c r="Y27" s="519"/>
      <c r="Z27" s="581"/>
      <c r="AA27" s="616"/>
      <c r="AB27" s="630"/>
      <c r="AC27" s="519"/>
      <c r="AD27" s="581"/>
      <c r="AE27" s="616"/>
      <c r="AF27" s="630"/>
      <c r="AG27" s="519"/>
      <c r="AH27" s="581"/>
      <c r="AI27" s="616"/>
      <c r="AJ27" s="630">
        <f>(AI8*1.02)</f>
        <v>590.78400000000011</v>
      </c>
      <c r="AK27" s="519">
        <f>AJ8-AJ27</f>
        <v>279.81599999999992</v>
      </c>
      <c r="AL27" s="581">
        <f>AJ27*40.4%+AK27*26.5%</f>
        <v>312.82797600000004</v>
      </c>
      <c r="AM27" s="1172">
        <f>AL27/AJ8</f>
        <v>0.3593245761543763</v>
      </c>
      <c r="AN27" s="630"/>
      <c r="AO27" s="519"/>
      <c r="AP27" s="581"/>
      <c r="AQ27" s="587"/>
      <c r="AR27" s="630"/>
      <c r="AS27" s="519"/>
      <c r="AT27" s="581"/>
      <c r="AU27" s="616"/>
      <c r="AV27" s="630"/>
      <c r="AW27" s="519"/>
      <c r="AX27" s="581"/>
      <c r="AY27" s="587"/>
      <c r="AZ27" s="630"/>
      <c r="BA27" s="519"/>
      <c r="BB27" s="581"/>
      <c r="BC27" s="587"/>
      <c r="BD27" s="630"/>
      <c r="BE27" s="519"/>
      <c r="BF27" s="39"/>
      <c r="BG27" s="587"/>
      <c r="BH27" s="41"/>
      <c r="BI27" s="519"/>
      <c r="BJ27" s="519"/>
      <c r="BK27" s="587"/>
      <c r="BL27" s="41"/>
      <c r="BM27" s="39"/>
      <c r="BN27" s="39"/>
      <c r="BO27" s="40"/>
      <c r="BP27" s="41"/>
      <c r="BQ27" s="39"/>
      <c r="BR27" s="39"/>
      <c r="BS27" s="40"/>
      <c r="BT27" s="41"/>
      <c r="BU27" s="39"/>
      <c r="BV27" s="39"/>
      <c r="BW27" s="40"/>
      <c r="BX27" s="211"/>
      <c r="BY27" s="616"/>
      <c r="BZ27" s="616"/>
      <c r="CA27" s="616"/>
      <c r="CB27" s="616"/>
      <c r="CC27" s="616"/>
      <c r="CD27" s="616"/>
      <c r="CE27" s="616"/>
      <c r="CF27" s="616"/>
      <c r="CG27" s="616"/>
      <c r="CH27" s="616"/>
      <c r="CI27" s="616"/>
      <c r="CJ27" s="616"/>
      <c r="CK27" s="1044"/>
      <c r="CL27" s="1044"/>
      <c r="CM27" s="1044"/>
      <c r="CN27" s="1044"/>
      <c r="CO27" s="1044"/>
      <c r="CP27" s="587"/>
      <c r="CQ27" s="22"/>
    </row>
    <row r="28" spans="1:95" ht="14.25" customHeight="1">
      <c r="A28" s="432"/>
      <c r="B28" s="453" t="s">
        <v>305</v>
      </c>
      <c r="C28" s="433"/>
      <c r="D28" s="27">
        <v>21.1</v>
      </c>
      <c r="E28" s="27">
        <v>20.399999999999999</v>
      </c>
      <c r="F28" s="593">
        <v>20</v>
      </c>
      <c r="G28" s="593">
        <v>24</v>
      </c>
      <c r="H28" s="493">
        <v>23.5</v>
      </c>
      <c r="I28" s="27">
        <v>25</v>
      </c>
      <c r="J28" s="593">
        <v>22.9</v>
      </c>
      <c r="K28" s="593">
        <v>23</v>
      </c>
      <c r="L28" s="493">
        <v>23.1</v>
      </c>
      <c r="M28" s="27">
        <v>23</v>
      </c>
      <c r="N28" s="593">
        <v>23.9</v>
      </c>
      <c r="O28" s="593">
        <v>23.7</v>
      </c>
      <c r="P28" s="493">
        <v>23.6</v>
      </c>
      <c r="Q28" s="27">
        <v>25.2</v>
      </c>
      <c r="R28" s="593">
        <v>25.9</v>
      </c>
      <c r="S28" s="593">
        <v>26.5</v>
      </c>
      <c r="T28" s="493">
        <v>30.8</v>
      </c>
      <c r="U28" s="27">
        <v>32.4</v>
      </c>
      <c r="V28" s="593">
        <v>34.4</v>
      </c>
      <c r="W28" s="593">
        <v>35.4</v>
      </c>
      <c r="X28" s="493">
        <f>40.3+17.7</f>
        <v>58</v>
      </c>
      <c r="Y28" s="27">
        <v>67.5</v>
      </c>
      <c r="Z28" s="593">
        <v>67.2</v>
      </c>
      <c r="AA28" s="593">
        <f>58.9+9.4</f>
        <v>68.3</v>
      </c>
      <c r="AB28" s="493">
        <v>43.6</v>
      </c>
      <c r="AC28" s="27">
        <v>50.7</v>
      </c>
      <c r="AD28" s="593">
        <v>53.8</v>
      </c>
      <c r="AE28" s="593">
        <v>50.7</v>
      </c>
      <c r="AF28" s="493">
        <v>65.2</v>
      </c>
      <c r="AG28" s="27">
        <v>60.1</v>
      </c>
      <c r="AH28" s="593">
        <v>63.3</v>
      </c>
      <c r="AI28" s="593">
        <v>59.4</v>
      </c>
      <c r="AJ28" s="493">
        <v>91.1</v>
      </c>
      <c r="AK28" s="27">
        <v>89.2</v>
      </c>
      <c r="AL28" s="593">
        <v>91.5</v>
      </c>
      <c r="AM28" s="593">
        <v>90.7</v>
      </c>
      <c r="AN28" s="493">
        <v>91.4</v>
      </c>
      <c r="AO28" s="27">
        <v>97.8</v>
      </c>
      <c r="AP28" s="593">
        <v>90.1</v>
      </c>
      <c r="AQ28" s="594">
        <v>88.2</v>
      </c>
      <c r="AR28" s="493">
        <v>88.4</v>
      </c>
      <c r="AS28" s="27">
        <v>83.1</v>
      </c>
      <c r="AT28" s="593">
        <v>84</v>
      </c>
      <c r="AU28" s="593">
        <v>78.7</v>
      </c>
      <c r="AV28" s="493">
        <v>78.099999999999994</v>
      </c>
      <c r="AW28" s="27">
        <v>84.2</v>
      </c>
      <c r="AX28" s="593">
        <v>93.4</v>
      </c>
      <c r="AY28" s="594">
        <v>110.9</v>
      </c>
      <c r="AZ28" s="493">
        <v>100.4</v>
      </c>
      <c r="BA28" s="27">
        <v>100.4</v>
      </c>
      <c r="BB28" s="593">
        <v>104.9</v>
      </c>
      <c r="BC28" s="594">
        <v>91</v>
      </c>
      <c r="BD28" s="493">
        <v>98</v>
      </c>
      <c r="BE28" s="27">
        <v>103</v>
      </c>
      <c r="BF28" s="593">
        <v>111.5</v>
      </c>
      <c r="BG28" s="594">
        <v>139.80000000000001</v>
      </c>
      <c r="BH28" s="493">
        <v>140</v>
      </c>
      <c r="BI28" s="27">
        <v>145.5</v>
      </c>
      <c r="BJ28" s="27">
        <v>150.9</v>
      </c>
      <c r="BK28" s="1407">
        <v>158</v>
      </c>
      <c r="BL28" s="1237">
        <f t="shared" ref="BL28:BS28" si="62">(1+BL30*BL10)*BK28</f>
        <v>152.74006243194205</v>
      </c>
      <c r="BM28" s="1212">
        <f t="shared" si="62"/>
        <v>155.02415103144267</v>
      </c>
      <c r="BN28" s="1212">
        <f t="shared" si="62"/>
        <v>156.48868853028037</v>
      </c>
      <c r="BO28" s="1238">
        <f t="shared" si="62"/>
        <v>155.93417039967329</v>
      </c>
      <c r="BP28" s="1237">
        <f t="shared" si="62"/>
        <v>155.93417039967329</v>
      </c>
      <c r="BQ28" s="1212">
        <f t="shared" si="62"/>
        <v>158.55662961065894</v>
      </c>
      <c r="BR28" s="1212">
        <f t="shared" si="62"/>
        <v>160.10605027201655</v>
      </c>
      <c r="BS28" s="1238">
        <f t="shared" si="62"/>
        <v>158.85444426494672</v>
      </c>
      <c r="BT28" s="1237">
        <f t="shared" ref="BT28" si="63">(1+BT30*BT10)*BS28</f>
        <v>158.85444426494672</v>
      </c>
      <c r="BU28" s="1212">
        <f t="shared" ref="BU28" si="64">(1+BU30*BU10)*BT28</f>
        <v>161.51956819446343</v>
      </c>
      <c r="BV28" s="1212">
        <f t="shared" ref="BV28" si="65">(1+BV30*BV10)*BU28</f>
        <v>163.02748611240648</v>
      </c>
      <c r="BW28" s="1238">
        <f t="shared" ref="BW28" si="66">(1+BW30*BW10)*BV28</f>
        <v>161.77872113158017</v>
      </c>
      <c r="BX28" s="1236"/>
      <c r="BY28" s="595">
        <f>SUM(D28:G28)</f>
        <v>85.5</v>
      </c>
      <c r="BZ28" s="595">
        <f>SUM(H28:K28)</f>
        <v>94.4</v>
      </c>
      <c r="CA28" s="595">
        <f>SUM(L28:O28)</f>
        <v>93.7</v>
      </c>
      <c r="CB28" s="595">
        <f>SUM(P28:S28)</f>
        <v>101.19999999999999</v>
      </c>
      <c r="CC28" s="595">
        <f>SUM(T28:W28)</f>
        <v>133</v>
      </c>
      <c r="CD28" s="595">
        <f>SUM(X28:AA28)</f>
        <v>261</v>
      </c>
      <c r="CE28" s="1408">
        <f>SUM(AB28:AE28)</f>
        <v>198.8</v>
      </c>
      <c r="CF28" s="1408">
        <f>SUM(AF28:AI28)</f>
        <v>248.00000000000003</v>
      </c>
      <c r="CG28" s="1408">
        <f>SUM(AJ28:AM28)</f>
        <v>362.5</v>
      </c>
      <c r="CH28" s="1408">
        <f>SUM(AN28:AQ28)</f>
        <v>367.49999999999994</v>
      </c>
      <c r="CI28" s="1408">
        <f>SUM(AR28:AU28)</f>
        <v>334.2</v>
      </c>
      <c r="CJ28" s="1408">
        <f>SUM(AV28:AY28)</f>
        <v>366.6</v>
      </c>
      <c r="CK28" s="1408">
        <f>SUM(AZ28:BC28)</f>
        <v>396.70000000000005</v>
      </c>
      <c r="CL28" s="1206">
        <f>SUM(BD28:BG28)</f>
        <v>452.3</v>
      </c>
      <c r="CM28" s="1206">
        <f>SUM(BH28:BK28)</f>
        <v>594.4</v>
      </c>
      <c r="CN28" s="1206">
        <f>SUM(BL28:BO28)</f>
        <v>620.18707239333844</v>
      </c>
      <c r="CO28" s="1206">
        <f>SUM(BP28:BS28)</f>
        <v>633.45129454729545</v>
      </c>
      <c r="CP28" s="1194">
        <f>SUM(BT28:BW28)</f>
        <v>645.1802197033968</v>
      </c>
      <c r="CQ28" s="1468"/>
    </row>
    <row r="29" spans="1:95" ht="14.25" customHeight="1">
      <c r="A29" s="9"/>
      <c r="B29" s="459" t="s">
        <v>66</v>
      </c>
      <c r="C29" s="33"/>
      <c r="D29" s="34">
        <f t="shared" ref="D29:AI29" si="67">D28/D8</f>
        <v>7.8293135435992589E-2</v>
      </c>
      <c r="E29" s="34">
        <f t="shared" si="67"/>
        <v>7.962529274004683E-2</v>
      </c>
      <c r="F29" s="34">
        <f t="shared" si="67"/>
        <v>7.5528700906344406E-2</v>
      </c>
      <c r="G29" s="34">
        <f t="shared" si="67"/>
        <v>8.6145010768126334E-2</v>
      </c>
      <c r="H29" s="36">
        <f t="shared" si="67"/>
        <v>7.6249188838416609E-2</v>
      </c>
      <c r="I29" s="34">
        <f t="shared" si="67"/>
        <v>7.4962518740629688E-2</v>
      </c>
      <c r="J29" s="34">
        <f t="shared" si="67"/>
        <v>7.1922110552763818E-2</v>
      </c>
      <c r="K29" s="34">
        <f t="shared" si="67"/>
        <v>7.4967405475880045E-2</v>
      </c>
      <c r="L29" s="36">
        <f t="shared" si="67"/>
        <v>7.6388888888888895E-2</v>
      </c>
      <c r="M29" s="34">
        <f t="shared" si="67"/>
        <v>7.5957727873183611E-2</v>
      </c>
      <c r="N29" s="34">
        <f t="shared" si="67"/>
        <v>7.6211734693877542E-2</v>
      </c>
      <c r="O29" s="34">
        <f t="shared" si="67"/>
        <v>6.9338794616734922E-2</v>
      </c>
      <c r="P29" s="36">
        <f t="shared" si="67"/>
        <v>7.0658682634730546E-2</v>
      </c>
      <c r="Q29" s="34">
        <f t="shared" si="67"/>
        <v>6.7146282973621102E-2</v>
      </c>
      <c r="R29" s="34">
        <f t="shared" si="67"/>
        <v>6.1534806367308147E-2</v>
      </c>
      <c r="S29" s="34">
        <f t="shared" si="67"/>
        <v>6.5986055776892427E-2</v>
      </c>
      <c r="T29" s="36">
        <f t="shared" si="67"/>
        <v>8.2308925708177452E-2</v>
      </c>
      <c r="U29" s="34">
        <f t="shared" si="67"/>
        <v>8.4994753410283314E-2</v>
      </c>
      <c r="V29" s="34">
        <f t="shared" si="67"/>
        <v>8.5380987838173245E-2</v>
      </c>
      <c r="W29" s="34">
        <f t="shared" si="67"/>
        <v>8.6785976955136068E-2</v>
      </c>
      <c r="X29" s="36">
        <f t="shared" si="67"/>
        <v>0.13747333491348662</v>
      </c>
      <c r="Y29" s="34">
        <f t="shared" si="67"/>
        <v>0.1199573484983117</v>
      </c>
      <c r="Z29" s="34">
        <f t="shared" si="67"/>
        <v>0.11556319862424765</v>
      </c>
      <c r="AA29" s="34">
        <f t="shared" si="67"/>
        <v>0.1397585430734602</v>
      </c>
      <c r="AB29" s="36">
        <f t="shared" si="67"/>
        <v>0.11500923239250857</v>
      </c>
      <c r="AC29" s="34">
        <f t="shared" si="67"/>
        <v>0.12077179609337781</v>
      </c>
      <c r="AD29" s="34">
        <f t="shared" si="67"/>
        <v>0.11376612391626137</v>
      </c>
      <c r="AE29" s="34">
        <f t="shared" si="67"/>
        <v>0.1019915509957755</v>
      </c>
      <c r="AF29" s="36">
        <f t="shared" si="67"/>
        <v>0.11850236277717194</v>
      </c>
      <c r="AG29" s="34">
        <f t="shared" si="67"/>
        <v>0.10303445911194926</v>
      </c>
      <c r="AH29" s="34">
        <f t="shared" si="67"/>
        <v>0.10537706009655401</v>
      </c>
      <c r="AI29" s="34">
        <f t="shared" si="67"/>
        <v>0.10255524861878453</v>
      </c>
      <c r="AJ29" s="36">
        <f t="shared" ref="AJ29:BO29" si="68">AJ28/AJ8</f>
        <v>0.10464047783138065</v>
      </c>
      <c r="AK29" s="34">
        <f t="shared" si="68"/>
        <v>9.8476484875248405E-2</v>
      </c>
      <c r="AL29" s="34">
        <f t="shared" si="68"/>
        <v>0.10189309576837416</v>
      </c>
      <c r="AM29" s="34">
        <f t="shared" si="68"/>
        <v>0.11811433780440163</v>
      </c>
      <c r="AN29" s="36">
        <f t="shared" si="68"/>
        <v>0.12278344975819452</v>
      </c>
      <c r="AO29" s="34">
        <f t="shared" si="68"/>
        <v>0.13131041890440387</v>
      </c>
      <c r="AP29" s="34">
        <f t="shared" si="68"/>
        <v>0.12419021364576154</v>
      </c>
      <c r="AQ29" s="34">
        <f t="shared" si="68"/>
        <v>0.12966774478094678</v>
      </c>
      <c r="AR29" s="36">
        <f t="shared" si="68"/>
        <v>0.13373676248108926</v>
      </c>
      <c r="AS29" s="34">
        <f t="shared" si="68"/>
        <v>0.12073223884933895</v>
      </c>
      <c r="AT29" s="34">
        <f t="shared" si="68"/>
        <v>0.11741682974559688</v>
      </c>
      <c r="AU29" s="34">
        <f t="shared" si="68"/>
        <v>0.10961002785515321</v>
      </c>
      <c r="AV29" s="36">
        <f t="shared" si="68"/>
        <v>0.1105449398443029</v>
      </c>
      <c r="AW29" s="34">
        <f t="shared" si="68"/>
        <v>0.11114044350580782</v>
      </c>
      <c r="AX29" s="34">
        <f t="shared" si="68"/>
        <v>0.11205758848230354</v>
      </c>
      <c r="AY29" s="35">
        <f t="shared" si="68"/>
        <v>0.12832677620921082</v>
      </c>
      <c r="AZ29" s="36">
        <f t="shared" si="68"/>
        <v>0.11529627928341755</v>
      </c>
      <c r="BA29" s="34">
        <f t="shared" si="68"/>
        <v>0.11402612152186259</v>
      </c>
      <c r="BB29" s="34">
        <f t="shared" si="68"/>
        <v>0.11601415616014156</v>
      </c>
      <c r="BC29" s="35">
        <f t="shared" si="68"/>
        <v>0.10829465667023683</v>
      </c>
      <c r="BD29" s="36">
        <f t="shared" si="68"/>
        <v>0.11992168379833577</v>
      </c>
      <c r="BE29" s="34">
        <f t="shared" si="68"/>
        <v>0.11733880154932787</v>
      </c>
      <c r="BF29" s="34">
        <f t="shared" si="68"/>
        <v>0.11725733515616785</v>
      </c>
      <c r="BG29" s="35">
        <f t="shared" si="68"/>
        <v>0.11086439333862015</v>
      </c>
      <c r="BH29" s="36">
        <f t="shared" si="68"/>
        <v>9.7445534906382678E-2</v>
      </c>
      <c r="BI29" s="1393">
        <f t="shared" ref="BI29:BK29" si="69">BI28/BI8</f>
        <v>0.10874439461883408</v>
      </c>
      <c r="BJ29" s="1393">
        <f t="shared" si="69"/>
        <v>0.10849090516931482</v>
      </c>
      <c r="BK29" s="1394">
        <f t="shared" si="69"/>
        <v>0.1147005444646098</v>
      </c>
      <c r="BL29" s="1395">
        <f t="shared" si="68"/>
        <v>0.1115007350635446</v>
      </c>
      <c r="BM29" s="1393">
        <f t="shared" si="68"/>
        <v>0.10853103331514755</v>
      </c>
      <c r="BN29" s="1393">
        <f t="shared" si="68"/>
        <v>0.10702855413487211</v>
      </c>
      <c r="BO29" s="1394">
        <f t="shared" si="68"/>
        <v>0.10857294082123836</v>
      </c>
      <c r="BP29" s="1395">
        <f t="shared" ref="BP29:BS29" si="70">BP28/BP8</f>
        <v>0.10917866642824382</v>
      </c>
      <c r="BQ29" s="1393">
        <f t="shared" si="70"/>
        <v>0.10701534736321956</v>
      </c>
      <c r="BR29" s="1393">
        <f t="shared" si="70"/>
        <v>0.10576436513044281</v>
      </c>
      <c r="BS29" s="1394">
        <f t="shared" si="70"/>
        <v>0.10679276084736804</v>
      </c>
      <c r="BT29" s="1395">
        <f t="shared" ref="BT29:BW29" si="71">BT28/BT8</f>
        <v>0.10723342343791173</v>
      </c>
      <c r="BU29" s="1393">
        <f t="shared" si="71"/>
        <v>0.10511359205633594</v>
      </c>
      <c r="BV29" s="1393">
        <f t="shared" si="71"/>
        <v>0.10393857598111698</v>
      </c>
      <c r="BW29" s="1394">
        <f t="shared" si="71"/>
        <v>0.10492850251205448</v>
      </c>
      <c r="BX29" s="211"/>
      <c r="BY29" s="34">
        <f t="shared" ref="BY29:CO29" si="72">BY28/BY8</f>
        <v>7.9973809746515773E-2</v>
      </c>
      <c r="BZ29" s="34">
        <f t="shared" si="72"/>
        <v>7.4512589786092029E-2</v>
      </c>
      <c r="CA29" s="34">
        <f t="shared" si="72"/>
        <v>7.4329684277328251E-2</v>
      </c>
      <c r="CB29" s="34">
        <f t="shared" si="72"/>
        <v>6.6066066066066076E-2</v>
      </c>
      <c r="CC29" s="34">
        <f t="shared" si="72"/>
        <v>8.4918912016345299E-2</v>
      </c>
      <c r="CD29" s="34">
        <f t="shared" si="72"/>
        <v>0.12701966128090328</v>
      </c>
      <c r="CE29" s="1393">
        <f t="shared" si="72"/>
        <v>0.11238622872971904</v>
      </c>
      <c r="CF29" s="1393">
        <f t="shared" si="72"/>
        <v>0.10720152156998358</v>
      </c>
      <c r="CG29" s="1393">
        <f t="shared" si="72"/>
        <v>0.10530749789385004</v>
      </c>
      <c r="CH29" s="1393">
        <f t="shared" si="72"/>
        <v>0.12694739023800478</v>
      </c>
      <c r="CI29" s="1393">
        <f t="shared" si="72"/>
        <v>0.12009918424551695</v>
      </c>
      <c r="CJ29" s="1393">
        <f t="shared" si="72"/>
        <v>0.11594661268897463</v>
      </c>
      <c r="CK29" s="1393">
        <f t="shared" si="72"/>
        <v>0.11347903198123463</v>
      </c>
      <c r="CL29" s="1393">
        <f t="shared" si="72"/>
        <v>0.11576953594921804</v>
      </c>
      <c r="CM29" s="1393">
        <f t="shared" si="72"/>
        <v>0.10723241507459724</v>
      </c>
      <c r="CN29" s="1393">
        <f t="shared" si="72"/>
        <v>0.10887008744629967</v>
      </c>
      <c r="CO29" s="1393">
        <f t="shared" si="72"/>
        <v>0.10716166702965661</v>
      </c>
      <c r="CP29" s="1394">
        <f t="shared" ref="CP29" si="73">CP28/CP8</f>
        <v>0.10527871332200175</v>
      </c>
      <c r="CQ29" s="22"/>
    </row>
    <row r="30" spans="1:95" ht="14.25" customHeight="1">
      <c r="A30" s="9"/>
      <c r="B30" s="459" t="s">
        <v>67</v>
      </c>
      <c r="C30" s="33"/>
      <c r="D30" s="602"/>
      <c r="E30" s="34">
        <f t="shared" ref="E30:AJ30" si="74">(E28/D28-1)/E10</f>
        <v>0.67223746570217235</v>
      </c>
      <c r="F30" s="34">
        <f t="shared" si="74"/>
        <v>-0.58413132694938164</v>
      </c>
      <c r="G30" s="34">
        <f t="shared" si="74"/>
        <v>3.8376811594202782</v>
      </c>
      <c r="H30" s="36">
        <f t="shared" si="74"/>
        <v>-0.19608671171171238</v>
      </c>
      <c r="I30" s="34">
        <f t="shared" si="74"/>
        <v>0.77756286266924424</v>
      </c>
      <c r="J30" s="34">
        <f t="shared" si="74"/>
        <v>1.8552317880794711</v>
      </c>
      <c r="K30" s="34">
        <f t="shared" si="74"/>
        <v>-0.119861466646593</v>
      </c>
      <c r="L30" s="36">
        <f t="shared" si="74"/>
        <v>-0.30316205533596402</v>
      </c>
      <c r="M30" s="34">
        <f t="shared" si="74"/>
        <v>-3.2727272727271584</v>
      </c>
      <c r="N30" s="34">
        <f t="shared" si="74"/>
        <v>1.0971014492753615</v>
      </c>
      <c r="O30" s="34">
        <f t="shared" si="74"/>
        <v>-9.3059141220807995E-2</v>
      </c>
      <c r="P30" s="36">
        <f t="shared" si="74"/>
        <v>0.18489667856756212</v>
      </c>
      <c r="Q30" s="34">
        <f t="shared" si="74"/>
        <v>0.54828251323511112</v>
      </c>
      <c r="R30" s="34">
        <f t="shared" si="74"/>
        <v>0.22861842105263108</v>
      </c>
      <c r="S30" s="34">
        <f t="shared" si="74"/>
        <v>-0.50521135495228819</v>
      </c>
      <c r="T30" s="36">
        <f t="shared" si="74"/>
        <v>-2.3782950006886079</v>
      </c>
      <c r="U30" s="34">
        <f t="shared" si="74"/>
        <v>2.7769944341372965</v>
      </c>
      <c r="V30" s="34">
        <f t="shared" si="74"/>
        <v>1.0843716220060329</v>
      </c>
      <c r="W30" s="34">
        <f t="shared" si="74"/>
        <v>2.3424418604651369</v>
      </c>
      <c r="X30" s="36">
        <f t="shared" si="74"/>
        <v>18.600766747376905</v>
      </c>
      <c r="Y30" s="34">
        <f t="shared" si="74"/>
        <v>0.490797658699059</v>
      </c>
      <c r="Z30" s="34">
        <f t="shared" si="74"/>
        <v>-0.13302600472813061</v>
      </c>
      <c r="AA30" s="34">
        <f t="shared" si="74"/>
        <v>-0.10257113351806134</v>
      </c>
      <c r="AB30" s="36">
        <f t="shared" si="74"/>
        <v>1.6125308589199652</v>
      </c>
      <c r="AC30" s="34">
        <f t="shared" si="74"/>
        <v>1.5168101796542168</v>
      </c>
      <c r="AD30" s="34">
        <f t="shared" si="74"/>
        <v>0.48339443645832092</v>
      </c>
      <c r="AE30" s="34">
        <f t="shared" si="74"/>
        <v>-1.1259869734861234</v>
      </c>
      <c r="AF30" s="36">
        <f t="shared" si="74"/>
        <v>2.6773755000612889</v>
      </c>
      <c r="AG30" s="34">
        <f t="shared" si="74"/>
        <v>-1.3002150019461405</v>
      </c>
      <c r="AH30" s="34">
        <f t="shared" si="74"/>
        <v>1.7849178572111508</v>
      </c>
      <c r="AI30" s="34">
        <f t="shared" si="74"/>
        <v>1.721393144494652</v>
      </c>
      <c r="AJ30" s="36">
        <f t="shared" si="74"/>
        <v>1.0607470264299363</v>
      </c>
      <c r="AK30" s="34">
        <f t="shared" ref="AK30:BK30" si="75">(AK28/AJ28-1)/AK10</f>
        <v>-0.515835495459534</v>
      </c>
      <c r="AL30" s="34">
        <f t="shared" si="75"/>
        <v>-2.9943371277452155</v>
      </c>
      <c r="AM30" s="34">
        <f t="shared" si="75"/>
        <v>6.0348701923278597E-2</v>
      </c>
      <c r="AN30" s="36">
        <f t="shared" si="75"/>
        <v>-0.25218982382885125</v>
      </c>
      <c r="AO30" s="34">
        <f t="shared" si="75"/>
        <v>130.31072210065315</v>
      </c>
      <c r="AP30" s="34">
        <f t="shared" si="75"/>
        <v>3.03832501562882</v>
      </c>
      <c r="AQ30" s="34">
        <f t="shared" si="75"/>
        <v>0.33772874387790763</v>
      </c>
      <c r="AR30" s="36">
        <f t="shared" si="75"/>
        <v>-8.0333522297805354E-2</v>
      </c>
      <c r="AS30" s="34">
        <f t="shared" si="75"/>
        <v>-1.4516516665837975</v>
      </c>
      <c r="AT30" s="34">
        <f t="shared" si="75"/>
        <v>0.27507426698816168</v>
      </c>
      <c r="AU30" s="34">
        <f t="shared" si="75"/>
        <v>-17.360897435897474</v>
      </c>
      <c r="AV30" s="36">
        <f t="shared" si="75"/>
        <v>0.47599580133695085</v>
      </c>
      <c r="AW30" s="34">
        <f t="shared" si="75"/>
        <v>1.0798664966135534</v>
      </c>
      <c r="AX30" s="34">
        <f t="shared" si="75"/>
        <v>1.0906211761318645</v>
      </c>
      <c r="AY30" s="35">
        <f t="shared" si="75"/>
        <v>5.0869609190271277</v>
      </c>
      <c r="AZ30" s="36">
        <f t="shared" si="75"/>
        <v>-12.397327649807549</v>
      </c>
      <c r="BA30" s="34">
        <f t="shared" si="75"/>
        <v>0</v>
      </c>
      <c r="BB30" s="34">
        <f t="shared" si="75"/>
        <v>1.6651747440617291</v>
      </c>
      <c r="BC30" s="35">
        <f t="shared" si="75"/>
        <v>1.8750072727435456</v>
      </c>
      <c r="BD30" s="36">
        <f t="shared" si="75"/>
        <v>-2.7982017982018039</v>
      </c>
      <c r="BE30" s="34">
        <f t="shared" si="75"/>
        <v>0.68801778136997482</v>
      </c>
      <c r="BF30" s="34">
        <f t="shared" si="75"/>
        <v>0.99096861594039254</v>
      </c>
      <c r="BG30" s="35">
        <f t="shared" si="75"/>
        <v>0.77829573275220099</v>
      </c>
      <c r="BH30" s="36">
        <f t="shared" si="75"/>
        <v>1.0267533992376789E-2</v>
      </c>
      <c r="BI30" s="1393">
        <f t="shared" si="75"/>
        <v>-0.57185193226226805</v>
      </c>
      <c r="BJ30" s="1393">
        <f t="shared" si="75"/>
        <v>0.93870948882349348</v>
      </c>
      <c r="BK30" s="1394">
        <f t="shared" si="75"/>
        <v>-4.8838263948646201</v>
      </c>
      <c r="BL30" s="1214">
        <v>6</v>
      </c>
      <c r="BM30" s="1213">
        <v>0.35</v>
      </c>
      <c r="BN30" s="1213">
        <v>0.4</v>
      </c>
      <c r="BO30" s="1215">
        <v>0.2</v>
      </c>
      <c r="BP30" s="1214">
        <v>0</v>
      </c>
      <c r="BQ30" s="1213">
        <v>0.45</v>
      </c>
      <c r="BR30" s="1213">
        <v>0.45</v>
      </c>
      <c r="BS30" s="1215">
        <v>0.45</v>
      </c>
      <c r="BT30" s="1214">
        <v>0</v>
      </c>
      <c r="BU30" s="1213">
        <v>0.45</v>
      </c>
      <c r="BV30" s="1213">
        <v>0.45</v>
      </c>
      <c r="BW30" s="1215">
        <v>0.45</v>
      </c>
      <c r="BX30" s="211"/>
      <c r="BY30" s="598"/>
      <c r="BZ30" s="34">
        <f t="shared" ref="BZ30:CP30" si="76">(BZ28/BY28-1)/BZ11</f>
        <v>0.56262099468421578</v>
      </c>
      <c r="CA30" s="34">
        <f t="shared" si="76"/>
        <v>1.4911723163842121</v>
      </c>
      <c r="CB30" s="34">
        <f t="shared" si="76"/>
        <v>0.37205683739292233</v>
      </c>
      <c r="CC30" s="34">
        <f t="shared" si="76"/>
        <v>13.992336152219812</v>
      </c>
      <c r="CD30" s="34">
        <f t="shared" si="76"/>
        <v>3.0849781022347105</v>
      </c>
      <c r="CE30" s="1393">
        <f t="shared" si="76"/>
        <v>1.7127945762457477</v>
      </c>
      <c r="CF30" s="1393">
        <f t="shared" si="76"/>
        <v>0.80399643037287138</v>
      </c>
      <c r="CG30" s="1393">
        <f t="shared" si="76"/>
        <v>0.94612618906786161</v>
      </c>
      <c r="CH30" s="1393">
        <f t="shared" si="76"/>
        <v>-8.673730361709768E-2</v>
      </c>
      <c r="CI30" s="1393">
        <f t="shared" si="76"/>
        <v>2.3379089817745298</v>
      </c>
      <c r="CJ30" s="1393">
        <f t="shared" si="76"/>
        <v>0.71162495317502883</v>
      </c>
      <c r="CK30" s="1393">
        <f t="shared" si="76"/>
        <v>0.77725220589916788</v>
      </c>
      <c r="CL30" s="1393">
        <f t="shared" si="76"/>
        <v>1.1918228081747386</v>
      </c>
      <c r="CM30" s="1393">
        <f t="shared" si="76"/>
        <v>0.75017639946616788</v>
      </c>
      <c r="CN30" s="1393">
        <f t="shared" si="76"/>
        <v>1.5668467101513448</v>
      </c>
      <c r="CO30" s="1393">
        <f t="shared" si="76"/>
        <v>0.56774498556501252</v>
      </c>
      <c r="CP30" s="1394">
        <f t="shared" si="76"/>
        <v>0.50407438962844842</v>
      </c>
      <c r="CQ30" s="22"/>
    </row>
    <row r="31" spans="1:95" ht="5.25" customHeight="1">
      <c r="A31" s="9"/>
      <c r="B31" s="460"/>
      <c r="C31" s="26"/>
      <c r="D31" s="29"/>
      <c r="E31" s="29"/>
      <c r="F31" s="595"/>
      <c r="G31" s="593"/>
      <c r="H31" s="31"/>
      <c r="I31" s="29"/>
      <c r="J31" s="595"/>
      <c r="K31" s="593"/>
      <c r="L31" s="31"/>
      <c r="M31" s="29"/>
      <c r="N31" s="595"/>
      <c r="O31" s="593"/>
      <c r="P31" s="31"/>
      <c r="Q31" s="29"/>
      <c r="R31" s="595"/>
      <c r="S31" s="593"/>
      <c r="T31" s="31"/>
      <c r="U31" s="29"/>
      <c r="V31" s="595"/>
      <c r="W31" s="593"/>
      <c r="X31" s="31"/>
      <c r="Y31" s="29"/>
      <c r="Z31" s="595"/>
      <c r="AA31" s="593"/>
      <c r="AB31" s="31"/>
      <c r="AC31" s="29"/>
      <c r="AD31" s="595"/>
      <c r="AE31" s="593"/>
      <c r="AF31" s="31"/>
      <c r="AG31" s="29"/>
      <c r="AH31" s="595"/>
      <c r="AI31" s="593"/>
      <c r="AJ31" s="31"/>
      <c r="AK31" s="29"/>
      <c r="AL31" s="595"/>
      <c r="AM31" s="593"/>
      <c r="AN31" s="31"/>
      <c r="AO31" s="29"/>
      <c r="AP31" s="595"/>
      <c r="AQ31" s="594"/>
      <c r="AR31" s="31"/>
      <c r="AS31" s="29"/>
      <c r="AT31" s="595"/>
      <c r="AU31" s="593"/>
      <c r="AV31" s="31"/>
      <c r="AW31" s="29"/>
      <c r="AX31" s="595"/>
      <c r="AY31" s="594"/>
      <c r="AZ31" s="31"/>
      <c r="BA31" s="29"/>
      <c r="BB31" s="595"/>
      <c r="BC31" s="594"/>
      <c r="BD31" s="31"/>
      <c r="BE31" s="29"/>
      <c r="BF31" s="595"/>
      <c r="BG31" s="594"/>
      <c r="BH31" s="31"/>
      <c r="BI31" s="29"/>
      <c r="BJ31" s="29"/>
      <c r="BK31" s="29"/>
      <c r="BL31" s="31"/>
      <c r="BM31" s="29"/>
      <c r="BN31" s="29"/>
      <c r="BO31" s="30"/>
      <c r="BP31" s="31"/>
      <c r="BQ31" s="29"/>
      <c r="BR31" s="29"/>
      <c r="BS31" s="30"/>
      <c r="BT31" s="31"/>
      <c r="BU31" s="29"/>
      <c r="BV31" s="29"/>
      <c r="BW31" s="30"/>
      <c r="BX31" s="211"/>
      <c r="BY31" s="595"/>
      <c r="BZ31" s="595"/>
      <c r="CA31" s="595"/>
      <c r="CB31" s="595"/>
      <c r="CC31" s="595"/>
      <c r="CD31" s="595"/>
      <c r="CE31" s="1408"/>
      <c r="CF31" s="1408"/>
      <c r="CG31" s="1408"/>
      <c r="CH31" s="1408"/>
      <c r="CI31" s="1408"/>
      <c r="CJ31" s="1408"/>
      <c r="CK31" s="1408"/>
      <c r="CL31" s="1408"/>
      <c r="CM31" s="1408"/>
      <c r="CN31" s="1408"/>
      <c r="CO31" s="1408"/>
      <c r="CP31" s="1409"/>
      <c r="CQ31" s="22"/>
    </row>
    <row r="32" spans="1:95" ht="14.25" customHeight="1">
      <c r="A32" s="9"/>
      <c r="B32" s="460" t="s">
        <v>623</v>
      </c>
      <c r="C32" s="26"/>
      <c r="D32" s="29"/>
      <c r="E32" s="29"/>
      <c r="F32" s="595"/>
      <c r="G32" s="593"/>
      <c r="H32" s="31"/>
      <c r="I32" s="29"/>
      <c r="J32" s="595"/>
      <c r="K32" s="593"/>
      <c r="L32" s="31"/>
      <c r="M32" s="29"/>
      <c r="N32" s="595"/>
      <c r="O32" s="593"/>
      <c r="P32" s="31"/>
      <c r="Q32" s="29"/>
      <c r="R32" s="595"/>
      <c r="S32" s="593"/>
      <c r="T32" s="31"/>
      <c r="U32" s="29"/>
      <c r="V32" s="595"/>
      <c r="W32" s="593"/>
      <c r="X32" s="31"/>
      <c r="Y32" s="29"/>
      <c r="Z32" s="595"/>
      <c r="AA32" s="593"/>
      <c r="AB32" s="31"/>
      <c r="AC32" s="29"/>
      <c r="AD32" s="595"/>
      <c r="AE32" s="593"/>
      <c r="AF32" s="31"/>
      <c r="AG32" s="29"/>
      <c r="AH32" s="595"/>
      <c r="AI32" s="593"/>
      <c r="AJ32" s="31"/>
      <c r="AK32" s="29"/>
      <c r="AL32" s="595"/>
      <c r="AM32" s="593"/>
      <c r="AN32" s="31"/>
      <c r="AO32" s="29"/>
      <c r="AP32" s="595"/>
      <c r="AQ32" s="594"/>
      <c r="AR32" s="31"/>
      <c r="AS32" s="29"/>
      <c r="AT32" s="595"/>
      <c r="AU32" s="593"/>
      <c r="AV32" s="31"/>
      <c r="AW32" s="29"/>
      <c r="AX32" s="595"/>
      <c r="AY32" s="594"/>
      <c r="AZ32" s="31"/>
      <c r="BA32" s="29"/>
      <c r="BB32" s="595"/>
      <c r="BC32" s="594"/>
      <c r="BD32" s="31"/>
      <c r="BE32" s="29"/>
      <c r="BF32" s="1355">
        <v>3</v>
      </c>
      <c r="BG32" s="594">
        <v>7</v>
      </c>
      <c r="BH32" s="1357">
        <v>8</v>
      </c>
      <c r="BI32" s="1428">
        <v>10</v>
      </c>
      <c r="BJ32" s="29">
        <v>11</v>
      </c>
      <c r="BK32" s="1428">
        <v>13.5</v>
      </c>
      <c r="BL32" s="1430">
        <v>13.5</v>
      </c>
      <c r="BM32" s="1428">
        <v>13.5</v>
      </c>
      <c r="BN32" s="1428">
        <v>13.5</v>
      </c>
      <c r="BO32" s="1429">
        <v>13.5</v>
      </c>
      <c r="BP32" s="1430">
        <v>13.5</v>
      </c>
      <c r="BQ32" s="1428">
        <v>13.5</v>
      </c>
      <c r="BR32" s="1428">
        <v>13.5</v>
      </c>
      <c r="BS32" s="1429">
        <v>13.5</v>
      </c>
      <c r="BT32" s="1430">
        <v>13.5</v>
      </c>
      <c r="BU32" s="1428">
        <v>13.5</v>
      </c>
      <c r="BV32" s="1428">
        <v>13.5</v>
      </c>
      <c r="BW32" s="1429">
        <v>13.5</v>
      </c>
      <c r="BX32" s="211"/>
      <c r="BY32" s="595"/>
      <c r="BZ32" s="595"/>
      <c r="CA32" s="595"/>
      <c r="CB32" s="595"/>
      <c r="CC32" s="595"/>
      <c r="CD32" s="595"/>
      <c r="CE32" s="1408"/>
      <c r="CF32" s="1408"/>
      <c r="CG32" s="1408"/>
      <c r="CH32" s="1408"/>
      <c r="CI32" s="1408"/>
      <c r="CJ32" s="1408"/>
      <c r="CK32" s="1408"/>
      <c r="CL32" s="1206">
        <f>SUM(BD32:BG32)</f>
        <v>10</v>
      </c>
      <c r="CM32" s="1206">
        <f>SUM(BH32:BK32)</f>
        <v>42.5</v>
      </c>
      <c r="CN32" s="1206">
        <f>SUM(BL32:BO32)</f>
        <v>54</v>
      </c>
      <c r="CO32" s="1206">
        <f>SUM(BP32:BS32)</f>
        <v>54</v>
      </c>
      <c r="CP32" s="1194">
        <f>SUM(BT32:BW32)</f>
        <v>54</v>
      </c>
      <c r="CQ32" s="22"/>
    </row>
    <row r="33" spans="1:95" ht="4.5" hidden="1" customHeight="1" outlineLevel="1">
      <c r="A33" s="9"/>
      <c r="B33" s="460"/>
      <c r="C33" s="26"/>
      <c r="D33" s="29"/>
      <c r="E33" s="29"/>
      <c r="F33" s="595"/>
      <c r="G33" s="593"/>
      <c r="H33" s="31"/>
      <c r="I33" s="29"/>
      <c r="J33" s="595"/>
      <c r="K33" s="593"/>
      <c r="L33" s="31"/>
      <c r="M33" s="29"/>
      <c r="N33" s="595"/>
      <c r="O33" s="593"/>
      <c r="P33" s="31"/>
      <c r="Q33" s="29"/>
      <c r="R33" s="595"/>
      <c r="S33" s="593"/>
      <c r="T33" s="31"/>
      <c r="U33" s="29"/>
      <c r="V33" s="595"/>
      <c r="W33" s="593"/>
      <c r="X33" s="31"/>
      <c r="Y33" s="29"/>
      <c r="Z33" s="595"/>
      <c r="AA33" s="593"/>
      <c r="AB33" s="31"/>
      <c r="AC33" s="29"/>
      <c r="AD33" s="595"/>
      <c r="AE33" s="593"/>
      <c r="AF33" s="31"/>
      <c r="AG33" s="29"/>
      <c r="AH33" s="595"/>
      <c r="AI33" s="593"/>
      <c r="AJ33" s="31"/>
      <c r="AK33" s="29"/>
      <c r="AL33" s="595"/>
      <c r="AM33" s="593"/>
      <c r="AN33" s="31"/>
      <c r="AO33" s="29"/>
      <c r="AP33" s="595"/>
      <c r="AQ33" s="594"/>
      <c r="AR33" s="31"/>
      <c r="AS33" s="29"/>
      <c r="AT33" s="595"/>
      <c r="AU33" s="593"/>
      <c r="AV33" s="31"/>
      <c r="AW33" s="29"/>
      <c r="AX33" s="595"/>
      <c r="AY33" s="594"/>
      <c r="AZ33" s="31"/>
      <c r="BA33" s="29"/>
      <c r="BB33" s="595"/>
      <c r="BC33" s="594"/>
      <c r="BD33" s="31"/>
      <c r="BE33" s="29"/>
      <c r="BF33" s="29"/>
      <c r="BG33" s="594"/>
      <c r="BH33" s="31"/>
      <c r="BI33" s="29"/>
      <c r="BJ33" s="29"/>
      <c r="BK33" s="29"/>
      <c r="BL33" s="31"/>
      <c r="BM33" s="29"/>
      <c r="BN33" s="29"/>
      <c r="BO33" s="30"/>
      <c r="BP33" s="31"/>
      <c r="BQ33" s="29"/>
      <c r="BR33" s="29"/>
      <c r="BS33" s="30"/>
      <c r="BT33" s="31"/>
      <c r="BU33" s="29"/>
      <c r="BV33" s="29"/>
      <c r="BW33" s="30"/>
      <c r="BX33" s="211"/>
      <c r="BY33" s="595"/>
      <c r="BZ33" s="595"/>
      <c r="CA33" s="595"/>
      <c r="CB33" s="595"/>
      <c r="CC33" s="595"/>
      <c r="CD33" s="595"/>
      <c r="CE33" s="1408"/>
      <c r="CF33" s="1408"/>
      <c r="CG33" s="1408"/>
      <c r="CH33" s="1408"/>
      <c r="CI33" s="1408"/>
      <c r="CJ33" s="1408"/>
      <c r="CK33" s="1408"/>
      <c r="CL33" s="1408"/>
      <c r="CM33" s="1408"/>
      <c r="CN33" s="1408"/>
      <c r="CO33" s="1408"/>
      <c r="CP33" s="1409"/>
      <c r="CQ33" s="22"/>
    </row>
    <row r="34" spans="1:95" ht="14.25" hidden="1" customHeight="1" outlineLevel="1">
      <c r="A34" s="409"/>
      <c r="B34" s="504" t="s">
        <v>70</v>
      </c>
      <c r="C34" s="541"/>
      <c r="D34" s="591">
        <v>0</v>
      </c>
      <c r="E34" s="591">
        <v>0</v>
      </c>
      <c r="F34" s="591">
        <v>0</v>
      </c>
      <c r="G34" s="591">
        <v>0</v>
      </c>
      <c r="H34" s="631">
        <v>0</v>
      </c>
      <c r="I34" s="591">
        <v>0</v>
      </c>
      <c r="J34" s="591">
        <v>0</v>
      </c>
      <c r="K34" s="591">
        <v>0</v>
      </c>
      <c r="L34" s="631">
        <v>0</v>
      </c>
      <c r="M34" s="591">
        <v>0</v>
      </c>
      <c r="N34" s="591">
        <v>0</v>
      </c>
      <c r="O34" s="591">
        <v>0</v>
      </c>
      <c r="P34" s="631">
        <v>0.3</v>
      </c>
      <c r="Q34" s="591">
        <v>0.4</v>
      </c>
      <c r="R34" s="591">
        <v>0.5</v>
      </c>
      <c r="S34" s="836">
        <f>1.7-P34-Q34-R34</f>
        <v>0.49999999999999989</v>
      </c>
      <c r="T34" s="631">
        <v>0.6</v>
      </c>
      <c r="U34" s="591">
        <v>0.6</v>
      </c>
      <c r="V34" s="591">
        <v>0.8</v>
      </c>
      <c r="W34" s="836">
        <f>2.6-T34-U34-V34</f>
        <v>0.59999999999999987</v>
      </c>
      <c r="X34" s="631">
        <f>17.7+0.9</f>
        <v>18.599999999999998</v>
      </c>
      <c r="Y34" s="591">
        <v>1.3</v>
      </c>
      <c r="Z34" s="591">
        <v>2</v>
      </c>
      <c r="AA34" s="591">
        <v>9.4</v>
      </c>
      <c r="AB34" s="631">
        <v>0</v>
      </c>
      <c r="AC34" s="591">
        <v>0</v>
      </c>
      <c r="AD34" s="591">
        <v>0</v>
      </c>
      <c r="AE34" s="591">
        <v>0</v>
      </c>
      <c r="AF34" s="631">
        <v>0</v>
      </c>
      <c r="AG34" s="591">
        <v>0</v>
      </c>
      <c r="AH34" s="591">
        <v>0</v>
      </c>
      <c r="AI34" s="591">
        <v>0</v>
      </c>
      <c r="AJ34" s="631">
        <v>0</v>
      </c>
      <c r="AK34" s="591">
        <v>0</v>
      </c>
      <c r="AL34" s="591">
        <v>0</v>
      </c>
      <c r="AM34" s="591">
        <v>0</v>
      </c>
      <c r="AN34" s="631">
        <v>0</v>
      </c>
      <c r="AO34" s="591">
        <v>0</v>
      </c>
      <c r="AP34" s="591">
        <v>0</v>
      </c>
      <c r="AQ34" s="592">
        <v>0</v>
      </c>
      <c r="AR34" s="631">
        <v>0</v>
      </c>
      <c r="AS34" s="591">
        <v>0</v>
      </c>
      <c r="AT34" s="591">
        <v>0</v>
      </c>
      <c r="AU34" s="591">
        <v>0</v>
      </c>
      <c r="AV34" s="631">
        <v>0</v>
      </c>
      <c r="AW34" s="591">
        <v>0</v>
      </c>
      <c r="AX34" s="591">
        <v>0</v>
      </c>
      <c r="AY34" s="592">
        <v>0</v>
      </c>
      <c r="AZ34" s="631">
        <v>0</v>
      </c>
      <c r="BA34" s="591">
        <v>0</v>
      </c>
      <c r="BB34" s="591">
        <v>0</v>
      </c>
      <c r="BC34" s="592">
        <v>0</v>
      </c>
      <c r="BD34" s="631">
        <v>0</v>
      </c>
      <c r="BE34" s="591">
        <v>0</v>
      </c>
      <c r="BF34" s="538">
        <v>0</v>
      </c>
      <c r="BG34" s="592">
        <v>0</v>
      </c>
      <c r="BH34" s="540">
        <v>0</v>
      </c>
      <c r="BI34" s="591">
        <v>0</v>
      </c>
      <c r="BJ34" s="591">
        <v>0</v>
      </c>
      <c r="BK34" s="592">
        <v>0</v>
      </c>
      <c r="BL34" s="540">
        <v>0</v>
      </c>
      <c r="BM34" s="538">
        <v>0</v>
      </c>
      <c r="BN34" s="538">
        <v>0</v>
      </c>
      <c r="BO34" s="539">
        <v>0</v>
      </c>
      <c r="BP34" s="540">
        <v>0</v>
      </c>
      <c r="BQ34" s="538">
        <v>0</v>
      </c>
      <c r="BR34" s="538">
        <v>0</v>
      </c>
      <c r="BS34" s="539">
        <v>0</v>
      </c>
      <c r="BT34" s="540">
        <v>0</v>
      </c>
      <c r="BU34" s="538">
        <v>0</v>
      </c>
      <c r="BV34" s="538">
        <v>0</v>
      </c>
      <c r="BW34" s="539">
        <v>0</v>
      </c>
      <c r="BX34" s="411"/>
      <c r="BY34" s="603">
        <f>SUM(D34:G34)</f>
        <v>0</v>
      </c>
      <c r="BZ34" s="603">
        <f>SUM(H34:K34)</f>
        <v>0</v>
      </c>
      <c r="CA34" s="603">
        <f>SUM(L34:O34)</f>
        <v>0</v>
      </c>
      <c r="CB34" s="603">
        <f>SUM(P34:S34)</f>
        <v>1.6999999999999997</v>
      </c>
      <c r="CC34" s="603">
        <f>SUM(T34:W34)</f>
        <v>2.5999999999999996</v>
      </c>
      <c r="CD34" s="603">
        <f>SUM(X34:AA34)</f>
        <v>31.299999999999997</v>
      </c>
      <c r="CE34" s="1412">
        <f>SUM(AB34:AE34)</f>
        <v>0</v>
      </c>
      <c r="CF34" s="1412">
        <f>SUM(AF34:AI34)</f>
        <v>0</v>
      </c>
      <c r="CG34" s="1412">
        <f>SUM(AJ34:AM34)</f>
        <v>0</v>
      </c>
      <c r="CH34" s="1412">
        <f>SUM(AN34:AQ34)</f>
        <v>0</v>
      </c>
      <c r="CI34" s="1412">
        <f>SUM(AR34:AU34)</f>
        <v>0</v>
      </c>
      <c r="CJ34" s="1412">
        <f>SUM(AV34:AY34)</f>
        <v>0</v>
      </c>
      <c r="CK34" s="1412">
        <f>SUM(AZ34:BC34)</f>
        <v>0</v>
      </c>
      <c r="CL34" s="1412">
        <f>SUM(BD34:BG34)</f>
        <v>0</v>
      </c>
      <c r="CM34" s="1412">
        <f>SUM(BH34:BK34)</f>
        <v>0</v>
      </c>
      <c r="CN34" s="1412">
        <f>SUM(BL34:BO34)</f>
        <v>0</v>
      </c>
      <c r="CO34" s="1412">
        <f>SUM(BP34:BS34)</f>
        <v>0</v>
      </c>
      <c r="CP34" s="1413">
        <f>SUM(BT34:BW34)</f>
        <v>0</v>
      </c>
      <c r="CQ34" s="410"/>
    </row>
    <row r="35" spans="1:95" ht="14.25" hidden="1" customHeight="1" outlineLevel="1">
      <c r="A35" s="9"/>
      <c r="B35" s="453" t="s">
        <v>81</v>
      </c>
      <c r="C35" s="24"/>
      <c r="D35" s="595">
        <f t="shared" ref="D35:AI35" si="77">D28-D34</f>
        <v>21.1</v>
      </c>
      <c r="E35" s="595">
        <f t="shared" si="77"/>
        <v>20.399999999999999</v>
      </c>
      <c r="F35" s="595">
        <f t="shared" si="77"/>
        <v>20</v>
      </c>
      <c r="G35" s="595">
        <f t="shared" si="77"/>
        <v>24</v>
      </c>
      <c r="H35" s="627">
        <f t="shared" si="77"/>
        <v>23.5</v>
      </c>
      <c r="I35" s="595">
        <f t="shared" si="77"/>
        <v>25</v>
      </c>
      <c r="J35" s="595">
        <f t="shared" si="77"/>
        <v>22.9</v>
      </c>
      <c r="K35" s="595">
        <f t="shared" si="77"/>
        <v>23</v>
      </c>
      <c r="L35" s="627">
        <f t="shared" si="77"/>
        <v>23.1</v>
      </c>
      <c r="M35" s="595">
        <f t="shared" si="77"/>
        <v>23</v>
      </c>
      <c r="N35" s="595">
        <f t="shared" si="77"/>
        <v>23.9</v>
      </c>
      <c r="O35" s="595">
        <f t="shared" si="77"/>
        <v>23.7</v>
      </c>
      <c r="P35" s="627">
        <f t="shared" si="77"/>
        <v>23.3</v>
      </c>
      <c r="Q35" s="595">
        <f t="shared" si="77"/>
        <v>24.8</v>
      </c>
      <c r="R35" s="595">
        <f t="shared" si="77"/>
        <v>25.4</v>
      </c>
      <c r="S35" s="595">
        <f t="shared" si="77"/>
        <v>26</v>
      </c>
      <c r="T35" s="627">
        <f t="shared" si="77"/>
        <v>30.2</v>
      </c>
      <c r="U35" s="595">
        <f t="shared" si="77"/>
        <v>31.799999999999997</v>
      </c>
      <c r="V35" s="595">
        <f t="shared" si="77"/>
        <v>33.6</v>
      </c>
      <c r="W35" s="595">
        <f t="shared" si="77"/>
        <v>34.799999999999997</v>
      </c>
      <c r="X35" s="627">
        <f t="shared" si="77"/>
        <v>39.400000000000006</v>
      </c>
      <c r="Y35" s="595">
        <f t="shared" si="77"/>
        <v>66.2</v>
      </c>
      <c r="Z35" s="595">
        <f t="shared" si="77"/>
        <v>65.2</v>
      </c>
      <c r="AA35" s="595">
        <f t="shared" si="77"/>
        <v>58.9</v>
      </c>
      <c r="AB35" s="627">
        <f t="shared" si="77"/>
        <v>43.6</v>
      </c>
      <c r="AC35" s="595">
        <f t="shared" si="77"/>
        <v>50.7</v>
      </c>
      <c r="AD35" s="595">
        <f t="shared" si="77"/>
        <v>53.8</v>
      </c>
      <c r="AE35" s="595">
        <f t="shared" si="77"/>
        <v>50.7</v>
      </c>
      <c r="AF35" s="627">
        <f t="shared" si="77"/>
        <v>65.2</v>
      </c>
      <c r="AG35" s="595">
        <f t="shared" si="77"/>
        <v>60.1</v>
      </c>
      <c r="AH35" s="595">
        <f t="shared" si="77"/>
        <v>63.3</v>
      </c>
      <c r="AI35" s="595">
        <f t="shared" si="77"/>
        <v>59.4</v>
      </c>
      <c r="AJ35" s="627">
        <f t="shared" ref="AJ35:BO35" si="78">AJ28-AJ34</f>
        <v>91.1</v>
      </c>
      <c r="AK35" s="595">
        <f t="shared" si="78"/>
        <v>89.2</v>
      </c>
      <c r="AL35" s="595">
        <f t="shared" si="78"/>
        <v>91.5</v>
      </c>
      <c r="AM35" s="595">
        <f t="shared" si="78"/>
        <v>90.7</v>
      </c>
      <c r="AN35" s="627">
        <f t="shared" si="78"/>
        <v>91.4</v>
      </c>
      <c r="AO35" s="595">
        <f t="shared" si="78"/>
        <v>97.8</v>
      </c>
      <c r="AP35" s="595">
        <f t="shared" si="78"/>
        <v>90.1</v>
      </c>
      <c r="AQ35" s="596">
        <f t="shared" si="78"/>
        <v>88.2</v>
      </c>
      <c r="AR35" s="627">
        <f t="shared" si="78"/>
        <v>88.4</v>
      </c>
      <c r="AS35" s="595">
        <f t="shared" si="78"/>
        <v>83.1</v>
      </c>
      <c r="AT35" s="595">
        <f t="shared" si="78"/>
        <v>84</v>
      </c>
      <c r="AU35" s="595">
        <f t="shared" si="78"/>
        <v>78.7</v>
      </c>
      <c r="AV35" s="627">
        <f t="shared" si="78"/>
        <v>78.099999999999994</v>
      </c>
      <c r="AW35" s="595">
        <f t="shared" si="78"/>
        <v>84.2</v>
      </c>
      <c r="AX35" s="595">
        <f t="shared" si="78"/>
        <v>93.4</v>
      </c>
      <c r="AY35" s="596">
        <f t="shared" si="78"/>
        <v>110.9</v>
      </c>
      <c r="AZ35" s="627">
        <f t="shared" si="78"/>
        <v>100.4</v>
      </c>
      <c r="BA35" s="595">
        <f t="shared" si="78"/>
        <v>100.4</v>
      </c>
      <c r="BB35" s="595">
        <f t="shared" si="78"/>
        <v>104.9</v>
      </c>
      <c r="BC35" s="596">
        <f t="shared" si="78"/>
        <v>91</v>
      </c>
      <c r="BD35" s="627">
        <f t="shared" si="78"/>
        <v>98</v>
      </c>
      <c r="BE35" s="595">
        <f t="shared" si="78"/>
        <v>103</v>
      </c>
      <c r="BF35" s="595">
        <f t="shared" si="78"/>
        <v>111.5</v>
      </c>
      <c r="BG35" s="596">
        <f t="shared" si="78"/>
        <v>139.80000000000001</v>
      </c>
      <c r="BH35" s="31">
        <f t="shared" ref="BH35:BI35" si="79">BH28-BH34</f>
        <v>140</v>
      </c>
      <c r="BI35" s="1408">
        <f t="shared" si="79"/>
        <v>145.5</v>
      </c>
      <c r="BJ35" s="1408">
        <f>BJ28-BJ34</f>
        <v>150.9</v>
      </c>
      <c r="BK35" s="1409">
        <f t="shared" ref="BK35" si="80">BK28-BK34</f>
        <v>158</v>
      </c>
      <c r="BL35" s="31">
        <f t="shared" si="78"/>
        <v>152.74006243194205</v>
      </c>
      <c r="BM35" s="29">
        <f t="shared" si="78"/>
        <v>155.02415103144267</v>
      </c>
      <c r="BN35" s="29">
        <f t="shared" si="78"/>
        <v>156.48868853028037</v>
      </c>
      <c r="BO35" s="30">
        <f t="shared" si="78"/>
        <v>155.93417039967329</v>
      </c>
      <c r="BP35" s="31">
        <f t="shared" ref="BP35:BS35" si="81">BP28-BP34</f>
        <v>155.93417039967329</v>
      </c>
      <c r="BQ35" s="29">
        <f t="shared" si="81"/>
        <v>158.55662961065894</v>
      </c>
      <c r="BR35" s="29">
        <f t="shared" si="81"/>
        <v>160.10605027201655</v>
      </c>
      <c r="BS35" s="30">
        <f t="shared" si="81"/>
        <v>158.85444426494672</v>
      </c>
      <c r="BT35" s="31">
        <f t="shared" ref="BT35:BW35" si="82">BT28-BT34</f>
        <v>158.85444426494672</v>
      </c>
      <c r="BU35" s="29">
        <f t="shared" si="82"/>
        <v>161.51956819446343</v>
      </c>
      <c r="BV35" s="29">
        <f t="shared" si="82"/>
        <v>163.02748611240648</v>
      </c>
      <c r="BW35" s="30">
        <f t="shared" si="82"/>
        <v>161.77872113158017</v>
      </c>
      <c r="BX35" s="211"/>
      <c r="BY35" s="595">
        <f t="shared" ref="BY35:CK35" si="83">BY28-BY34</f>
        <v>85.5</v>
      </c>
      <c r="BZ35" s="595">
        <f t="shared" si="83"/>
        <v>94.4</v>
      </c>
      <c r="CA35" s="595">
        <f t="shared" si="83"/>
        <v>93.7</v>
      </c>
      <c r="CB35" s="595">
        <f t="shared" si="83"/>
        <v>99.499999999999986</v>
      </c>
      <c r="CC35" s="595">
        <f t="shared" si="83"/>
        <v>130.4</v>
      </c>
      <c r="CD35" s="595">
        <f t="shared" si="83"/>
        <v>229.7</v>
      </c>
      <c r="CE35" s="1408">
        <f t="shared" si="83"/>
        <v>198.8</v>
      </c>
      <c r="CF35" s="1408">
        <f t="shared" si="83"/>
        <v>248.00000000000003</v>
      </c>
      <c r="CG35" s="1408">
        <f t="shared" si="83"/>
        <v>362.5</v>
      </c>
      <c r="CH35" s="1408">
        <f t="shared" si="83"/>
        <v>367.49999999999994</v>
      </c>
      <c r="CI35" s="1408">
        <f t="shared" si="83"/>
        <v>334.2</v>
      </c>
      <c r="CJ35" s="1408">
        <f t="shared" si="83"/>
        <v>366.6</v>
      </c>
      <c r="CK35" s="1408">
        <f t="shared" si="83"/>
        <v>396.70000000000005</v>
      </c>
      <c r="CL35" s="1206">
        <f>SUM(BD35:BG35)</f>
        <v>452.3</v>
      </c>
      <c r="CM35" s="1206">
        <f>SUM(BH35:BK35)</f>
        <v>594.4</v>
      </c>
      <c r="CN35" s="1206">
        <f>SUM(BL35:BO35)</f>
        <v>620.18707239333844</v>
      </c>
      <c r="CO35" s="1206">
        <f>SUM(BP35:BS35)</f>
        <v>633.45129454729545</v>
      </c>
      <c r="CP35" s="1194">
        <f>SUM(BT35:BW35)</f>
        <v>645.1802197033968</v>
      </c>
      <c r="CQ35" s="22"/>
    </row>
    <row r="36" spans="1:95" ht="14.25" hidden="1" customHeight="1" outlineLevel="1">
      <c r="A36" s="9"/>
      <c r="B36" s="459" t="s">
        <v>66</v>
      </c>
      <c r="C36" s="33"/>
      <c r="D36" s="34">
        <f t="shared" ref="D36:AI36" si="84">D35/D8</f>
        <v>7.8293135435992589E-2</v>
      </c>
      <c r="E36" s="34">
        <f t="shared" si="84"/>
        <v>7.962529274004683E-2</v>
      </c>
      <c r="F36" s="34">
        <f t="shared" si="84"/>
        <v>7.5528700906344406E-2</v>
      </c>
      <c r="G36" s="34">
        <f t="shared" si="84"/>
        <v>8.6145010768126334E-2</v>
      </c>
      <c r="H36" s="36">
        <f t="shared" si="84"/>
        <v>7.6249188838416609E-2</v>
      </c>
      <c r="I36" s="34">
        <f t="shared" si="84"/>
        <v>7.4962518740629688E-2</v>
      </c>
      <c r="J36" s="34">
        <f t="shared" si="84"/>
        <v>7.1922110552763818E-2</v>
      </c>
      <c r="K36" s="34">
        <f t="shared" si="84"/>
        <v>7.4967405475880045E-2</v>
      </c>
      <c r="L36" s="36">
        <f t="shared" si="84"/>
        <v>7.6388888888888895E-2</v>
      </c>
      <c r="M36" s="34">
        <f t="shared" si="84"/>
        <v>7.5957727873183611E-2</v>
      </c>
      <c r="N36" s="34">
        <f t="shared" si="84"/>
        <v>7.6211734693877542E-2</v>
      </c>
      <c r="O36" s="34">
        <f t="shared" si="84"/>
        <v>6.9338794616734922E-2</v>
      </c>
      <c r="P36" s="36">
        <f t="shared" si="84"/>
        <v>6.9760479041916165E-2</v>
      </c>
      <c r="Q36" s="34">
        <f t="shared" si="84"/>
        <v>6.6080468958166799E-2</v>
      </c>
      <c r="R36" s="34">
        <f t="shared" si="84"/>
        <v>6.0346875742456639E-2</v>
      </c>
      <c r="S36" s="34">
        <f t="shared" si="84"/>
        <v>6.4741035856573703E-2</v>
      </c>
      <c r="T36" s="36">
        <f t="shared" si="84"/>
        <v>8.0705505077498671E-2</v>
      </c>
      <c r="U36" s="34">
        <f t="shared" si="84"/>
        <v>8.3420776495278071E-2</v>
      </c>
      <c r="V36" s="34">
        <f t="shared" si="84"/>
        <v>8.339538346984364E-2</v>
      </c>
      <c r="W36" s="34">
        <f t="shared" si="84"/>
        <v>8.5315028193184608E-2</v>
      </c>
      <c r="X36" s="36">
        <f t="shared" si="84"/>
        <v>9.3387058544678853E-2</v>
      </c>
      <c r="Y36" s="34">
        <f t="shared" si="84"/>
        <v>0.11764705882352941</v>
      </c>
      <c r="Z36" s="34">
        <f t="shared" si="84"/>
        <v>0.1121238177128117</v>
      </c>
      <c r="AA36" s="34">
        <f t="shared" si="84"/>
        <v>0.12052383875588296</v>
      </c>
      <c r="AB36" s="36">
        <f t="shared" si="84"/>
        <v>0.11500923239250857</v>
      </c>
      <c r="AC36" s="34">
        <f t="shared" si="84"/>
        <v>0.12077179609337781</v>
      </c>
      <c r="AD36" s="34">
        <f t="shared" si="84"/>
        <v>0.11376612391626137</v>
      </c>
      <c r="AE36" s="34">
        <f t="shared" si="84"/>
        <v>0.1019915509957755</v>
      </c>
      <c r="AF36" s="36">
        <f t="shared" si="84"/>
        <v>0.11850236277717194</v>
      </c>
      <c r="AG36" s="34">
        <f t="shared" si="84"/>
        <v>0.10303445911194926</v>
      </c>
      <c r="AH36" s="34">
        <f t="shared" si="84"/>
        <v>0.10537706009655401</v>
      </c>
      <c r="AI36" s="34">
        <f t="shared" si="84"/>
        <v>0.10255524861878453</v>
      </c>
      <c r="AJ36" s="36">
        <f t="shared" ref="AJ36:BO36" si="85">AJ35/AJ8</f>
        <v>0.10464047783138065</v>
      </c>
      <c r="AK36" s="34">
        <f t="shared" si="85"/>
        <v>9.8476484875248405E-2</v>
      </c>
      <c r="AL36" s="34">
        <f t="shared" si="85"/>
        <v>0.10189309576837416</v>
      </c>
      <c r="AM36" s="34">
        <f t="shared" si="85"/>
        <v>0.11811433780440163</v>
      </c>
      <c r="AN36" s="36">
        <f t="shared" si="85"/>
        <v>0.12278344975819452</v>
      </c>
      <c r="AO36" s="34">
        <f t="shared" si="85"/>
        <v>0.13131041890440387</v>
      </c>
      <c r="AP36" s="34">
        <f t="shared" si="85"/>
        <v>0.12419021364576154</v>
      </c>
      <c r="AQ36" s="34">
        <f t="shared" si="85"/>
        <v>0.12966774478094678</v>
      </c>
      <c r="AR36" s="36">
        <f t="shared" si="85"/>
        <v>0.13373676248108926</v>
      </c>
      <c r="AS36" s="34">
        <f t="shared" si="85"/>
        <v>0.12073223884933895</v>
      </c>
      <c r="AT36" s="34">
        <f t="shared" si="85"/>
        <v>0.11741682974559688</v>
      </c>
      <c r="AU36" s="34">
        <f t="shared" si="85"/>
        <v>0.10961002785515321</v>
      </c>
      <c r="AV36" s="36">
        <f t="shared" si="85"/>
        <v>0.1105449398443029</v>
      </c>
      <c r="AW36" s="34">
        <f t="shared" si="85"/>
        <v>0.11114044350580782</v>
      </c>
      <c r="AX36" s="34">
        <f t="shared" si="85"/>
        <v>0.11205758848230354</v>
      </c>
      <c r="AY36" s="35">
        <f t="shared" si="85"/>
        <v>0.12832677620921082</v>
      </c>
      <c r="AZ36" s="36">
        <f t="shared" si="85"/>
        <v>0.11529627928341755</v>
      </c>
      <c r="BA36" s="34">
        <f t="shared" si="85"/>
        <v>0.11402612152186259</v>
      </c>
      <c r="BB36" s="34">
        <f t="shared" si="85"/>
        <v>0.11601415616014156</v>
      </c>
      <c r="BC36" s="35">
        <f t="shared" si="85"/>
        <v>0.10829465667023683</v>
      </c>
      <c r="BD36" s="36">
        <f t="shared" si="85"/>
        <v>0.11992168379833577</v>
      </c>
      <c r="BE36" s="34">
        <f t="shared" si="85"/>
        <v>0.11733880154932787</v>
      </c>
      <c r="BF36" s="34">
        <f t="shared" si="85"/>
        <v>0.11725733515616785</v>
      </c>
      <c r="BG36" s="35">
        <f t="shared" si="85"/>
        <v>0.11086439333862015</v>
      </c>
      <c r="BH36" s="36">
        <f t="shared" si="85"/>
        <v>9.7445534906382678E-2</v>
      </c>
      <c r="BI36" s="1393">
        <f t="shared" ref="BI36" si="86">BI35/BI8</f>
        <v>0.10874439461883408</v>
      </c>
      <c r="BJ36" s="1393">
        <f t="shared" si="85"/>
        <v>0.10849090516931482</v>
      </c>
      <c r="BK36" s="1394">
        <f t="shared" ref="BK36" si="87">BK35/BK8</f>
        <v>0.1147005444646098</v>
      </c>
      <c r="BL36" s="1395">
        <f t="shared" si="85"/>
        <v>0.1115007350635446</v>
      </c>
      <c r="BM36" s="1393">
        <f t="shared" si="85"/>
        <v>0.10853103331514755</v>
      </c>
      <c r="BN36" s="1393">
        <f t="shared" si="85"/>
        <v>0.10702855413487211</v>
      </c>
      <c r="BO36" s="1394">
        <f t="shared" si="85"/>
        <v>0.10857294082123836</v>
      </c>
      <c r="BP36" s="1395">
        <f t="shared" ref="BP36:BS36" si="88">BP35/BP8</f>
        <v>0.10917866642824382</v>
      </c>
      <c r="BQ36" s="1393">
        <f t="shared" si="88"/>
        <v>0.10701534736321956</v>
      </c>
      <c r="BR36" s="1393">
        <f t="shared" si="88"/>
        <v>0.10576436513044281</v>
      </c>
      <c r="BS36" s="1394">
        <f t="shared" si="88"/>
        <v>0.10679276084736804</v>
      </c>
      <c r="BT36" s="1395">
        <f t="shared" ref="BT36:BW36" si="89">BT35/BT8</f>
        <v>0.10723342343791173</v>
      </c>
      <c r="BU36" s="1393">
        <f t="shared" si="89"/>
        <v>0.10511359205633594</v>
      </c>
      <c r="BV36" s="1393">
        <f t="shared" si="89"/>
        <v>0.10393857598111698</v>
      </c>
      <c r="BW36" s="1394">
        <f t="shared" si="89"/>
        <v>0.10492850251205448</v>
      </c>
      <c r="BX36" s="211"/>
      <c r="BY36" s="34">
        <f t="shared" ref="BY36:CO36" si="90">BY35/BY8</f>
        <v>7.9973809746515773E-2</v>
      </c>
      <c r="BZ36" s="34">
        <f t="shared" si="90"/>
        <v>7.4512589786092029E-2</v>
      </c>
      <c r="CA36" s="34">
        <f t="shared" si="90"/>
        <v>7.4329684277328251E-2</v>
      </c>
      <c r="CB36" s="34">
        <f t="shared" si="90"/>
        <v>6.4956260608434527E-2</v>
      </c>
      <c r="CC36" s="34">
        <f t="shared" si="90"/>
        <v>8.3258843059634796E-2</v>
      </c>
      <c r="CD36" s="34">
        <f t="shared" si="90"/>
        <v>0.11178703523457272</v>
      </c>
      <c r="CE36" s="1393">
        <f t="shared" si="90"/>
        <v>0.11238622872971904</v>
      </c>
      <c r="CF36" s="1393">
        <f t="shared" si="90"/>
        <v>0.10720152156998358</v>
      </c>
      <c r="CG36" s="1393">
        <f t="shared" si="90"/>
        <v>0.10530749789385004</v>
      </c>
      <c r="CH36" s="1393">
        <f t="shared" si="90"/>
        <v>0.12694739023800478</v>
      </c>
      <c r="CI36" s="1393">
        <f t="shared" si="90"/>
        <v>0.12009918424551695</v>
      </c>
      <c r="CJ36" s="1393">
        <f t="shared" si="90"/>
        <v>0.11594661268897463</v>
      </c>
      <c r="CK36" s="1393">
        <f t="shared" si="90"/>
        <v>0.11347903198123463</v>
      </c>
      <c r="CL36" s="1393">
        <f t="shared" si="90"/>
        <v>0.11576953594921804</v>
      </c>
      <c r="CM36" s="1393">
        <f t="shared" si="90"/>
        <v>0.10723241507459724</v>
      </c>
      <c r="CN36" s="1393">
        <f t="shared" si="90"/>
        <v>0.10887008744629967</v>
      </c>
      <c r="CO36" s="1393">
        <f t="shared" si="90"/>
        <v>0.10716166702965661</v>
      </c>
      <c r="CP36" s="1394">
        <f t="shared" ref="CP36" si="91">CP35/CP8</f>
        <v>0.10527871332200175</v>
      </c>
      <c r="CQ36" s="22"/>
    </row>
    <row r="37" spans="1:95" ht="14.25" customHeight="1" collapsed="1">
      <c r="A37" s="9"/>
      <c r="B37" s="462"/>
      <c r="C37" s="49"/>
      <c r="D37" s="44"/>
      <c r="E37" s="44"/>
      <c r="F37" s="581"/>
      <c r="G37" s="581"/>
      <c r="H37" s="632"/>
      <c r="I37" s="44"/>
      <c r="J37" s="581"/>
      <c r="K37" s="581"/>
      <c r="L37" s="632"/>
      <c r="M37" s="44"/>
      <c r="N37" s="581"/>
      <c r="O37" s="581"/>
      <c r="P37" s="632"/>
      <c r="Q37" s="44"/>
      <c r="R37" s="581"/>
      <c r="S37" s="581"/>
      <c r="T37" s="632"/>
      <c r="U37" s="44"/>
      <c r="V37" s="581"/>
      <c r="W37" s="581"/>
      <c r="X37" s="632"/>
      <c r="Y37" s="44"/>
      <c r="Z37" s="581"/>
      <c r="AA37" s="581"/>
      <c r="AB37" s="632"/>
      <c r="AC37" s="44"/>
      <c r="AD37" s="581"/>
      <c r="AE37" s="581"/>
      <c r="AF37" s="632"/>
      <c r="AG37" s="44"/>
      <c r="AH37" s="581"/>
      <c r="AI37" s="581"/>
      <c r="AJ37" s="632"/>
      <c r="AK37" s="44"/>
      <c r="AL37" s="581"/>
      <c r="AM37" s="581"/>
      <c r="AN37" s="632"/>
      <c r="AO37" s="44"/>
      <c r="AP37" s="581"/>
      <c r="AQ37" s="581"/>
      <c r="AR37" s="632"/>
      <c r="AS37" s="44"/>
      <c r="AT37" s="581"/>
      <c r="AU37" s="581"/>
      <c r="AV37" s="632"/>
      <c r="AW37" s="44"/>
      <c r="AX37" s="581"/>
      <c r="AY37" s="582"/>
      <c r="AZ37" s="632"/>
      <c r="BA37" s="44"/>
      <c r="BB37" s="581"/>
      <c r="BC37" s="582"/>
      <c r="BD37" s="632"/>
      <c r="BE37" s="44"/>
      <c r="BF37" s="39"/>
      <c r="BG37" s="582"/>
      <c r="BH37" s="41"/>
      <c r="BI37" s="44"/>
      <c r="BJ37" s="44"/>
      <c r="BK37" s="582"/>
      <c r="BL37" s="41"/>
      <c r="BM37" s="39"/>
      <c r="BN37" s="39"/>
      <c r="BO37" s="40"/>
      <c r="BP37" s="41"/>
      <c r="BQ37" s="39"/>
      <c r="BR37" s="39"/>
      <c r="BS37" s="40"/>
      <c r="BT37" s="41"/>
      <c r="BU37" s="39"/>
      <c r="BV37" s="39"/>
      <c r="BW37" s="40"/>
      <c r="BX37" s="211"/>
      <c r="BY37" s="616"/>
      <c r="BZ37" s="616"/>
      <c r="CA37" s="616"/>
      <c r="CB37" s="616"/>
      <c r="CC37" s="616"/>
      <c r="CD37" s="616"/>
      <c r="CE37" s="616"/>
      <c r="CF37" s="616"/>
      <c r="CG37" s="616"/>
      <c r="CH37" s="616"/>
      <c r="CI37" s="616"/>
      <c r="CJ37" s="616"/>
      <c r="CK37" s="616"/>
      <c r="CL37" s="616"/>
      <c r="CM37" s="616"/>
      <c r="CN37" s="616"/>
      <c r="CO37" s="616"/>
      <c r="CP37" s="587"/>
      <c r="CQ37" s="22"/>
    </row>
    <row r="38" spans="1:95" ht="14.25" customHeight="1">
      <c r="A38" s="432"/>
      <c r="B38" s="453" t="s">
        <v>339</v>
      </c>
      <c r="C38" s="433"/>
      <c r="D38" s="27">
        <v>16.100000000000001</v>
      </c>
      <c r="E38" s="27">
        <v>15.6</v>
      </c>
      <c r="F38" s="593">
        <v>14.8</v>
      </c>
      <c r="G38" s="593">
        <v>16.5</v>
      </c>
      <c r="H38" s="493">
        <v>18.399999999999999</v>
      </c>
      <c r="I38" s="27">
        <v>19.899999999999999</v>
      </c>
      <c r="J38" s="593">
        <v>18.600000000000001</v>
      </c>
      <c r="K38" s="593">
        <v>16.899999999999999</v>
      </c>
      <c r="L38" s="493">
        <v>19.3</v>
      </c>
      <c r="M38" s="27">
        <v>18.899999999999999</v>
      </c>
      <c r="N38" s="593">
        <v>20</v>
      </c>
      <c r="O38" s="593">
        <v>21.1</v>
      </c>
      <c r="P38" s="493">
        <v>21</v>
      </c>
      <c r="Q38" s="27">
        <v>22.7</v>
      </c>
      <c r="R38" s="593">
        <v>23.2</v>
      </c>
      <c r="S38" s="593">
        <v>24.1</v>
      </c>
      <c r="T38" s="493">
        <v>22.9</v>
      </c>
      <c r="U38" s="27">
        <v>23.3</v>
      </c>
      <c r="V38" s="593">
        <v>24.4</v>
      </c>
      <c r="W38" s="593">
        <v>24</v>
      </c>
      <c r="X38" s="493">
        <v>25.8</v>
      </c>
      <c r="Y38" s="27">
        <v>37.9</v>
      </c>
      <c r="Z38" s="593">
        <v>37.299999999999997</v>
      </c>
      <c r="AA38" s="593">
        <v>33.4</v>
      </c>
      <c r="AB38" s="493">
        <v>29</v>
      </c>
      <c r="AC38" s="27">
        <v>28.4</v>
      </c>
      <c r="AD38" s="593">
        <v>30</v>
      </c>
      <c r="AE38" s="593">
        <v>33.5</v>
      </c>
      <c r="AF38" s="493">
        <v>35.6</v>
      </c>
      <c r="AG38" s="27">
        <v>36.5</v>
      </c>
      <c r="AH38" s="593">
        <v>35.5</v>
      </c>
      <c r="AI38" s="593">
        <v>38</v>
      </c>
      <c r="AJ38" s="493">
        <v>49.4</v>
      </c>
      <c r="AK38" s="27">
        <v>51.2</v>
      </c>
      <c r="AL38" s="593">
        <v>48.4</v>
      </c>
      <c r="AM38" s="593">
        <v>46.1</v>
      </c>
      <c r="AN38" s="493">
        <v>45.6</v>
      </c>
      <c r="AO38" s="27">
        <v>47</v>
      </c>
      <c r="AP38" s="593">
        <v>44.2</v>
      </c>
      <c r="AQ38" s="593">
        <v>44.1</v>
      </c>
      <c r="AR38" s="493">
        <v>39.799999999999997</v>
      </c>
      <c r="AS38" s="27">
        <v>43.3</v>
      </c>
      <c r="AT38" s="593">
        <v>44.2</v>
      </c>
      <c r="AU38" s="593">
        <v>43.9</v>
      </c>
      <c r="AV38" s="493">
        <v>44.4</v>
      </c>
      <c r="AW38" s="27">
        <v>47.9</v>
      </c>
      <c r="AX38" s="593">
        <v>51.1</v>
      </c>
      <c r="AY38" s="594">
        <v>56.6</v>
      </c>
      <c r="AZ38" s="493">
        <v>53.3</v>
      </c>
      <c r="BA38" s="27">
        <v>50.4</v>
      </c>
      <c r="BB38" s="593">
        <v>52.3</v>
      </c>
      <c r="BC38" s="594">
        <v>48.3</v>
      </c>
      <c r="BD38" s="493">
        <v>49.2</v>
      </c>
      <c r="BE38" s="27">
        <v>52.7</v>
      </c>
      <c r="BF38" s="27">
        <v>56.7</v>
      </c>
      <c r="BG38" s="594">
        <v>79.400000000000006</v>
      </c>
      <c r="BH38" s="493">
        <v>77.5</v>
      </c>
      <c r="BI38" s="27">
        <v>79.5</v>
      </c>
      <c r="BJ38" s="27">
        <v>78.599999999999994</v>
      </c>
      <c r="BK38" s="1407">
        <v>80.3</v>
      </c>
      <c r="BL38" s="1237">
        <f t="shared" ref="BL38:BS38" si="92">(1+BL40*BL10)*BK38</f>
        <v>77.849523811252325</v>
      </c>
      <c r="BM38" s="1212">
        <f t="shared" si="92"/>
        <v>79.845241693732532</v>
      </c>
      <c r="BN38" s="1212">
        <f t="shared" si="92"/>
        <v>80.788129864593358</v>
      </c>
      <c r="BO38" s="1238">
        <f t="shared" si="92"/>
        <v>80.072447421847869</v>
      </c>
      <c r="BP38" s="1237">
        <f t="shared" si="92"/>
        <v>80.072447421847869</v>
      </c>
      <c r="BQ38" s="1212">
        <f t="shared" si="92"/>
        <v>81.269458110535709</v>
      </c>
      <c r="BR38" s="1212">
        <f t="shared" si="92"/>
        <v>81.975385087711686</v>
      </c>
      <c r="BS38" s="1238">
        <f t="shared" si="92"/>
        <v>81.40575773143641</v>
      </c>
      <c r="BT38" s="1237">
        <f t="shared" ref="BT38" si="93">(1+BT40*BT10)*BS38</f>
        <v>81.40575773143641</v>
      </c>
      <c r="BU38" s="1212">
        <f t="shared" ref="BU38" si="94">(1+BU40*BU10)*BT38</f>
        <v>82.619763190945207</v>
      </c>
      <c r="BV38" s="1212">
        <f t="shared" ref="BV38" si="95">(1+BV40*BV10)*BU38</f>
        <v>83.305383984261752</v>
      </c>
      <c r="BW38" s="1238">
        <f t="shared" ref="BW38" si="96">(1+BW40*BW10)*BV38</f>
        <v>82.738178491824542</v>
      </c>
      <c r="BX38" s="1236"/>
      <c r="BY38" s="595">
        <f>SUM(D38:G38)</f>
        <v>63</v>
      </c>
      <c r="BZ38" s="595">
        <f>SUM(H38:K38)</f>
        <v>73.8</v>
      </c>
      <c r="CA38" s="595">
        <f>SUM(L38:O38)</f>
        <v>79.300000000000011</v>
      </c>
      <c r="CB38" s="595">
        <f>SUM(P38:S38)</f>
        <v>91</v>
      </c>
      <c r="CC38" s="595">
        <f>SUM(T38:W38)</f>
        <v>94.6</v>
      </c>
      <c r="CD38" s="595">
        <f>SUM(X38:AA38)</f>
        <v>134.4</v>
      </c>
      <c r="CE38" s="1408">
        <f>SUM(AB38:AE38)</f>
        <v>120.9</v>
      </c>
      <c r="CF38" s="1408">
        <f>SUM(AF38:AI38)</f>
        <v>145.6</v>
      </c>
      <c r="CG38" s="1408">
        <f>SUM(AJ38:AM38)</f>
        <v>195.1</v>
      </c>
      <c r="CH38" s="1408">
        <f>SUM(AN38:AQ38)</f>
        <v>180.9</v>
      </c>
      <c r="CI38" s="1408">
        <f>SUM(AR38:AU38)</f>
        <v>171.2</v>
      </c>
      <c r="CJ38" s="1408">
        <f>SUM(AV38:AY38)</f>
        <v>200</v>
      </c>
      <c r="CK38" s="1408">
        <f>SUM(AZ38:BC38)</f>
        <v>204.3</v>
      </c>
      <c r="CL38" s="1206">
        <f>SUM(BD38:BG38)</f>
        <v>238.00000000000003</v>
      </c>
      <c r="CM38" s="1206">
        <f>SUM(BH38:BK38)</f>
        <v>315.89999999999998</v>
      </c>
      <c r="CN38" s="1206">
        <f>SUM(BL38:BO38)</f>
        <v>318.55534279142609</v>
      </c>
      <c r="CO38" s="1206">
        <f>SUM(BP38:BS38)</f>
        <v>324.7230483515317</v>
      </c>
      <c r="CP38" s="1194">
        <f>SUM(BT38:BW38)</f>
        <v>330.06908339846791</v>
      </c>
      <c r="CQ38" s="1468"/>
    </row>
    <row r="39" spans="1:95" ht="14.25" customHeight="1">
      <c r="A39" s="9"/>
      <c r="B39" s="459" t="s">
        <v>66</v>
      </c>
      <c r="C39" s="33"/>
      <c r="D39" s="34">
        <f t="shared" ref="D39:AI39" si="97">D38/D8</f>
        <v>5.9740259740259746E-2</v>
      </c>
      <c r="E39" s="34">
        <f t="shared" si="97"/>
        <v>6.0889929742388757E-2</v>
      </c>
      <c r="F39" s="34">
        <f t="shared" si="97"/>
        <v>5.5891238670694864E-2</v>
      </c>
      <c r="G39" s="34">
        <f t="shared" si="97"/>
        <v>5.9224694903086857E-2</v>
      </c>
      <c r="H39" s="36">
        <f t="shared" si="97"/>
        <v>5.9701492537313432E-2</v>
      </c>
      <c r="I39" s="34">
        <f t="shared" si="97"/>
        <v>5.9670164917541228E-2</v>
      </c>
      <c r="J39" s="34">
        <f t="shared" si="97"/>
        <v>5.8417085427135688E-2</v>
      </c>
      <c r="K39" s="34">
        <f t="shared" si="97"/>
        <v>5.5084745762711856E-2</v>
      </c>
      <c r="L39" s="36">
        <f t="shared" si="97"/>
        <v>6.3822751322751337E-2</v>
      </c>
      <c r="M39" s="34">
        <f t="shared" si="97"/>
        <v>6.2417437252311747E-2</v>
      </c>
      <c r="N39" s="34">
        <f t="shared" si="97"/>
        <v>6.3775510204081634E-2</v>
      </c>
      <c r="O39" s="34">
        <f t="shared" si="97"/>
        <v>6.173200702165009E-2</v>
      </c>
      <c r="P39" s="36">
        <f t="shared" si="97"/>
        <v>6.2874251497005984E-2</v>
      </c>
      <c r="Q39" s="34">
        <f t="shared" si="97"/>
        <v>6.0484945377031703E-2</v>
      </c>
      <c r="R39" s="34">
        <f t="shared" si="97"/>
        <v>5.5119980993110003E-2</v>
      </c>
      <c r="S39" s="34">
        <f t="shared" si="97"/>
        <v>6.0009960159362552E-2</v>
      </c>
      <c r="T39" s="36">
        <f t="shared" si="97"/>
        <v>6.1197220737573485E-2</v>
      </c>
      <c r="U39" s="34">
        <f t="shared" si="97"/>
        <v>6.1122770199370416E-2</v>
      </c>
      <c r="V39" s="34">
        <f t="shared" si="97"/>
        <v>6.0560933234053115E-2</v>
      </c>
      <c r="W39" s="34">
        <f t="shared" si="97"/>
        <v>5.883795047805835E-2</v>
      </c>
      <c r="X39" s="36">
        <f t="shared" si="97"/>
        <v>6.1151931737378533E-2</v>
      </c>
      <c r="Y39" s="34">
        <f t="shared" si="97"/>
        <v>6.7353829749422417E-2</v>
      </c>
      <c r="Z39" s="34">
        <f t="shared" si="97"/>
        <v>6.414445399828031E-2</v>
      </c>
      <c r="AA39" s="34">
        <f t="shared" si="97"/>
        <v>6.8344587681604257E-2</v>
      </c>
      <c r="AB39" s="36">
        <f t="shared" si="97"/>
        <v>7.6496966499604316E-2</v>
      </c>
      <c r="AC39" s="34">
        <f t="shared" si="97"/>
        <v>6.7651262505955212E-2</v>
      </c>
      <c r="AD39" s="34">
        <f t="shared" si="97"/>
        <v>6.3438359061112296E-2</v>
      </c>
      <c r="AE39" s="34">
        <f t="shared" si="97"/>
        <v>6.7390867028766843E-2</v>
      </c>
      <c r="AF39" s="36">
        <f t="shared" si="97"/>
        <v>6.470374409305707E-2</v>
      </c>
      <c r="AG39" s="34">
        <f t="shared" si="97"/>
        <v>6.2575004285959204E-2</v>
      </c>
      <c r="AH39" s="34">
        <f t="shared" si="97"/>
        <v>5.9097719327451302E-2</v>
      </c>
      <c r="AI39" s="34">
        <f t="shared" si="97"/>
        <v>6.5607734806629833E-2</v>
      </c>
      <c r="AJ39" s="36">
        <f t="shared" ref="AJ39:BO39" si="98">AJ38/AJ8</f>
        <v>5.6742476453020899E-2</v>
      </c>
      <c r="AK39" s="34">
        <f t="shared" si="98"/>
        <v>5.6524619121218818E-2</v>
      </c>
      <c r="AL39" s="34">
        <f t="shared" si="98"/>
        <v>5.3897550111358571E-2</v>
      </c>
      <c r="AM39" s="34">
        <f t="shared" si="98"/>
        <v>6.003385857533533E-2</v>
      </c>
      <c r="AN39" s="36">
        <f t="shared" si="98"/>
        <v>6.1257388500806025E-2</v>
      </c>
      <c r="AO39" s="34">
        <f t="shared" si="98"/>
        <v>6.3104189044038667E-2</v>
      </c>
      <c r="AP39" s="34">
        <f t="shared" si="98"/>
        <v>6.0923501033769818E-2</v>
      </c>
      <c r="AQ39" s="34">
        <f t="shared" si="98"/>
        <v>6.483387239047339E-2</v>
      </c>
      <c r="AR39" s="36">
        <f t="shared" si="98"/>
        <v>6.0211800302571859E-2</v>
      </c>
      <c r="AS39" s="34">
        <f t="shared" si="98"/>
        <v>6.290861542931861E-2</v>
      </c>
      <c r="AT39" s="34">
        <f t="shared" si="98"/>
        <v>6.1783617556611693E-2</v>
      </c>
      <c r="AU39" s="34">
        <f t="shared" si="98"/>
        <v>6.1142061281337048E-2</v>
      </c>
      <c r="AV39" s="36">
        <f t="shared" si="98"/>
        <v>6.2845010615711253E-2</v>
      </c>
      <c r="AW39" s="34">
        <f t="shared" si="98"/>
        <v>6.3225976768743392E-2</v>
      </c>
      <c r="AX39" s="34">
        <f t="shared" si="98"/>
        <v>6.1307738452309538E-2</v>
      </c>
      <c r="AY39" s="35">
        <f t="shared" si="98"/>
        <v>6.5494098588289751E-2</v>
      </c>
      <c r="AZ39" s="36">
        <f t="shared" si="98"/>
        <v>6.1208084519981623E-2</v>
      </c>
      <c r="BA39" s="34">
        <f t="shared" si="98"/>
        <v>5.7240204429301535E-2</v>
      </c>
      <c r="BB39" s="34">
        <f t="shared" si="98"/>
        <v>5.7841185578411849E-2</v>
      </c>
      <c r="BC39" s="35">
        <f t="shared" si="98"/>
        <v>5.7479471617279544E-2</v>
      </c>
      <c r="BD39" s="36">
        <f t="shared" si="98"/>
        <v>6.0205580029368579E-2</v>
      </c>
      <c r="BE39" s="34">
        <f t="shared" si="98"/>
        <v>6.0036454773296888E-2</v>
      </c>
      <c r="BF39" s="34">
        <f t="shared" si="98"/>
        <v>5.9627721106320329E-2</v>
      </c>
      <c r="BG39" s="35">
        <f t="shared" si="98"/>
        <v>6.296590007930214E-2</v>
      </c>
      <c r="BH39" s="36">
        <f t="shared" si="98"/>
        <v>5.3943063966033267E-2</v>
      </c>
      <c r="BI39" s="1393">
        <f t="shared" ref="BI39:BK39" si="99">BI38/BI8</f>
        <v>5.9417040358744393E-2</v>
      </c>
      <c r="BJ39" s="1393">
        <f t="shared" si="99"/>
        <v>5.6510173269106324E-2</v>
      </c>
      <c r="BK39" s="1394">
        <f t="shared" si="99"/>
        <v>5.8294010889292196E-2</v>
      </c>
      <c r="BL39" s="1395">
        <f t="shared" si="98"/>
        <v>5.683040186767839E-2</v>
      </c>
      <c r="BM39" s="1393">
        <f t="shared" si="98"/>
        <v>5.589894560726142E-2</v>
      </c>
      <c r="BN39" s="1393">
        <f t="shared" si="98"/>
        <v>5.5254068596750971E-2</v>
      </c>
      <c r="BO39" s="1394">
        <f t="shared" si="98"/>
        <v>5.5752379821954814E-2</v>
      </c>
      <c r="BP39" s="1395">
        <f t="shared" ref="BP39:BS39" si="100">BP38/BP8</f>
        <v>5.6063420895856045E-2</v>
      </c>
      <c r="BQ39" s="1393">
        <f t="shared" si="100"/>
        <v>5.4851565091132211E-2</v>
      </c>
      <c r="BR39" s="1393">
        <f t="shared" si="100"/>
        <v>5.4152073237676748E-2</v>
      </c>
      <c r="BS39" s="1394">
        <f t="shared" si="100"/>
        <v>5.4726486610047038E-2</v>
      </c>
      <c r="BT39" s="1395">
        <f t="shared" ref="BT39:BW39" si="101">BT38/BT8</f>
        <v>5.4952306367581027E-2</v>
      </c>
      <c r="BU39" s="1393">
        <f t="shared" si="101"/>
        <v>5.3767231926897766E-2</v>
      </c>
      <c r="BV39" s="1393">
        <f t="shared" si="101"/>
        <v>5.3111553084454935E-2</v>
      </c>
      <c r="BW39" s="1394">
        <f t="shared" si="101"/>
        <v>5.3663381123288681E-2</v>
      </c>
      <c r="BX39" s="211"/>
      <c r="BY39" s="34">
        <f t="shared" ref="BY39:CO39" si="102">BY38/BY8</f>
        <v>5.8928070339537932E-2</v>
      </c>
      <c r="BZ39" s="34">
        <f t="shared" si="102"/>
        <v>5.8252427184466014E-2</v>
      </c>
      <c r="CA39" s="34">
        <f t="shared" si="102"/>
        <v>6.2906552435348248E-2</v>
      </c>
      <c r="CB39" s="34">
        <f t="shared" si="102"/>
        <v>5.9407233320276809E-2</v>
      </c>
      <c r="CC39" s="34">
        <f t="shared" si="102"/>
        <v>6.0400970501851621E-2</v>
      </c>
      <c r="CD39" s="34">
        <f t="shared" si="102"/>
        <v>6.5407825579131801E-2</v>
      </c>
      <c r="CE39" s="1393">
        <f t="shared" si="102"/>
        <v>6.8347560630900556E-2</v>
      </c>
      <c r="CF39" s="1393">
        <f t="shared" si="102"/>
        <v>6.2937667502377448E-2</v>
      </c>
      <c r="CG39" s="1393">
        <f t="shared" si="102"/>
        <v>5.6677221625076254E-2</v>
      </c>
      <c r="CH39" s="1393">
        <f t="shared" si="102"/>
        <v>6.2489205153891336E-2</v>
      </c>
      <c r="CI39" s="1393">
        <f t="shared" si="102"/>
        <v>6.1522981277176841E-2</v>
      </c>
      <c r="CJ39" s="1393">
        <f t="shared" si="102"/>
        <v>6.3255107849958886E-2</v>
      </c>
      <c r="CK39" s="1393">
        <f t="shared" si="102"/>
        <v>5.844155844155844E-2</v>
      </c>
      <c r="CL39" s="1393">
        <f t="shared" si="102"/>
        <v>6.0917863267552289E-2</v>
      </c>
      <c r="CM39" s="1393">
        <f t="shared" si="102"/>
        <v>5.6989771066731601E-2</v>
      </c>
      <c r="CN39" s="1393">
        <f t="shared" si="102"/>
        <v>5.5920462663550746E-2</v>
      </c>
      <c r="CO39" s="1393">
        <f t="shared" si="102"/>
        <v>5.4933762838342115E-2</v>
      </c>
      <c r="CP39" s="1394">
        <f t="shared" ref="CP39" si="103">CP38/CP8</f>
        <v>5.3859754757419824E-2</v>
      </c>
      <c r="CQ39" s="22"/>
    </row>
    <row r="40" spans="1:95" ht="14.25" customHeight="1">
      <c r="A40" s="9"/>
      <c r="B40" s="459" t="s">
        <v>67</v>
      </c>
      <c r="C40" s="33"/>
      <c r="D40" s="597"/>
      <c r="E40" s="34">
        <f t="shared" ref="E40:AJ40" si="104">(E38/D38-1)/E10</f>
        <v>0.62929061784897122</v>
      </c>
      <c r="F40" s="34">
        <f t="shared" si="104"/>
        <v>-1.527728085867617</v>
      </c>
      <c r="G40" s="34">
        <f t="shared" si="104"/>
        <v>2.2040736388562423</v>
      </c>
      <c r="H40" s="36">
        <f t="shared" si="104"/>
        <v>1.0838247338247342</v>
      </c>
      <c r="I40" s="34">
        <f t="shared" si="104"/>
        <v>0.99308300395256799</v>
      </c>
      <c r="J40" s="34">
        <f t="shared" si="104"/>
        <v>1.4428100768744343</v>
      </c>
      <c r="K40" s="34">
        <f t="shared" si="104"/>
        <v>2.5087133852428725</v>
      </c>
      <c r="L40" s="36">
        <f t="shared" si="104"/>
        <v>-9.9020979020978199</v>
      </c>
      <c r="M40" s="34">
        <f t="shared" si="104"/>
        <v>-15.668393782382655</v>
      </c>
      <c r="N40" s="34">
        <f t="shared" si="104"/>
        <v>1.6317852243778204</v>
      </c>
      <c r="O40" s="34">
        <f t="shared" si="104"/>
        <v>0.61163120567376073</v>
      </c>
      <c r="P40" s="36">
        <f t="shared" si="104"/>
        <v>0.20768015554745597</v>
      </c>
      <c r="Q40" s="34">
        <f t="shared" si="104"/>
        <v>0.6546754294938304</v>
      </c>
      <c r="R40" s="34">
        <f t="shared" si="104"/>
        <v>0.18128332946904691</v>
      </c>
      <c r="S40" s="34">
        <f t="shared" si="104"/>
        <v>-0.84601125603002225</v>
      </c>
      <c r="T40" s="36">
        <f t="shared" si="104"/>
        <v>0.72980585758851679</v>
      </c>
      <c r="U40" s="34">
        <f t="shared" si="104"/>
        <v>0.93374922021210593</v>
      </c>
      <c r="V40" s="34">
        <f t="shared" si="104"/>
        <v>0.82933486283894531</v>
      </c>
      <c r="W40" s="34">
        <f t="shared" si="104"/>
        <v>-1.3209836065573788</v>
      </c>
      <c r="X40" s="36">
        <f t="shared" si="104"/>
        <v>2.185178571428569</v>
      </c>
      <c r="Y40" s="34">
        <f t="shared" si="104"/>
        <v>1.4053112887596888</v>
      </c>
      <c r="Z40" s="34">
        <f t="shared" si="104"/>
        <v>-0.47383933082580387</v>
      </c>
      <c r="AA40" s="34">
        <f t="shared" si="104"/>
        <v>0.65517530276416724</v>
      </c>
      <c r="AB40" s="36">
        <f t="shared" si="104"/>
        <v>0.58740548100878531</v>
      </c>
      <c r="AC40" s="34">
        <f t="shared" si="104"/>
        <v>-0.19271371685164837</v>
      </c>
      <c r="AD40" s="34">
        <f t="shared" si="104"/>
        <v>0.44539932627781892</v>
      </c>
      <c r="AE40" s="34">
        <f t="shared" si="104"/>
        <v>2.279820936639112</v>
      </c>
      <c r="AF40" s="36">
        <f t="shared" si="104"/>
        <v>0.58684543384771171</v>
      </c>
      <c r="AG40" s="34">
        <f t="shared" si="104"/>
        <v>0.42022811364947793</v>
      </c>
      <c r="AH40" s="34">
        <f t="shared" si="104"/>
        <v>-0.91843804125334116</v>
      </c>
      <c r="AI40" s="34">
        <f t="shared" si="104"/>
        <v>-1.9675728791352725</v>
      </c>
      <c r="AJ40" s="36">
        <f t="shared" si="104"/>
        <v>0.59629375428963649</v>
      </c>
      <c r="AK40" s="34">
        <f t="shared" ref="AK40:BK40" si="105">(AK38/AJ38-1)/AK10</f>
        <v>0.9012007729113034</v>
      </c>
      <c r="AL40" s="34">
        <f t="shared" si="105"/>
        <v>6.3507612179487598</v>
      </c>
      <c r="AM40" s="34">
        <f t="shared" si="105"/>
        <v>0.32800579338207653</v>
      </c>
      <c r="AN40" s="36">
        <f t="shared" si="105"/>
        <v>0.35440993215489031</v>
      </c>
      <c r="AO40" s="34">
        <f t="shared" si="105"/>
        <v>57.135964912279363</v>
      </c>
      <c r="AP40" s="34">
        <f t="shared" si="105"/>
        <v>2.2990188512843193</v>
      </c>
      <c r="AQ40" s="34">
        <f t="shared" si="105"/>
        <v>3.6234055517265419E-2</v>
      </c>
      <c r="AR40" s="36">
        <f t="shared" si="105"/>
        <v>3.4543414588057439</v>
      </c>
      <c r="AS40" s="34">
        <f t="shared" si="105"/>
        <v>2.1292359232057745</v>
      </c>
      <c r="AT40" s="34">
        <f t="shared" si="105"/>
        <v>0.52791389345764328</v>
      </c>
      <c r="AU40" s="34">
        <f t="shared" si="105"/>
        <v>-1.8675600417682146</v>
      </c>
      <c r="AV40" s="36">
        <f t="shared" si="105"/>
        <v>-0.71110230761613069</v>
      </c>
      <c r="AW40" s="34">
        <f t="shared" si="105"/>
        <v>1.0898741206960361</v>
      </c>
      <c r="AX40" s="34">
        <f t="shared" si="105"/>
        <v>0.66682619972989554</v>
      </c>
      <c r="AY40" s="35">
        <f t="shared" si="105"/>
        <v>2.9221938206365508</v>
      </c>
      <c r="AZ40" s="36">
        <f t="shared" si="105"/>
        <v>-7.6342756183746836</v>
      </c>
      <c r="BA40" s="34">
        <f t="shared" si="105"/>
        <v>-4.8844703197229897</v>
      </c>
      <c r="BB40" s="34">
        <f t="shared" si="105"/>
        <v>1.4005676110106464</v>
      </c>
      <c r="BC40" s="35">
        <f t="shared" si="105"/>
        <v>1.082235926713883</v>
      </c>
      <c r="BD40" s="36">
        <f t="shared" si="105"/>
        <v>-0.67782528030975953</v>
      </c>
      <c r="BE40" s="34">
        <f t="shared" si="105"/>
        <v>0.95930934556870462</v>
      </c>
      <c r="BF40" s="34">
        <f t="shared" si="105"/>
        <v>0.91143893239745966</v>
      </c>
      <c r="BG40" s="35">
        <f t="shared" si="105"/>
        <v>1.2276537067464726</v>
      </c>
      <c r="BH40" s="36">
        <f t="shared" si="105"/>
        <v>-0.17174196341657547</v>
      </c>
      <c r="BI40" s="1393">
        <f t="shared" si="105"/>
        <v>-0.3756446710461821</v>
      </c>
      <c r="BJ40" s="1393">
        <f t="shared" si="105"/>
        <v>-0.28633591325748275</v>
      </c>
      <c r="BK40" s="1394">
        <f t="shared" si="105"/>
        <v>-2.2450058865975282</v>
      </c>
      <c r="BL40" s="1214">
        <v>5.5</v>
      </c>
      <c r="BM40" s="1213">
        <v>0.6</v>
      </c>
      <c r="BN40" s="1213">
        <v>0.5</v>
      </c>
      <c r="BO40" s="1215">
        <v>0.5</v>
      </c>
      <c r="BP40" s="1214">
        <v>0</v>
      </c>
      <c r="BQ40" s="1213">
        <v>0.4</v>
      </c>
      <c r="BR40" s="1213">
        <v>0.4</v>
      </c>
      <c r="BS40" s="1215">
        <v>0.4</v>
      </c>
      <c r="BT40" s="1214">
        <v>0</v>
      </c>
      <c r="BU40" s="1213">
        <v>0.4</v>
      </c>
      <c r="BV40" s="1213">
        <v>0.4</v>
      </c>
      <c r="BW40" s="1215">
        <v>0.4</v>
      </c>
      <c r="BX40" s="211"/>
      <c r="BY40" s="598"/>
      <c r="BZ40" s="34">
        <f t="shared" ref="BZ40:CP40" si="106">(BZ38/BY38-1)/BZ11</f>
        <v>0.92656362848475993</v>
      </c>
      <c r="CA40" s="34">
        <f t="shared" si="106"/>
        <v>-14.986772486772779</v>
      </c>
      <c r="CB40" s="34">
        <f t="shared" si="106"/>
        <v>0.68580443928623325</v>
      </c>
      <c r="CC40" s="34">
        <f t="shared" si="106"/>
        <v>1.7615895732174651</v>
      </c>
      <c r="CD40" s="34">
        <f t="shared" si="106"/>
        <v>1.3486078790936527</v>
      </c>
      <c r="CE40" s="1393">
        <f t="shared" si="106"/>
        <v>0.7219213761055322</v>
      </c>
      <c r="CF40" s="1393">
        <f t="shared" si="106"/>
        <v>0.66370646839854985</v>
      </c>
      <c r="CG40" s="1393">
        <f t="shared" si="106"/>
        <v>0.69668920635569553</v>
      </c>
      <c r="CH40" s="1393">
        <f t="shared" si="106"/>
        <v>0.45769376767710512</v>
      </c>
      <c r="CI40" s="1393">
        <f t="shared" si="106"/>
        <v>1.3834831585782768</v>
      </c>
      <c r="CJ40" s="1393">
        <f t="shared" si="106"/>
        <v>1.2348133922694422</v>
      </c>
      <c r="CK40" s="1393">
        <f t="shared" si="106"/>
        <v>0.20352904191616858</v>
      </c>
      <c r="CL40" s="1393">
        <f t="shared" si="106"/>
        <v>1.4026865590961923</v>
      </c>
      <c r="CM40" s="1393">
        <f t="shared" si="106"/>
        <v>0.7815493524142324</v>
      </c>
      <c r="CN40" s="1393">
        <f t="shared" si="106"/>
        <v>0.30358075709322807</v>
      </c>
      <c r="CO40" s="1393">
        <f t="shared" si="106"/>
        <v>0.51396431754145067</v>
      </c>
      <c r="CP40" s="1394">
        <f t="shared" si="106"/>
        <v>0.44819636729143669</v>
      </c>
      <c r="CQ40" s="22"/>
    </row>
    <row r="41" spans="1:95" ht="3" customHeight="1">
      <c r="A41" s="9"/>
      <c r="B41" s="462"/>
      <c r="C41" s="49"/>
      <c r="D41" s="39"/>
      <c r="E41" s="39"/>
      <c r="F41" s="581"/>
      <c r="G41" s="581"/>
      <c r="H41" s="41"/>
      <c r="I41" s="39"/>
      <c r="J41" s="581"/>
      <c r="K41" s="581"/>
      <c r="L41" s="41"/>
      <c r="M41" s="39"/>
      <c r="N41" s="581"/>
      <c r="O41" s="581"/>
      <c r="P41" s="41"/>
      <c r="Q41" s="39"/>
      <c r="R41" s="581"/>
      <c r="S41" s="581"/>
      <c r="T41" s="41"/>
      <c r="U41" s="39"/>
      <c r="V41" s="581"/>
      <c r="W41" s="581"/>
      <c r="X41" s="41"/>
      <c r="Y41" s="39"/>
      <c r="Z41" s="581"/>
      <c r="AA41" s="581"/>
      <c r="AB41" s="41"/>
      <c r="AC41" s="39"/>
      <c r="AD41" s="581"/>
      <c r="AE41" s="581"/>
      <c r="AF41" s="41"/>
      <c r="AG41" s="39"/>
      <c r="AH41" s="581"/>
      <c r="AI41" s="581"/>
      <c r="AJ41" s="41"/>
      <c r="AK41" s="39"/>
      <c r="AL41" s="581"/>
      <c r="AM41" s="581"/>
      <c r="AN41" s="41"/>
      <c r="AO41" s="39"/>
      <c r="AP41" s="581"/>
      <c r="AQ41" s="582"/>
      <c r="AR41" s="41"/>
      <c r="AS41" s="39"/>
      <c r="AT41" s="581"/>
      <c r="AU41" s="581"/>
      <c r="AV41" s="41"/>
      <c r="AW41" s="39"/>
      <c r="AX41" s="581"/>
      <c r="AY41" s="582"/>
      <c r="AZ41" s="41"/>
      <c r="BA41" s="39"/>
      <c r="BB41" s="581"/>
      <c r="BC41" s="582"/>
      <c r="BD41" s="41"/>
      <c r="BE41" s="39"/>
      <c r="BF41" s="39"/>
      <c r="BG41" s="582"/>
      <c r="BH41" s="41"/>
      <c r="BI41" s="39"/>
      <c r="BJ41" s="39"/>
      <c r="BK41" s="1484"/>
      <c r="BL41" s="41"/>
      <c r="BM41" s="39"/>
      <c r="BN41" s="39"/>
      <c r="BO41" s="40"/>
      <c r="BP41" s="41">
        <v>20</v>
      </c>
      <c r="BQ41" s="39"/>
      <c r="BR41" s="39"/>
      <c r="BS41" s="40"/>
      <c r="BT41" s="41">
        <v>20</v>
      </c>
      <c r="BU41" s="39"/>
      <c r="BV41" s="39"/>
      <c r="BW41" s="40"/>
      <c r="BX41" s="211"/>
      <c r="BY41" s="616"/>
      <c r="BZ41" s="616"/>
      <c r="CA41" s="616"/>
      <c r="CB41" s="616"/>
      <c r="CC41" s="616"/>
      <c r="CD41" s="616"/>
      <c r="CE41" s="616"/>
      <c r="CF41" s="616"/>
      <c r="CG41" s="616"/>
      <c r="CH41" s="616"/>
      <c r="CI41" s="616"/>
      <c r="CJ41" s="616"/>
      <c r="CK41" s="616"/>
      <c r="CL41" s="616"/>
      <c r="CM41" s="616"/>
      <c r="CN41" s="616"/>
      <c r="CO41" s="616"/>
      <c r="CP41" s="587"/>
      <c r="CQ41" s="22"/>
    </row>
    <row r="42" spans="1:95" ht="14.25" customHeight="1">
      <c r="A42" s="9"/>
      <c r="B42" s="460" t="s">
        <v>623</v>
      </c>
      <c r="C42" s="49"/>
      <c r="D42" s="39"/>
      <c r="E42" s="39"/>
      <c r="F42" s="581"/>
      <c r="G42" s="581"/>
      <c r="H42" s="41"/>
      <c r="I42" s="39"/>
      <c r="J42" s="581"/>
      <c r="K42" s="581"/>
      <c r="L42" s="41"/>
      <c r="M42" s="39"/>
      <c r="N42" s="581"/>
      <c r="O42" s="581"/>
      <c r="P42" s="41"/>
      <c r="Q42" s="39"/>
      <c r="R42" s="581"/>
      <c r="S42" s="581"/>
      <c r="T42" s="41"/>
      <c r="U42" s="39"/>
      <c r="V42" s="581"/>
      <c r="W42" s="581"/>
      <c r="X42" s="41"/>
      <c r="Y42" s="39"/>
      <c r="Z42" s="581"/>
      <c r="AA42" s="581"/>
      <c r="AB42" s="41"/>
      <c r="AC42" s="39"/>
      <c r="AD42" s="581"/>
      <c r="AE42" s="581"/>
      <c r="AF42" s="41"/>
      <c r="AG42" s="39"/>
      <c r="AH42" s="581"/>
      <c r="AI42" s="581"/>
      <c r="AJ42" s="41"/>
      <c r="AK42" s="39"/>
      <c r="AL42" s="581"/>
      <c r="AM42" s="581"/>
      <c r="AN42" s="41"/>
      <c r="AO42" s="39"/>
      <c r="AP42" s="581"/>
      <c r="AQ42" s="581"/>
      <c r="AR42" s="41"/>
      <c r="AS42" s="39"/>
      <c r="AT42" s="581"/>
      <c r="AU42" s="581"/>
      <c r="AV42" s="41"/>
      <c r="AW42" s="39"/>
      <c r="AX42" s="581"/>
      <c r="AY42" s="582"/>
      <c r="AZ42" s="41"/>
      <c r="BA42" s="39"/>
      <c r="BB42" s="581"/>
      <c r="BC42" s="582"/>
      <c r="BD42" s="41"/>
      <c r="BE42" s="39"/>
      <c r="BF42" s="1356">
        <v>1</v>
      </c>
      <c r="BG42" s="582">
        <v>3</v>
      </c>
      <c r="BH42" s="1357">
        <v>3</v>
      </c>
      <c r="BI42" s="1428">
        <v>5</v>
      </c>
      <c r="BJ42" s="39">
        <v>6</v>
      </c>
      <c r="BK42" s="1428">
        <v>7.75</v>
      </c>
      <c r="BL42" s="1430">
        <v>7.75</v>
      </c>
      <c r="BM42" s="1428">
        <v>7.75</v>
      </c>
      <c r="BN42" s="1428">
        <v>7.75</v>
      </c>
      <c r="BO42" s="1429">
        <v>7.75</v>
      </c>
      <c r="BP42" s="1430">
        <v>7.75</v>
      </c>
      <c r="BQ42" s="1428">
        <v>7.75</v>
      </c>
      <c r="BR42" s="1428">
        <v>7.75</v>
      </c>
      <c r="BS42" s="1429">
        <v>7.75</v>
      </c>
      <c r="BT42" s="1430">
        <v>7.75</v>
      </c>
      <c r="BU42" s="1428">
        <v>7.75</v>
      </c>
      <c r="BV42" s="1428">
        <v>7.75</v>
      </c>
      <c r="BW42" s="1429">
        <v>7.75</v>
      </c>
      <c r="BX42" s="211"/>
      <c r="BY42" s="616"/>
      <c r="BZ42" s="616"/>
      <c r="CA42" s="616"/>
      <c r="CB42" s="616"/>
      <c r="CC42" s="616"/>
      <c r="CD42" s="616"/>
      <c r="CE42" s="616"/>
      <c r="CF42" s="616"/>
      <c r="CG42" s="616"/>
      <c r="CH42" s="616"/>
      <c r="CI42" s="616"/>
      <c r="CJ42" s="616"/>
      <c r="CK42" s="616"/>
      <c r="CL42" s="1206">
        <f>SUM(BD42:BG42)</f>
        <v>4</v>
      </c>
      <c r="CM42" s="1206">
        <f>SUM(BH42:BK42)</f>
        <v>21.75</v>
      </c>
      <c r="CN42" s="1206">
        <f>SUM(BL42:BO42)</f>
        <v>31</v>
      </c>
      <c r="CO42" s="1206">
        <f>SUM(BP42:BS42)</f>
        <v>31</v>
      </c>
      <c r="CP42" s="1194">
        <f>SUM(BT42:BW42)</f>
        <v>31</v>
      </c>
      <c r="CQ42" s="22"/>
    </row>
    <row r="43" spans="1:95" ht="4.5" customHeight="1">
      <c r="A43" s="9"/>
      <c r="B43" s="460"/>
      <c r="C43" s="49"/>
      <c r="D43" s="39"/>
      <c r="E43" s="39"/>
      <c r="F43" s="581"/>
      <c r="G43" s="581"/>
      <c r="H43" s="41"/>
      <c r="I43" s="39"/>
      <c r="J43" s="581"/>
      <c r="K43" s="581"/>
      <c r="L43" s="41"/>
      <c r="M43" s="39"/>
      <c r="N43" s="581"/>
      <c r="O43" s="581"/>
      <c r="P43" s="41"/>
      <c r="Q43" s="39"/>
      <c r="R43" s="581"/>
      <c r="S43" s="581"/>
      <c r="T43" s="41"/>
      <c r="U43" s="39"/>
      <c r="V43" s="581"/>
      <c r="W43" s="581"/>
      <c r="X43" s="41"/>
      <c r="Y43" s="39"/>
      <c r="Z43" s="581"/>
      <c r="AA43" s="581"/>
      <c r="AB43" s="41"/>
      <c r="AC43" s="39"/>
      <c r="AD43" s="581"/>
      <c r="AE43" s="581"/>
      <c r="AF43" s="41"/>
      <c r="AG43" s="39"/>
      <c r="AH43" s="581"/>
      <c r="AI43" s="581"/>
      <c r="AJ43" s="41"/>
      <c r="AK43" s="39"/>
      <c r="AL43" s="581"/>
      <c r="AM43" s="581"/>
      <c r="AN43" s="41"/>
      <c r="AO43" s="39"/>
      <c r="AP43" s="581"/>
      <c r="AQ43" s="581"/>
      <c r="AR43" s="41"/>
      <c r="AS43" s="39"/>
      <c r="AT43" s="581"/>
      <c r="AU43" s="581"/>
      <c r="AV43" s="41"/>
      <c r="AW43" s="39"/>
      <c r="AX43" s="581"/>
      <c r="AY43" s="582"/>
      <c r="AZ43" s="41"/>
      <c r="BA43" s="39"/>
      <c r="BB43" s="581"/>
      <c r="BC43" s="582"/>
      <c r="BD43" s="41"/>
      <c r="BE43" s="39"/>
      <c r="BF43" s="39"/>
      <c r="BG43" s="582"/>
      <c r="BH43" s="41"/>
      <c r="BI43" s="39"/>
      <c r="BJ43" s="39"/>
      <c r="BK43" s="39"/>
      <c r="BL43" s="41"/>
      <c r="BM43" s="39"/>
      <c r="BN43" s="39"/>
      <c r="BO43" s="40"/>
      <c r="BP43" s="41"/>
      <c r="BQ43" s="39"/>
      <c r="BR43" s="39"/>
      <c r="BS43" s="40"/>
      <c r="BT43" s="41"/>
      <c r="BU43" s="39"/>
      <c r="BV43" s="39"/>
      <c r="BW43" s="40"/>
      <c r="BX43" s="211"/>
      <c r="BY43" s="616"/>
      <c r="BZ43" s="616"/>
      <c r="CA43" s="616"/>
      <c r="CB43" s="616"/>
      <c r="CC43" s="616"/>
      <c r="CD43" s="616"/>
      <c r="CE43" s="616"/>
      <c r="CF43" s="616"/>
      <c r="CG43" s="616"/>
      <c r="CH43" s="616"/>
      <c r="CI43" s="616"/>
      <c r="CJ43" s="616"/>
      <c r="CK43" s="616"/>
      <c r="CL43" s="616"/>
      <c r="CM43" s="616"/>
      <c r="CN43" s="616"/>
      <c r="CO43" s="616"/>
      <c r="CP43" s="587"/>
      <c r="CQ43" s="22"/>
    </row>
    <row r="44" spans="1:95" ht="14.25" hidden="1" customHeight="1" outlineLevel="1">
      <c r="A44" s="409"/>
      <c r="B44" s="504" t="s">
        <v>70</v>
      </c>
      <c r="C44" s="541"/>
      <c r="D44" s="591">
        <v>0</v>
      </c>
      <c r="E44" s="591">
        <v>0</v>
      </c>
      <c r="F44" s="591">
        <v>0</v>
      </c>
      <c r="G44" s="591">
        <v>0</v>
      </c>
      <c r="H44" s="631">
        <v>0</v>
      </c>
      <c r="I44" s="591">
        <v>0</v>
      </c>
      <c r="J44" s="591">
        <v>0</v>
      </c>
      <c r="K44" s="591">
        <v>0</v>
      </c>
      <c r="L44" s="631">
        <v>0</v>
      </c>
      <c r="M44" s="591">
        <v>0</v>
      </c>
      <c r="N44" s="591">
        <v>0</v>
      </c>
      <c r="O44" s="591">
        <v>0</v>
      </c>
      <c r="P44" s="631">
        <v>0.5</v>
      </c>
      <c r="Q44" s="591">
        <v>0.5</v>
      </c>
      <c r="R44" s="591">
        <v>0.6</v>
      </c>
      <c r="S44" s="836">
        <f>2.1-P44-Q44-R44</f>
        <v>0.50000000000000011</v>
      </c>
      <c r="T44" s="631">
        <v>0.5</v>
      </c>
      <c r="U44" s="591">
        <v>0.7</v>
      </c>
      <c r="V44" s="591">
        <v>0.7</v>
      </c>
      <c r="W44" s="836">
        <f>2.9-T44-U44-V44</f>
        <v>1</v>
      </c>
      <c r="X44" s="631">
        <v>0.9</v>
      </c>
      <c r="Y44" s="591">
        <v>1.3</v>
      </c>
      <c r="Z44" s="591">
        <v>2</v>
      </c>
      <c r="AA44" s="591">
        <v>0</v>
      </c>
      <c r="AB44" s="631">
        <v>0</v>
      </c>
      <c r="AC44" s="591">
        <v>0</v>
      </c>
      <c r="AD44" s="591">
        <v>0</v>
      </c>
      <c r="AE44" s="591">
        <v>0</v>
      </c>
      <c r="AF44" s="631">
        <v>0</v>
      </c>
      <c r="AG44" s="591">
        <v>0</v>
      </c>
      <c r="AH44" s="591">
        <v>0</v>
      </c>
      <c r="AI44" s="591">
        <v>0</v>
      </c>
      <c r="AJ44" s="631">
        <v>0</v>
      </c>
      <c r="AK44" s="591">
        <v>0</v>
      </c>
      <c r="AL44" s="591">
        <v>0</v>
      </c>
      <c r="AM44" s="591">
        <v>0</v>
      </c>
      <c r="AN44" s="631">
        <v>0</v>
      </c>
      <c r="AO44" s="591">
        <v>0</v>
      </c>
      <c r="AP44" s="591">
        <v>0</v>
      </c>
      <c r="AQ44" s="591">
        <v>0</v>
      </c>
      <c r="AR44" s="631">
        <v>0</v>
      </c>
      <c r="AS44" s="591">
        <v>0</v>
      </c>
      <c r="AT44" s="591">
        <v>0</v>
      </c>
      <c r="AU44" s="591">
        <v>0</v>
      </c>
      <c r="AV44" s="631">
        <v>0</v>
      </c>
      <c r="AW44" s="591">
        <v>0</v>
      </c>
      <c r="AX44" s="591">
        <v>0</v>
      </c>
      <c r="AY44" s="592">
        <v>0</v>
      </c>
      <c r="AZ44" s="631">
        <v>0</v>
      </c>
      <c r="BA44" s="591">
        <v>0</v>
      </c>
      <c r="BB44" s="591">
        <v>0</v>
      </c>
      <c r="BC44" s="592">
        <v>0</v>
      </c>
      <c r="BD44" s="631">
        <v>0</v>
      </c>
      <c r="BE44" s="591">
        <v>0</v>
      </c>
      <c r="BF44" s="538">
        <v>0</v>
      </c>
      <c r="BG44" s="592">
        <v>0</v>
      </c>
      <c r="BH44" s="540">
        <v>0</v>
      </c>
      <c r="BI44" s="591">
        <v>0</v>
      </c>
      <c r="BJ44" s="591">
        <v>0</v>
      </c>
      <c r="BK44" s="538">
        <v>0</v>
      </c>
      <c r="BL44" s="540">
        <v>0</v>
      </c>
      <c r="BM44" s="538">
        <v>0</v>
      </c>
      <c r="BN44" s="538">
        <v>0</v>
      </c>
      <c r="BO44" s="539">
        <v>0</v>
      </c>
      <c r="BP44" s="540">
        <v>0</v>
      </c>
      <c r="BQ44" s="538">
        <v>0</v>
      </c>
      <c r="BR44" s="538">
        <v>0</v>
      </c>
      <c r="BS44" s="539">
        <v>0</v>
      </c>
      <c r="BT44" s="540">
        <v>0</v>
      </c>
      <c r="BU44" s="538">
        <v>0</v>
      </c>
      <c r="BV44" s="538">
        <v>0</v>
      </c>
      <c r="BW44" s="539">
        <v>0</v>
      </c>
      <c r="BX44" s="411"/>
      <c r="BY44" s="603">
        <f>SUM(D44:G44)</f>
        <v>0</v>
      </c>
      <c r="BZ44" s="603">
        <f>SUM(H44:K44)</f>
        <v>0</v>
      </c>
      <c r="CA44" s="603">
        <f>SUM(L44:O44)</f>
        <v>0</v>
      </c>
      <c r="CB44" s="603">
        <f>SUM(P44:S44)</f>
        <v>2.1</v>
      </c>
      <c r="CC44" s="603">
        <f>SUM(T44:W44)</f>
        <v>2.9</v>
      </c>
      <c r="CD44" s="603">
        <f>SUM(X44:AA44)</f>
        <v>4.2</v>
      </c>
      <c r="CE44" s="1412">
        <f>SUM(AB44:AE44)</f>
        <v>0</v>
      </c>
      <c r="CF44" s="1412">
        <f>SUM(AF44:AI44)</f>
        <v>0</v>
      </c>
      <c r="CG44" s="1412">
        <f>SUM(AJ44:AM44)</f>
        <v>0</v>
      </c>
      <c r="CH44" s="1412">
        <f>SUM(AN44:AQ44)</f>
        <v>0</v>
      </c>
      <c r="CI44" s="1412">
        <f>SUM(AR44:AU44)</f>
        <v>0</v>
      </c>
      <c r="CJ44" s="1412">
        <f>SUM(AV44:AY44)</f>
        <v>0</v>
      </c>
      <c r="CK44" s="1412">
        <f>SUM(AZ44:BC44)</f>
        <v>0</v>
      </c>
      <c r="CL44" s="1412">
        <f>SUM(BD44:BG44)</f>
        <v>0</v>
      </c>
      <c r="CM44" s="1412">
        <f>SUM(BH44:BK44)</f>
        <v>0</v>
      </c>
      <c r="CN44" s="1412">
        <f>SUM(BL44:BO44)</f>
        <v>0</v>
      </c>
      <c r="CO44" s="1412">
        <f>SUM(BP44:BS44)</f>
        <v>0</v>
      </c>
      <c r="CP44" s="1413">
        <f>SUM(BT44:BW44)</f>
        <v>0</v>
      </c>
      <c r="CQ44" s="410"/>
    </row>
    <row r="45" spans="1:95" ht="14.25" hidden="1" customHeight="1" outlineLevel="1">
      <c r="A45" s="9"/>
      <c r="B45" s="453" t="s">
        <v>340</v>
      </c>
      <c r="C45" s="24"/>
      <c r="D45" s="595">
        <f t="shared" ref="D45:AI45" si="107">D38-D44</f>
        <v>16.100000000000001</v>
      </c>
      <c r="E45" s="595">
        <f t="shared" si="107"/>
        <v>15.6</v>
      </c>
      <c r="F45" s="595">
        <f t="shared" si="107"/>
        <v>14.8</v>
      </c>
      <c r="G45" s="595">
        <f t="shared" si="107"/>
        <v>16.5</v>
      </c>
      <c r="H45" s="627">
        <f t="shared" si="107"/>
        <v>18.399999999999999</v>
      </c>
      <c r="I45" s="595">
        <f t="shared" si="107"/>
        <v>19.899999999999999</v>
      </c>
      <c r="J45" s="595">
        <f t="shared" si="107"/>
        <v>18.600000000000001</v>
      </c>
      <c r="K45" s="595">
        <f t="shared" si="107"/>
        <v>16.899999999999999</v>
      </c>
      <c r="L45" s="627">
        <f t="shared" si="107"/>
        <v>19.3</v>
      </c>
      <c r="M45" s="595">
        <f t="shared" si="107"/>
        <v>18.899999999999999</v>
      </c>
      <c r="N45" s="595">
        <f t="shared" si="107"/>
        <v>20</v>
      </c>
      <c r="O45" s="595">
        <f t="shared" si="107"/>
        <v>21.1</v>
      </c>
      <c r="P45" s="627">
        <f t="shared" si="107"/>
        <v>20.5</v>
      </c>
      <c r="Q45" s="595">
        <f t="shared" si="107"/>
        <v>22.2</v>
      </c>
      <c r="R45" s="595">
        <f t="shared" si="107"/>
        <v>22.599999999999998</v>
      </c>
      <c r="S45" s="595">
        <f t="shared" si="107"/>
        <v>23.6</v>
      </c>
      <c r="T45" s="627">
        <f t="shared" si="107"/>
        <v>22.4</v>
      </c>
      <c r="U45" s="595">
        <f t="shared" si="107"/>
        <v>22.6</v>
      </c>
      <c r="V45" s="595">
        <f t="shared" si="107"/>
        <v>23.7</v>
      </c>
      <c r="W45" s="595">
        <f t="shared" si="107"/>
        <v>23</v>
      </c>
      <c r="X45" s="627">
        <f t="shared" si="107"/>
        <v>24.900000000000002</v>
      </c>
      <c r="Y45" s="595">
        <f t="shared" si="107"/>
        <v>36.6</v>
      </c>
      <c r="Z45" s="595">
        <f t="shared" si="107"/>
        <v>35.299999999999997</v>
      </c>
      <c r="AA45" s="595">
        <f t="shared" si="107"/>
        <v>33.4</v>
      </c>
      <c r="AB45" s="627">
        <f t="shared" si="107"/>
        <v>29</v>
      </c>
      <c r="AC45" s="595">
        <f t="shared" si="107"/>
        <v>28.4</v>
      </c>
      <c r="AD45" s="595">
        <f t="shared" si="107"/>
        <v>30</v>
      </c>
      <c r="AE45" s="595">
        <f t="shared" si="107"/>
        <v>33.5</v>
      </c>
      <c r="AF45" s="627">
        <f t="shared" si="107"/>
        <v>35.6</v>
      </c>
      <c r="AG45" s="595">
        <f t="shared" si="107"/>
        <v>36.5</v>
      </c>
      <c r="AH45" s="595">
        <f t="shared" si="107"/>
        <v>35.5</v>
      </c>
      <c r="AI45" s="595">
        <f t="shared" si="107"/>
        <v>38</v>
      </c>
      <c r="AJ45" s="627">
        <f t="shared" ref="AJ45:BO45" si="108">AJ38-AJ44</f>
        <v>49.4</v>
      </c>
      <c r="AK45" s="595">
        <f t="shared" si="108"/>
        <v>51.2</v>
      </c>
      <c r="AL45" s="595">
        <f t="shared" si="108"/>
        <v>48.4</v>
      </c>
      <c r="AM45" s="595">
        <f t="shared" si="108"/>
        <v>46.1</v>
      </c>
      <c r="AN45" s="627">
        <f t="shared" si="108"/>
        <v>45.6</v>
      </c>
      <c r="AO45" s="595">
        <f t="shared" si="108"/>
        <v>47</v>
      </c>
      <c r="AP45" s="595">
        <f t="shared" si="108"/>
        <v>44.2</v>
      </c>
      <c r="AQ45" s="596">
        <f t="shared" si="108"/>
        <v>44.1</v>
      </c>
      <c r="AR45" s="627">
        <f t="shared" si="108"/>
        <v>39.799999999999997</v>
      </c>
      <c r="AS45" s="595">
        <f t="shared" si="108"/>
        <v>43.3</v>
      </c>
      <c r="AT45" s="595">
        <f t="shared" si="108"/>
        <v>44.2</v>
      </c>
      <c r="AU45" s="595">
        <f t="shared" si="108"/>
        <v>43.9</v>
      </c>
      <c r="AV45" s="627">
        <f t="shared" si="108"/>
        <v>44.4</v>
      </c>
      <c r="AW45" s="595">
        <f t="shared" si="108"/>
        <v>47.9</v>
      </c>
      <c r="AX45" s="595">
        <f t="shared" si="108"/>
        <v>51.1</v>
      </c>
      <c r="AY45" s="596">
        <f t="shared" si="108"/>
        <v>56.6</v>
      </c>
      <c r="AZ45" s="627">
        <f t="shared" si="108"/>
        <v>53.3</v>
      </c>
      <c r="BA45" s="595">
        <f t="shared" si="108"/>
        <v>50.4</v>
      </c>
      <c r="BB45" s="595">
        <f t="shared" si="108"/>
        <v>52.3</v>
      </c>
      <c r="BC45" s="596">
        <f t="shared" si="108"/>
        <v>48.3</v>
      </c>
      <c r="BD45" s="627">
        <f t="shared" si="108"/>
        <v>49.2</v>
      </c>
      <c r="BE45" s="595">
        <f t="shared" si="108"/>
        <v>52.7</v>
      </c>
      <c r="BF45" s="595">
        <f t="shared" si="108"/>
        <v>56.7</v>
      </c>
      <c r="BG45" s="596">
        <f t="shared" si="108"/>
        <v>79.400000000000006</v>
      </c>
      <c r="BH45" s="31">
        <f t="shared" ref="BH45:BI45" si="109">BH38-BH44</f>
        <v>77.5</v>
      </c>
      <c r="BI45" s="1408">
        <f t="shared" si="109"/>
        <v>79.5</v>
      </c>
      <c r="BJ45" s="1408">
        <f t="shared" si="108"/>
        <v>78.599999999999994</v>
      </c>
      <c r="BK45" s="1409">
        <f t="shared" ref="BK45" si="110">BK38-BK44</f>
        <v>80.3</v>
      </c>
      <c r="BL45" s="31">
        <f t="shared" si="108"/>
        <v>77.849523811252325</v>
      </c>
      <c r="BM45" s="29">
        <f t="shared" si="108"/>
        <v>79.845241693732532</v>
      </c>
      <c r="BN45" s="29">
        <f t="shared" si="108"/>
        <v>80.788129864593358</v>
      </c>
      <c r="BO45" s="30">
        <f t="shared" si="108"/>
        <v>80.072447421847869</v>
      </c>
      <c r="BP45" s="31">
        <f t="shared" ref="BP45:BS45" si="111">BP38-BP44</f>
        <v>80.072447421847869</v>
      </c>
      <c r="BQ45" s="29">
        <f t="shared" si="111"/>
        <v>81.269458110535709</v>
      </c>
      <c r="BR45" s="29">
        <f t="shared" si="111"/>
        <v>81.975385087711686</v>
      </c>
      <c r="BS45" s="30">
        <f t="shared" si="111"/>
        <v>81.40575773143641</v>
      </c>
      <c r="BT45" s="31">
        <f t="shared" ref="BT45:BW45" si="112">BT38-BT44</f>
        <v>81.40575773143641</v>
      </c>
      <c r="BU45" s="29">
        <f t="shared" si="112"/>
        <v>82.619763190945207</v>
      </c>
      <c r="BV45" s="29">
        <f t="shared" si="112"/>
        <v>83.305383984261752</v>
      </c>
      <c r="BW45" s="30">
        <f t="shared" si="112"/>
        <v>82.738178491824542</v>
      </c>
      <c r="BX45" s="211"/>
      <c r="BY45" s="595">
        <f t="shared" ref="BY45:CN45" si="113">BY38-BY44</f>
        <v>63</v>
      </c>
      <c r="BZ45" s="595">
        <f t="shared" si="113"/>
        <v>73.8</v>
      </c>
      <c r="CA45" s="595">
        <f t="shared" si="113"/>
        <v>79.300000000000011</v>
      </c>
      <c r="CB45" s="595">
        <f t="shared" si="113"/>
        <v>88.9</v>
      </c>
      <c r="CC45" s="595">
        <f t="shared" si="113"/>
        <v>91.699999999999989</v>
      </c>
      <c r="CD45" s="595">
        <f t="shared" si="113"/>
        <v>130.20000000000002</v>
      </c>
      <c r="CE45" s="1408">
        <f t="shared" si="113"/>
        <v>120.9</v>
      </c>
      <c r="CF45" s="1408">
        <f t="shared" si="113"/>
        <v>145.6</v>
      </c>
      <c r="CG45" s="1408">
        <f t="shared" si="113"/>
        <v>195.1</v>
      </c>
      <c r="CH45" s="1408">
        <f t="shared" si="113"/>
        <v>180.9</v>
      </c>
      <c r="CI45" s="1408">
        <f t="shared" si="113"/>
        <v>171.2</v>
      </c>
      <c r="CJ45" s="1408">
        <f t="shared" si="113"/>
        <v>200</v>
      </c>
      <c r="CK45" s="1408">
        <f t="shared" si="113"/>
        <v>204.3</v>
      </c>
      <c r="CL45" s="1408">
        <f t="shared" si="113"/>
        <v>238.00000000000003</v>
      </c>
      <c r="CM45" s="1408">
        <f t="shared" si="113"/>
        <v>315.89999999999998</v>
      </c>
      <c r="CN45" s="1408">
        <f t="shared" si="113"/>
        <v>318.55534279142609</v>
      </c>
      <c r="CO45" s="1408">
        <f t="shared" ref="CO45:CP45" si="114">CO38-CO44</f>
        <v>324.7230483515317</v>
      </c>
      <c r="CP45" s="1409">
        <f t="shared" si="114"/>
        <v>330.06908339846791</v>
      </c>
      <c r="CQ45" s="22"/>
    </row>
    <row r="46" spans="1:95" ht="14.25" hidden="1" customHeight="1" outlineLevel="1">
      <c r="A46" s="9"/>
      <c r="B46" s="459" t="s">
        <v>66</v>
      </c>
      <c r="C46" s="33"/>
      <c r="D46" s="34">
        <f t="shared" ref="D46:AI46" si="115">D45/D8</f>
        <v>5.9740259740259746E-2</v>
      </c>
      <c r="E46" s="34">
        <f t="shared" si="115"/>
        <v>6.0889929742388757E-2</v>
      </c>
      <c r="F46" s="34">
        <f t="shared" si="115"/>
        <v>5.5891238670694864E-2</v>
      </c>
      <c r="G46" s="34">
        <f t="shared" si="115"/>
        <v>5.9224694903086857E-2</v>
      </c>
      <c r="H46" s="36">
        <f t="shared" si="115"/>
        <v>5.9701492537313432E-2</v>
      </c>
      <c r="I46" s="34">
        <f t="shared" si="115"/>
        <v>5.9670164917541228E-2</v>
      </c>
      <c r="J46" s="34">
        <f t="shared" si="115"/>
        <v>5.8417085427135688E-2</v>
      </c>
      <c r="K46" s="34">
        <f t="shared" si="115"/>
        <v>5.5084745762711856E-2</v>
      </c>
      <c r="L46" s="36">
        <f t="shared" si="115"/>
        <v>6.3822751322751337E-2</v>
      </c>
      <c r="M46" s="34">
        <f t="shared" si="115"/>
        <v>6.2417437252311747E-2</v>
      </c>
      <c r="N46" s="34">
        <f t="shared" si="115"/>
        <v>6.3775510204081634E-2</v>
      </c>
      <c r="O46" s="34">
        <f t="shared" si="115"/>
        <v>6.173200702165009E-2</v>
      </c>
      <c r="P46" s="36">
        <f t="shared" si="115"/>
        <v>6.1377245508982034E-2</v>
      </c>
      <c r="Q46" s="34">
        <f t="shared" si="115"/>
        <v>5.9152677857713824E-2</v>
      </c>
      <c r="R46" s="34">
        <f t="shared" si="115"/>
        <v>5.3694464243288192E-2</v>
      </c>
      <c r="S46" s="34">
        <f t="shared" si="115"/>
        <v>5.8764940239043828E-2</v>
      </c>
      <c r="T46" s="36">
        <f t="shared" si="115"/>
        <v>5.9861036878674501E-2</v>
      </c>
      <c r="U46" s="34">
        <f t="shared" si="115"/>
        <v>5.9286463798530961E-2</v>
      </c>
      <c r="V46" s="34">
        <f t="shared" si="115"/>
        <v>5.8823529411764705E-2</v>
      </c>
      <c r="W46" s="34">
        <f t="shared" si="115"/>
        <v>5.6386369208139255E-2</v>
      </c>
      <c r="X46" s="36">
        <f t="shared" si="115"/>
        <v>5.901872481630719E-2</v>
      </c>
      <c r="Y46" s="34">
        <f t="shared" si="115"/>
        <v>6.5043540074640124E-2</v>
      </c>
      <c r="Z46" s="34">
        <f t="shared" si="115"/>
        <v>6.0705073086844363E-2</v>
      </c>
      <c r="AA46" s="34">
        <f t="shared" si="115"/>
        <v>6.8344587681604257E-2</v>
      </c>
      <c r="AB46" s="36">
        <f t="shared" si="115"/>
        <v>7.6496966499604316E-2</v>
      </c>
      <c r="AC46" s="34">
        <f t="shared" si="115"/>
        <v>6.7651262505955212E-2</v>
      </c>
      <c r="AD46" s="34">
        <f t="shared" si="115"/>
        <v>6.3438359061112296E-2</v>
      </c>
      <c r="AE46" s="34">
        <f t="shared" si="115"/>
        <v>6.7390867028766843E-2</v>
      </c>
      <c r="AF46" s="36">
        <f t="shared" si="115"/>
        <v>6.470374409305707E-2</v>
      </c>
      <c r="AG46" s="34">
        <f t="shared" si="115"/>
        <v>6.2575004285959204E-2</v>
      </c>
      <c r="AH46" s="34">
        <f t="shared" si="115"/>
        <v>5.9097719327451302E-2</v>
      </c>
      <c r="AI46" s="34">
        <f t="shared" si="115"/>
        <v>6.5607734806629833E-2</v>
      </c>
      <c r="AJ46" s="36">
        <f t="shared" ref="AJ46:BO46" si="116">AJ45/AJ8</f>
        <v>5.6742476453020899E-2</v>
      </c>
      <c r="AK46" s="34">
        <f t="shared" si="116"/>
        <v>5.6524619121218818E-2</v>
      </c>
      <c r="AL46" s="34">
        <f t="shared" si="116"/>
        <v>5.3897550111358571E-2</v>
      </c>
      <c r="AM46" s="34">
        <f t="shared" si="116"/>
        <v>6.003385857533533E-2</v>
      </c>
      <c r="AN46" s="36">
        <f t="shared" si="116"/>
        <v>6.1257388500806025E-2</v>
      </c>
      <c r="AO46" s="34">
        <f t="shared" si="116"/>
        <v>6.3104189044038667E-2</v>
      </c>
      <c r="AP46" s="34">
        <f t="shared" si="116"/>
        <v>6.0923501033769818E-2</v>
      </c>
      <c r="AQ46" s="34">
        <f t="shared" si="116"/>
        <v>6.483387239047339E-2</v>
      </c>
      <c r="AR46" s="36">
        <f t="shared" si="116"/>
        <v>6.0211800302571859E-2</v>
      </c>
      <c r="AS46" s="34">
        <f t="shared" si="116"/>
        <v>6.290861542931861E-2</v>
      </c>
      <c r="AT46" s="34">
        <f t="shared" si="116"/>
        <v>6.1783617556611693E-2</v>
      </c>
      <c r="AU46" s="34">
        <f t="shared" si="116"/>
        <v>6.1142061281337048E-2</v>
      </c>
      <c r="AV46" s="36">
        <f t="shared" si="116"/>
        <v>6.2845010615711253E-2</v>
      </c>
      <c r="AW46" s="34">
        <f t="shared" si="116"/>
        <v>6.3225976768743392E-2</v>
      </c>
      <c r="AX46" s="34">
        <f t="shared" si="116"/>
        <v>6.1307738452309538E-2</v>
      </c>
      <c r="AY46" s="35">
        <f t="shared" si="116"/>
        <v>6.5494098588289751E-2</v>
      </c>
      <c r="AZ46" s="36">
        <f t="shared" si="116"/>
        <v>6.1208084519981623E-2</v>
      </c>
      <c r="BA46" s="34">
        <f t="shared" si="116"/>
        <v>5.7240204429301535E-2</v>
      </c>
      <c r="BB46" s="34">
        <f t="shared" si="116"/>
        <v>5.7841185578411849E-2</v>
      </c>
      <c r="BC46" s="35">
        <f t="shared" si="116"/>
        <v>5.7479471617279544E-2</v>
      </c>
      <c r="BD46" s="36">
        <f t="shared" si="116"/>
        <v>6.0205580029368579E-2</v>
      </c>
      <c r="BE46" s="34">
        <f t="shared" si="116"/>
        <v>6.0036454773296888E-2</v>
      </c>
      <c r="BF46" s="34">
        <f t="shared" si="116"/>
        <v>5.9627721106320329E-2</v>
      </c>
      <c r="BG46" s="35">
        <f t="shared" si="116"/>
        <v>6.296590007930214E-2</v>
      </c>
      <c r="BH46" s="36">
        <f t="shared" si="116"/>
        <v>5.3943063966033267E-2</v>
      </c>
      <c r="BI46" s="1393">
        <f t="shared" ref="BI46" si="117">BI45/BI8</f>
        <v>5.9417040358744393E-2</v>
      </c>
      <c r="BJ46" s="1393">
        <f t="shared" si="116"/>
        <v>5.6510173269106324E-2</v>
      </c>
      <c r="BK46" s="1394">
        <f t="shared" ref="BK46" si="118">BK45/BK8</f>
        <v>5.8294010889292196E-2</v>
      </c>
      <c r="BL46" s="1395">
        <f t="shared" si="116"/>
        <v>5.683040186767839E-2</v>
      </c>
      <c r="BM46" s="1393">
        <f t="shared" si="116"/>
        <v>5.589894560726142E-2</v>
      </c>
      <c r="BN46" s="1393">
        <f t="shared" si="116"/>
        <v>5.5254068596750971E-2</v>
      </c>
      <c r="BO46" s="1394">
        <f t="shared" si="116"/>
        <v>5.5752379821954814E-2</v>
      </c>
      <c r="BP46" s="1395">
        <f t="shared" ref="BP46:BS46" si="119">BP45/BP8</f>
        <v>5.6063420895856045E-2</v>
      </c>
      <c r="BQ46" s="1393">
        <f t="shared" si="119"/>
        <v>5.4851565091132211E-2</v>
      </c>
      <c r="BR46" s="1393">
        <f t="shared" si="119"/>
        <v>5.4152073237676748E-2</v>
      </c>
      <c r="BS46" s="1394">
        <f t="shared" si="119"/>
        <v>5.4726486610047038E-2</v>
      </c>
      <c r="BT46" s="1395">
        <f t="shared" ref="BT46:BW46" si="120">BT45/BT8</f>
        <v>5.4952306367581027E-2</v>
      </c>
      <c r="BU46" s="1393">
        <f t="shared" si="120"/>
        <v>5.3767231926897766E-2</v>
      </c>
      <c r="BV46" s="1393">
        <f t="shared" si="120"/>
        <v>5.3111553084454935E-2</v>
      </c>
      <c r="BW46" s="1394">
        <f t="shared" si="120"/>
        <v>5.3663381123288681E-2</v>
      </c>
      <c r="BX46" s="211"/>
      <c r="BY46" s="34">
        <f t="shared" ref="BY46:CO46" si="121">BY45/BY8</f>
        <v>5.8928070339537932E-2</v>
      </c>
      <c r="BZ46" s="34">
        <f t="shared" si="121"/>
        <v>5.8252427184466014E-2</v>
      </c>
      <c r="CA46" s="34">
        <f t="shared" si="121"/>
        <v>6.2906552435348248E-2</v>
      </c>
      <c r="CB46" s="34">
        <f t="shared" si="121"/>
        <v>5.8036297166731962E-2</v>
      </c>
      <c r="CC46" s="34">
        <f t="shared" si="121"/>
        <v>5.8549355127059124E-2</v>
      </c>
      <c r="CD46" s="34">
        <f t="shared" si="121"/>
        <v>6.3363831029783935E-2</v>
      </c>
      <c r="CE46" s="1393">
        <f t="shared" si="121"/>
        <v>6.8347560630900556E-2</v>
      </c>
      <c r="CF46" s="1393">
        <f t="shared" si="121"/>
        <v>6.2937667502377448E-2</v>
      </c>
      <c r="CG46" s="1393">
        <f t="shared" si="121"/>
        <v>5.6677221625076254E-2</v>
      </c>
      <c r="CH46" s="1393">
        <f t="shared" si="121"/>
        <v>6.2489205153891336E-2</v>
      </c>
      <c r="CI46" s="1393">
        <f t="shared" si="121"/>
        <v>6.1522981277176841E-2</v>
      </c>
      <c r="CJ46" s="1393">
        <f t="shared" si="121"/>
        <v>6.3255107849958886E-2</v>
      </c>
      <c r="CK46" s="1393">
        <f t="shared" si="121"/>
        <v>5.844155844155844E-2</v>
      </c>
      <c r="CL46" s="1393">
        <f t="shared" si="121"/>
        <v>6.0917863267552289E-2</v>
      </c>
      <c r="CM46" s="1393">
        <f t="shared" si="121"/>
        <v>5.6989771066731601E-2</v>
      </c>
      <c r="CN46" s="1393">
        <f t="shared" si="121"/>
        <v>5.5920462663550746E-2</v>
      </c>
      <c r="CO46" s="1393">
        <f t="shared" si="121"/>
        <v>5.4933762838342115E-2</v>
      </c>
      <c r="CP46" s="1394">
        <f t="shared" ref="CP46" si="122">CP45/CP8</f>
        <v>5.3859754757419824E-2</v>
      </c>
      <c r="CQ46" s="22"/>
    </row>
    <row r="47" spans="1:95" ht="14.25" customHeight="1" collapsed="1">
      <c r="A47" s="9"/>
      <c r="B47" s="462"/>
      <c r="C47" s="49"/>
      <c r="D47" s="39"/>
      <c r="E47" s="39"/>
      <c r="F47" s="581"/>
      <c r="G47" s="581"/>
      <c r="H47" s="41"/>
      <c r="I47" s="39"/>
      <c r="J47" s="581"/>
      <c r="K47" s="581"/>
      <c r="L47" s="41"/>
      <c r="M47" s="39"/>
      <c r="N47" s="581"/>
      <c r="O47" s="581"/>
      <c r="P47" s="41"/>
      <c r="Q47" s="39"/>
      <c r="R47" s="581"/>
      <c r="S47" s="581"/>
      <c r="T47" s="41"/>
      <c r="U47" s="39"/>
      <c r="V47" s="581"/>
      <c r="W47" s="581"/>
      <c r="X47" s="41"/>
      <c r="Y47" s="39"/>
      <c r="Z47" s="581"/>
      <c r="AA47" s="581"/>
      <c r="AB47" s="41"/>
      <c r="AC47" s="39"/>
      <c r="AD47" s="581"/>
      <c r="AE47" s="581"/>
      <c r="AF47" s="41"/>
      <c r="AG47" s="39"/>
      <c r="AH47" s="581"/>
      <c r="AI47" s="581"/>
      <c r="AJ47" s="41"/>
      <c r="AK47" s="39"/>
      <c r="AL47" s="581"/>
      <c r="AM47" s="581"/>
      <c r="AN47" s="41"/>
      <c r="AO47" s="39"/>
      <c r="AP47" s="581"/>
      <c r="AQ47" s="582"/>
      <c r="AR47" s="41"/>
      <c r="AS47" s="39"/>
      <c r="AT47" s="581"/>
      <c r="AU47" s="581"/>
      <c r="AV47" s="41"/>
      <c r="AW47" s="39"/>
      <c r="AX47" s="581"/>
      <c r="AY47" s="582"/>
      <c r="AZ47" s="41"/>
      <c r="BA47" s="39"/>
      <c r="BB47" s="581"/>
      <c r="BC47" s="582"/>
      <c r="BD47" s="41"/>
      <c r="BE47" s="39"/>
      <c r="BF47" s="39"/>
      <c r="BG47" s="582"/>
      <c r="BH47" s="41"/>
      <c r="BI47" s="39"/>
      <c r="BJ47" s="39"/>
      <c r="BK47" s="582"/>
      <c r="BL47" s="41"/>
      <c r="BM47" s="39"/>
      <c r="BN47" s="39"/>
      <c r="BO47" s="40"/>
      <c r="BP47" s="41"/>
      <c r="BQ47" s="39"/>
      <c r="BR47" s="39"/>
      <c r="BS47" s="40"/>
      <c r="BT47" s="41"/>
      <c r="BU47" s="39"/>
      <c r="BV47" s="39"/>
      <c r="BW47" s="40"/>
      <c r="BX47" s="211"/>
      <c r="BY47" s="616"/>
      <c r="BZ47" s="616"/>
      <c r="CA47" s="616"/>
      <c r="CB47" s="616"/>
      <c r="CC47" s="616"/>
      <c r="CD47" s="616"/>
      <c r="CE47" s="616"/>
      <c r="CF47" s="616"/>
      <c r="CG47" s="616"/>
      <c r="CH47" s="616"/>
      <c r="CI47" s="616"/>
      <c r="CJ47" s="616"/>
      <c r="CK47" s="616"/>
      <c r="CL47" s="616"/>
      <c r="CM47" s="616"/>
      <c r="CN47" s="616"/>
      <c r="CO47" s="616"/>
      <c r="CP47" s="587"/>
      <c r="CQ47" s="22"/>
    </row>
    <row r="48" spans="1:95" ht="14.25" customHeight="1">
      <c r="A48" s="9"/>
      <c r="B48" s="453" t="s">
        <v>341</v>
      </c>
      <c r="C48" s="49"/>
      <c r="D48" s="593">
        <v>19.600000000000001</v>
      </c>
      <c r="E48" s="593">
        <v>18.7</v>
      </c>
      <c r="F48" s="593">
        <v>15.6</v>
      </c>
      <c r="G48" s="593">
        <v>15.3</v>
      </c>
      <c r="H48" s="612">
        <v>17.2</v>
      </c>
      <c r="I48" s="593">
        <v>18.5</v>
      </c>
      <c r="J48" s="593">
        <v>18</v>
      </c>
      <c r="K48" s="593">
        <v>18.5</v>
      </c>
      <c r="L48" s="612">
        <v>20.399999999999999</v>
      </c>
      <c r="M48" s="593">
        <v>17.5</v>
      </c>
      <c r="N48" s="593">
        <v>17.8</v>
      </c>
      <c r="O48" s="593">
        <v>18.899999999999999</v>
      </c>
      <c r="P48" s="612">
        <v>20.2</v>
      </c>
      <c r="Q48" s="593">
        <v>21.3</v>
      </c>
      <c r="R48" s="593">
        <v>23.1</v>
      </c>
      <c r="S48" s="593">
        <v>22.1</v>
      </c>
      <c r="T48" s="612">
        <v>20.2</v>
      </c>
      <c r="U48" s="593">
        <v>18.8</v>
      </c>
      <c r="V48" s="593">
        <v>21.6</v>
      </c>
      <c r="W48" s="593">
        <v>22.1</v>
      </c>
      <c r="X48" s="612">
        <v>23.8</v>
      </c>
      <c r="Y48" s="593">
        <v>31.9</v>
      </c>
      <c r="Z48" s="593">
        <v>34.200000000000003</v>
      </c>
      <c r="AA48" s="593">
        <v>32.5</v>
      </c>
      <c r="AB48" s="612">
        <v>27.3</v>
      </c>
      <c r="AC48" s="593">
        <v>30</v>
      </c>
      <c r="AD48" s="593">
        <v>27.1</v>
      </c>
      <c r="AE48" s="593">
        <v>20.100000000000001</v>
      </c>
      <c r="AF48" s="612">
        <v>31.5</v>
      </c>
      <c r="AG48" s="593">
        <v>35.299999999999997</v>
      </c>
      <c r="AH48" s="593">
        <v>31.2</v>
      </c>
      <c r="AI48" s="593">
        <v>31.9</v>
      </c>
      <c r="AJ48" s="612">
        <v>47.1</v>
      </c>
      <c r="AK48" s="593">
        <v>52.3</v>
      </c>
      <c r="AL48" s="593">
        <v>51.9</v>
      </c>
      <c r="AM48" s="593">
        <v>41.1</v>
      </c>
      <c r="AN48" s="612">
        <v>42</v>
      </c>
      <c r="AO48" s="593">
        <v>40.9</v>
      </c>
      <c r="AP48" s="593">
        <v>36.799999999999997</v>
      </c>
      <c r="AQ48" s="594">
        <v>40.9</v>
      </c>
      <c r="AR48" s="612">
        <v>36.200000000000003</v>
      </c>
      <c r="AS48" s="593">
        <v>40.200000000000003</v>
      </c>
      <c r="AT48" s="593">
        <v>34.5</v>
      </c>
      <c r="AU48" s="593">
        <v>37.6</v>
      </c>
      <c r="AV48" s="612">
        <v>41</v>
      </c>
      <c r="AW48" s="593">
        <v>44.7</v>
      </c>
      <c r="AX48" s="593">
        <v>48.5</v>
      </c>
      <c r="AY48" s="594">
        <v>46.7</v>
      </c>
      <c r="AZ48" s="612">
        <v>46.7</v>
      </c>
      <c r="BA48" s="593">
        <v>45</v>
      </c>
      <c r="BB48" s="593">
        <v>44.9</v>
      </c>
      <c r="BC48" s="594">
        <v>45.7</v>
      </c>
      <c r="BD48" s="612">
        <v>44.5</v>
      </c>
      <c r="BE48" s="593">
        <v>46</v>
      </c>
      <c r="BF48" s="593">
        <v>67.599999999999994</v>
      </c>
      <c r="BG48" s="594">
        <v>72.2</v>
      </c>
      <c r="BH48" s="612">
        <v>68.400000000000006</v>
      </c>
      <c r="BI48" s="1406">
        <v>76.599999999999994</v>
      </c>
      <c r="BJ48" s="1406">
        <v>68.900000000000006</v>
      </c>
      <c r="BK48" s="1407">
        <v>71</v>
      </c>
      <c r="BL48" s="1192">
        <f t="shared" ref="BL48:BS48" si="123">(1+BL50*BL10)*BK48</f>
        <v>69.030297640653401</v>
      </c>
      <c r="BM48" s="1185">
        <f t="shared" si="123"/>
        <v>71.094868171144128</v>
      </c>
      <c r="BN48" s="1185">
        <f t="shared" si="123"/>
        <v>71.934423651038713</v>
      </c>
      <c r="BO48" s="1193">
        <f t="shared" si="123"/>
        <v>71.297174043672484</v>
      </c>
      <c r="BP48" s="1192">
        <f t="shared" si="123"/>
        <v>71.297174043672484</v>
      </c>
      <c r="BQ48" s="1185">
        <f t="shared" si="123"/>
        <v>72.363002329823104</v>
      </c>
      <c r="BR48" s="1185">
        <f t="shared" si="123"/>
        <v>72.991565589400793</v>
      </c>
      <c r="BS48" s="1193">
        <f t="shared" si="123"/>
        <v>72.484364647403424</v>
      </c>
      <c r="BT48" s="1192">
        <f t="shared" ref="BT48" si="124">(1+BT50*BT10)*BS48</f>
        <v>72.484364647403424</v>
      </c>
      <c r="BU48" s="1185">
        <f t="shared" ref="BU48" si="125">(1+BU50*BU10)*BT48</f>
        <v>73.56532521902885</v>
      </c>
      <c r="BV48" s="1185">
        <f t="shared" ref="BV48" si="126">(1+BV50*BV10)*BU48</f>
        <v>74.175807683384164</v>
      </c>
      <c r="BW48" s="1193">
        <f t="shared" ref="BW48" si="127">(1+BW50*BW10)*BV48</f>
        <v>73.670763189117977</v>
      </c>
      <c r="BX48" s="211"/>
      <c r="BY48" s="595">
        <f>SUM(D48:G48)</f>
        <v>69.2</v>
      </c>
      <c r="BZ48" s="595">
        <f>SUM(H48:K48)</f>
        <v>72.2</v>
      </c>
      <c r="CA48" s="595">
        <f>SUM(L48:O48)</f>
        <v>74.599999999999994</v>
      </c>
      <c r="CB48" s="595">
        <f>SUM(P48:S48)</f>
        <v>86.699999999999989</v>
      </c>
      <c r="CC48" s="595">
        <f>SUM(T48:W48)</f>
        <v>82.7</v>
      </c>
      <c r="CD48" s="595">
        <f>SUM(X48:AA48)</f>
        <v>122.4</v>
      </c>
      <c r="CE48" s="1408">
        <f>SUM(AB48:AE48)</f>
        <v>104.5</v>
      </c>
      <c r="CF48" s="1408">
        <f>SUM(AF48:AI48)</f>
        <v>129.9</v>
      </c>
      <c r="CG48" s="1408">
        <f>SUM(AJ48:AM48)</f>
        <v>192.4</v>
      </c>
      <c r="CH48" s="1408">
        <f>SUM(AN48:AQ48)</f>
        <v>160.6</v>
      </c>
      <c r="CI48" s="1408">
        <f>SUM(AR48:AU48)</f>
        <v>148.5</v>
      </c>
      <c r="CJ48" s="1408">
        <f>SUM(AV48:AY48)</f>
        <v>180.89999999999998</v>
      </c>
      <c r="CK48" s="1408">
        <f>SUM(AZ48:BC48)</f>
        <v>182.3</v>
      </c>
      <c r="CL48" s="1206">
        <f>SUM(BD48:BG48)</f>
        <v>230.3</v>
      </c>
      <c r="CM48" s="1206">
        <f>SUM(BH48:BK48)</f>
        <v>284.89999999999998</v>
      </c>
      <c r="CN48" s="1206">
        <f>SUM(BL48:BO48)</f>
        <v>283.35676350650874</v>
      </c>
      <c r="CO48" s="1206">
        <f>SUM(BP48:BS48)</f>
        <v>289.13610661029981</v>
      </c>
      <c r="CP48" s="1194">
        <f>SUM(BT48:BW48)</f>
        <v>293.89626073893442</v>
      </c>
      <c r="CQ48" s="22"/>
    </row>
    <row r="49" spans="1:95" ht="14.25" customHeight="1">
      <c r="A49" s="9"/>
      <c r="B49" s="459" t="s">
        <v>66</v>
      </c>
      <c r="C49" s="49"/>
      <c r="D49" s="34">
        <f t="shared" ref="D49:AI49" si="128">D48/D8</f>
        <v>7.2727272727272738E-2</v>
      </c>
      <c r="E49" s="34">
        <f t="shared" si="128"/>
        <v>7.2989851678376266E-2</v>
      </c>
      <c r="F49" s="34">
        <f t="shared" si="128"/>
        <v>5.8912386706948636E-2</v>
      </c>
      <c r="G49" s="34">
        <f t="shared" si="128"/>
        <v>5.4917444364680545E-2</v>
      </c>
      <c r="H49" s="36">
        <f t="shared" si="128"/>
        <v>5.5807916937053864E-2</v>
      </c>
      <c r="I49" s="34">
        <f t="shared" si="128"/>
        <v>5.5472263868065967E-2</v>
      </c>
      <c r="J49" s="34">
        <f t="shared" si="128"/>
        <v>5.6532663316582916E-2</v>
      </c>
      <c r="K49" s="34">
        <f t="shared" si="128"/>
        <v>6.0299869621903521E-2</v>
      </c>
      <c r="L49" s="36">
        <f t="shared" si="128"/>
        <v>6.7460317460317457E-2</v>
      </c>
      <c r="M49" s="34">
        <f t="shared" si="128"/>
        <v>5.779392338177014E-2</v>
      </c>
      <c r="N49" s="34">
        <f t="shared" si="128"/>
        <v>5.6760204081632654E-2</v>
      </c>
      <c r="O49" s="34">
        <f t="shared" si="128"/>
        <v>5.5295494441193672E-2</v>
      </c>
      <c r="P49" s="36">
        <f t="shared" si="128"/>
        <v>6.047904191616766E-2</v>
      </c>
      <c r="Q49" s="34">
        <f t="shared" si="128"/>
        <v>5.675459632294165E-2</v>
      </c>
      <c r="R49" s="34">
        <f t="shared" si="128"/>
        <v>5.4882394868139707E-2</v>
      </c>
      <c r="S49" s="34">
        <f t="shared" si="128"/>
        <v>5.5029880478087649E-2</v>
      </c>
      <c r="T49" s="36">
        <f t="shared" si="128"/>
        <v>5.3981827899518976E-2</v>
      </c>
      <c r="U49" s="34">
        <f t="shared" si="128"/>
        <v>4.9317943336831066E-2</v>
      </c>
      <c r="V49" s="34">
        <f t="shared" si="128"/>
        <v>5.3611317944899484E-2</v>
      </c>
      <c r="W49" s="34">
        <f t="shared" si="128"/>
        <v>5.4179946065212072E-2</v>
      </c>
      <c r="X49" s="36">
        <f t="shared" si="128"/>
        <v>5.6411471912775547E-2</v>
      </c>
      <c r="Y49" s="34">
        <f t="shared" si="128"/>
        <v>5.6690954327350267E-2</v>
      </c>
      <c r="Z49" s="34">
        <f t="shared" si="128"/>
        <v>5.8813413585554607E-2</v>
      </c>
      <c r="AA49" s="34">
        <f t="shared" si="128"/>
        <v>6.6502967055453249E-2</v>
      </c>
      <c r="AB49" s="36">
        <f t="shared" si="128"/>
        <v>7.2012661566868891E-2</v>
      </c>
      <c r="AC49" s="34">
        <f t="shared" si="128"/>
        <v>7.1462601238685086E-2</v>
      </c>
      <c r="AD49" s="34">
        <f t="shared" si="128"/>
        <v>5.7305984351871439E-2</v>
      </c>
      <c r="AE49" s="34">
        <f t="shared" si="128"/>
        <v>4.0434520217260107E-2</v>
      </c>
      <c r="AF49" s="36">
        <f t="shared" si="128"/>
        <v>5.7251908396946563E-2</v>
      </c>
      <c r="AG49" s="34">
        <f t="shared" si="128"/>
        <v>6.0517743871078347E-2</v>
      </c>
      <c r="AH49" s="34">
        <f t="shared" si="128"/>
        <v>5.1939404028633257E-2</v>
      </c>
      <c r="AI49" s="34">
        <f t="shared" si="128"/>
        <v>5.5075966850828724E-2</v>
      </c>
      <c r="AJ49" s="36">
        <f t="shared" ref="AJ49:BO49" si="129">AJ48/AJ8</f>
        <v>5.4100620261888353E-2</v>
      </c>
      <c r="AK49" s="34">
        <f t="shared" si="129"/>
        <v>5.773901523515125E-2</v>
      </c>
      <c r="AL49" s="34">
        <f t="shared" si="129"/>
        <v>5.7795100222717145E-2</v>
      </c>
      <c r="AM49" s="34">
        <f t="shared" si="129"/>
        <v>5.3522594087771852E-2</v>
      </c>
      <c r="AN49" s="36">
        <f t="shared" si="129"/>
        <v>5.6421278882321332E-2</v>
      </c>
      <c r="AO49" s="34">
        <f t="shared" si="129"/>
        <v>5.4914070891514503E-2</v>
      </c>
      <c r="AP49" s="34">
        <f t="shared" si="129"/>
        <v>5.0723638869745E-2</v>
      </c>
      <c r="AQ49" s="34">
        <f t="shared" si="129"/>
        <v>6.012937371361364E-2</v>
      </c>
      <c r="AR49" s="36">
        <f t="shared" si="129"/>
        <v>5.4765506807866876E-2</v>
      </c>
      <c r="AS49" s="34">
        <f t="shared" si="129"/>
        <v>5.8404765363940153E-2</v>
      </c>
      <c r="AT49" s="34">
        <f t="shared" si="129"/>
        <v>4.8224769359798712E-2</v>
      </c>
      <c r="AU49" s="34">
        <f t="shared" si="129"/>
        <v>5.2367688022284122E-2</v>
      </c>
      <c r="AV49" s="36">
        <f t="shared" si="129"/>
        <v>5.8032554847841471E-2</v>
      </c>
      <c r="AW49" s="34">
        <f t="shared" si="129"/>
        <v>5.9002111932418166E-2</v>
      </c>
      <c r="AX49" s="34">
        <f t="shared" si="129"/>
        <v>5.8188362327534493E-2</v>
      </c>
      <c r="AY49" s="35">
        <f t="shared" si="129"/>
        <v>5.4038417033094192E-2</v>
      </c>
      <c r="AZ49" s="36">
        <f t="shared" si="129"/>
        <v>5.3628847037207175E-2</v>
      </c>
      <c r="BA49" s="34">
        <f t="shared" si="129"/>
        <v>5.1107325383304938E-2</v>
      </c>
      <c r="BB49" s="34">
        <f t="shared" si="129"/>
        <v>4.9657155496571549E-2</v>
      </c>
      <c r="BC49" s="35">
        <f t="shared" si="129"/>
        <v>5.4385338569558496E-2</v>
      </c>
      <c r="BD49" s="36">
        <f t="shared" si="129"/>
        <v>5.4454233969652467E-2</v>
      </c>
      <c r="BE49" s="34">
        <f t="shared" si="129"/>
        <v>5.2403736614262932E-2</v>
      </c>
      <c r="BF49" s="34">
        <f t="shared" si="129"/>
        <v>7.1090545798717E-2</v>
      </c>
      <c r="BG49" s="35">
        <f t="shared" si="129"/>
        <v>5.7256145915939735E-2</v>
      </c>
      <c r="BH49" s="36">
        <f t="shared" si="129"/>
        <v>4.7609104197118397E-2</v>
      </c>
      <c r="BI49" s="1393">
        <f t="shared" ref="BI49:BK49" si="130">BI48/BI8</f>
        <v>5.7249626307922269E-2</v>
      </c>
      <c r="BJ49" s="1393">
        <f t="shared" si="130"/>
        <v>4.9536271478898553E-2</v>
      </c>
      <c r="BK49" s="1394">
        <f t="shared" si="130"/>
        <v>5.1542649727767696E-2</v>
      </c>
      <c r="BL49" s="1395">
        <f t="shared" si="129"/>
        <v>5.0392338500042988E-2</v>
      </c>
      <c r="BM49" s="1393">
        <f t="shared" si="129"/>
        <v>4.9772886706236329E-2</v>
      </c>
      <c r="BN49" s="1393">
        <f t="shared" si="129"/>
        <v>4.9198682845413885E-2</v>
      </c>
      <c r="BO49" s="1394">
        <f t="shared" si="129"/>
        <v>4.9642383310370325E-2</v>
      </c>
      <c r="BP49" s="1395">
        <f t="shared" ref="BP49:BS49" si="131">BP48/BP8</f>
        <v>4.9919336872983874E-2</v>
      </c>
      <c r="BQ49" s="1393">
        <f t="shared" si="131"/>
        <v>4.8840290371881742E-2</v>
      </c>
      <c r="BR49" s="1393">
        <f t="shared" si="131"/>
        <v>4.8217457000057799E-2</v>
      </c>
      <c r="BS49" s="1394">
        <f t="shared" si="131"/>
        <v>4.8728919450645052E-2</v>
      </c>
      <c r="BT49" s="1395">
        <f t="shared" ref="BT49:BW49" si="132">BT48/BT8</f>
        <v>4.892999124342514E-2</v>
      </c>
      <c r="BU49" s="1393">
        <f t="shared" si="132"/>
        <v>4.7874791091905254E-2</v>
      </c>
      <c r="BV49" s="1393">
        <f t="shared" si="132"/>
        <v>4.7290969189970423E-2</v>
      </c>
      <c r="BW49" s="1394">
        <f t="shared" si="132"/>
        <v>4.7782321471481592E-2</v>
      </c>
      <c r="BX49" s="211"/>
      <c r="BY49" s="34">
        <f t="shared" ref="BY49:CO49" si="133">BY48/BY8</f>
        <v>6.4727340753905169E-2</v>
      </c>
      <c r="BZ49" s="34">
        <f t="shared" si="133"/>
        <v>5.698950193385429E-2</v>
      </c>
      <c r="CA49" s="34">
        <f t="shared" si="133"/>
        <v>5.9178169125813092E-2</v>
      </c>
      <c r="CB49" s="34">
        <f t="shared" si="133"/>
        <v>5.6600078339208777E-2</v>
      </c>
      <c r="CC49" s="34">
        <f t="shared" si="133"/>
        <v>5.2802962584599676E-2</v>
      </c>
      <c r="CD49" s="34">
        <f t="shared" si="133"/>
        <v>5.9567841152423605E-2</v>
      </c>
      <c r="CE49" s="1393">
        <f t="shared" si="133"/>
        <v>5.9076262083780876E-2</v>
      </c>
      <c r="CF49" s="1393">
        <f t="shared" si="133"/>
        <v>5.6151119564277686E-2</v>
      </c>
      <c r="CG49" s="1393">
        <f t="shared" si="133"/>
        <v>5.5892862330418618E-2</v>
      </c>
      <c r="CH49" s="1393">
        <f t="shared" si="133"/>
        <v>5.5476873121696781E-2</v>
      </c>
      <c r="CI49" s="1393">
        <f t="shared" si="133"/>
        <v>5.33654364466166E-2</v>
      </c>
      <c r="CJ49" s="1393">
        <f t="shared" si="133"/>
        <v>5.7214245050287799E-2</v>
      </c>
      <c r="CK49" s="1393">
        <f t="shared" si="133"/>
        <v>5.2148292236397963E-2</v>
      </c>
      <c r="CL49" s="1393">
        <f t="shared" si="133"/>
        <v>5.8946991220660883E-2</v>
      </c>
      <c r="CM49" s="1393">
        <f t="shared" si="133"/>
        <v>5.1397232595479056E-2</v>
      </c>
      <c r="CN49" s="1393">
        <f t="shared" si="133"/>
        <v>4.974156507713981E-2</v>
      </c>
      <c r="CO49" s="1393">
        <f t="shared" si="133"/>
        <v>4.8913479930556614E-2</v>
      </c>
      <c r="CP49" s="1394">
        <f t="shared" ref="CP49" si="134">CP48/CP8</f>
        <v>4.7957174190750622E-2</v>
      </c>
      <c r="CQ49" s="22"/>
    </row>
    <row r="50" spans="1:95" ht="14.25" customHeight="1">
      <c r="A50" s="9"/>
      <c r="B50" s="459" t="s">
        <v>67</v>
      </c>
      <c r="C50" s="49"/>
      <c r="D50" s="27"/>
      <c r="E50" s="34">
        <f t="shared" ref="E50:AJ50" si="135">(E48/D48-1)/E10</f>
        <v>0.93045112781955075</v>
      </c>
      <c r="F50" s="34">
        <f t="shared" si="135"/>
        <v>-4.9385648551175167</v>
      </c>
      <c r="G50" s="34">
        <f t="shared" si="135"/>
        <v>-0.36900780379041009</v>
      </c>
      <c r="H50" s="36">
        <f t="shared" si="135"/>
        <v>1.1688305953011855</v>
      </c>
      <c r="I50" s="34">
        <f t="shared" si="135"/>
        <v>0.92071881606765349</v>
      </c>
      <c r="J50" s="34">
        <f t="shared" si="135"/>
        <v>0.59692142473599286</v>
      </c>
      <c r="K50" s="34">
        <f t="shared" si="135"/>
        <v>-0.7624521072796927</v>
      </c>
      <c r="L50" s="36">
        <f t="shared" si="135"/>
        <v>-7.161179361179288</v>
      </c>
      <c r="M50" s="34">
        <f t="shared" si="135"/>
        <v>-107.47058823528845</v>
      </c>
      <c r="N50" s="34">
        <f t="shared" si="135"/>
        <v>0.4806349206349198</v>
      </c>
      <c r="O50" s="34">
        <f t="shared" si="135"/>
        <v>0.68722607379073841</v>
      </c>
      <c r="P50" s="36">
        <f t="shared" si="135"/>
        <v>-3.014109347442679</v>
      </c>
      <c r="Q50" s="34">
        <f t="shared" si="135"/>
        <v>0.44039028600196584</v>
      </c>
      <c r="R50" s="34">
        <f t="shared" si="135"/>
        <v>0.69551519644181059</v>
      </c>
      <c r="S50" s="34">
        <f t="shared" si="135"/>
        <v>0.94408182491084291</v>
      </c>
      <c r="T50" s="36">
        <f t="shared" si="135"/>
        <v>1.2600984245466866</v>
      </c>
      <c r="U50" s="34">
        <f t="shared" si="135"/>
        <v>-3.7049504950495082</v>
      </c>
      <c r="V50" s="34">
        <f t="shared" si="135"/>
        <v>2.6163349347975342</v>
      </c>
      <c r="W50" s="34">
        <f t="shared" si="135"/>
        <v>1.86527777777779</v>
      </c>
      <c r="X50" s="36">
        <f t="shared" si="135"/>
        <v>2.2412087912087886</v>
      </c>
      <c r="Y50" s="34">
        <f t="shared" si="135"/>
        <v>1.0197998233384253</v>
      </c>
      <c r="Z50" s="34">
        <f t="shared" si="135"/>
        <v>2.1580237444140722</v>
      </c>
      <c r="AA50" s="34">
        <f t="shared" si="135"/>
        <v>0.31147597801976257</v>
      </c>
      <c r="AB50" s="36">
        <f t="shared" si="135"/>
        <v>0.71343065693430696</v>
      </c>
      <c r="AC50" s="34">
        <f t="shared" si="135"/>
        <v>0.92121392121392054</v>
      </c>
      <c r="AD50" s="34">
        <f t="shared" si="135"/>
        <v>-0.76423101067168819</v>
      </c>
      <c r="AE50" s="34">
        <f t="shared" si="135"/>
        <v>-5.0475740294592866</v>
      </c>
      <c r="AF50" s="36">
        <f t="shared" si="135"/>
        <v>5.3095539252888111</v>
      </c>
      <c r="AG50" s="34">
        <f t="shared" si="135"/>
        <v>2.005236656596177</v>
      </c>
      <c r="AH50" s="34">
        <f t="shared" si="135"/>
        <v>-3.8936048972680579</v>
      </c>
      <c r="AI50" s="34">
        <f t="shared" si="135"/>
        <v>-0.62684853905783855</v>
      </c>
      <c r="AJ50" s="36">
        <f t="shared" si="135"/>
        <v>0.94709143837016441</v>
      </c>
      <c r="AK50" s="34">
        <f t="shared" ref="AK50:BK50" si="136">(AK48/AJ48-1)/AK10</f>
        <v>2.7306022003474344</v>
      </c>
      <c r="AL50" s="34">
        <f t="shared" si="136"/>
        <v>0.8881698288964025</v>
      </c>
      <c r="AM50" s="34">
        <f t="shared" si="136"/>
        <v>1.4363339894167659</v>
      </c>
      <c r="AN50" s="36">
        <f t="shared" si="136"/>
        <v>-0.715545892219283</v>
      </c>
      <c r="AO50" s="34">
        <f t="shared" si="136"/>
        <v>-48.740476190475107</v>
      </c>
      <c r="AP50" s="34">
        <f t="shared" si="136"/>
        <v>3.8685027300252255</v>
      </c>
      <c r="AQ50" s="34">
        <f t="shared" si="136"/>
        <v>-1.7843303100105623</v>
      </c>
      <c r="AR50" s="36">
        <f t="shared" si="136"/>
        <v>4.0710829258353609</v>
      </c>
      <c r="AS50" s="34">
        <f t="shared" si="136"/>
        <v>2.6754093052435604</v>
      </c>
      <c r="AT50" s="34">
        <f t="shared" si="136"/>
        <v>-3.6012832516384949</v>
      </c>
      <c r="AU50" s="34">
        <f t="shared" si="136"/>
        <v>24.723968784838405</v>
      </c>
      <c r="AV50" s="36">
        <f t="shared" si="136"/>
        <v>-5.6456984273820634</v>
      </c>
      <c r="AW50" s="34">
        <f t="shared" si="136"/>
        <v>1.2476970073027529</v>
      </c>
      <c r="AX50" s="34">
        <f t="shared" si="136"/>
        <v>0.84854379806232716</v>
      </c>
      <c r="AY50" s="35">
        <f t="shared" si="136"/>
        <v>-1.0076228214513576</v>
      </c>
      <c r="AZ50" s="36">
        <f t="shared" si="136"/>
        <v>0</v>
      </c>
      <c r="BA50" s="34">
        <f t="shared" si="136"/>
        <v>-3.2679750104858667</v>
      </c>
      <c r="BB50" s="34">
        <f t="shared" si="136"/>
        <v>-8.2559774964838933E-2</v>
      </c>
      <c r="BC50" s="35">
        <f t="shared" si="136"/>
        <v>-0.25211999539927171</v>
      </c>
      <c r="BD50" s="36">
        <f t="shared" si="136"/>
        <v>0.95518485890477567</v>
      </c>
      <c r="BE50" s="34">
        <f t="shared" si="136"/>
        <v>0.45455556791634455</v>
      </c>
      <c r="BF50" s="34">
        <f t="shared" si="136"/>
        <v>5.6386367691667161</v>
      </c>
      <c r="BG50" s="35">
        <f t="shared" si="136"/>
        <v>0.20866240895759983</v>
      </c>
      <c r="BH50" s="36">
        <f t="shared" si="136"/>
        <v>-0.37773717161429443</v>
      </c>
      <c r="BI50" s="1393">
        <f t="shared" si="136"/>
        <v>-1.74504523720649</v>
      </c>
      <c r="BJ50" s="1393">
        <f t="shared" si="136"/>
        <v>-2.5425084029673077</v>
      </c>
      <c r="BK50" s="1394">
        <f t="shared" si="136"/>
        <v>-3.1636700387756189</v>
      </c>
      <c r="BL50" s="1214">
        <v>5</v>
      </c>
      <c r="BM50" s="1213">
        <v>0.7</v>
      </c>
      <c r="BN50" s="1213">
        <v>0.5</v>
      </c>
      <c r="BO50" s="1215">
        <v>0.5</v>
      </c>
      <c r="BP50" s="1214">
        <v>0</v>
      </c>
      <c r="BQ50" s="1213">
        <v>0.4</v>
      </c>
      <c r="BR50" s="1213">
        <v>0.4</v>
      </c>
      <c r="BS50" s="1215">
        <v>0.4</v>
      </c>
      <c r="BT50" s="1214">
        <v>0</v>
      </c>
      <c r="BU50" s="1213">
        <v>0.4</v>
      </c>
      <c r="BV50" s="1213">
        <v>0.4</v>
      </c>
      <c r="BW50" s="1215">
        <v>0.4</v>
      </c>
      <c r="BX50" s="211"/>
      <c r="BY50" s="595"/>
      <c r="BZ50" s="34">
        <f t="shared" ref="BZ50:CF50" si="137">(BZ48/BY48-1)/BZ11</f>
        <v>0.23431883668328493</v>
      </c>
      <c r="CA50" s="34">
        <f t="shared" si="137"/>
        <v>-6.6846062524733778</v>
      </c>
      <c r="CB50" s="34">
        <f t="shared" si="137"/>
        <v>0.75393544330826479</v>
      </c>
      <c r="CC50" s="34">
        <f t="shared" si="137"/>
        <v>-2.0543976824655825</v>
      </c>
      <c r="CD50" s="34">
        <f t="shared" si="137"/>
        <v>1.5387878700885631</v>
      </c>
      <c r="CE50" s="1393">
        <f t="shared" si="137"/>
        <v>1.0510588052406469</v>
      </c>
      <c r="CF50" s="1393">
        <f t="shared" si="137"/>
        <v>0.78962851657066546</v>
      </c>
      <c r="CG50" s="1393" t="s">
        <v>7</v>
      </c>
      <c r="CH50" s="1393">
        <f t="shared" ref="CH50:CP50" si="138">(CH48/CG48-1)/CH11</f>
        <v>1.0393599453701745</v>
      </c>
      <c r="CI50" s="1393">
        <f t="shared" si="138"/>
        <v>1.9439296266451822</v>
      </c>
      <c r="CJ50" s="1393">
        <f t="shared" si="138"/>
        <v>1.6015155511858206</v>
      </c>
      <c r="CK50" s="1393">
        <f t="shared" si="138"/>
        <v>7.3261768337290784E-2</v>
      </c>
      <c r="CL50" s="1393">
        <f t="shared" si="138"/>
        <v>2.2389978160889932</v>
      </c>
      <c r="CM50" s="1393">
        <f t="shared" si="138"/>
        <v>0.56610189894369345</v>
      </c>
      <c r="CN50" s="1393">
        <f t="shared" si="138"/>
        <v>-0.19563353693743155</v>
      </c>
      <c r="CO50" s="1393">
        <f t="shared" si="138"/>
        <v>0.54142602095198711</v>
      </c>
      <c r="CP50" s="1394">
        <f t="shared" si="138"/>
        <v>0.44819636729144274</v>
      </c>
      <c r="CQ50" s="22"/>
    </row>
    <row r="51" spans="1:95" ht="3.75" customHeight="1">
      <c r="A51" s="9"/>
      <c r="B51" s="460"/>
      <c r="C51" s="49"/>
      <c r="D51" s="27"/>
      <c r="E51" s="27"/>
      <c r="F51" s="593"/>
      <c r="G51" s="593"/>
      <c r="H51" s="493"/>
      <c r="I51" s="27"/>
      <c r="J51" s="593"/>
      <c r="K51" s="593"/>
      <c r="L51" s="493"/>
      <c r="M51" s="27"/>
      <c r="N51" s="593"/>
      <c r="O51" s="593"/>
      <c r="P51" s="493"/>
      <c r="Q51" s="27"/>
      <c r="R51" s="593"/>
      <c r="S51" s="593"/>
      <c r="T51" s="493"/>
      <c r="U51" s="27"/>
      <c r="V51" s="593"/>
      <c r="W51" s="593"/>
      <c r="X51" s="493"/>
      <c r="Y51" s="27"/>
      <c r="Z51" s="593"/>
      <c r="AA51" s="593"/>
      <c r="AB51" s="493"/>
      <c r="AC51" s="27"/>
      <c r="AD51" s="593"/>
      <c r="AE51" s="593"/>
      <c r="AF51" s="493"/>
      <c r="AG51" s="27"/>
      <c r="AH51" s="593"/>
      <c r="AI51" s="593"/>
      <c r="AJ51" s="493"/>
      <c r="AK51" s="27"/>
      <c r="AL51" s="593"/>
      <c r="AM51" s="593"/>
      <c r="AN51" s="493"/>
      <c r="AO51" s="27"/>
      <c r="AP51" s="593"/>
      <c r="AQ51" s="594"/>
      <c r="AR51" s="493"/>
      <c r="AS51" s="27"/>
      <c r="AT51" s="593"/>
      <c r="AU51" s="593"/>
      <c r="AV51" s="493"/>
      <c r="AW51" s="27"/>
      <c r="AX51" s="593"/>
      <c r="AY51" s="594"/>
      <c r="AZ51" s="493"/>
      <c r="BA51" s="27"/>
      <c r="BB51" s="593"/>
      <c r="BC51" s="594"/>
      <c r="BD51" s="493"/>
      <c r="BE51" s="27"/>
      <c r="BF51" s="27"/>
      <c r="BG51" s="594"/>
      <c r="BH51" s="41"/>
      <c r="BI51" s="27"/>
      <c r="BJ51" s="27"/>
      <c r="BK51" s="39"/>
      <c r="BL51" s="41"/>
      <c r="BM51" s="39"/>
      <c r="BN51" s="39"/>
      <c r="BO51" s="40"/>
      <c r="BP51" s="41"/>
      <c r="BQ51" s="39"/>
      <c r="BR51" s="39"/>
      <c r="BS51" s="40"/>
      <c r="BT51" s="41"/>
      <c r="BU51" s="39"/>
      <c r="BV51" s="39"/>
      <c r="BW51" s="40"/>
      <c r="BX51" s="211"/>
      <c r="BY51" s="595"/>
      <c r="BZ51" s="595"/>
      <c r="CA51" s="595"/>
      <c r="CB51" s="595"/>
      <c r="CC51" s="595"/>
      <c r="CD51" s="595"/>
      <c r="CE51" s="1408"/>
      <c r="CF51" s="1408"/>
      <c r="CG51" s="1408"/>
      <c r="CH51" s="1408"/>
      <c r="CI51" s="1408"/>
      <c r="CJ51" s="1408"/>
      <c r="CK51" s="1408"/>
      <c r="CL51" s="1408"/>
      <c r="CM51" s="1408"/>
      <c r="CN51" s="1408"/>
      <c r="CO51" s="1408"/>
      <c r="CP51" s="1409"/>
      <c r="CQ51" s="22"/>
    </row>
    <row r="52" spans="1:95" ht="14.25" customHeight="1">
      <c r="A52" s="9"/>
      <c r="B52" s="460" t="s">
        <v>623</v>
      </c>
      <c r="C52" s="49"/>
      <c r="D52" s="27"/>
      <c r="E52" s="27"/>
      <c r="F52" s="593"/>
      <c r="G52" s="593"/>
      <c r="H52" s="493"/>
      <c r="I52" s="27"/>
      <c r="J52" s="593"/>
      <c r="K52" s="593"/>
      <c r="L52" s="493"/>
      <c r="M52" s="27"/>
      <c r="N52" s="593"/>
      <c r="O52" s="593"/>
      <c r="P52" s="493"/>
      <c r="Q52" s="27"/>
      <c r="R52" s="593"/>
      <c r="S52" s="593"/>
      <c r="T52" s="493"/>
      <c r="U52" s="27"/>
      <c r="V52" s="593"/>
      <c r="W52" s="593"/>
      <c r="X52" s="493"/>
      <c r="Y52" s="27"/>
      <c r="Z52" s="593"/>
      <c r="AA52" s="593"/>
      <c r="AB52" s="493"/>
      <c r="AC52" s="27"/>
      <c r="AD52" s="593"/>
      <c r="AE52" s="593"/>
      <c r="AF52" s="493"/>
      <c r="AG52" s="27"/>
      <c r="AH52" s="593"/>
      <c r="AI52" s="593"/>
      <c r="AJ52" s="493"/>
      <c r="AK52" s="27"/>
      <c r="AL52" s="593"/>
      <c r="AM52" s="593"/>
      <c r="AN52" s="493"/>
      <c r="AO52" s="27"/>
      <c r="AP52" s="593"/>
      <c r="AQ52" s="594"/>
      <c r="AR52" s="493"/>
      <c r="AS52" s="27"/>
      <c r="AT52" s="593"/>
      <c r="AU52" s="593"/>
      <c r="AV52" s="493"/>
      <c r="AW52" s="27"/>
      <c r="AX52" s="593"/>
      <c r="AY52" s="594"/>
      <c r="AZ52" s="493"/>
      <c r="BA52" s="27"/>
      <c r="BB52" s="593"/>
      <c r="BC52" s="594"/>
      <c r="BD52" s="493"/>
      <c r="BE52" s="27"/>
      <c r="BF52" s="1358">
        <v>1</v>
      </c>
      <c r="BG52" s="594">
        <v>3</v>
      </c>
      <c r="BH52" s="1359">
        <v>3</v>
      </c>
      <c r="BI52" s="1428">
        <v>5</v>
      </c>
      <c r="BJ52" s="27">
        <v>6</v>
      </c>
      <c r="BK52" s="1431">
        <v>7.5</v>
      </c>
      <c r="BL52" s="1432">
        <v>7.5</v>
      </c>
      <c r="BM52" s="1431">
        <v>7.5</v>
      </c>
      <c r="BN52" s="1431">
        <v>7.5</v>
      </c>
      <c r="BO52" s="1433">
        <v>7.5</v>
      </c>
      <c r="BP52" s="1432">
        <v>7.5</v>
      </c>
      <c r="BQ52" s="1431">
        <v>7.5</v>
      </c>
      <c r="BR52" s="1431">
        <v>7.5</v>
      </c>
      <c r="BS52" s="1433">
        <v>7.5</v>
      </c>
      <c r="BT52" s="1432">
        <v>7.5</v>
      </c>
      <c r="BU52" s="1431">
        <v>7.5</v>
      </c>
      <c r="BV52" s="1431">
        <v>7.5</v>
      </c>
      <c r="BW52" s="1433">
        <v>7.5</v>
      </c>
      <c r="BX52" s="211"/>
      <c r="BY52" s="595"/>
      <c r="BZ52" s="595"/>
      <c r="CA52" s="595"/>
      <c r="CB52" s="595"/>
      <c r="CC52" s="595"/>
      <c r="CD52" s="595"/>
      <c r="CE52" s="1408"/>
      <c r="CF52" s="1408"/>
      <c r="CG52" s="1408"/>
      <c r="CH52" s="1408"/>
      <c r="CI52" s="1408"/>
      <c r="CJ52" s="1408"/>
      <c r="CK52" s="1408"/>
      <c r="CL52" s="1206">
        <f>SUM(BD52:BG52)</f>
        <v>4</v>
      </c>
      <c r="CM52" s="1206">
        <f>SUM(BH52:BK52)</f>
        <v>21.5</v>
      </c>
      <c r="CN52" s="1206">
        <f>SUM(BL52:BO52)</f>
        <v>30</v>
      </c>
      <c r="CO52" s="1206">
        <f>SUM(BP52:BS52)</f>
        <v>30</v>
      </c>
      <c r="CP52" s="1194">
        <f>SUM(BT52:BW52)</f>
        <v>30</v>
      </c>
      <c r="CQ52" s="22"/>
    </row>
    <row r="53" spans="1:95" ht="4.5" customHeight="1">
      <c r="A53" s="9"/>
      <c r="B53" s="460"/>
      <c r="C53" s="49"/>
      <c r="D53" s="27"/>
      <c r="E53" s="27"/>
      <c r="F53" s="593"/>
      <c r="G53" s="593"/>
      <c r="H53" s="493"/>
      <c r="I53" s="27"/>
      <c r="J53" s="593"/>
      <c r="K53" s="593"/>
      <c r="L53" s="493"/>
      <c r="M53" s="27"/>
      <c r="N53" s="593"/>
      <c r="O53" s="593"/>
      <c r="P53" s="493"/>
      <c r="Q53" s="27"/>
      <c r="R53" s="593"/>
      <c r="S53" s="593"/>
      <c r="T53" s="493"/>
      <c r="U53" s="27"/>
      <c r="V53" s="593"/>
      <c r="W53" s="593"/>
      <c r="X53" s="493"/>
      <c r="Y53" s="27"/>
      <c r="Z53" s="593"/>
      <c r="AA53" s="593"/>
      <c r="AB53" s="493"/>
      <c r="AC53" s="27"/>
      <c r="AD53" s="593"/>
      <c r="AE53" s="593"/>
      <c r="AF53" s="493"/>
      <c r="AG53" s="27"/>
      <c r="AH53" s="593"/>
      <c r="AI53" s="593"/>
      <c r="AJ53" s="493"/>
      <c r="AK53" s="27"/>
      <c r="AL53" s="593"/>
      <c r="AM53" s="593"/>
      <c r="AN53" s="493"/>
      <c r="AO53" s="27"/>
      <c r="AP53" s="593"/>
      <c r="AQ53" s="594"/>
      <c r="AR53" s="493"/>
      <c r="AS53" s="27"/>
      <c r="AT53" s="593"/>
      <c r="AU53" s="593"/>
      <c r="AV53" s="493"/>
      <c r="AW53" s="27"/>
      <c r="AX53" s="593"/>
      <c r="AY53" s="594"/>
      <c r="AZ53" s="493"/>
      <c r="BA53" s="27"/>
      <c r="BB53" s="593"/>
      <c r="BC53" s="594"/>
      <c r="BD53" s="493"/>
      <c r="BE53" s="27"/>
      <c r="BF53" s="39"/>
      <c r="BG53" s="594"/>
      <c r="BH53" s="41"/>
      <c r="BI53" s="27"/>
      <c r="BJ53" s="27"/>
      <c r="BK53" s="39"/>
      <c r="BL53" s="41"/>
      <c r="BM53" s="39"/>
      <c r="BN53" s="39"/>
      <c r="BO53" s="40"/>
      <c r="BP53" s="41"/>
      <c r="BQ53" s="39"/>
      <c r="BR53" s="39"/>
      <c r="BS53" s="40"/>
      <c r="BT53" s="41"/>
      <c r="BU53" s="39"/>
      <c r="BV53" s="39"/>
      <c r="BW53" s="40"/>
      <c r="BX53" s="211"/>
      <c r="BY53" s="595"/>
      <c r="BZ53" s="595"/>
      <c r="CA53" s="595"/>
      <c r="CB53" s="595"/>
      <c r="CC53" s="595"/>
      <c r="CD53" s="595"/>
      <c r="CE53" s="1408"/>
      <c r="CF53" s="1408"/>
      <c r="CG53" s="1408"/>
      <c r="CH53" s="1408"/>
      <c r="CI53" s="1408"/>
      <c r="CJ53" s="1408"/>
      <c r="CK53" s="1408"/>
      <c r="CL53" s="1408"/>
      <c r="CM53" s="1408"/>
      <c r="CN53" s="1408"/>
      <c r="CO53" s="1408"/>
      <c r="CP53" s="1409"/>
      <c r="CQ53" s="22"/>
    </row>
    <row r="54" spans="1:95" ht="14.25" hidden="1" customHeight="1" outlineLevel="1">
      <c r="A54" s="9"/>
      <c r="B54" s="504" t="s">
        <v>70</v>
      </c>
      <c r="C54" s="49"/>
      <c r="D54" s="591">
        <v>0</v>
      </c>
      <c r="E54" s="591">
        <v>0</v>
      </c>
      <c r="F54" s="591">
        <v>0</v>
      </c>
      <c r="G54" s="591">
        <v>0</v>
      </c>
      <c r="H54" s="631">
        <v>0</v>
      </c>
      <c r="I54" s="591">
        <v>0</v>
      </c>
      <c r="J54" s="591">
        <v>0</v>
      </c>
      <c r="K54" s="591">
        <v>0</v>
      </c>
      <c r="L54" s="631">
        <v>0</v>
      </c>
      <c r="M54" s="591">
        <v>0</v>
      </c>
      <c r="N54" s="591">
        <v>0</v>
      </c>
      <c r="O54" s="591">
        <v>0</v>
      </c>
      <c r="P54" s="631">
        <v>0.7</v>
      </c>
      <c r="Q54" s="591">
        <v>0.9</v>
      </c>
      <c r="R54" s="591">
        <v>1.1000000000000001</v>
      </c>
      <c r="S54" s="836">
        <f>3.9-P54-Q54-R54</f>
        <v>1.2000000000000002</v>
      </c>
      <c r="T54" s="631">
        <v>1.2</v>
      </c>
      <c r="U54" s="591">
        <v>1.1000000000000001</v>
      </c>
      <c r="V54" s="591">
        <v>1.4</v>
      </c>
      <c r="W54" s="836">
        <f>6.3-T54-U54-V54</f>
        <v>2.5999999999999996</v>
      </c>
      <c r="X54" s="631">
        <v>3.5</v>
      </c>
      <c r="Y54" s="591">
        <v>3.4</v>
      </c>
      <c r="Z54" s="591">
        <v>3.8</v>
      </c>
      <c r="AA54" s="591">
        <v>0</v>
      </c>
      <c r="AB54" s="631">
        <v>0</v>
      </c>
      <c r="AC54" s="591">
        <v>0</v>
      </c>
      <c r="AD54" s="591">
        <v>0</v>
      </c>
      <c r="AE54" s="591">
        <v>0</v>
      </c>
      <c r="AF54" s="631">
        <v>0</v>
      </c>
      <c r="AG54" s="591">
        <v>0</v>
      </c>
      <c r="AH54" s="591">
        <v>0</v>
      </c>
      <c r="AI54" s="591">
        <v>0</v>
      </c>
      <c r="AJ54" s="631">
        <v>0</v>
      </c>
      <c r="AK54" s="591">
        <v>0</v>
      </c>
      <c r="AL54" s="591">
        <v>0</v>
      </c>
      <c r="AM54" s="591">
        <v>0</v>
      </c>
      <c r="AN54" s="631">
        <v>0</v>
      </c>
      <c r="AO54" s="591">
        <v>0</v>
      </c>
      <c r="AP54" s="591">
        <v>0</v>
      </c>
      <c r="AQ54" s="592">
        <v>0</v>
      </c>
      <c r="AR54" s="631">
        <v>0</v>
      </c>
      <c r="AS54" s="591">
        <v>0</v>
      </c>
      <c r="AT54" s="591">
        <v>0</v>
      </c>
      <c r="AU54" s="591">
        <v>0</v>
      </c>
      <c r="AV54" s="631">
        <v>0</v>
      </c>
      <c r="AW54" s="591">
        <v>0</v>
      </c>
      <c r="AX54" s="591">
        <v>0</v>
      </c>
      <c r="AY54" s="592">
        <v>0</v>
      </c>
      <c r="AZ54" s="631">
        <v>0</v>
      </c>
      <c r="BA54" s="591">
        <v>0</v>
      </c>
      <c r="BB54" s="591">
        <v>0</v>
      </c>
      <c r="BC54" s="592">
        <v>0</v>
      </c>
      <c r="BD54" s="631">
        <v>0</v>
      </c>
      <c r="BE54" s="591">
        <v>0</v>
      </c>
      <c r="BF54" s="538">
        <v>0</v>
      </c>
      <c r="BG54" s="592">
        <v>0</v>
      </c>
      <c r="BH54" s="540">
        <v>0</v>
      </c>
      <c r="BI54" s="591">
        <v>0</v>
      </c>
      <c r="BJ54" s="591">
        <v>0</v>
      </c>
      <c r="BK54" s="538">
        <v>0</v>
      </c>
      <c r="BL54" s="540">
        <v>0</v>
      </c>
      <c r="BM54" s="538">
        <v>0</v>
      </c>
      <c r="BN54" s="538">
        <v>0</v>
      </c>
      <c r="BO54" s="539">
        <v>0</v>
      </c>
      <c r="BP54" s="540">
        <v>0</v>
      </c>
      <c r="BQ54" s="538">
        <v>0</v>
      </c>
      <c r="BR54" s="538">
        <v>0</v>
      </c>
      <c r="BS54" s="539">
        <v>0</v>
      </c>
      <c r="BT54" s="540">
        <v>0</v>
      </c>
      <c r="BU54" s="538">
        <v>0</v>
      </c>
      <c r="BV54" s="538">
        <v>0</v>
      </c>
      <c r="BW54" s="539">
        <v>0</v>
      </c>
      <c r="BX54" s="211"/>
      <c r="BY54" s="603">
        <f>SUM(D54:G54)</f>
        <v>0</v>
      </c>
      <c r="BZ54" s="603">
        <f>SUM(H54:K54)</f>
        <v>0</v>
      </c>
      <c r="CA54" s="603">
        <f>SUM(L54:O54)</f>
        <v>0</v>
      </c>
      <c r="CB54" s="603">
        <f>SUM(P54:S54)</f>
        <v>3.9000000000000004</v>
      </c>
      <c r="CC54" s="603">
        <f>SUM(T54:W54)</f>
        <v>6.2999999999999989</v>
      </c>
      <c r="CD54" s="603">
        <f>SUM(X54:AA54)</f>
        <v>10.7</v>
      </c>
      <c r="CE54" s="1412">
        <f>SUM(AB54:AE54)</f>
        <v>0</v>
      </c>
      <c r="CF54" s="1412">
        <f>SUM(AF54:AI54)</f>
        <v>0</v>
      </c>
      <c r="CG54" s="1412">
        <f>SUM(AJ54:AM54)</f>
        <v>0</v>
      </c>
      <c r="CH54" s="1412">
        <f>SUM(AN54:AQ54)</f>
        <v>0</v>
      </c>
      <c r="CI54" s="1412">
        <f>SUM(AR54:AU54)</f>
        <v>0</v>
      </c>
      <c r="CJ54" s="1412">
        <f>SUM(AV54:AY54)</f>
        <v>0</v>
      </c>
      <c r="CK54" s="1412">
        <f>SUM(AZ54:BC54)</f>
        <v>0</v>
      </c>
      <c r="CL54" s="1412">
        <f>SUM(BD54:BG54)</f>
        <v>0</v>
      </c>
      <c r="CM54" s="1412">
        <f>SUM(BH54:BK54)</f>
        <v>0</v>
      </c>
      <c r="CN54" s="1412">
        <f>SUM(BL54:BO54)</f>
        <v>0</v>
      </c>
      <c r="CO54" s="1412">
        <f>SUM(BP54:BS54)</f>
        <v>0</v>
      </c>
      <c r="CP54" s="1413">
        <f>SUM(BT54:BW54)</f>
        <v>0</v>
      </c>
      <c r="CQ54" s="22"/>
    </row>
    <row r="55" spans="1:95" ht="14.25" hidden="1" customHeight="1" outlineLevel="1">
      <c r="A55" s="9"/>
      <c r="B55" s="453" t="s">
        <v>342</v>
      </c>
      <c r="C55" s="49"/>
      <c r="D55" s="595">
        <f t="shared" ref="D55:AI55" si="139">D48-D54</f>
        <v>19.600000000000001</v>
      </c>
      <c r="E55" s="595">
        <f t="shared" si="139"/>
        <v>18.7</v>
      </c>
      <c r="F55" s="595">
        <f t="shared" si="139"/>
        <v>15.6</v>
      </c>
      <c r="G55" s="595">
        <f t="shared" si="139"/>
        <v>15.3</v>
      </c>
      <c r="H55" s="627">
        <f t="shared" si="139"/>
        <v>17.2</v>
      </c>
      <c r="I55" s="595">
        <f t="shared" si="139"/>
        <v>18.5</v>
      </c>
      <c r="J55" s="595">
        <f t="shared" si="139"/>
        <v>18</v>
      </c>
      <c r="K55" s="595">
        <f t="shared" si="139"/>
        <v>18.5</v>
      </c>
      <c r="L55" s="627">
        <f t="shared" si="139"/>
        <v>20.399999999999999</v>
      </c>
      <c r="M55" s="595">
        <f t="shared" si="139"/>
        <v>17.5</v>
      </c>
      <c r="N55" s="595">
        <f t="shared" si="139"/>
        <v>17.8</v>
      </c>
      <c r="O55" s="595">
        <f t="shared" si="139"/>
        <v>18.899999999999999</v>
      </c>
      <c r="P55" s="627">
        <f t="shared" si="139"/>
        <v>19.5</v>
      </c>
      <c r="Q55" s="595">
        <f t="shared" si="139"/>
        <v>20.400000000000002</v>
      </c>
      <c r="R55" s="595">
        <f t="shared" si="139"/>
        <v>22</v>
      </c>
      <c r="S55" s="595">
        <f t="shared" si="139"/>
        <v>20.900000000000002</v>
      </c>
      <c r="T55" s="627">
        <f t="shared" si="139"/>
        <v>19</v>
      </c>
      <c r="U55" s="595">
        <f t="shared" si="139"/>
        <v>17.7</v>
      </c>
      <c r="V55" s="595">
        <f t="shared" si="139"/>
        <v>20.200000000000003</v>
      </c>
      <c r="W55" s="595">
        <f t="shared" si="139"/>
        <v>19.5</v>
      </c>
      <c r="X55" s="627">
        <f t="shared" si="139"/>
        <v>20.3</v>
      </c>
      <c r="Y55" s="595">
        <f t="shared" si="139"/>
        <v>28.5</v>
      </c>
      <c r="Z55" s="595">
        <f t="shared" si="139"/>
        <v>30.400000000000002</v>
      </c>
      <c r="AA55" s="595">
        <f t="shared" si="139"/>
        <v>32.5</v>
      </c>
      <c r="AB55" s="627">
        <f t="shared" si="139"/>
        <v>27.3</v>
      </c>
      <c r="AC55" s="595">
        <f t="shared" si="139"/>
        <v>30</v>
      </c>
      <c r="AD55" s="595">
        <f t="shared" si="139"/>
        <v>27.1</v>
      </c>
      <c r="AE55" s="595">
        <f t="shared" si="139"/>
        <v>20.100000000000001</v>
      </c>
      <c r="AF55" s="627">
        <f t="shared" si="139"/>
        <v>31.5</v>
      </c>
      <c r="AG55" s="595">
        <f t="shared" si="139"/>
        <v>35.299999999999997</v>
      </c>
      <c r="AH55" s="595">
        <f t="shared" si="139"/>
        <v>31.2</v>
      </c>
      <c r="AI55" s="595">
        <f t="shared" si="139"/>
        <v>31.9</v>
      </c>
      <c r="AJ55" s="627">
        <f t="shared" ref="AJ55:BO55" si="140">AJ48-AJ54</f>
        <v>47.1</v>
      </c>
      <c r="AK55" s="595">
        <f t="shared" si="140"/>
        <v>52.3</v>
      </c>
      <c r="AL55" s="595">
        <f t="shared" si="140"/>
        <v>51.9</v>
      </c>
      <c r="AM55" s="595">
        <f t="shared" si="140"/>
        <v>41.1</v>
      </c>
      <c r="AN55" s="627">
        <f t="shared" si="140"/>
        <v>42</v>
      </c>
      <c r="AO55" s="595">
        <f t="shared" si="140"/>
        <v>40.9</v>
      </c>
      <c r="AP55" s="595">
        <f t="shared" si="140"/>
        <v>36.799999999999997</v>
      </c>
      <c r="AQ55" s="596">
        <f t="shared" si="140"/>
        <v>40.9</v>
      </c>
      <c r="AR55" s="627">
        <f t="shared" si="140"/>
        <v>36.200000000000003</v>
      </c>
      <c r="AS55" s="595">
        <f t="shared" si="140"/>
        <v>40.200000000000003</v>
      </c>
      <c r="AT55" s="595">
        <f t="shared" si="140"/>
        <v>34.5</v>
      </c>
      <c r="AU55" s="595">
        <f t="shared" si="140"/>
        <v>37.6</v>
      </c>
      <c r="AV55" s="627">
        <f t="shared" si="140"/>
        <v>41</v>
      </c>
      <c r="AW55" s="595">
        <f t="shared" si="140"/>
        <v>44.7</v>
      </c>
      <c r="AX55" s="595">
        <f t="shared" si="140"/>
        <v>48.5</v>
      </c>
      <c r="AY55" s="596">
        <f t="shared" si="140"/>
        <v>46.7</v>
      </c>
      <c r="AZ55" s="627">
        <f t="shared" si="140"/>
        <v>46.7</v>
      </c>
      <c r="BA55" s="595">
        <f t="shared" si="140"/>
        <v>45</v>
      </c>
      <c r="BB55" s="595">
        <f t="shared" si="140"/>
        <v>44.9</v>
      </c>
      <c r="BC55" s="596">
        <f t="shared" si="140"/>
        <v>45.7</v>
      </c>
      <c r="BD55" s="627">
        <f t="shared" si="140"/>
        <v>44.5</v>
      </c>
      <c r="BE55" s="595">
        <f t="shared" si="140"/>
        <v>46</v>
      </c>
      <c r="BF55" s="595">
        <f t="shared" si="140"/>
        <v>67.599999999999994</v>
      </c>
      <c r="BG55" s="596">
        <f t="shared" si="140"/>
        <v>72.2</v>
      </c>
      <c r="BH55" s="31">
        <f t="shared" ref="BH55:BI55" si="141">BH48-BH54</f>
        <v>68.400000000000006</v>
      </c>
      <c r="BI55" s="1408">
        <f t="shared" si="141"/>
        <v>76.599999999999994</v>
      </c>
      <c r="BJ55" s="1408">
        <f t="shared" si="140"/>
        <v>68.900000000000006</v>
      </c>
      <c r="BK55" s="1409">
        <f t="shared" ref="BK55" si="142">BK48-BK54</f>
        <v>71</v>
      </c>
      <c r="BL55" s="31">
        <f t="shared" si="140"/>
        <v>69.030297640653401</v>
      </c>
      <c r="BM55" s="29">
        <f t="shared" si="140"/>
        <v>71.094868171144128</v>
      </c>
      <c r="BN55" s="29">
        <f t="shared" si="140"/>
        <v>71.934423651038713</v>
      </c>
      <c r="BO55" s="30">
        <f t="shared" si="140"/>
        <v>71.297174043672484</v>
      </c>
      <c r="BP55" s="31">
        <f t="shared" ref="BP55:BS55" si="143">BP48-BP54</f>
        <v>71.297174043672484</v>
      </c>
      <c r="BQ55" s="29">
        <f t="shared" si="143"/>
        <v>72.363002329823104</v>
      </c>
      <c r="BR55" s="29">
        <f t="shared" si="143"/>
        <v>72.991565589400793</v>
      </c>
      <c r="BS55" s="30">
        <f t="shared" si="143"/>
        <v>72.484364647403424</v>
      </c>
      <c r="BT55" s="31">
        <f t="shared" ref="BT55:BW55" si="144">BT48-BT54</f>
        <v>72.484364647403424</v>
      </c>
      <c r="BU55" s="29">
        <f t="shared" si="144"/>
        <v>73.56532521902885</v>
      </c>
      <c r="BV55" s="29">
        <f t="shared" si="144"/>
        <v>74.175807683384164</v>
      </c>
      <c r="BW55" s="30">
        <f t="shared" si="144"/>
        <v>73.670763189117977</v>
      </c>
      <c r="BX55" s="211"/>
      <c r="BY55" s="595">
        <f t="shared" ref="BY55:CN55" si="145">BY48-BY54</f>
        <v>69.2</v>
      </c>
      <c r="BZ55" s="595">
        <f t="shared" si="145"/>
        <v>72.2</v>
      </c>
      <c r="CA55" s="595">
        <f t="shared" si="145"/>
        <v>74.599999999999994</v>
      </c>
      <c r="CB55" s="595">
        <f t="shared" si="145"/>
        <v>82.799999999999983</v>
      </c>
      <c r="CC55" s="595">
        <f t="shared" si="145"/>
        <v>76.400000000000006</v>
      </c>
      <c r="CD55" s="595">
        <f t="shared" si="145"/>
        <v>111.7</v>
      </c>
      <c r="CE55" s="1408">
        <f t="shared" si="145"/>
        <v>104.5</v>
      </c>
      <c r="CF55" s="1408">
        <f t="shared" si="145"/>
        <v>129.9</v>
      </c>
      <c r="CG55" s="1408">
        <f t="shared" si="145"/>
        <v>192.4</v>
      </c>
      <c r="CH55" s="1408">
        <f t="shared" si="145"/>
        <v>160.6</v>
      </c>
      <c r="CI55" s="1408">
        <f t="shared" si="145"/>
        <v>148.5</v>
      </c>
      <c r="CJ55" s="1408">
        <f t="shared" si="145"/>
        <v>180.89999999999998</v>
      </c>
      <c r="CK55" s="1408">
        <f t="shared" si="145"/>
        <v>182.3</v>
      </c>
      <c r="CL55" s="1408">
        <f t="shared" si="145"/>
        <v>230.3</v>
      </c>
      <c r="CM55" s="1408">
        <f t="shared" si="145"/>
        <v>284.89999999999998</v>
      </c>
      <c r="CN55" s="1408">
        <f t="shared" si="145"/>
        <v>283.35676350650874</v>
      </c>
      <c r="CO55" s="1408">
        <f t="shared" ref="CO55:CP55" si="146">CO48-CO54</f>
        <v>289.13610661029981</v>
      </c>
      <c r="CP55" s="1409">
        <f t="shared" si="146"/>
        <v>293.89626073893442</v>
      </c>
      <c r="CQ55" s="22"/>
    </row>
    <row r="56" spans="1:95" ht="14.25" hidden="1" customHeight="1" outlineLevel="1">
      <c r="A56" s="9"/>
      <c r="B56" s="459" t="s">
        <v>66</v>
      </c>
      <c r="C56" s="49"/>
      <c r="D56" s="34">
        <f t="shared" ref="D56:AI56" si="147">D55/D8</f>
        <v>7.2727272727272738E-2</v>
      </c>
      <c r="E56" s="34">
        <f t="shared" si="147"/>
        <v>7.2989851678376266E-2</v>
      </c>
      <c r="F56" s="34">
        <f t="shared" si="147"/>
        <v>5.8912386706948636E-2</v>
      </c>
      <c r="G56" s="34">
        <f t="shared" si="147"/>
        <v>5.4917444364680545E-2</v>
      </c>
      <c r="H56" s="36">
        <f t="shared" si="147"/>
        <v>5.5807916937053864E-2</v>
      </c>
      <c r="I56" s="34">
        <f t="shared" si="147"/>
        <v>5.5472263868065967E-2</v>
      </c>
      <c r="J56" s="34">
        <f t="shared" si="147"/>
        <v>5.6532663316582916E-2</v>
      </c>
      <c r="K56" s="34">
        <f t="shared" si="147"/>
        <v>6.0299869621903521E-2</v>
      </c>
      <c r="L56" s="36">
        <f t="shared" si="147"/>
        <v>6.7460317460317457E-2</v>
      </c>
      <c r="M56" s="34">
        <f t="shared" si="147"/>
        <v>5.779392338177014E-2</v>
      </c>
      <c r="N56" s="34">
        <f t="shared" si="147"/>
        <v>5.6760204081632654E-2</v>
      </c>
      <c r="O56" s="34">
        <f t="shared" si="147"/>
        <v>5.5295494441193672E-2</v>
      </c>
      <c r="P56" s="36">
        <f t="shared" si="147"/>
        <v>5.8383233532934134E-2</v>
      </c>
      <c r="Q56" s="34">
        <f t="shared" si="147"/>
        <v>5.4356514788169469E-2</v>
      </c>
      <c r="R56" s="34">
        <f t="shared" si="147"/>
        <v>5.2268947493466382E-2</v>
      </c>
      <c r="S56" s="34">
        <f t="shared" si="147"/>
        <v>5.2041832669322712E-2</v>
      </c>
      <c r="T56" s="36">
        <f t="shared" si="147"/>
        <v>5.0774986638161414E-2</v>
      </c>
      <c r="U56" s="34">
        <f t="shared" si="147"/>
        <v>4.6432318992654771E-2</v>
      </c>
      <c r="V56" s="34">
        <f t="shared" si="147"/>
        <v>5.0136510300322672E-2</v>
      </c>
      <c r="W56" s="34">
        <f t="shared" si="147"/>
        <v>4.7805834763422407E-2</v>
      </c>
      <c r="X56" s="36">
        <f t="shared" si="147"/>
        <v>4.8115667219720319E-2</v>
      </c>
      <c r="Y56" s="34">
        <f t="shared" si="147"/>
        <v>5.0648658254842716E-2</v>
      </c>
      <c r="Z56" s="34">
        <f t="shared" si="147"/>
        <v>5.2278589853826316E-2</v>
      </c>
      <c r="AA56" s="34">
        <f t="shared" si="147"/>
        <v>6.6502967055453249E-2</v>
      </c>
      <c r="AB56" s="36">
        <f t="shared" si="147"/>
        <v>7.2012661566868891E-2</v>
      </c>
      <c r="AC56" s="34">
        <f t="shared" si="147"/>
        <v>7.1462601238685086E-2</v>
      </c>
      <c r="AD56" s="34">
        <f t="shared" si="147"/>
        <v>5.7305984351871439E-2</v>
      </c>
      <c r="AE56" s="34">
        <f t="shared" si="147"/>
        <v>4.0434520217260107E-2</v>
      </c>
      <c r="AF56" s="36">
        <f t="shared" si="147"/>
        <v>5.7251908396946563E-2</v>
      </c>
      <c r="AG56" s="34">
        <f t="shared" si="147"/>
        <v>6.0517743871078347E-2</v>
      </c>
      <c r="AH56" s="34">
        <f t="shared" si="147"/>
        <v>5.1939404028633257E-2</v>
      </c>
      <c r="AI56" s="34">
        <f t="shared" si="147"/>
        <v>5.5075966850828724E-2</v>
      </c>
      <c r="AJ56" s="36">
        <f t="shared" ref="AJ56:BO56" si="148">AJ55/AJ8</f>
        <v>5.4100620261888353E-2</v>
      </c>
      <c r="AK56" s="34">
        <f t="shared" si="148"/>
        <v>5.773901523515125E-2</v>
      </c>
      <c r="AL56" s="34">
        <f t="shared" si="148"/>
        <v>5.7795100222717145E-2</v>
      </c>
      <c r="AM56" s="34">
        <f t="shared" si="148"/>
        <v>5.3522594087771852E-2</v>
      </c>
      <c r="AN56" s="36">
        <f t="shared" si="148"/>
        <v>5.6421278882321332E-2</v>
      </c>
      <c r="AO56" s="34">
        <f t="shared" si="148"/>
        <v>5.4914070891514503E-2</v>
      </c>
      <c r="AP56" s="34">
        <f t="shared" si="148"/>
        <v>5.0723638869745E-2</v>
      </c>
      <c r="AQ56" s="34">
        <f t="shared" si="148"/>
        <v>6.012937371361364E-2</v>
      </c>
      <c r="AR56" s="36">
        <f t="shared" si="148"/>
        <v>5.4765506807866876E-2</v>
      </c>
      <c r="AS56" s="34">
        <f t="shared" si="148"/>
        <v>5.8404765363940153E-2</v>
      </c>
      <c r="AT56" s="34">
        <f t="shared" si="148"/>
        <v>4.8224769359798712E-2</v>
      </c>
      <c r="AU56" s="34">
        <f t="shared" si="148"/>
        <v>5.2367688022284122E-2</v>
      </c>
      <c r="AV56" s="36">
        <f t="shared" si="148"/>
        <v>5.8032554847841471E-2</v>
      </c>
      <c r="AW56" s="34">
        <f t="shared" si="148"/>
        <v>5.9002111932418166E-2</v>
      </c>
      <c r="AX56" s="34">
        <f t="shared" si="148"/>
        <v>5.8188362327534493E-2</v>
      </c>
      <c r="AY56" s="35">
        <f t="shared" si="148"/>
        <v>5.4038417033094192E-2</v>
      </c>
      <c r="AZ56" s="36">
        <f t="shared" si="148"/>
        <v>5.3628847037207175E-2</v>
      </c>
      <c r="BA56" s="34">
        <f t="shared" si="148"/>
        <v>5.1107325383304938E-2</v>
      </c>
      <c r="BB56" s="34">
        <f t="shared" si="148"/>
        <v>4.9657155496571549E-2</v>
      </c>
      <c r="BC56" s="35">
        <f t="shared" si="148"/>
        <v>5.4385338569558496E-2</v>
      </c>
      <c r="BD56" s="36">
        <f t="shared" si="148"/>
        <v>5.4454233969652467E-2</v>
      </c>
      <c r="BE56" s="34">
        <f t="shared" si="148"/>
        <v>5.2403736614262932E-2</v>
      </c>
      <c r="BF56" s="34">
        <f t="shared" si="148"/>
        <v>7.1090545798717E-2</v>
      </c>
      <c r="BG56" s="35">
        <f t="shared" si="148"/>
        <v>5.7256145915939735E-2</v>
      </c>
      <c r="BH56" s="36">
        <f t="shared" si="148"/>
        <v>4.7609104197118397E-2</v>
      </c>
      <c r="BI56" s="1393">
        <f t="shared" ref="BI56" si="149">BI55/BI8</f>
        <v>5.7249626307922269E-2</v>
      </c>
      <c r="BJ56" s="1393">
        <f t="shared" si="148"/>
        <v>4.9536271478898553E-2</v>
      </c>
      <c r="BK56" s="1394">
        <f t="shared" ref="BK56" si="150">BK55/BK8</f>
        <v>5.1542649727767696E-2</v>
      </c>
      <c r="BL56" s="1395">
        <f t="shared" si="148"/>
        <v>5.0392338500042988E-2</v>
      </c>
      <c r="BM56" s="1393">
        <f t="shared" si="148"/>
        <v>4.9772886706236329E-2</v>
      </c>
      <c r="BN56" s="1393">
        <f t="shared" si="148"/>
        <v>4.9198682845413885E-2</v>
      </c>
      <c r="BO56" s="1394">
        <f t="shared" si="148"/>
        <v>4.9642383310370325E-2</v>
      </c>
      <c r="BP56" s="1395">
        <f t="shared" ref="BP56:BS56" si="151">BP55/BP8</f>
        <v>4.9919336872983874E-2</v>
      </c>
      <c r="BQ56" s="1393">
        <f t="shared" si="151"/>
        <v>4.8840290371881742E-2</v>
      </c>
      <c r="BR56" s="1393">
        <f t="shared" si="151"/>
        <v>4.8217457000057799E-2</v>
      </c>
      <c r="BS56" s="1394">
        <f t="shared" si="151"/>
        <v>4.8728919450645052E-2</v>
      </c>
      <c r="BT56" s="1395">
        <f t="shared" ref="BT56:BW56" si="152">BT55/BT8</f>
        <v>4.892999124342514E-2</v>
      </c>
      <c r="BU56" s="1393">
        <f t="shared" si="152"/>
        <v>4.7874791091905254E-2</v>
      </c>
      <c r="BV56" s="1393">
        <f t="shared" si="152"/>
        <v>4.7290969189970423E-2</v>
      </c>
      <c r="BW56" s="1394">
        <f t="shared" si="152"/>
        <v>4.7782321471481592E-2</v>
      </c>
      <c r="BX56" s="211"/>
      <c r="BY56" s="34">
        <f t="shared" ref="BY56:CO56" si="153">BY55/BY8</f>
        <v>6.4727340753905169E-2</v>
      </c>
      <c r="BZ56" s="34">
        <f t="shared" si="153"/>
        <v>5.698950193385429E-2</v>
      </c>
      <c r="CA56" s="34">
        <f t="shared" si="153"/>
        <v>5.9178169125813092E-2</v>
      </c>
      <c r="CB56" s="34">
        <f t="shared" si="153"/>
        <v>5.405405405405405E-2</v>
      </c>
      <c r="CC56" s="34">
        <f t="shared" si="153"/>
        <v>4.8780487804878057E-2</v>
      </c>
      <c r="CD56" s="34">
        <f t="shared" si="153"/>
        <v>5.4360521705275458E-2</v>
      </c>
      <c r="CE56" s="1393">
        <f t="shared" si="153"/>
        <v>5.9076262083780876E-2</v>
      </c>
      <c r="CF56" s="1393">
        <f t="shared" si="153"/>
        <v>5.6151119564277686E-2</v>
      </c>
      <c r="CG56" s="1393">
        <f t="shared" si="153"/>
        <v>5.5892862330418618E-2</v>
      </c>
      <c r="CH56" s="1393">
        <f t="shared" si="153"/>
        <v>5.5476873121696781E-2</v>
      </c>
      <c r="CI56" s="1393">
        <f t="shared" si="153"/>
        <v>5.33654364466166E-2</v>
      </c>
      <c r="CJ56" s="1393">
        <f t="shared" si="153"/>
        <v>5.7214245050287799E-2</v>
      </c>
      <c r="CK56" s="1393">
        <f t="shared" si="153"/>
        <v>5.2148292236397963E-2</v>
      </c>
      <c r="CL56" s="1393">
        <f t="shared" si="153"/>
        <v>5.8946991220660883E-2</v>
      </c>
      <c r="CM56" s="1393">
        <f t="shared" si="153"/>
        <v>5.1397232595479056E-2</v>
      </c>
      <c r="CN56" s="1393">
        <f t="shared" si="153"/>
        <v>4.974156507713981E-2</v>
      </c>
      <c r="CO56" s="1393">
        <f t="shared" si="153"/>
        <v>4.8913479930556614E-2</v>
      </c>
      <c r="CP56" s="1394">
        <f t="shared" ref="CP56" si="154">CP55/CP8</f>
        <v>4.7957174190750622E-2</v>
      </c>
      <c r="CQ56" s="22"/>
    </row>
    <row r="57" spans="1:95" ht="14.25" hidden="1" customHeight="1" outlineLevel="1">
      <c r="A57" s="9"/>
      <c r="B57" s="462"/>
      <c r="C57" s="49"/>
      <c r="D57" s="39"/>
      <c r="E57" s="39"/>
      <c r="F57" s="581"/>
      <c r="G57" s="581"/>
      <c r="H57" s="41"/>
      <c r="I57" s="39"/>
      <c r="J57" s="581"/>
      <c r="K57" s="581"/>
      <c r="L57" s="41"/>
      <c r="M57" s="39"/>
      <c r="N57" s="581"/>
      <c r="O57" s="581"/>
      <c r="P57" s="41"/>
      <c r="Q57" s="39"/>
      <c r="R57" s="581"/>
      <c r="S57" s="581"/>
      <c r="T57" s="41"/>
      <c r="U57" s="39"/>
      <c r="V57" s="581"/>
      <c r="W57" s="581"/>
      <c r="X57" s="41"/>
      <c r="Y57" s="39"/>
      <c r="Z57" s="581"/>
      <c r="AA57" s="581"/>
      <c r="AB57" s="41"/>
      <c r="AC57" s="39"/>
      <c r="AD57" s="581"/>
      <c r="AE57" s="581"/>
      <c r="AF57" s="41"/>
      <c r="AG57" s="39"/>
      <c r="AH57" s="581"/>
      <c r="AI57" s="581"/>
      <c r="AJ57" s="41"/>
      <c r="AK57" s="39"/>
      <c r="AL57" s="581"/>
      <c r="AM57" s="581"/>
      <c r="AN57" s="41"/>
      <c r="AO57" s="39"/>
      <c r="AP57" s="581"/>
      <c r="AQ57" s="582"/>
      <c r="AR57" s="41"/>
      <c r="AS57" s="39"/>
      <c r="AT57" s="581"/>
      <c r="AU57" s="581"/>
      <c r="AV57" s="41"/>
      <c r="AW57" s="39"/>
      <c r="AX57" s="581"/>
      <c r="AY57" s="582"/>
      <c r="AZ57" s="41"/>
      <c r="BA57" s="39"/>
      <c r="BB57" s="581"/>
      <c r="BC57" s="582"/>
      <c r="BD57" s="41"/>
      <c r="BE57" s="39"/>
      <c r="BF57" s="39"/>
      <c r="BG57" s="582"/>
      <c r="BH57" s="41"/>
      <c r="BI57" s="39"/>
      <c r="BJ57" s="39"/>
      <c r="BK57" s="582"/>
      <c r="BL57" s="41"/>
      <c r="BM57" s="39"/>
      <c r="BN57" s="39"/>
      <c r="BO57" s="40"/>
      <c r="BP57" s="41"/>
      <c r="BQ57" s="39"/>
      <c r="BR57" s="39"/>
      <c r="BS57" s="40"/>
      <c r="BT57" s="41"/>
      <c r="BU57" s="39"/>
      <c r="BV57" s="39"/>
      <c r="BW57" s="40"/>
      <c r="BX57" s="211"/>
      <c r="BY57" s="616"/>
      <c r="BZ57" s="616"/>
      <c r="CA57" s="616"/>
      <c r="CB57" s="616"/>
      <c r="CC57" s="616"/>
      <c r="CD57" s="616"/>
      <c r="CE57" s="616"/>
      <c r="CF57" s="616"/>
      <c r="CG57" s="616"/>
      <c r="CH57" s="616"/>
      <c r="CI57" s="616"/>
      <c r="CJ57" s="616"/>
      <c r="CK57" s="616"/>
      <c r="CL57" s="616"/>
      <c r="CM57" s="616"/>
      <c r="CN57" s="616"/>
      <c r="CO57" s="616"/>
      <c r="CP57" s="587"/>
      <c r="CQ57" s="22"/>
    </row>
    <row r="58" spans="1:95" ht="14.25" customHeight="1" collapsed="1">
      <c r="A58" s="409"/>
      <c r="B58" s="471" t="s">
        <v>68</v>
      </c>
      <c r="C58" s="412"/>
      <c r="D58" s="603">
        <f t="shared" ref="D58:AI58" si="155">(SUM(D59:D61))</f>
        <v>3</v>
      </c>
      <c r="E58" s="603">
        <f t="shared" si="155"/>
        <v>37.5</v>
      </c>
      <c r="F58" s="603">
        <f t="shared" si="155"/>
        <v>-3.3</v>
      </c>
      <c r="G58" s="603">
        <f t="shared" si="155"/>
        <v>29.9</v>
      </c>
      <c r="H58" s="611">
        <f t="shared" si="155"/>
        <v>13.1</v>
      </c>
      <c r="I58" s="603">
        <f t="shared" si="155"/>
        <v>0.9</v>
      </c>
      <c r="J58" s="603">
        <f t="shared" si="155"/>
        <v>0</v>
      </c>
      <c r="K58" s="603">
        <f t="shared" si="155"/>
        <v>5.6</v>
      </c>
      <c r="L58" s="611">
        <f t="shared" si="155"/>
        <v>1.1000000000000001</v>
      </c>
      <c r="M58" s="603">
        <f t="shared" si="155"/>
        <v>2.8</v>
      </c>
      <c r="N58" s="603">
        <f t="shared" si="155"/>
        <v>0.2</v>
      </c>
      <c r="O58" s="603">
        <f t="shared" si="155"/>
        <v>-0.8</v>
      </c>
      <c r="P58" s="611">
        <f t="shared" si="155"/>
        <v>0</v>
      </c>
      <c r="Q58" s="603">
        <f t="shared" si="155"/>
        <v>3.3</v>
      </c>
      <c r="R58" s="603">
        <f t="shared" si="155"/>
        <v>0</v>
      </c>
      <c r="S58" s="603">
        <f t="shared" si="155"/>
        <v>-10.199999999999999</v>
      </c>
      <c r="T58" s="611">
        <f t="shared" si="155"/>
        <v>0</v>
      </c>
      <c r="U58" s="603">
        <f t="shared" si="155"/>
        <v>0</v>
      </c>
      <c r="V58" s="603">
        <f t="shared" si="155"/>
        <v>2</v>
      </c>
      <c r="W58" s="603">
        <f t="shared" si="155"/>
        <v>1</v>
      </c>
      <c r="X58" s="611">
        <f t="shared" si="155"/>
        <v>8.1999999999999993</v>
      </c>
      <c r="Y58" s="603">
        <f t="shared" si="155"/>
        <v>20.9</v>
      </c>
      <c r="Z58" s="603">
        <f t="shared" si="155"/>
        <v>9.3000000000000007</v>
      </c>
      <c r="AA58" s="603">
        <f t="shared" si="155"/>
        <v>555.20000000000005</v>
      </c>
      <c r="AB58" s="611">
        <f t="shared" si="155"/>
        <v>16.8</v>
      </c>
      <c r="AC58" s="603">
        <f t="shared" si="155"/>
        <v>15.399999999999999</v>
      </c>
      <c r="AD58" s="603">
        <f t="shared" si="155"/>
        <v>15.2</v>
      </c>
      <c r="AE58" s="603">
        <f t="shared" si="155"/>
        <v>6.5</v>
      </c>
      <c r="AF58" s="611">
        <f t="shared" si="155"/>
        <v>11.6</v>
      </c>
      <c r="AG58" s="603">
        <f t="shared" si="155"/>
        <v>10.399999999999999</v>
      </c>
      <c r="AH58" s="603">
        <f t="shared" si="155"/>
        <v>8.8000000000000007</v>
      </c>
      <c r="AI58" s="603">
        <f t="shared" si="155"/>
        <v>27.5</v>
      </c>
      <c r="AJ58" s="611">
        <f t="shared" ref="AJ58:AQ58" si="156">(SUM(AJ59:AJ61))</f>
        <v>22.1</v>
      </c>
      <c r="AK58" s="603">
        <f t="shared" si="156"/>
        <v>16.5</v>
      </c>
      <c r="AL58" s="603">
        <f t="shared" si="156"/>
        <v>76</v>
      </c>
      <c r="AM58" s="603">
        <f t="shared" si="156"/>
        <v>30.8</v>
      </c>
      <c r="AN58" s="611">
        <f t="shared" si="156"/>
        <v>22.6</v>
      </c>
      <c r="AO58" s="603">
        <f t="shared" si="156"/>
        <v>45.7</v>
      </c>
      <c r="AP58" s="603">
        <f t="shared" si="156"/>
        <v>22.299999999999997</v>
      </c>
      <c r="AQ58" s="604">
        <f t="shared" si="156"/>
        <v>168.6</v>
      </c>
      <c r="AR58" s="611">
        <f t="shared" ref="AR58:AW58" si="157">(SUM(AR59:AR61))</f>
        <v>2.4000000000000004</v>
      </c>
      <c r="AS58" s="603">
        <f t="shared" si="157"/>
        <v>14.299999999999999</v>
      </c>
      <c r="AT58" s="603">
        <f t="shared" si="157"/>
        <v>19.2</v>
      </c>
      <c r="AU58" s="603">
        <f t="shared" si="157"/>
        <v>30.400000000000002</v>
      </c>
      <c r="AV58" s="611">
        <f t="shared" si="157"/>
        <v>14</v>
      </c>
      <c r="AW58" s="603">
        <f t="shared" si="157"/>
        <v>14.5</v>
      </c>
      <c r="AX58" s="603">
        <f t="shared" ref="AX58:BK58" si="158">(SUM(AX59:AX61))</f>
        <v>33.5</v>
      </c>
      <c r="AY58" s="604">
        <f t="shared" si="158"/>
        <v>43.4</v>
      </c>
      <c r="AZ58" s="611">
        <f t="shared" si="158"/>
        <v>31.599999999999998</v>
      </c>
      <c r="BA58" s="603">
        <f t="shared" si="158"/>
        <v>40.800000000000004</v>
      </c>
      <c r="BB58" s="603">
        <f t="shared" si="158"/>
        <v>37</v>
      </c>
      <c r="BC58" s="604">
        <f t="shared" si="158"/>
        <v>39.4</v>
      </c>
      <c r="BD58" s="611">
        <f t="shared" si="158"/>
        <v>25.4</v>
      </c>
      <c r="BE58" s="603">
        <f>(SUM(BE59:BE61))</f>
        <v>30.9</v>
      </c>
      <c r="BF58" s="603">
        <f t="shared" ref="BF58:BH58" si="159">(SUM(BF59:BF61))</f>
        <v>46.5</v>
      </c>
      <c r="BG58" s="604">
        <f t="shared" si="159"/>
        <v>37.4</v>
      </c>
      <c r="BH58" s="611">
        <f t="shared" si="159"/>
        <v>34</v>
      </c>
      <c r="BI58" s="1412">
        <f>(SUM(BI59:BI61))</f>
        <v>36.299999999999997</v>
      </c>
      <c r="BJ58" s="1412">
        <f t="shared" si="158"/>
        <v>48.5</v>
      </c>
      <c r="BK58" s="1413">
        <f t="shared" si="158"/>
        <v>38.9</v>
      </c>
      <c r="BL58" s="1416">
        <f t="shared" ref="BL58:BS58" si="160">(SUM(BL59:BL61))</f>
        <v>30</v>
      </c>
      <c r="BM58" s="1412">
        <f t="shared" si="160"/>
        <v>0</v>
      </c>
      <c r="BN58" s="1412">
        <f t="shared" si="160"/>
        <v>0</v>
      </c>
      <c r="BO58" s="1413">
        <f t="shared" si="160"/>
        <v>0</v>
      </c>
      <c r="BP58" s="1416">
        <f t="shared" si="160"/>
        <v>0</v>
      </c>
      <c r="BQ58" s="1412">
        <f t="shared" si="160"/>
        <v>0</v>
      </c>
      <c r="BR58" s="1412">
        <f t="shared" si="160"/>
        <v>0</v>
      </c>
      <c r="BS58" s="1413">
        <f t="shared" si="160"/>
        <v>0</v>
      </c>
      <c r="BT58" s="1416">
        <f t="shared" ref="BT58:BW58" si="161">(SUM(BT59:BT61))</f>
        <v>0</v>
      </c>
      <c r="BU58" s="1412">
        <f t="shared" si="161"/>
        <v>0</v>
      </c>
      <c r="BV58" s="1412">
        <f t="shared" si="161"/>
        <v>0</v>
      </c>
      <c r="BW58" s="1413">
        <f t="shared" si="161"/>
        <v>0</v>
      </c>
      <c r="BX58" s="411"/>
      <c r="BY58" s="603">
        <f t="shared" ref="BY58:CL58" si="162">(SUM(BY59:BY61))</f>
        <v>67.100000000000009</v>
      </c>
      <c r="BZ58" s="603">
        <f t="shared" si="162"/>
        <v>19.600000000000001</v>
      </c>
      <c r="CA58" s="603">
        <f t="shared" si="162"/>
        <v>3.3</v>
      </c>
      <c r="CB58" s="603">
        <f t="shared" si="162"/>
        <v>-6.8999999999999995</v>
      </c>
      <c r="CC58" s="603">
        <f t="shared" si="162"/>
        <v>3</v>
      </c>
      <c r="CD58" s="603">
        <f t="shared" si="162"/>
        <v>593.6</v>
      </c>
      <c r="CE58" s="1412">
        <f t="shared" si="162"/>
        <v>53.900000000000006</v>
      </c>
      <c r="CF58" s="1412">
        <f t="shared" si="162"/>
        <v>58.3</v>
      </c>
      <c r="CG58" s="1412">
        <f t="shared" si="162"/>
        <v>145.4</v>
      </c>
      <c r="CH58" s="1412">
        <f t="shared" si="162"/>
        <v>259.20000000000005</v>
      </c>
      <c r="CI58" s="1412">
        <f t="shared" si="162"/>
        <v>66.300000000000011</v>
      </c>
      <c r="CJ58" s="1412">
        <f t="shared" si="162"/>
        <v>105.39999999999999</v>
      </c>
      <c r="CK58" s="1412">
        <f t="shared" si="162"/>
        <v>148.80000000000001</v>
      </c>
      <c r="CL58" s="1412">
        <f t="shared" si="162"/>
        <v>140.19999999999999</v>
      </c>
      <c r="CM58" s="1412">
        <f>(SUM(CM59:CM61))</f>
        <v>157.69999999999999</v>
      </c>
      <c r="CN58" s="1412">
        <f>(SUM(CN59:CN61))</f>
        <v>30</v>
      </c>
      <c r="CO58" s="1412">
        <f>(SUM(CO59:CO61))</f>
        <v>0</v>
      </c>
      <c r="CP58" s="1413">
        <f>(SUM(CP59:CP61))</f>
        <v>0</v>
      </c>
      <c r="CQ58" s="410"/>
    </row>
    <row r="59" spans="1:95" ht="14.25" hidden="1" customHeight="1" outlineLevel="1">
      <c r="A59" s="9"/>
      <c r="B59" s="574" t="s">
        <v>343</v>
      </c>
      <c r="C59" s="26"/>
      <c r="D59" s="593">
        <v>3</v>
      </c>
      <c r="E59" s="593">
        <v>2.9</v>
      </c>
      <c r="F59" s="593">
        <v>0</v>
      </c>
      <c r="G59" s="593">
        <v>0</v>
      </c>
      <c r="H59" s="612">
        <v>0</v>
      </c>
      <c r="I59" s="593">
        <v>0</v>
      </c>
      <c r="J59" s="593">
        <v>0</v>
      </c>
      <c r="K59" s="593">
        <v>0</v>
      </c>
      <c r="L59" s="612">
        <v>0</v>
      </c>
      <c r="M59" s="593">
        <v>0</v>
      </c>
      <c r="N59" s="593">
        <v>0</v>
      </c>
      <c r="O59" s="593">
        <v>0</v>
      </c>
      <c r="P59" s="612">
        <v>0</v>
      </c>
      <c r="Q59" s="593">
        <v>0</v>
      </c>
      <c r="R59" s="593">
        <v>0</v>
      </c>
      <c r="S59" s="593">
        <v>0</v>
      </c>
      <c r="T59" s="612">
        <v>0</v>
      </c>
      <c r="U59" s="593">
        <v>0</v>
      </c>
      <c r="V59" s="593">
        <v>0</v>
      </c>
      <c r="W59" s="593">
        <v>0</v>
      </c>
      <c r="X59" s="612">
        <v>2.4</v>
      </c>
      <c r="Y59" s="593">
        <v>6.7</v>
      </c>
      <c r="Z59" s="593">
        <v>6.8</v>
      </c>
      <c r="AA59" s="593">
        <v>7</v>
      </c>
      <c r="AB59" s="612">
        <v>7.2</v>
      </c>
      <c r="AC59" s="593">
        <v>7.3</v>
      </c>
      <c r="AD59" s="593">
        <v>7.3</v>
      </c>
      <c r="AE59" s="593">
        <v>7.2</v>
      </c>
      <c r="AF59" s="612">
        <v>7.8</v>
      </c>
      <c r="AG59" s="593">
        <v>8.1</v>
      </c>
      <c r="AH59" s="593">
        <v>7.9</v>
      </c>
      <c r="AI59" s="593">
        <v>7.9</v>
      </c>
      <c r="AJ59" s="612">
        <v>9.6999999999999993</v>
      </c>
      <c r="AK59" s="593">
        <v>11.4</v>
      </c>
      <c r="AL59" s="593">
        <v>10.6</v>
      </c>
      <c r="AM59" s="593">
        <v>11</v>
      </c>
      <c r="AN59" s="612">
        <v>11.1</v>
      </c>
      <c r="AO59" s="593">
        <v>11.1</v>
      </c>
      <c r="AP59" s="593">
        <v>11.1</v>
      </c>
      <c r="AQ59" s="594">
        <v>11.1</v>
      </c>
      <c r="AR59" s="612">
        <v>8.4</v>
      </c>
      <c r="AS59" s="593">
        <v>8.1999999999999993</v>
      </c>
      <c r="AT59" s="593">
        <v>8.1999999999999993</v>
      </c>
      <c r="AU59" s="593">
        <v>8.3000000000000007</v>
      </c>
      <c r="AV59" s="612">
        <v>8.1999999999999993</v>
      </c>
      <c r="AW59" s="593">
        <v>10.4</v>
      </c>
      <c r="AX59" s="593">
        <v>23.4</v>
      </c>
      <c r="AY59" s="594">
        <v>28.8</v>
      </c>
      <c r="AZ59" s="612">
        <v>33.9</v>
      </c>
      <c r="BA59" s="593">
        <v>33.6</v>
      </c>
      <c r="BB59" s="593">
        <v>33.6</v>
      </c>
      <c r="BC59" s="594">
        <v>34.6</v>
      </c>
      <c r="BD59" s="612">
        <v>23.7</v>
      </c>
      <c r="BE59" s="593">
        <v>23.5</v>
      </c>
      <c r="BF59" s="593">
        <v>24.7</v>
      </c>
      <c r="BG59" s="594">
        <v>32.9</v>
      </c>
      <c r="BH59" s="612">
        <v>29.1</v>
      </c>
      <c r="BI59" s="1406">
        <v>28.6</v>
      </c>
      <c r="BJ59" s="1406">
        <v>37.299999999999997</v>
      </c>
      <c r="BK59" s="1407">
        <v>28.8</v>
      </c>
      <c r="BL59" s="1426">
        <v>30</v>
      </c>
      <c r="BM59" s="1425"/>
      <c r="BN59" s="1425"/>
      <c r="BO59" s="1427"/>
      <c r="BP59" s="1426"/>
      <c r="BQ59" s="1425"/>
      <c r="BR59" s="1425"/>
      <c r="BS59" s="1427"/>
      <c r="BT59" s="1426"/>
      <c r="BU59" s="1425"/>
      <c r="BV59" s="1425"/>
      <c r="BW59" s="1427"/>
      <c r="BX59" s="211"/>
      <c r="BY59" s="595">
        <f>SUM(D59:G59)</f>
        <v>5.9</v>
      </c>
      <c r="BZ59" s="595">
        <f>SUM(H59:K59)</f>
        <v>0</v>
      </c>
      <c r="CA59" s="595">
        <f>SUM(L59:O59)</f>
        <v>0</v>
      </c>
      <c r="CB59" s="595">
        <f>SUM(P59:S59)</f>
        <v>0</v>
      </c>
      <c r="CC59" s="595">
        <f>SUM(T59:W59)</f>
        <v>0</v>
      </c>
      <c r="CD59" s="595">
        <f>SUM(X59:AA59)</f>
        <v>22.9</v>
      </c>
      <c r="CE59" s="1408">
        <f>SUM(AB59:AE59)</f>
        <v>29</v>
      </c>
      <c r="CF59" s="1408">
        <f>SUM(AF59:AI59)</f>
        <v>31.699999999999996</v>
      </c>
      <c r="CG59" s="1408">
        <f>SUM(AJ59:AM59)</f>
        <v>42.7</v>
      </c>
      <c r="CH59" s="1408">
        <f>SUM(AN59:AQ59)</f>
        <v>44.4</v>
      </c>
      <c r="CI59" s="1408">
        <f>SUM(AR59:AU59)</f>
        <v>33.1</v>
      </c>
      <c r="CJ59" s="1408">
        <f>SUM(AV59:AY59)</f>
        <v>70.8</v>
      </c>
      <c r="CK59" s="1408">
        <f>SUM(AZ59:BC59)</f>
        <v>135.69999999999999</v>
      </c>
      <c r="CL59" s="1408">
        <f>SUM(BD59:BG59)</f>
        <v>104.80000000000001</v>
      </c>
      <c r="CM59" s="1408">
        <f>SUM(BH59:BK59)</f>
        <v>123.8</v>
      </c>
      <c r="CN59" s="1408">
        <f>SUM(BL59:BO59)</f>
        <v>30</v>
      </c>
      <c r="CO59" s="1408">
        <f>SUM(BP59:BS59)</f>
        <v>0</v>
      </c>
      <c r="CP59" s="1409">
        <f>SUM(BT59:BW59)</f>
        <v>0</v>
      </c>
      <c r="CQ59" s="22"/>
    </row>
    <row r="60" spans="1:95" ht="14.25" hidden="1" customHeight="1" outlineLevel="1">
      <c r="A60" s="9"/>
      <c r="B60" s="460" t="s">
        <v>344</v>
      </c>
      <c r="C60" s="26"/>
      <c r="D60" s="593">
        <v>0</v>
      </c>
      <c r="E60" s="593">
        <v>34.6</v>
      </c>
      <c r="F60" s="593">
        <v>-3.3</v>
      </c>
      <c r="G60" s="593">
        <v>29.9</v>
      </c>
      <c r="H60" s="612">
        <v>13.1</v>
      </c>
      <c r="I60" s="593">
        <v>0.9</v>
      </c>
      <c r="J60" s="593">
        <v>0</v>
      </c>
      <c r="K60" s="593">
        <v>5.6</v>
      </c>
      <c r="L60" s="612">
        <v>1.1000000000000001</v>
      </c>
      <c r="M60" s="593">
        <v>2.8</v>
      </c>
      <c r="N60" s="593">
        <v>0.2</v>
      </c>
      <c r="O60" s="593">
        <v>-0.8</v>
      </c>
      <c r="P60" s="612">
        <v>0</v>
      </c>
      <c r="Q60" s="593">
        <v>3.3</v>
      </c>
      <c r="R60" s="593">
        <v>0</v>
      </c>
      <c r="S60" s="593">
        <v>-10.199999999999999</v>
      </c>
      <c r="T60" s="612">
        <v>0</v>
      </c>
      <c r="U60" s="593">
        <v>0</v>
      </c>
      <c r="V60" s="593">
        <v>2</v>
      </c>
      <c r="W60" s="593">
        <v>1</v>
      </c>
      <c r="X60" s="612">
        <v>5.8</v>
      </c>
      <c r="Y60" s="593">
        <v>14.2</v>
      </c>
      <c r="Z60" s="593">
        <v>2.5</v>
      </c>
      <c r="AA60" s="593">
        <v>3.7</v>
      </c>
      <c r="AB60" s="612">
        <v>9.6</v>
      </c>
      <c r="AC60" s="593">
        <v>8.1</v>
      </c>
      <c r="AD60" s="593">
        <v>7.9</v>
      </c>
      <c r="AE60" s="593">
        <v>-0.7</v>
      </c>
      <c r="AF60" s="612">
        <v>3.8</v>
      </c>
      <c r="AG60" s="593">
        <v>2.2999999999999998</v>
      </c>
      <c r="AH60" s="593">
        <v>0.9</v>
      </c>
      <c r="AI60" s="593">
        <v>3.5</v>
      </c>
      <c r="AJ60" s="612">
        <v>12.4</v>
      </c>
      <c r="AK60" s="593">
        <v>5.0999999999999996</v>
      </c>
      <c r="AL60" s="593">
        <v>65.400000000000006</v>
      </c>
      <c r="AM60" s="593">
        <v>19.8</v>
      </c>
      <c r="AN60" s="612">
        <v>11.5</v>
      </c>
      <c r="AO60" s="593">
        <v>34.6</v>
      </c>
      <c r="AP60" s="593">
        <v>11.2</v>
      </c>
      <c r="AQ60" s="594">
        <v>108</v>
      </c>
      <c r="AR60" s="612">
        <v>-6</v>
      </c>
      <c r="AS60" s="593">
        <v>6.1</v>
      </c>
      <c r="AT60" s="593">
        <v>11</v>
      </c>
      <c r="AU60" s="593">
        <v>22.1</v>
      </c>
      <c r="AV60" s="612">
        <v>5.8</v>
      </c>
      <c r="AW60" s="593">
        <v>4.0999999999999996</v>
      </c>
      <c r="AX60" s="593">
        <v>10.1</v>
      </c>
      <c r="AY60" s="594">
        <v>10</v>
      </c>
      <c r="AZ60" s="612">
        <v>-2.2999999999999998</v>
      </c>
      <c r="BA60" s="593">
        <v>3.5</v>
      </c>
      <c r="BB60" s="593">
        <v>3.3</v>
      </c>
      <c r="BC60" s="594">
        <v>4.8</v>
      </c>
      <c r="BD60" s="612">
        <v>1.7</v>
      </c>
      <c r="BE60" s="593">
        <v>5.2</v>
      </c>
      <c r="BF60" s="593">
        <v>21.8</v>
      </c>
      <c r="BG60" s="594">
        <v>4.5</v>
      </c>
      <c r="BH60" s="612">
        <v>0.5</v>
      </c>
      <c r="BI60" s="1406">
        <v>5.9</v>
      </c>
      <c r="BJ60" s="1406">
        <v>9.6999999999999993</v>
      </c>
      <c r="BK60" s="1407">
        <v>4.7</v>
      </c>
      <c r="BL60" s="493">
        <v>0</v>
      </c>
      <c r="BM60" s="27">
        <v>0</v>
      </c>
      <c r="BN60" s="27">
        <v>0</v>
      </c>
      <c r="BO60" s="28">
        <v>0</v>
      </c>
      <c r="BP60" s="493">
        <v>0</v>
      </c>
      <c r="BQ60" s="27">
        <v>0</v>
      </c>
      <c r="BR60" s="27">
        <v>0</v>
      </c>
      <c r="BS60" s="28">
        <v>0</v>
      </c>
      <c r="BT60" s="493">
        <v>0</v>
      </c>
      <c r="BU60" s="27">
        <v>0</v>
      </c>
      <c r="BV60" s="27">
        <v>0</v>
      </c>
      <c r="BW60" s="28">
        <v>0</v>
      </c>
      <c r="BX60" s="211"/>
      <c r="BY60" s="595">
        <f>SUM(D60:G60)</f>
        <v>61.2</v>
      </c>
      <c r="BZ60" s="595">
        <f>SUM(H60:K60)</f>
        <v>19.600000000000001</v>
      </c>
      <c r="CA60" s="595">
        <f>SUM(L60:O60)</f>
        <v>3.3</v>
      </c>
      <c r="CB60" s="595">
        <f>SUM(P60:S60)</f>
        <v>-6.8999999999999995</v>
      </c>
      <c r="CC60" s="595">
        <f>SUM(T60:W60)</f>
        <v>3</v>
      </c>
      <c r="CD60" s="595">
        <f>SUM(X60:AA60)</f>
        <v>26.2</v>
      </c>
      <c r="CE60" s="1408">
        <f>SUM(AB60:AE60)</f>
        <v>24.900000000000002</v>
      </c>
      <c r="CF60" s="1408">
        <f>SUM(AF60:AI60)</f>
        <v>10.5</v>
      </c>
      <c r="CG60" s="1408">
        <f>SUM(AJ60:AM60)</f>
        <v>102.7</v>
      </c>
      <c r="CH60" s="1408">
        <f>SUM(AN60:AQ60)</f>
        <v>165.3</v>
      </c>
      <c r="CI60" s="1408">
        <f>SUM(AR60:AU60)</f>
        <v>33.200000000000003</v>
      </c>
      <c r="CJ60" s="1408">
        <f>SUM(AV60:AY60)</f>
        <v>30</v>
      </c>
      <c r="CK60" s="1408">
        <f>SUM(AZ60:BC60)</f>
        <v>9.3000000000000007</v>
      </c>
      <c r="CL60" s="1408">
        <f>SUM(BD60:BG60)</f>
        <v>33.200000000000003</v>
      </c>
      <c r="CM60" s="1408">
        <f>SUM(BH60:BK60)</f>
        <v>20.8</v>
      </c>
      <c r="CN60" s="1408">
        <f>SUM(BL60:BO60)</f>
        <v>0</v>
      </c>
      <c r="CO60" s="1408">
        <f t="shared" ref="CO60:CO61" si="163">SUM(BP60:BS60)</f>
        <v>0</v>
      </c>
      <c r="CP60" s="1409">
        <f>SUM(BT60:BW60)</f>
        <v>0</v>
      </c>
      <c r="CQ60" s="22"/>
    </row>
    <row r="61" spans="1:95" ht="14.25" hidden="1" customHeight="1" outlineLevel="1">
      <c r="A61" s="9"/>
      <c r="B61" s="460" t="s">
        <v>345</v>
      </c>
      <c r="C61" s="26"/>
      <c r="D61" s="593">
        <v>0</v>
      </c>
      <c r="E61" s="593">
        <v>0</v>
      </c>
      <c r="F61" s="593">
        <v>0</v>
      </c>
      <c r="G61" s="593">
        <v>0</v>
      </c>
      <c r="H61" s="612">
        <v>0</v>
      </c>
      <c r="I61" s="593">
        <v>0</v>
      </c>
      <c r="J61" s="593">
        <v>0</v>
      </c>
      <c r="K61" s="593">
        <v>0</v>
      </c>
      <c r="L61" s="612">
        <v>0</v>
      </c>
      <c r="M61" s="593">
        <v>0</v>
      </c>
      <c r="N61" s="593">
        <v>0</v>
      </c>
      <c r="O61" s="593">
        <v>0</v>
      </c>
      <c r="P61" s="612">
        <v>0</v>
      </c>
      <c r="Q61" s="593">
        <v>0</v>
      </c>
      <c r="R61" s="593">
        <v>0</v>
      </c>
      <c r="S61" s="593">
        <v>0</v>
      </c>
      <c r="T61" s="612">
        <v>0</v>
      </c>
      <c r="U61" s="593">
        <v>0</v>
      </c>
      <c r="V61" s="593">
        <v>0</v>
      </c>
      <c r="W61" s="593">
        <v>0</v>
      </c>
      <c r="X61" s="612">
        <v>0</v>
      </c>
      <c r="Y61" s="593">
        <v>0</v>
      </c>
      <c r="Z61" s="593">
        <v>0</v>
      </c>
      <c r="AA61" s="593">
        <v>544.5</v>
      </c>
      <c r="AB61" s="612">
        <v>0</v>
      </c>
      <c r="AC61" s="593">
        <v>0</v>
      </c>
      <c r="AD61" s="593">
        <v>0</v>
      </c>
      <c r="AE61" s="593">
        <v>0</v>
      </c>
      <c r="AF61" s="612">
        <v>0</v>
      </c>
      <c r="AG61" s="593">
        <v>0</v>
      </c>
      <c r="AH61" s="593">
        <v>0</v>
      </c>
      <c r="AI61" s="593">
        <v>16.100000000000001</v>
      </c>
      <c r="AJ61" s="612">
        <v>0</v>
      </c>
      <c r="AK61" s="593">
        <v>0</v>
      </c>
      <c r="AL61" s="593">
        <v>0</v>
      </c>
      <c r="AM61" s="593">
        <v>0</v>
      </c>
      <c r="AN61" s="612">
        <v>0</v>
      </c>
      <c r="AO61" s="593">
        <v>0</v>
      </c>
      <c r="AP61" s="593">
        <v>0</v>
      </c>
      <c r="AQ61" s="594">
        <v>49.5</v>
      </c>
      <c r="AR61" s="612">
        <v>0</v>
      </c>
      <c r="AS61" s="593">
        <v>0</v>
      </c>
      <c r="AT61" s="593">
        <v>0</v>
      </c>
      <c r="AU61" s="593">
        <v>0</v>
      </c>
      <c r="AV61" s="612">
        <v>0</v>
      </c>
      <c r="AW61" s="593">
        <v>0</v>
      </c>
      <c r="AX61" s="593">
        <v>0</v>
      </c>
      <c r="AY61" s="594">
        <v>4.5999999999999996</v>
      </c>
      <c r="AZ61" s="612">
        <v>0</v>
      </c>
      <c r="BA61" s="593">
        <v>3.7</v>
      </c>
      <c r="BB61" s="593">
        <v>0.1</v>
      </c>
      <c r="BC61" s="594">
        <v>0</v>
      </c>
      <c r="BD61" s="612">
        <v>0</v>
      </c>
      <c r="BE61" s="593">
        <v>2.2000000000000002</v>
      </c>
      <c r="BF61" s="593">
        <v>0</v>
      </c>
      <c r="BG61" s="594">
        <v>0</v>
      </c>
      <c r="BH61" s="612">
        <v>4.4000000000000004</v>
      </c>
      <c r="BI61" s="1406">
        <v>1.8</v>
      </c>
      <c r="BJ61" s="1406">
        <v>1.5</v>
      </c>
      <c r="BK61" s="1407">
        <v>5.4</v>
      </c>
      <c r="BL61" s="493">
        <v>0</v>
      </c>
      <c r="BM61" s="27">
        <v>0</v>
      </c>
      <c r="BN61" s="27">
        <v>0</v>
      </c>
      <c r="BO61" s="28">
        <v>0</v>
      </c>
      <c r="BP61" s="493">
        <v>0</v>
      </c>
      <c r="BQ61" s="27">
        <v>0</v>
      </c>
      <c r="BR61" s="27">
        <v>0</v>
      </c>
      <c r="BS61" s="28">
        <v>0</v>
      </c>
      <c r="BT61" s="493">
        <v>0</v>
      </c>
      <c r="BU61" s="27">
        <v>0</v>
      </c>
      <c r="BV61" s="27">
        <v>0</v>
      </c>
      <c r="BW61" s="28">
        <v>0</v>
      </c>
      <c r="BX61" s="211"/>
      <c r="BY61" s="595">
        <f>SUM(D61:G61)</f>
        <v>0</v>
      </c>
      <c r="BZ61" s="595">
        <f>SUM(H61:K61)</f>
        <v>0</v>
      </c>
      <c r="CA61" s="595">
        <f>SUM(L61:O61)</f>
        <v>0</v>
      </c>
      <c r="CB61" s="595">
        <f>SUM(P61:S61)</f>
        <v>0</v>
      </c>
      <c r="CC61" s="595">
        <f>SUM(T61:W61)</f>
        <v>0</v>
      </c>
      <c r="CD61" s="595">
        <f>SUM(X61:AA61)</f>
        <v>544.5</v>
      </c>
      <c r="CE61" s="1408">
        <f>SUM(AB61:AE61)</f>
        <v>0</v>
      </c>
      <c r="CF61" s="1408">
        <f>SUM(AF61:AI61)</f>
        <v>16.100000000000001</v>
      </c>
      <c r="CG61" s="1408">
        <f>SUM(AJ61:AM61)</f>
        <v>0</v>
      </c>
      <c r="CH61" s="1408">
        <f>SUM(AN61:AQ61)</f>
        <v>49.5</v>
      </c>
      <c r="CI61" s="1408">
        <f>SUM(AR61:AU61)</f>
        <v>0</v>
      </c>
      <c r="CJ61" s="1408">
        <f>SUM(AV61:AY61)</f>
        <v>4.5999999999999996</v>
      </c>
      <c r="CK61" s="1408">
        <f>SUM(AZ61:BC61)</f>
        <v>3.8000000000000003</v>
      </c>
      <c r="CL61" s="1408">
        <f>SUM(BD61:BG61)</f>
        <v>2.2000000000000002</v>
      </c>
      <c r="CM61" s="1408">
        <f>SUM(BH61:BK61)</f>
        <v>13.100000000000001</v>
      </c>
      <c r="CN61" s="1408">
        <f>SUM(BL61:BO61)</f>
        <v>0</v>
      </c>
      <c r="CO61" s="1408">
        <f t="shared" si="163"/>
        <v>0</v>
      </c>
      <c r="CP61" s="1409">
        <f>SUM(BT61:BW61)</f>
        <v>0</v>
      </c>
      <c r="CQ61" s="22"/>
    </row>
    <row r="62" spans="1:95" ht="14.25" hidden="1" customHeight="1" outlineLevel="1">
      <c r="A62" s="9"/>
      <c r="B62" s="460"/>
      <c r="C62" s="26"/>
      <c r="D62" s="593"/>
      <c r="E62" s="593"/>
      <c r="F62" s="593"/>
      <c r="G62" s="593"/>
      <c r="H62" s="612"/>
      <c r="I62" s="593"/>
      <c r="J62" s="593"/>
      <c r="K62" s="593"/>
      <c r="L62" s="612"/>
      <c r="M62" s="593"/>
      <c r="N62" s="593"/>
      <c r="O62" s="593"/>
      <c r="P62" s="612"/>
      <c r="Q62" s="593"/>
      <c r="R62" s="593"/>
      <c r="S62" s="593"/>
      <c r="T62" s="612"/>
      <c r="U62" s="593"/>
      <c r="V62" s="593"/>
      <c r="W62" s="593"/>
      <c r="X62" s="612"/>
      <c r="Y62" s="593"/>
      <c r="Z62" s="593"/>
      <c r="AA62" s="593"/>
      <c r="AB62" s="612"/>
      <c r="AC62" s="593"/>
      <c r="AD62" s="593"/>
      <c r="AE62" s="593"/>
      <c r="AF62" s="612"/>
      <c r="AG62" s="593"/>
      <c r="AH62" s="593"/>
      <c r="AI62" s="593"/>
      <c r="AJ62" s="612"/>
      <c r="AK62" s="593"/>
      <c r="AL62" s="593"/>
      <c r="AM62" s="593"/>
      <c r="AN62" s="612"/>
      <c r="AO62" s="593"/>
      <c r="AP62" s="593"/>
      <c r="AQ62" s="594"/>
      <c r="AR62" s="612"/>
      <c r="AS62" s="593"/>
      <c r="AT62" s="593"/>
      <c r="AU62" s="593"/>
      <c r="AV62" s="612"/>
      <c r="AW62" s="593"/>
      <c r="AX62" s="593"/>
      <c r="AY62" s="594"/>
      <c r="AZ62" s="612"/>
      <c r="BA62" s="593"/>
      <c r="BB62" s="593"/>
      <c r="BC62" s="594"/>
      <c r="BD62" s="612"/>
      <c r="BE62" s="593"/>
      <c r="BF62" s="593"/>
      <c r="BG62" s="594"/>
      <c r="BH62" s="612"/>
      <c r="BI62" s="1406"/>
      <c r="BJ62" s="1406"/>
      <c r="BK62" s="1407"/>
      <c r="BL62" s="493"/>
      <c r="BM62" s="27"/>
      <c r="BN62" s="27"/>
      <c r="BO62" s="28"/>
      <c r="BP62" s="493"/>
      <c r="BQ62" s="27"/>
      <c r="BR62" s="27"/>
      <c r="BS62" s="28"/>
      <c r="BT62" s="493"/>
      <c r="BU62" s="27"/>
      <c r="BV62" s="27"/>
      <c r="BW62" s="28"/>
      <c r="BX62" s="211"/>
      <c r="BY62" s="595"/>
      <c r="BZ62" s="595"/>
      <c r="CA62" s="595"/>
      <c r="CB62" s="595"/>
      <c r="CC62" s="595"/>
      <c r="CD62" s="595"/>
      <c r="CE62" s="1408"/>
      <c r="CF62" s="1408"/>
      <c r="CG62" s="1408"/>
      <c r="CH62" s="1408"/>
      <c r="CI62" s="1408"/>
      <c r="CJ62" s="1408"/>
      <c r="CK62" s="1408"/>
      <c r="CL62" s="1408"/>
      <c r="CM62" s="1408"/>
      <c r="CN62" s="1408"/>
      <c r="CO62" s="1408"/>
      <c r="CP62" s="1409"/>
      <c r="CQ62" s="22"/>
    </row>
    <row r="63" spans="1:95" ht="14.25" hidden="1" customHeight="1" outlineLevel="1">
      <c r="A63" s="9"/>
      <c r="B63" s="453" t="s">
        <v>82</v>
      </c>
      <c r="C63" s="24"/>
      <c r="D63" s="593">
        <v>0</v>
      </c>
      <c r="E63" s="593">
        <v>0</v>
      </c>
      <c r="F63" s="593">
        <v>0</v>
      </c>
      <c r="G63" s="593">
        <v>0</v>
      </c>
      <c r="H63" s="612">
        <v>0</v>
      </c>
      <c r="I63" s="593">
        <v>0</v>
      </c>
      <c r="J63" s="593">
        <v>0</v>
      </c>
      <c r="K63" s="593">
        <v>0</v>
      </c>
      <c r="L63" s="612">
        <v>0</v>
      </c>
      <c r="M63" s="593">
        <v>0</v>
      </c>
      <c r="N63" s="593">
        <v>0</v>
      </c>
      <c r="O63" s="593">
        <v>0</v>
      </c>
      <c r="P63" s="612">
        <v>0</v>
      </c>
      <c r="Q63" s="593">
        <v>0</v>
      </c>
      <c r="R63" s="593">
        <v>0</v>
      </c>
      <c r="S63" s="593">
        <v>0</v>
      </c>
      <c r="T63" s="612">
        <v>0</v>
      </c>
      <c r="U63" s="593">
        <v>0</v>
      </c>
      <c r="V63" s="593">
        <v>0</v>
      </c>
      <c r="W63" s="593">
        <v>0</v>
      </c>
      <c r="X63" s="612">
        <v>0</v>
      </c>
      <c r="Y63" s="593">
        <v>0</v>
      </c>
      <c r="Z63" s="593">
        <v>0</v>
      </c>
      <c r="AA63" s="593">
        <v>0</v>
      </c>
      <c r="AB63" s="612">
        <v>0</v>
      </c>
      <c r="AC63" s="593">
        <v>0</v>
      </c>
      <c r="AD63" s="593">
        <v>0</v>
      </c>
      <c r="AE63" s="593">
        <v>0</v>
      </c>
      <c r="AF63" s="612">
        <v>0</v>
      </c>
      <c r="AG63" s="593">
        <v>0</v>
      </c>
      <c r="AH63" s="593">
        <v>0</v>
      </c>
      <c r="AI63" s="593">
        <v>0</v>
      </c>
      <c r="AJ63" s="612">
        <v>0</v>
      </c>
      <c r="AK63" s="593">
        <v>0</v>
      </c>
      <c r="AL63" s="593">
        <v>-4.2</v>
      </c>
      <c r="AM63" s="593">
        <v>0.5</v>
      </c>
      <c r="AN63" s="612">
        <v>0</v>
      </c>
      <c r="AO63" s="593">
        <v>-0.8</v>
      </c>
      <c r="AP63" s="593">
        <v>0</v>
      </c>
      <c r="AQ63" s="594">
        <v>-7.7</v>
      </c>
      <c r="AR63" s="612">
        <v>-6.9</v>
      </c>
      <c r="AS63" s="593">
        <v>0</v>
      </c>
      <c r="AT63" s="593">
        <v>0</v>
      </c>
      <c r="AU63" s="593">
        <v>4.7</v>
      </c>
      <c r="AV63" s="612">
        <v>-0.3</v>
      </c>
      <c r="AW63" s="593">
        <v>-3.7</v>
      </c>
      <c r="AX63" s="593">
        <v>-4</v>
      </c>
      <c r="AY63" s="594">
        <f>-0.1-8.4</f>
        <v>-8.5</v>
      </c>
      <c r="AZ63" s="612">
        <v>0</v>
      </c>
      <c r="BA63" s="593">
        <v>0</v>
      </c>
      <c r="BB63" s="593">
        <v>-0.2</v>
      </c>
      <c r="BC63" s="594">
        <f>-3.3+4.2</f>
        <v>0.90000000000000036</v>
      </c>
      <c r="BD63" s="612">
        <v>-2.5</v>
      </c>
      <c r="BE63" s="593">
        <v>-2</v>
      </c>
      <c r="BF63" s="593">
        <v>-17.8</v>
      </c>
      <c r="BG63" s="594">
        <f>-6.8-3.5</f>
        <v>-10.3</v>
      </c>
      <c r="BH63" s="612">
        <v>-1</v>
      </c>
      <c r="BI63" s="1406">
        <f>-0.7-4.1</f>
        <v>-4.8</v>
      </c>
      <c r="BJ63" s="1406">
        <f>-0.5-2.2</f>
        <v>-2.7</v>
      </c>
      <c r="BK63" s="1407">
        <f>-3.7-1+0.7</f>
        <v>-4</v>
      </c>
      <c r="BL63" s="493">
        <v>0</v>
      </c>
      <c r="BM63" s="27">
        <v>0</v>
      </c>
      <c r="BN63" s="27">
        <v>0</v>
      </c>
      <c r="BO63" s="28">
        <v>0</v>
      </c>
      <c r="BP63" s="493">
        <v>0</v>
      </c>
      <c r="BQ63" s="27">
        <v>0</v>
      </c>
      <c r="BR63" s="27">
        <v>0</v>
      </c>
      <c r="BS63" s="28">
        <v>0</v>
      </c>
      <c r="BT63" s="493">
        <v>0</v>
      </c>
      <c r="BU63" s="27">
        <v>0</v>
      </c>
      <c r="BV63" s="27">
        <v>0</v>
      </c>
      <c r="BW63" s="28">
        <v>0</v>
      </c>
      <c r="BX63" s="211"/>
      <c r="BY63" s="595">
        <f>SUM(D63:G63)</f>
        <v>0</v>
      </c>
      <c r="BZ63" s="595">
        <f>SUM(H63:K63)</f>
        <v>0</v>
      </c>
      <c r="CA63" s="595">
        <f>SUM(L63:O63)</f>
        <v>0</v>
      </c>
      <c r="CB63" s="595">
        <f>SUM(P63:S63)</f>
        <v>0</v>
      </c>
      <c r="CC63" s="595">
        <f>SUM(T63:W63)</f>
        <v>0</v>
      </c>
      <c r="CD63" s="595">
        <f>SUM(X63:AA63)</f>
        <v>0</v>
      </c>
      <c r="CE63" s="1408">
        <f>SUM(AB63:AE63)</f>
        <v>0</v>
      </c>
      <c r="CF63" s="1408">
        <f>SUM(AF63:AI63)</f>
        <v>0</v>
      </c>
      <c r="CG63" s="1408">
        <f>SUM(AJ63:AM63)</f>
        <v>-3.7</v>
      </c>
      <c r="CH63" s="1408">
        <f>SUM(AN63:AQ63)</f>
        <v>-8.5</v>
      </c>
      <c r="CI63" s="1408">
        <f>SUM(AR63:AU63)</f>
        <v>-2.2000000000000002</v>
      </c>
      <c r="CJ63" s="1408">
        <f>SUM(AV63:AY63)</f>
        <v>-16.5</v>
      </c>
      <c r="CK63" s="1408">
        <f>SUM(AZ63:BC63)</f>
        <v>0.7000000000000004</v>
      </c>
      <c r="CL63" s="1408">
        <f>SUM(BD63:BG63)</f>
        <v>-32.6</v>
      </c>
      <c r="CM63" s="1408">
        <f>SUM(BH63:BK63)</f>
        <v>-12.5</v>
      </c>
      <c r="CN63" s="1408">
        <f>SUM(BL63:BO63)</f>
        <v>0</v>
      </c>
      <c r="CO63" s="1408">
        <f>SUM(BP63:BS63)</f>
        <v>0</v>
      </c>
      <c r="CP63" s="1409">
        <f>SUM(BT63:BW63)</f>
        <v>0</v>
      </c>
      <c r="CQ63" s="22"/>
    </row>
    <row r="64" spans="1:95" ht="14.25" hidden="1" customHeight="1" outlineLevel="1">
      <c r="A64" s="9"/>
      <c r="B64" s="459"/>
      <c r="C64" s="33"/>
      <c r="D64" s="34"/>
      <c r="E64" s="34"/>
      <c r="F64" s="585"/>
      <c r="G64" s="585"/>
      <c r="H64" s="36"/>
      <c r="I64" s="34"/>
      <c r="J64" s="585"/>
      <c r="K64" s="585"/>
      <c r="L64" s="36"/>
      <c r="M64" s="34"/>
      <c r="N64" s="585"/>
      <c r="O64" s="585"/>
      <c r="P64" s="36"/>
      <c r="Q64" s="34"/>
      <c r="R64" s="585"/>
      <c r="S64" s="585"/>
      <c r="T64" s="36"/>
      <c r="U64" s="34"/>
      <c r="V64" s="585"/>
      <c r="W64" s="779"/>
      <c r="X64" s="36"/>
      <c r="Y64" s="34"/>
      <c r="Z64" s="585"/>
      <c r="AA64" s="585"/>
      <c r="AB64" s="36"/>
      <c r="AC64" s="34"/>
      <c r="AD64" s="585"/>
      <c r="AE64" s="585"/>
      <c r="AF64" s="36"/>
      <c r="AG64" s="34"/>
      <c r="AH64" s="585"/>
      <c r="AI64" s="585"/>
      <c r="AJ64" s="36"/>
      <c r="AK64" s="34"/>
      <c r="AL64" s="585"/>
      <c r="AM64" s="585"/>
      <c r="AN64" s="36"/>
      <c r="AO64" s="34"/>
      <c r="AP64" s="585"/>
      <c r="AQ64" s="586"/>
      <c r="AR64" s="36"/>
      <c r="AS64" s="34"/>
      <c r="AT64" s="585"/>
      <c r="AU64" s="585"/>
      <c r="AV64" s="36"/>
      <c r="AW64" s="34"/>
      <c r="AX64" s="585"/>
      <c r="AY64" s="586"/>
      <c r="AZ64" s="36"/>
      <c r="BA64" s="34"/>
      <c r="BB64" s="585"/>
      <c r="BC64" s="586"/>
      <c r="BD64" s="36"/>
      <c r="BE64" s="34"/>
      <c r="BF64" s="34"/>
      <c r="BG64" s="586"/>
      <c r="BH64" s="36"/>
      <c r="BI64" s="1393"/>
      <c r="BJ64" s="1393"/>
      <c r="BK64" s="586"/>
      <c r="BL64" s="1395"/>
      <c r="BM64" s="1393"/>
      <c r="BN64" s="1393"/>
      <c r="BO64" s="1394"/>
      <c r="BP64" s="1395"/>
      <c r="BQ64" s="1393"/>
      <c r="BR64" s="1393"/>
      <c r="BS64" s="1394"/>
      <c r="BT64" s="1395"/>
      <c r="BU64" s="1393"/>
      <c r="BV64" s="1393"/>
      <c r="BW64" s="1394"/>
      <c r="BX64" s="211"/>
      <c r="BY64" s="585"/>
      <c r="BZ64" s="585"/>
      <c r="CA64" s="585"/>
      <c r="CB64" s="585"/>
      <c r="CC64" s="585"/>
      <c r="CD64" s="585"/>
      <c r="CE64" s="585"/>
      <c r="CF64" s="585"/>
      <c r="CG64" s="585"/>
      <c r="CH64" s="585"/>
      <c r="CI64" s="585"/>
      <c r="CJ64" s="585"/>
      <c r="CK64" s="585"/>
      <c r="CL64" s="585"/>
      <c r="CM64" s="585"/>
      <c r="CN64" s="585"/>
      <c r="CO64" s="585"/>
      <c r="CP64" s="586"/>
      <c r="CQ64" s="22"/>
    </row>
    <row r="65" spans="1:95" ht="14.25" customHeight="1" collapsed="1">
      <c r="A65" s="546"/>
      <c r="B65" s="547" t="s">
        <v>97</v>
      </c>
      <c r="C65" s="548"/>
      <c r="D65" s="605">
        <f t="shared" ref="D65:AI65" si="164">D28+D38+D48+D58</f>
        <v>59.800000000000004</v>
      </c>
      <c r="E65" s="605">
        <f t="shared" si="164"/>
        <v>92.2</v>
      </c>
      <c r="F65" s="605">
        <f t="shared" si="164"/>
        <v>47.1</v>
      </c>
      <c r="G65" s="605">
        <f t="shared" si="164"/>
        <v>85.699999999999989</v>
      </c>
      <c r="H65" s="633">
        <f t="shared" si="164"/>
        <v>72.199999999999989</v>
      </c>
      <c r="I65" s="605">
        <f t="shared" si="164"/>
        <v>64.3</v>
      </c>
      <c r="J65" s="605">
        <f t="shared" si="164"/>
        <v>59.5</v>
      </c>
      <c r="K65" s="605">
        <f t="shared" si="164"/>
        <v>64</v>
      </c>
      <c r="L65" s="633">
        <f t="shared" si="164"/>
        <v>63.900000000000006</v>
      </c>
      <c r="M65" s="605">
        <f t="shared" si="164"/>
        <v>62.199999999999996</v>
      </c>
      <c r="N65" s="605">
        <f t="shared" si="164"/>
        <v>61.900000000000006</v>
      </c>
      <c r="O65" s="605">
        <f t="shared" si="164"/>
        <v>62.9</v>
      </c>
      <c r="P65" s="633">
        <f t="shared" si="164"/>
        <v>64.8</v>
      </c>
      <c r="Q65" s="605">
        <f t="shared" si="164"/>
        <v>72.5</v>
      </c>
      <c r="R65" s="605">
        <f t="shared" si="164"/>
        <v>72.199999999999989</v>
      </c>
      <c r="S65" s="605">
        <f t="shared" si="164"/>
        <v>62.5</v>
      </c>
      <c r="T65" s="633">
        <f t="shared" si="164"/>
        <v>73.900000000000006</v>
      </c>
      <c r="U65" s="605">
        <f t="shared" si="164"/>
        <v>74.5</v>
      </c>
      <c r="V65" s="605">
        <f t="shared" si="164"/>
        <v>82.4</v>
      </c>
      <c r="W65" s="605">
        <f t="shared" si="164"/>
        <v>82.5</v>
      </c>
      <c r="X65" s="633">
        <f t="shared" si="164"/>
        <v>115.8</v>
      </c>
      <c r="Y65" s="605">
        <f t="shared" si="164"/>
        <v>158.20000000000002</v>
      </c>
      <c r="Z65" s="605">
        <f t="shared" si="164"/>
        <v>148</v>
      </c>
      <c r="AA65" s="605">
        <f t="shared" si="164"/>
        <v>689.40000000000009</v>
      </c>
      <c r="AB65" s="633">
        <f t="shared" si="164"/>
        <v>116.69999999999999</v>
      </c>
      <c r="AC65" s="605">
        <f t="shared" si="164"/>
        <v>124.5</v>
      </c>
      <c r="AD65" s="605">
        <f t="shared" si="164"/>
        <v>126.10000000000001</v>
      </c>
      <c r="AE65" s="605">
        <f t="shared" si="164"/>
        <v>110.80000000000001</v>
      </c>
      <c r="AF65" s="633">
        <f t="shared" si="164"/>
        <v>143.9</v>
      </c>
      <c r="AG65" s="605">
        <f t="shared" si="164"/>
        <v>142.29999999999998</v>
      </c>
      <c r="AH65" s="605">
        <f t="shared" si="164"/>
        <v>138.80000000000001</v>
      </c>
      <c r="AI65" s="605">
        <f t="shared" si="164"/>
        <v>156.80000000000001</v>
      </c>
      <c r="AJ65" s="633">
        <f t="shared" ref="AJ65:BO65" si="165">AJ28+AJ38+AJ48+AJ58</f>
        <v>209.7</v>
      </c>
      <c r="AK65" s="605">
        <f t="shared" si="165"/>
        <v>209.2</v>
      </c>
      <c r="AL65" s="605">
        <f t="shared" si="165"/>
        <v>267.8</v>
      </c>
      <c r="AM65" s="605">
        <f t="shared" si="165"/>
        <v>208.70000000000002</v>
      </c>
      <c r="AN65" s="633">
        <f t="shared" si="165"/>
        <v>201.6</v>
      </c>
      <c r="AO65" s="605">
        <f t="shared" si="165"/>
        <v>231.40000000000003</v>
      </c>
      <c r="AP65" s="605">
        <f t="shared" si="165"/>
        <v>193.40000000000003</v>
      </c>
      <c r="AQ65" s="606">
        <f t="shared" si="165"/>
        <v>341.8</v>
      </c>
      <c r="AR65" s="633">
        <f t="shared" si="165"/>
        <v>166.79999999999998</v>
      </c>
      <c r="AS65" s="605">
        <f t="shared" si="165"/>
        <v>180.9</v>
      </c>
      <c r="AT65" s="605">
        <f t="shared" si="165"/>
        <v>181.89999999999998</v>
      </c>
      <c r="AU65" s="605">
        <f t="shared" si="165"/>
        <v>190.6</v>
      </c>
      <c r="AV65" s="633">
        <f t="shared" si="165"/>
        <v>177.5</v>
      </c>
      <c r="AW65" s="605">
        <f t="shared" si="165"/>
        <v>191.3</v>
      </c>
      <c r="AX65" s="605">
        <f t="shared" si="165"/>
        <v>226.5</v>
      </c>
      <c r="AY65" s="606">
        <f t="shared" si="165"/>
        <v>257.59999999999997</v>
      </c>
      <c r="AZ65" s="633">
        <f t="shared" si="165"/>
        <v>231.99999999999997</v>
      </c>
      <c r="BA65" s="605">
        <f t="shared" si="165"/>
        <v>236.60000000000002</v>
      </c>
      <c r="BB65" s="605">
        <f t="shared" si="165"/>
        <v>239.1</v>
      </c>
      <c r="BC65" s="606">
        <f t="shared" si="165"/>
        <v>224.4</v>
      </c>
      <c r="BD65" s="633">
        <f t="shared" si="165"/>
        <v>217.1</v>
      </c>
      <c r="BE65" s="600">
        <f t="shared" si="165"/>
        <v>232.6</v>
      </c>
      <c r="BF65" s="600">
        <f t="shared" si="165"/>
        <v>282.29999999999995</v>
      </c>
      <c r="BG65" s="606">
        <f t="shared" si="165"/>
        <v>328.8</v>
      </c>
      <c r="BH65" s="628">
        <f t="shared" ref="BH65:BI65" si="166">BH28+BH38+BH48+BH58</f>
        <v>319.89999999999998</v>
      </c>
      <c r="BI65" s="1410">
        <f t="shared" si="166"/>
        <v>337.90000000000003</v>
      </c>
      <c r="BJ65" s="1410">
        <f t="shared" si="165"/>
        <v>346.9</v>
      </c>
      <c r="BK65" s="606">
        <f t="shared" ref="BK65" si="167">BK28+BK38+BK48+BK58</f>
        <v>348.2</v>
      </c>
      <c r="BL65" s="1419">
        <f t="shared" si="165"/>
        <v>329.61988388384782</v>
      </c>
      <c r="BM65" s="1410">
        <f t="shared" si="165"/>
        <v>305.96426089631933</v>
      </c>
      <c r="BN65" s="1410">
        <f t="shared" si="165"/>
        <v>309.2112420459124</v>
      </c>
      <c r="BO65" s="1411">
        <f t="shared" si="165"/>
        <v>307.30379186519366</v>
      </c>
      <c r="BP65" s="1419">
        <f t="shared" ref="BP65:BS65" si="168">BP28+BP38+BP48+BP58</f>
        <v>307.30379186519366</v>
      </c>
      <c r="BQ65" s="1410">
        <f t="shared" si="168"/>
        <v>312.18909005101773</v>
      </c>
      <c r="BR65" s="1410">
        <f t="shared" si="168"/>
        <v>315.07300094912904</v>
      </c>
      <c r="BS65" s="1411">
        <f t="shared" si="168"/>
        <v>312.74456664378658</v>
      </c>
      <c r="BT65" s="1419">
        <f t="shared" ref="BT65:BW65" si="169">BT28+BT38+BT48+BT58</f>
        <v>312.74456664378658</v>
      </c>
      <c r="BU65" s="1410">
        <f t="shared" si="169"/>
        <v>317.7046566044375</v>
      </c>
      <c r="BV65" s="1410">
        <f t="shared" si="169"/>
        <v>320.50867778005238</v>
      </c>
      <c r="BW65" s="1411">
        <f t="shared" si="169"/>
        <v>318.18766281252266</v>
      </c>
      <c r="BX65" s="1189"/>
      <c r="BY65" s="600">
        <f t="shared" ref="BY65:CN65" si="170">BY28+BY38+BY48+BY58</f>
        <v>284.8</v>
      </c>
      <c r="BZ65" s="600">
        <f t="shared" si="170"/>
        <v>260</v>
      </c>
      <c r="CA65" s="600">
        <f t="shared" si="170"/>
        <v>250.9</v>
      </c>
      <c r="CB65" s="600">
        <f t="shared" si="170"/>
        <v>272</v>
      </c>
      <c r="CC65" s="600">
        <f t="shared" si="170"/>
        <v>313.3</v>
      </c>
      <c r="CD65" s="600">
        <f t="shared" si="170"/>
        <v>1111.4000000000001</v>
      </c>
      <c r="CE65" s="1410">
        <f t="shared" si="170"/>
        <v>478.1</v>
      </c>
      <c r="CF65" s="1410">
        <f t="shared" si="170"/>
        <v>581.79999999999995</v>
      </c>
      <c r="CG65" s="1410">
        <f t="shared" si="170"/>
        <v>895.4</v>
      </c>
      <c r="CH65" s="1410">
        <f t="shared" si="170"/>
        <v>968.2</v>
      </c>
      <c r="CI65" s="1410">
        <f t="shared" si="170"/>
        <v>720.2</v>
      </c>
      <c r="CJ65" s="1410">
        <f t="shared" si="170"/>
        <v>852.9</v>
      </c>
      <c r="CK65" s="1410">
        <f t="shared" si="170"/>
        <v>932.09999999999991</v>
      </c>
      <c r="CL65" s="1410">
        <f t="shared" si="170"/>
        <v>1060.8000000000002</v>
      </c>
      <c r="CM65" s="1410">
        <f t="shared" si="170"/>
        <v>1352.8999999999999</v>
      </c>
      <c r="CN65" s="1410">
        <f t="shared" si="170"/>
        <v>1252.0991786912732</v>
      </c>
      <c r="CO65" s="1410">
        <f t="shared" ref="CO65:CP65" si="171">CO28+CO38+CO48+CO58</f>
        <v>1247.310449509127</v>
      </c>
      <c r="CP65" s="1411">
        <f t="shared" si="171"/>
        <v>1269.1455638407992</v>
      </c>
      <c r="CQ65" s="1470"/>
    </row>
    <row r="66" spans="1:95" ht="14.25" hidden="1" customHeight="1" outlineLevel="1">
      <c r="A66" s="432"/>
      <c r="B66" s="492" t="s">
        <v>83</v>
      </c>
      <c r="C66" s="433"/>
      <c r="D66" s="595">
        <f t="shared" ref="D66:AI66" si="172">D35+D45+D55+D63</f>
        <v>56.800000000000004</v>
      </c>
      <c r="E66" s="595">
        <f t="shared" si="172"/>
        <v>54.7</v>
      </c>
      <c r="F66" s="595">
        <f t="shared" si="172"/>
        <v>50.4</v>
      </c>
      <c r="G66" s="595">
        <f t="shared" si="172"/>
        <v>55.8</v>
      </c>
      <c r="H66" s="627">
        <f t="shared" si="172"/>
        <v>59.099999999999994</v>
      </c>
      <c r="I66" s="595">
        <f t="shared" si="172"/>
        <v>63.4</v>
      </c>
      <c r="J66" s="595">
        <f t="shared" si="172"/>
        <v>59.5</v>
      </c>
      <c r="K66" s="595">
        <f t="shared" si="172"/>
        <v>58.4</v>
      </c>
      <c r="L66" s="627">
        <f t="shared" si="172"/>
        <v>62.800000000000004</v>
      </c>
      <c r="M66" s="595">
        <f t="shared" si="172"/>
        <v>59.4</v>
      </c>
      <c r="N66" s="595">
        <f t="shared" si="172"/>
        <v>61.7</v>
      </c>
      <c r="O66" s="595">
        <f t="shared" si="172"/>
        <v>63.699999999999996</v>
      </c>
      <c r="P66" s="627">
        <f t="shared" si="172"/>
        <v>63.3</v>
      </c>
      <c r="Q66" s="595">
        <f t="shared" si="172"/>
        <v>67.400000000000006</v>
      </c>
      <c r="R66" s="595">
        <f t="shared" si="172"/>
        <v>70</v>
      </c>
      <c r="S66" s="595">
        <f t="shared" si="172"/>
        <v>70.5</v>
      </c>
      <c r="T66" s="627">
        <f t="shared" si="172"/>
        <v>71.599999999999994</v>
      </c>
      <c r="U66" s="595">
        <f t="shared" si="172"/>
        <v>72.099999999999994</v>
      </c>
      <c r="V66" s="595">
        <f t="shared" si="172"/>
        <v>77.5</v>
      </c>
      <c r="W66" s="595">
        <f t="shared" si="172"/>
        <v>77.3</v>
      </c>
      <c r="X66" s="627">
        <f t="shared" si="172"/>
        <v>84.600000000000009</v>
      </c>
      <c r="Y66" s="595">
        <f t="shared" si="172"/>
        <v>131.30000000000001</v>
      </c>
      <c r="Z66" s="595">
        <f t="shared" si="172"/>
        <v>130.9</v>
      </c>
      <c r="AA66" s="595">
        <f t="shared" si="172"/>
        <v>124.8</v>
      </c>
      <c r="AB66" s="627">
        <f t="shared" si="172"/>
        <v>99.899999999999991</v>
      </c>
      <c r="AC66" s="595">
        <f t="shared" si="172"/>
        <v>109.1</v>
      </c>
      <c r="AD66" s="595">
        <f t="shared" si="172"/>
        <v>110.9</v>
      </c>
      <c r="AE66" s="595">
        <f t="shared" si="172"/>
        <v>104.30000000000001</v>
      </c>
      <c r="AF66" s="627">
        <f t="shared" si="172"/>
        <v>132.30000000000001</v>
      </c>
      <c r="AG66" s="595">
        <f t="shared" si="172"/>
        <v>131.89999999999998</v>
      </c>
      <c r="AH66" s="595">
        <f t="shared" si="172"/>
        <v>130</v>
      </c>
      <c r="AI66" s="595">
        <f t="shared" si="172"/>
        <v>129.30000000000001</v>
      </c>
      <c r="AJ66" s="627">
        <f t="shared" ref="AJ66:BO66" si="173">AJ35+AJ45+AJ55+AJ63</f>
        <v>187.6</v>
      </c>
      <c r="AK66" s="595">
        <f t="shared" si="173"/>
        <v>192.7</v>
      </c>
      <c r="AL66" s="595">
        <f t="shared" si="173"/>
        <v>187.60000000000002</v>
      </c>
      <c r="AM66" s="595">
        <f t="shared" si="173"/>
        <v>178.4</v>
      </c>
      <c r="AN66" s="627">
        <f t="shared" si="173"/>
        <v>179</v>
      </c>
      <c r="AO66" s="595">
        <f t="shared" si="173"/>
        <v>184.9</v>
      </c>
      <c r="AP66" s="595">
        <f t="shared" si="173"/>
        <v>171.10000000000002</v>
      </c>
      <c r="AQ66" s="596">
        <f t="shared" si="173"/>
        <v>165.50000000000003</v>
      </c>
      <c r="AR66" s="627">
        <f t="shared" si="173"/>
        <v>157.49999999999997</v>
      </c>
      <c r="AS66" s="595">
        <f t="shared" si="173"/>
        <v>166.6</v>
      </c>
      <c r="AT66" s="595">
        <f t="shared" si="173"/>
        <v>162.69999999999999</v>
      </c>
      <c r="AU66" s="595">
        <f t="shared" si="173"/>
        <v>164.89999999999998</v>
      </c>
      <c r="AV66" s="627">
        <f t="shared" si="173"/>
        <v>163.19999999999999</v>
      </c>
      <c r="AW66" s="595">
        <f t="shared" si="173"/>
        <v>173.10000000000002</v>
      </c>
      <c r="AX66" s="595">
        <f t="shared" si="173"/>
        <v>189</v>
      </c>
      <c r="AY66" s="596">
        <f t="shared" si="173"/>
        <v>205.7</v>
      </c>
      <c r="AZ66" s="627">
        <f t="shared" si="173"/>
        <v>200.39999999999998</v>
      </c>
      <c r="BA66" s="595">
        <f t="shared" si="173"/>
        <v>195.8</v>
      </c>
      <c r="BB66" s="595">
        <f t="shared" si="173"/>
        <v>201.9</v>
      </c>
      <c r="BC66" s="596">
        <f t="shared" si="173"/>
        <v>185.9</v>
      </c>
      <c r="BD66" s="627">
        <f t="shared" si="173"/>
        <v>189.2</v>
      </c>
      <c r="BE66" s="595">
        <f t="shared" si="173"/>
        <v>199.7</v>
      </c>
      <c r="BF66" s="595">
        <f t="shared" si="173"/>
        <v>217.99999999999997</v>
      </c>
      <c r="BG66" s="596">
        <f t="shared" si="173"/>
        <v>281.10000000000002</v>
      </c>
      <c r="BH66" s="627">
        <f>BH35+BH45+BH55+BH63</f>
        <v>284.89999999999998</v>
      </c>
      <c r="BI66" s="1408">
        <f t="shared" ref="BI66" si="174">BI35+BI45+BI55+BI63</f>
        <v>296.8</v>
      </c>
      <c r="BJ66" s="1408">
        <f t="shared" si="173"/>
        <v>295.7</v>
      </c>
      <c r="BK66" s="1409">
        <f t="shared" ref="BK66" si="175">BK35+BK45+BK55+BK63</f>
        <v>305.3</v>
      </c>
      <c r="BL66" s="1418">
        <f t="shared" si="173"/>
        <v>299.61988388384782</v>
      </c>
      <c r="BM66" s="1408">
        <f t="shared" si="173"/>
        <v>305.96426089631933</v>
      </c>
      <c r="BN66" s="1408">
        <f t="shared" si="173"/>
        <v>309.2112420459124</v>
      </c>
      <c r="BO66" s="1409">
        <f t="shared" si="173"/>
        <v>307.30379186519366</v>
      </c>
      <c r="BP66" s="1418">
        <f t="shared" ref="BP66:BS66" si="176">BP35+BP45+BP55+BP63</f>
        <v>307.30379186519366</v>
      </c>
      <c r="BQ66" s="1408">
        <f t="shared" si="176"/>
        <v>312.18909005101773</v>
      </c>
      <c r="BR66" s="1408">
        <f t="shared" si="176"/>
        <v>315.07300094912904</v>
      </c>
      <c r="BS66" s="1409">
        <f t="shared" si="176"/>
        <v>312.74456664378658</v>
      </c>
      <c r="BT66" s="1418">
        <f t="shared" ref="BT66:BW66" si="177">BT35+BT45+BT55+BT63</f>
        <v>312.74456664378658</v>
      </c>
      <c r="BU66" s="1408">
        <f t="shared" si="177"/>
        <v>317.7046566044375</v>
      </c>
      <c r="BV66" s="1408">
        <f t="shared" si="177"/>
        <v>320.50867778005238</v>
      </c>
      <c r="BW66" s="1409">
        <f t="shared" si="177"/>
        <v>318.18766281252266</v>
      </c>
      <c r="BX66" s="1236"/>
      <c r="BY66" s="595">
        <f t="shared" ref="BY66:CN66" si="178">BY35+BY45+BY55+BY63</f>
        <v>217.7</v>
      </c>
      <c r="BZ66" s="595">
        <f t="shared" si="178"/>
        <v>240.39999999999998</v>
      </c>
      <c r="CA66" s="595">
        <f t="shared" si="178"/>
        <v>247.6</v>
      </c>
      <c r="CB66" s="595">
        <f t="shared" si="178"/>
        <v>271.19999999999993</v>
      </c>
      <c r="CC66" s="595">
        <f t="shared" si="178"/>
        <v>298.5</v>
      </c>
      <c r="CD66" s="595">
        <f t="shared" si="178"/>
        <v>471.59999999999997</v>
      </c>
      <c r="CE66" s="1408">
        <f t="shared" si="178"/>
        <v>424.20000000000005</v>
      </c>
      <c r="CF66" s="1408">
        <f t="shared" si="178"/>
        <v>523.5</v>
      </c>
      <c r="CG66" s="1408">
        <f t="shared" si="178"/>
        <v>746.3</v>
      </c>
      <c r="CH66" s="1408">
        <f t="shared" si="178"/>
        <v>700.5</v>
      </c>
      <c r="CI66" s="1408">
        <f t="shared" si="178"/>
        <v>651.69999999999993</v>
      </c>
      <c r="CJ66" s="1408">
        <f t="shared" si="178"/>
        <v>731</v>
      </c>
      <c r="CK66" s="1408">
        <f t="shared" si="178"/>
        <v>784</v>
      </c>
      <c r="CL66" s="1408">
        <f t="shared" si="178"/>
        <v>888.00000000000011</v>
      </c>
      <c r="CM66" s="1408">
        <f t="shared" si="178"/>
        <v>1182.6999999999998</v>
      </c>
      <c r="CN66" s="1408">
        <f t="shared" si="178"/>
        <v>1222.0991786912732</v>
      </c>
      <c r="CO66" s="1408">
        <f t="shared" ref="CO66:CP66" si="179">CO35+CO45+CO55+CO63</f>
        <v>1247.310449509127</v>
      </c>
      <c r="CP66" s="1409">
        <f t="shared" si="179"/>
        <v>1269.1455638407992</v>
      </c>
      <c r="CQ66" s="1468"/>
    </row>
    <row r="67" spans="1:95" ht="14.25" customHeight="1" collapsed="1">
      <c r="A67" s="9"/>
      <c r="B67" s="453"/>
      <c r="C67" s="24"/>
      <c r="D67" s="27"/>
      <c r="E67" s="27"/>
      <c r="F67" s="593"/>
      <c r="G67" s="593"/>
      <c r="H67" s="493"/>
      <c r="I67" s="27"/>
      <c r="J67" s="593"/>
      <c r="K67" s="593"/>
      <c r="L67" s="493"/>
      <c r="M67" s="27"/>
      <c r="N67" s="593"/>
      <c r="O67" s="593"/>
      <c r="P67" s="493"/>
      <c r="Q67" s="27"/>
      <c r="R67" s="593"/>
      <c r="S67" s="593"/>
      <c r="T67" s="493"/>
      <c r="U67" s="27"/>
      <c r="V67" s="593"/>
      <c r="W67" s="593"/>
      <c r="X67" s="493"/>
      <c r="Y67" s="27"/>
      <c r="Z67" s="593"/>
      <c r="AA67" s="593"/>
      <c r="AB67" s="493"/>
      <c r="AC67" s="27"/>
      <c r="AD67" s="593"/>
      <c r="AE67" s="593"/>
      <c r="AF67" s="493"/>
      <c r="AG67" s="27"/>
      <c r="AH67" s="593"/>
      <c r="AI67" s="593"/>
      <c r="AJ67" s="493"/>
      <c r="AK67" s="27"/>
      <c r="AL67" s="593"/>
      <c r="AM67" s="593"/>
      <c r="AN67" s="493"/>
      <c r="AO67" s="27"/>
      <c r="AP67" s="593"/>
      <c r="AQ67" s="594"/>
      <c r="AR67" s="493"/>
      <c r="AS67" s="1063"/>
      <c r="AT67" s="593"/>
      <c r="AU67" s="1080"/>
      <c r="AV67" s="1083"/>
      <c r="AW67" s="1080"/>
      <c r="AX67" s="1080"/>
      <c r="AY67" s="1084"/>
      <c r="AZ67" s="1083"/>
      <c r="BA67" s="1080"/>
      <c r="BB67" s="1080"/>
      <c r="BC67" s="1084"/>
      <c r="BD67" s="1083"/>
      <c r="BF67" s="1080"/>
      <c r="BG67" s="1084"/>
      <c r="BH67" s="41"/>
      <c r="BI67" s="1393">
        <f>BI66/BI8</f>
        <v>0.22182361733931241</v>
      </c>
      <c r="BJ67" s="231">
        <f t="shared" ref="BJ67:BS67" si="180">BJ66/BJ8</f>
        <v>0.21259616075922064</v>
      </c>
      <c r="BK67" s="1084"/>
      <c r="BL67" s="1395">
        <f t="shared" si="180"/>
        <v>0.21872347543126602</v>
      </c>
      <c r="BM67" s="1393">
        <f t="shared" si="180"/>
        <v>0.21420286562864529</v>
      </c>
      <c r="BN67" s="1393">
        <f t="shared" si="180"/>
        <v>0.21148130557703693</v>
      </c>
      <c r="BO67" s="1394">
        <f t="shared" si="180"/>
        <v>0.21396770395356352</v>
      </c>
      <c r="BP67" s="1395">
        <f t="shared" si="180"/>
        <v>0.21516142419708376</v>
      </c>
      <c r="BQ67" s="1393">
        <f t="shared" si="180"/>
        <v>0.21070720282623348</v>
      </c>
      <c r="BR67" s="1393">
        <f t="shared" si="180"/>
        <v>0.20813389536817736</v>
      </c>
      <c r="BS67" s="1394">
        <f t="shared" si="180"/>
        <v>0.21024816690806014</v>
      </c>
      <c r="BT67" s="1395">
        <f t="shared" ref="BT67:BW67" si="181">BT66/BT8</f>
        <v>0.2111157210489179</v>
      </c>
      <c r="BU67" s="1393">
        <f t="shared" si="181"/>
        <v>0.20675561507513898</v>
      </c>
      <c r="BV67" s="1393">
        <f t="shared" si="181"/>
        <v>0.20434109825554234</v>
      </c>
      <c r="BW67" s="1394">
        <f t="shared" si="181"/>
        <v>0.20637420510682472</v>
      </c>
      <c r="BX67" s="211"/>
      <c r="BY67" s="595"/>
      <c r="BZ67" s="595"/>
      <c r="CA67" s="595"/>
      <c r="CB67" s="595"/>
      <c r="CC67" s="595"/>
      <c r="CD67" s="595"/>
      <c r="CE67" s="1408"/>
      <c r="CF67" s="1408"/>
      <c r="CG67" s="1408"/>
      <c r="CH67" s="1408" t="s">
        <v>11</v>
      </c>
      <c r="CI67" s="1408"/>
      <c r="CJ67" s="1408"/>
      <c r="CK67" s="585"/>
      <c r="CL67" s="585"/>
      <c r="CM67" s="585"/>
      <c r="CN67" s="585"/>
      <c r="CO67" s="585"/>
      <c r="CP67" s="1394">
        <f t="shared" ref="CP67" si="182">CP66/CP8</f>
        <v>0.20709564227017221</v>
      </c>
      <c r="CQ67" s="22"/>
    </row>
    <row r="68" spans="1:95" ht="14.25" customHeight="1">
      <c r="A68" s="432"/>
      <c r="B68" s="461" t="s">
        <v>306</v>
      </c>
      <c r="C68" s="437"/>
      <c r="D68" s="600">
        <f t="shared" ref="D68:AI68" si="183">D22-D65</f>
        <v>15.000000000000007</v>
      </c>
      <c r="E68" s="600">
        <f t="shared" si="183"/>
        <v>-18.300000000000026</v>
      </c>
      <c r="F68" s="600">
        <f t="shared" si="183"/>
        <v>26.500000000000021</v>
      </c>
      <c r="G68" s="600">
        <f t="shared" si="183"/>
        <v>-7.2999999999999545</v>
      </c>
      <c r="H68" s="628">
        <f t="shared" si="183"/>
        <v>23.699999999999989</v>
      </c>
      <c r="I68" s="600">
        <f t="shared" si="183"/>
        <v>48.100000000000009</v>
      </c>
      <c r="J68" s="600">
        <f t="shared" si="183"/>
        <v>43.499999999999972</v>
      </c>
      <c r="K68" s="600">
        <f t="shared" si="183"/>
        <v>34.600000000000023</v>
      </c>
      <c r="L68" s="628">
        <f t="shared" si="183"/>
        <v>32.299999999999983</v>
      </c>
      <c r="M68" s="600">
        <f t="shared" si="183"/>
        <v>36.300000000000004</v>
      </c>
      <c r="N68" s="600">
        <f t="shared" si="183"/>
        <v>42.200000000000017</v>
      </c>
      <c r="O68" s="600">
        <f t="shared" si="183"/>
        <v>56.800000000000018</v>
      </c>
      <c r="P68" s="628">
        <f t="shared" si="183"/>
        <v>52.899999999999991</v>
      </c>
      <c r="Q68" s="600">
        <f t="shared" si="183"/>
        <v>80.700000000000017</v>
      </c>
      <c r="R68" s="600">
        <f t="shared" si="183"/>
        <v>88.199999999999989</v>
      </c>
      <c r="S68" s="600">
        <f t="shared" si="183"/>
        <v>95.200000000000017</v>
      </c>
      <c r="T68" s="628">
        <f t="shared" si="183"/>
        <v>62.699999999999989</v>
      </c>
      <c r="U68" s="600">
        <f t="shared" si="183"/>
        <v>71.5</v>
      </c>
      <c r="V68" s="600">
        <f t="shared" si="183"/>
        <v>73.19999999999996</v>
      </c>
      <c r="W68" s="600">
        <f t="shared" si="183"/>
        <v>69.799999999999983</v>
      </c>
      <c r="X68" s="628">
        <f t="shared" si="183"/>
        <v>30.799999999999969</v>
      </c>
      <c r="Y68" s="600">
        <f t="shared" si="183"/>
        <v>33.400000000000006</v>
      </c>
      <c r="Z68" s="600">
        <f t="shared" si="183"/>
        <v>73.600000000000023</v>
      </c>
      <c r="AA68" s="600">
        <f t="shared" si="183"/>
        <v>-503.7000000000001</v>
      </c>
      <c r="AB68" s="628">
        <f t="shared" si="183"/>
        <v>-4.5999999999999659</v>
      </c>
      <c r="AC68" s="600">
        <f t="shared" si="183"/>
        <v>13.699999999999989</v>
      </c>
      <c r="AD68" s="600">
        <f t="shared" si="183"/>
        <v>49.699999999999946</v>
      </c>
      <c r="AE68" s="600">
        <f t="shared" si="183"/>
        <v>83.800000000000011</v>
      </c>
      <c r="AF68" s="628">
        <f t="shared" si="183"/>
        <v>84.200000000000017</v>
      </c>
      <c r="AG68" s="600">
        <f t="shared" si="183"/>
        <v>101.49999999999997</v>
      </c>
      <c r="AH68" s="600">
        <f t="shared" si="183"/>
        <v>107.70000000000005</v>
      </c>
      <c r="AI68" s="600">
        <f t="shared" si="183"/>
        <v>80.800000000000011</v>
      </c>
      <c r="AJ68" s="628">
        <f t="shared" ref="AJ68:BO68" si="184">AJ22-AJ65</f>
        <v>32.699999999999989</v>
      </c>
      <c r="AK68" s="600">
        <f t="shared" si="184"/>
        <v>56.89999999999992</v>
      </c>
      <c r="AL68" s="600">
        <f t="shared" si="184"/>
        <v>-6.6999999999999886</v>
      </c>
      <c r="AM68" s="600">
        <f t="shared" si="184"/>
        <v>30.499999999999915</v>
      </c>
      <c r="AN68" s="628">
        <f t="shared" si="184"/>
        <v>43.599999999999994</v>
      </c>
      <c r="AO68" s="600">
        <f t="shared" si="184"/>
        <v>26.89999999999992</v>
      </c>
      <c r="AP68" s="600">
        <f t="shared" si="184"/>
        <v>44.599999999999966</v>
      </c>
      <c r="AQ68" s="601">
        <f t="shared" si="184"/>
        <v>-131.39999999999998</v>
      </c>
      <c r="AR68" s="628">
        <f t="shared" si="184"/>
        <v>37.700000000000017</v>
      </c>
      <c r="AS68" s="600">
        <f t="shared" si="184"/>
        <v>50.899999999999949</v>
      </c>
      <c r="AT68" s="600">
        <f t="shared" si="184"/>
        <v>67.300000000000011</v>
      </c>
      <c r="AU68" s="600">
        <f t="shared" si="184"/>
        <v>62.299999999999983</v>
      </c>
      <c r="AV68" s="628">
        <f t="shared" si="184"/>
        <v>73.300000000000011</v>
      </c>
      <c r="AW68" s="600">
        <f t="shared" si="184"/>
        <v>81.699999999999989</v>
      </c>
      <c r="AX68" s="600">
        <f t="shared" si="184"/>
        <v>57.600000000000023</v>
      </c>
      <c r="AY68" s="601">
        <f t="shared" si="184"/>
        <v>20.10000000000008</v>
      </c>
      <c r="AZ68" s="628">
        <f t="shared" si="184"/>
        <v>68.400000000000006</v>
      </c>
      <c r="BA68" s="600">
        <f t="shared" si="184"/>
        <v>67.799999999999955</v>
      </c>
      <c r="BB68" s="600">
        <f t="shared" si="184"/>
        <v>69.400000000000006</v>
      </c>
      <c r="BC68" s="601">
        <f t="shared" si="184"/>
        <v>55.499999999999972</v>
      </c>
      <c r="BD68" s="628">
        <f t="shared" si="184"/>
        <v>58.400000000000006</v>
      </c>
      <c r="BE68" s="600">
        <f t="shared" si="184"/>
        <v>75.299999999999983</v>
      </c>
      <c r="BF68" s="600">
        <f t="shared" si="184"/>
        <v>46.700000000000045</v>
      </c>
      <c r="BG68" s="601">
        <f t="shared" si="184"/>
        <v>55.699999999999989</v>
      </c>
      <c r="BH68" s="628">
        <f t="shared" ref="BH68:BI68" si="185">BH22-BH65</f>
        <v>183.40000000000009</v>
      </c>
      <c r="BI68" s="1410">
        <f t="shared" si="185"/>
        <v>154.19999999999999</v>
      </c>
      <c r="BJ68" s="1410">
        <f t="shared" si="184"/>
        <v>177.30000000000007</v>
      </c>
      <c r="BK68" s="1411">
        <f t="shared" ref="BK68" si="186">BK22-BK65</f>
        <v>166.00000000000006</v>
      </c>
      <c r="BL68" s="1419">
        <f t="shared" si="184"/>
        <v>186.18210511615223</v>
      </c>
      <c r="BM68" s="1410">
        <f t="shared" si="184"/>
        <v>236.20913112368061</v>
      </c>
      <c r="BN68" s="1410">
        <f t="shared" si="184"/>
        <v>246.57535071078769</v>
      </c>
      <c r="BO68" s="1411">
        <f t="shared" si="184"/>
        <v>236.31030375307745</v>
      </c>
      <c r="BP68" s="1419">
        <f t="shared" ref="BP68:BS68" si="187">BP22-BP65</f>
        <v>233.11112687518317</v>
      </c>
      <c r="BQ68" s="1410">
        <f t="shared" si="187"/>
        <v>254.58653623642681</v>
      </c>
      <c r="BR68" s="1410">
        <f t="shared" si="187"/>
        <v>273.52669741313429</v>
      </c>
      <c r="BS68" s="1411">
        <f t="shared" si="187"/>
        <v>265.57681913520321</v>
      </c>
      <c r="BT68" s="1419">
        <f t="shared" ref="BT68:BW68" si="188">BT22-BT65</f>
        <v>254.4124236815901</v>
      </c>
      <c r="BU68" s="1410">
        <f t="shared" si="188"/>
        <v>277.00340065184201</v>
      </c>
      <c r="BV68" s="1410">
        <f t="shared" si="188"/>
        <v>296.67248998062723</v>
      </c>
      <c r="BW68" s="1411">
        <f t="shared" si="188"/>
        <v>288.37227877434469</v>
      </c>
      <c r="BX68" s="1236"/>
      <c r="BY68" s="600">
        <f t="shared" ref="BY68:CN68" si="189">BY22-BY65</f>
        <v>15.899999999999807</v>
      </c>
      <c r="BZ68" s="600">
        <f t="shared" si="189"/>
        <v>149.90000000000009</v>
      </c>
      <c r="CA68" s="600">
        <f t="shared" si="189"/>
        <v>167.60000000000011</v>
      </c>
      <c r="CB68" s="600">
        <f t="shared" si="189"/>
        <v>316.99999999999977</v>
      </c>
      <c r="CC68" s="600">
        <f t="shared" si="189"/>
        <v>277.19999999999987</v>
      </c>
      <c r="CD68" s="600">
        <f t="shared" si="189"/>
        <v>-365.90000000000055</v>
      </c>
      <c r="CE68" s="1410">
        <f t="shared" si="189"/>
        <v>142.60000000000002</v>
      </c>
      <c r="CF68" s="1410">
        <f t="shared" si="189"/>
        <v>374.20000000000005</v>
      </c>
      <c r="CG68" s="1410">
        <f t="shared" si="189"/>
        <v>113.4000000000002</v>
      </c>
      <c r="CH68" s="1410">
        <f t="shared" si="189"/>
        <v>-16.300000000000409</v>
      </c>
      <c r="CI68" s="1410">
        <f t="shared" si="189"/>
        <v>218.19999999999959</v>
      </c>
      <c r="CJ68" s="1410">
        <f t="shared" si="189"/>
        <v>232.70000000000039</v>
      </c>
      <c r="CK68" s="1410">
        <f t="shared" si="189"/>
        <v>261.10000000000036</v>
      </c>
      <c r="CL68" s="1410">
        <f t="shared" si="189"/>
        <v>236.09999999999991</v>
      </c>
      <c r="CM68" s="1410">
        <f t="shared" si="189"/>
        <v>680.90000000000032</v>
      </c>
      <c r="CN68" s="1410">
        <f t="shared" si="189"/>
        <v>905.27689070369797</v>
      </c>
      <c r="CO68" s="1410">
        <f t="shared" ref="CO68:CP68" si="190">CO22-CO65</f>
        <v>1026.8011796599476</v>
      </c>
      <c r="CP68" s="1411">
        <f t="shared" si="190"/>
        <v>1116.4605930884031</v>
      </c>
      <c r="CQ68" s="1468"/>
    </row>
    <row r="69" spans="1:95" ht="14.25" customHeight="1">
      <c r="A69" s="9"/>
      <c r="B69" s="459" t="s">
        <v>374</v>
      </c>
      <c r="C69" s="33"/>
      <c r="D69" s="34">
        <f t="shared" ref="D69:AI69" si="191">D68/D8</f>
        <v>5.5658627087198542E-2</v>
      </c>
      <c r="E69" s="34">
        <f t="shared" si="191"/>
        <v>-7.1428571428571536E-2</v>
      </c>
      <c r="F69" s="34">
        <f t="shared" si="191"/>
        <v>0.10007552870090643</v>
      </c>
      <c r="G69" s="34">
        <f t="shared" si="191"/>
        <v>-2.6202440775304932E-2</v>
      </c>
      <c r="H69" s="36">
        <f t="shared" si="191"/>
        <v>7.6898118105126506E-2</v>
      </c>
      <c r="I69" s="34">
        <f t="shared" si="191"/>
        <v>0.14422788605697154</v>
      </c>
      <c r="J69" s="34">
        <f t="shared" si="191"/>
        <v>0.13662060301507531</v>
      </c>
      <c r="K69" s="34">
        <f t="shared" si="191"/>
        <v>0.11277705345501962</v>
      </c>
      <c r="L69" s="36">
        <f t="shared" si="191"/>
        <v>0.10681216931216926</v>
      </c>
      <c r="M69" s="34">
        <f t="shared" si="191"/>
        <v>0.11988110964332895</v>
      </c>
      <c r="N69" s="34">
        <f t="shared" si="191"/>
        <v>0.13456632653061229</v>
      </c>
      <c r="O69" s="34">
        <f t="shared" si="191"/>
        <v>0.16617905207723821</v>
      </c>
      <c r="P69" s="36">
        <f t="shared" si="191"/>
        <v>0.1583832335329341</v>
      </c>
      <c r="Q69" s="34">
        <f t="shared" si="191"/>
        <v>0.21502797761790571</v>
      </c>
      <c r="R69" s="34">
        <f t="shared" si="191"/>
        <v>0.20955096222380612</v>
      </c>
      <c r="S69" s="34">
        <f t="shared" si="191"/>
        <v>0.2370517928286853</v>
      </c>
      <c r="T69" s="36">
        <f t="shared" si="191"/>
        <v>0.16755745590593263</v>
      </c>
      <c r="U69" s="34">
        <f t="shared" si="191"/>
        <v>0.18756558237145857</v>
      </c>
      <c r="V69" s="34">
        <f t="shared" si="191"/>
        <v>0.18168279970215925</v>
      </c>
      <c r="W69" s="34">
        <f t="shared" si="191"/>
        <v>0.17112037264035299</v>
      </c>
      <c r="X69" s="36">
        <f t="shared" si="191"/>
        <v>7.3003081298885927E-2</v>
      </c>
      <c r="Y69" s="34">
        <f t="shared" si="191"/>
        <v>5.9356673182868316E-2</v>
      </c>
      <c r="Z69" s="34">
        <f t="shared" si="191"/>
        <v>0.12656921754084269</v>
      </c>
      <c r="AA69" s="34">
        <f t="shared" si="191"/>
        <v>-1.030693677102517</v>
      </c>
      <c r="AB69" s="36">
        <f t="shared" si="191"/>
        <v>-1.2134001582695769E-2</v>
      </c>
      <c r="AC69" s="34">
        <f t="shared" si="191"/>
        <v>3.2634587898999493E-2</v>
      </c>
      <c r="AD69" s="34">
        <f t="shared" si="191"/>
        <v>0.10509621484457592</v>
      </c>
      <c r="AE69" s="34">
        <f t="shared" si="191"/>
        <v>0.16857775095554217</v>
      </c>
      <c r="AF69" s="36">
        <f t="shared" si="191"/>
        <v>0.15303525990548894</v>
      </c>
      <c r="AG69" s="34">
        <f t="shared" si="191"/>
        <v>0.17400994342533854</v>
      </c>
      <c r="AH69" s="34">
        <f t="shared" si="191"/>
        <v>0.17929082736807064</v>
      </c>
      <c r="AI69" s="34">
        <f t="shared" si="191"/>
        <v>0.13950276243093923</v>
      </c>
      <c r="AJ69" s="36">
        <f t="shared" ref="AJ69:BO69" si="192">AJ68/AJ8</f>
        <v>3.7560303239145401E-2</v>
      </c>
      <c r="AK69" s="34">
        <f t="shared" si="192"/>
        <v>6.2817398984323161E-2</v>
      </c>
      <c r="AL69" s="34">
        <f t="shared" si="192"/>
        <v>-7.4610244988864019E-3</v>
      </c>
      <c r="AM69" s="34">
        <f t="shared" si="192"/>
        <v>3.9718713374137148E-2</v>
      </c>
      <c r="AN69" s="36">
        <f t="shared" si="192"/>
        <v>5.8570660934981186E-2</v>
      </c>
      <c r="AO69" s="34">
        <f t="shared" si="192"/>
        <v>3.6117078410311386E-2</v>
      </c>
      <c r="AP69" s="34">
        <f t="shared" si="192"/>
        <v>6.1474844934527866E-2</v>
      </c>
      <c r="AQ69" s="34">
        <f t="shared" si="192"/>
        <v>-0.19317847691855333</v>
      </c>
      <c r="AR69" s="36">
        <f t="shared" si="192"/>
        <v>5.7034795763993971E-2</v>
      </c>
      <c r="AS69" s="34">
        <f t="shared" si="192"/>
        <v>7.395031236379479E-2</v>
      </c>
      <c r="AT69" s="34">
        <f t="shared" si="192"/>
        <v>9.4073245736650837E-2</v>
      </c>
      <c r="AU69" s="34">
        <f t="shared" si="192"/>
        <v>8.6768802228412226E-2</v>
      </c>
      <c r="AV69" s="36">
        <f t="shared" si="192"/>
        <v>0.1037508846426044</v>
      </c>
      <c r="AW69" s="34">
        <f t="shared" si="192"/>
        <v>0.1078405491024287</v>
      </c>
      <c r="AX69" s="34">
        <f t="shared" si="192"/>
        <v>6.9106178764247184E-2</v>
      </c>
      <c r="AY69" s="35">
        <f t="shared" si="192"/>
        <v>2.3258504975700159E-2</v>
      </c>
      <c r="AZ69" s="36">
        <f t="shared" si="192"/>
        <v>7.8548461185117144E-2</v>
      </c>
      <c r="BA69" s="34">
        <f t="shared" si="192"/>
        <v>7.7001703577512723E-2</v>
      </c>
      <c r="BB69" s="34">
        <f t="shared" si="192"/>
        <v>7.6752930767529315E-2</v>
      </c>
      <c r="BC69" s="35">
        <f t="shared" si="192"/>
        <v>6.6047840057122428E-2</v>
      </c>
      <c r="BD69" s="36">
        <f t="shared" si="192"/>
        <v>7.1463534018600103E-2</v>
      </c>
      <c r="BE69" s="34">
        <f t="shared" si="192"/>
        <v>8.5782638414217349E-2</v>
      </c>
      <c r="BF69" s="34">
        <f t="shared" si="192"/>
        <v>4.9111368177516088E-2</v>
      </c>
      <c r="BG69" s="35">
        <f t="shared" si="192"/>
        <v>4.4171292624900861E-2</v>
      </c>
      <c r="BH69" s="36">
        <f t="shared" si="192"/>
        <v>0.12765365072736137</v>
      </c>
      <c r="BI69" s="1393">
        <f t="shared" ref="BI69" si="193">BI68/BI8</f>
        <v>0.11524663677130044</v>
      </c>
      <c r="BJ69" s="1393">
        <f t="shared" si="192"/>
        <v>0.12747142138183915</v>
      </c>
      <c r="BK69" s="1394">
        <f t="shared" ref="BK69" si="194">BK68/BK8</f>
        <v>0.12050816696914704</v>
      </c>
      <c r="BL69" s="1395">
        <f t="shared" si="192"/>
        <v>0.13591353339520271</v>
      </c>
      <c r="BM69" s="1393">
        <f t="shared" si="192"/>
        <v>0.16536791789381658</v>
      </c>
      <c r="BN69" s="1393">
        <f t="shared" si="192"/>
        <v>0.16864224193921892</v>
      </c>
      <c r="BO69" s="1394">
        <f t="shared" si="192"/>
        <v>0.16453676932432953</v>
      </c>
      <c r="BP69" s="1395">
        <f t="shared" ref="BP69:BS69" si="195">BP68/BP8</f>
        <v>0.16321478413990376</v>
      </c>
      <c r="BQ69" s="1393">
        <f t="shared" si="195"/>
        <v>0.17182924912216083</v>
      </c>
      <c r="BR69" s="1393">
        <f t="shared" si="195"/>
        <v>0.18068884623021131</v>
      </c>
      <c r="BS69" s="1394">
        <f t="shared" si="195"/>
        <v>0.17853879923691152</v>
      </c>
      <c r="BT69" s="1395">
        <f t="shared" ref="BT69:BW69" si="196">BT68/BT8</f>
        <v>0.1717390739853123</v>
      </c>
      <c r="BU69" s="1393">
        <f t="shared" si="196"/>
        <v>0.18026808008352249</v>
      </c>
      <c r="BV69" s="1393">
        <f t="shared" si="196"/>
        <v>0.18914427791702285</v>
      </c>
      <c r="BW69" s="1394">
        <f t="shared" si="196"/>
        <v>0.18703616375586535</v>
      </c>
      <c r="BX69" s="211"/>
      <c r="BY69" s="34">
        <f t="shared" ref="BY69:CO69" si="197">BY68/BY8</f>
        <v>1.4872322514264154E-2</v>
      </c>
      <c r="BZ69" s="34">
        <f t="shared" si="197"/>
        <v>0.11832030941668646</v>
      </c>
      <c r="CA69" s="34">
        <f t="shared" si="197"/>
        <v>0.13295256227193408</v>
      </c>
      <c r="CB69" s="34">
        <f t="shared" si="197"/>
        <v>0.20694607651129379</v>
      </c>
      <c r="CC69" s="34">
        <f t="shared" si="197"/>
        <v>0.1769888903077512</v>
      </c>
      <c r="CD69" s="34">
        <f t="shared" si="197"/>
        <v>-0.17807085847771101</v>
      </c>
      <c r="CE69" s="1393">
        <f t="shared" si="197"/>
        <v>8.0615071513369899E-2</v>
      </c>
      <c r="CF69" s="1393">
        <f t="shared" si="197"/>
        <v>0.1617532635947091</v>
      </c>
      <c r="CG69" s="1393">
        <f t="shared" si="197"/>
        <v>3.2943090375621008E-2</v>
      </c>
      <c r="CH69" s="1393">
        <f t="shared" si="197"/>
        <v>-5.6305917302844352E-3</v>
      </c>
      <c r="CI69" s="1393">
        <f t="shared" si="197"/>
        <v>7.8413052071728759E-2</v>
      </c>
      <c r="CJ69" s="1393">
        <f t="shared" si="197"/>
        <v>7.3597317983427279E-2</v>
      </c>
      <c r="CK69" s="1393">
        <f t="shared" si="197"/>
        <v>7.468962755306377E-2</v>
      </c>
      <c r="CL69" s="1393">
        <f t="shared" si="197"/>
        <v>6.0431544191046585E-2</v>
      </c>
      <c r="CM69" s="1393">
        <f t="shared" si="197"/>
        <v>0.12283740145406005</v>
      </c>
      <c r="CN69" s="1393">
        <f t="shared" si="197"/>
        <v>0.15891587980653382</v>
      </c>
      <c r="CO69" s="1393">
        <f t="shared" si="197"/>
        <v>0.17370510892872199</v>
      </c>
      <c r="CP69" s="1394">
        <f t="shared" ref="CP69" si="198">CP68/CP8</f>
        <v>0.18218093352133685</v>
      </c>
      <c r="CQ69" s="22"/>
    </row>
    <row r="70" spans="1:95" ht="14.25" hidden="1" customHeight="1" outlineLevel="1">
      <c r="A70" s="9"/>
      <c r="B70" s="461"/>
      <c r="C70" s="46"/>
      <c r="D70" s="600"/>
      <c r="E70" s="600"/>
      <c r="F70" s="600"/>
      <c r="G70" s="600"/>
      <c r="H70" s="628"/>
      <c r="I70" s="600"/>
      <c r="J70" s="600"/>
      <c r="K70" s="600"/>
      <c r="L70" s="628"/>
      <c r="M70" s="600"/>
      <c r="N70" s="600"/>
      <c r="O70" s="600"/>
      <c r="P70" s="628"/>
      <c r="Q70" s="600"/>
      <c r="R70" s="600"/>
      <c r="S70" s="600"/>
      <c r="T70" s="628"/>
      <c r="U70" s="600"/>
      <c r="V70" s="600"/>
      <c r="W70" s="600"/>
      <c r="X70" s="628"/>
      <c r="Y70" s="600"/>
      <c r="Z70" s="600"/>
      <c r="AA70" s="600"/>
      <c r="AB70" s="628"/>
      <c r="AC70" s="600"/>
      <c r="AD70" s="600"/>
      <c r="AE70" s="600"/>
      <c r="AF70" s="628"/>
      <c r="AG70" s="600"/>
      <c r="AH70" s="600"/>
      <c r="AI70" s="600"/>
      <c r="AJ70" s="628"/>
      <c r="AK70" s="600"/>
      <c r="AL70" s="600"/>
      <c r="AM70" s="600"/>
      <c r="AN70" s="628"/>
      <c r="AO70" s="600"/>
      <c r="AP70" s="600"/>
      <c r="AQ70" s="601"/>
      <c r="AR70" s="628"/>
      <c r="AS70" s="600"/>
      <c r="AT70" s="600"/>
      <c r="AU70" s="600"/>
      <c r="AV70" s="628"/>
      <c r="AW70" s="600"/>
      <c r="AX70" s="600"/>
      <c r="AY70" s="601"/>
      <c r="AZ70" s="628"/>
      <c r="BA70" s="600"/>
      <c r="BB70" s="600"/>
      <c r="BC70" s="601"/>
      <c r="BD70" s="628"/>
      <c r="BE70" s="600"/>
      <c r="BF70" s="47"/>
      <c r="BG70" s="601"/>
      <c r="BH70" s="1183"/>
      <c r="BI70" s="1410"/>
      <c r="BJ70" s="1410"/>
      <c r="BK70" s="1411"/>
      <c r="BL70" s="1183"/>
      <c r="BM70" s="47"/>
      <c r="BN70" s="47"/>
      <c r="BO70" s="1071"/>
      <c r="BP70" s="1183"/>
      <c r="BQ70" s="47"/>
      <c r="BR70" s="47"/>
      <c r="BS70" s="1071"/>
      <c r="BT70" s="1183"/>
      <c r="BU70" s="47"/>
      <c r="BV70" s="47"/>
      <c r="BW70" s="1071"/>
      <c r="BX70" s="211"/>
      <c r="BY70" s="600"/>
      <c r="BZ70" s="600"/>
      <c r="CA70" s="600"/>
      <c r="CB70" s="600"/>
      <c r="CC70" s="600"/>
      <c r="CD70" s="600"/>
      <c r="CE70" s="1410"/>
      <c r="CF70" s="1410"/>
      <c r="CG70" s="1410"/>
      <c r="CH70" s="1410"/>
      <c r="CI70" s="1410"/>
      <c r="CJ70" s="1410"/>
      <c r="CK70" s="1410"/>
      <c r="CL70" s="1410"/>
      <c r="CM70" s="1410"/>
      <c r="CN70" s="1410"/>
      <c r="CO70" s="1410"/>
      <c r="CP70" s="1411"/>
      <c r="CQ70" s="22"/>
    </row>
    <row r="71" spans="1:95" ht="14.25" hidden="1" customHeight="1" outlineLevel="1">
      <c r="A71" s="9"/>
      <c r="B71" s="459"/>
      <c r="C71" s="33"/>
      <c r="D71" s="598"/>
      <c r="E71" s="598"/>
      <c r="F71" s="598"/>
      <c r="G71" s="598"/>
      <c r="H71" s="634"/>
      <c r="I71" s="598"/>
      <c r="J71" s="598"/>
      <c r="K71" s="598"/>
      <c r="L71" s="634"/>
      <c r="M71" s="598"/>
      <c r="N71" s="598"/>
      <c r="O71" s="598"/>
      <c r="P71" s="634"/>
      <c r="Q71" s="598"/>
      <c r="R71" s="598"/>
      <c r="S71" s="598"/>
      <c r="T71" s="634"/>
      <c r="U71" s="598"/>
      <c r="V71" s="598"/>
      <c r="W71" s="598"/>
      <c r="X71" s="634"/>
      <c r="Y71" s="598"/>
      <c r="Z71" s="598"/>
      <c r="AA71" s="598"/>
      <c r="AB71" s="634"/>
      <c r="AC71" s="598"/>
      <c r="AD71" s="598"/>
      <c r="AE71" s="598"/>
      <c r="AF71" s="634"/>
      <c r="AG71" s="598"/>
      <c r="AH71" s="598"/>
      <c r="AI71" s="598"/>
      <c r="AJ71" s="634"/>
      <c r="AK71" s="598"/>
      <c r="AL71" s="598"/>
      <c r="AM71" s="598"/>
      <c r="AN71" s="634"/>
      <c r="AO71" s="598"/>
      <c r="AP71" s="598"/>
      <c r="AQ71" s="599"/>
      <c r="AR71" s="634"/>
      <c r="AS71" s="598"/>
      <c r="AT71" s="598"/>
      <c r="AU71" s="598"/>
      <c r="AV71" s="634"/>
      <c r="AW71" s="598"/>
      <c r="AX71" s="598"/>
      <c r="AY71" s="599"/>
      <c r="AZ71" s="634"/>
      <c r="BA71" s="598"/>
      <c r="BB71" s="598"/>
      <c r="BC71" s="599"/>
      <c r="BD71" s="634"/>
      <c r="BE71" s="598"/>
      <c r="BF71" s="34"/>
      <c r="BG71" s="599"/>
      <c r="BH71" s="36"/>
      <c r="BI71" s="598"/>
      <c r="BJ71" s="598"/>
      <c r="BK71" s="599"/>
      <c r="BL71" s="1395"/>
      <c r="BM71" s="1393"/>
      <c r="BN71" s="1393"/>
      <c r="BO71" s="1394"/>
      <c r="BP71" s="1395"/>
      <c r="BQ71" s="1393"/>
      <c r="BR71" s="1393"/>
      <c r="BS71" s="1394"/>
      <c r="BT71" s="1395"/>
      <c r="BU71" s="1393"/>
      <c r="BV71" s="1393"/>
      <c r="BW71" s="1394"/>
      <c r="BX71" s="211"/>
      <c r="BY71" s="598"/>
      <c r="BZ71" s="598"/>
      <c r="CA71" s="598"/>
      <c r="CB71" s="598"/>
      <c r="CC71" s="598"/>
      <c r="CD71" s="598"/>
      <c r="CE71" s="598"/>
      <c r="CF71" s="598"/>
      <c r="CG71" s="598"/>
      <c r="CH71" s="598"/>
      <c r="CI71" s="598"/>
      <c r="CJ71" s="598"/>
      <c r="CK71" s="598"/>
      <c r="CL71" s="598"/>
      <c r="CM71" s="598"/>
      <c r="CN71" s="598"/>
      <c r="CO71" s="598"/>
      <c r="CP71" s="599"/>
      <c r="CQ71" s="22"/>
    </row>
    <row r="72" spans="1:95" ht="14.25" hidden="1" customHeight="1" outlineLevel="1">
      <c r="A72" s="432"/>
      <c r="B72" s="545" t="s">
        <v>84</v>
      </c>
      <c r="C72" s="437"/>
      <c r="D72" s="600">
        <f t="shared" ref="D72:AI72" si="199">D25-D66</f>
        <v>18.000000000000007</v>
      </c>
      <c r="E72" s="600">
        <f t="shared" si="199"/>
        <v>19.199999999999974</v>
      </c>
      <c r="F72" s="600">
        <f t="shared" si="199"/>
        <v>23.200000000000024</v>
      </c>
      <c r="G72" s="600">
        <f t="shared" si="199"/>
        <v>22.600000000000037</v>
      </c>
      <c r="H72" s="628">
        <f t="shared" si="199"/>
        <v>36.799999999999983</v>
      </c>
      <c r="I72" s="600">
        <f t="shared" si="199"/>
        <v>49.000000000000007</v>
      </c>
      <c r="J72" s="600">
        <f t="shared" si="199"/>
        <v>43.499999999999972</v>
      </c>
      <c r="K72" s="600">
        <f t="shared" si="199"/>
        <v>40.200000000000024</v>
      </c>
      <c r="L72" s="628">
        <f t="shared" si="199"/>
        <v>33.399999999999984</v>
      </c>
      <c r="M72" s="600">
        <f t="shared" si="199"/>
        <v>39.1</v>
      </c>
      <c r="N72" s="600">
        <f t="shared" si="199"/>
        <v>42.40000000000002</v>
      </c>
      <c r="O72" s="600">
        <f t="shared" si="199"/>
        <v>56.000000000000021</v>
      </c>
      <c r="P72" s="628">
        <f t="shared" si="199"/>
        <v>54.8</v>
      </c>
      <c r="Q72" s="600">
        <f t="shared" si="199"/>
        <v>86.4</v>
      </c>
      <c r="R72" s="600">
        <f t="shared" si="199"/>
        <v>91.099999999999966</v>
      </c>
      <c r="S72" s="600">
        <f t="shared" si="199"/>
        <v>88.000000000000028</v>
      </c>
      <c r="T72" s="628">
        <f t="shared" si="199"/>
        <v>66</v>
      </c>
      <c r="U72" s="600">
        <f t="shared" si="199"/>
        <v>75</v>
      </c>
      <c r="V72" s="600">
        <f t="shared" si="199"/>
        <v>79.299999999999955</v>
      </c>
      <c r="W72" s="600">
        <f t="shared" si="199"/>
        <v>78.8</v>
      </c>
      <c r="X72" s="628">
        <f t="shared" si="199"/>
        <v>73.899999999999991</v>
      </c>
      <c r="Y72" s="600">
        <f t="shared" si="199"/>
        <v>101.40000000000003</v>
      </c>
      <c r="Z72" s="600">
        <f t="shared" si="199"/>
        <v>110.20000000000002</v>
      </c>
      <c r="AA72" s="600">
        <f t="shared" si="199"/>
        <v>61.500000000000014</v>
      </c>
      <c r="AB72" s="628">
        <f t="shared" si="199"/>
        <v>15.900000000000077</v>
      </c>
      <c r="AC72" s="600">
        <f t="shared" si="199"/>
        <v>32.299999999999983</v>
      </c>
      <c r="AD72" s="600">
        <f t="shared" si="199"/>
        <v>67.899999999999949</v>
      </c>
      <c r="AE72" s="600">
        <f t="shared" si="199"/>
        <v>94.200000000000045</v>
      </c>
      <c r="AF72" s="628">
        <f t="shared" si="199"/>
        <v>99.500000000000057</v>
      </c>
      <c r="AG72" s="600">
        <f t="shared" si="199"/>
        <v>115.80000000000001</v>
      </c>
      <c r="AH72" s="600">
        <f t="shared" si="199"/>
        <v>118.10000000000008</v>
      </c>
      <c r="AI72" s="600">
        <f t="shared" si="199"/>
        <v>109.50000000000006</v>
      </c>
      <c r="AJ72" s="628">
        <f t="shared" ref="AJ72:BO72" si="200">AJ25-AJ66</f>
        <v>125.69999999999996</v>
      </c>
      <c r="AK72" s="600">
        <f t="shared" si="200"/>
        <v>126.39999999999992</v>
      </c>
      <c r="AL72" s="600">
        <f t="shared" si="200"/>
        <v>127.10000000000002</v>
      </c>
      <c r="AM72" s="600">
        <f t="shared" si="200"/>
        <v>74.099999999999881</v>
      </c>
      <c r="AN72" s="628">
        <f t="shared" si="200"/>
        <v>66.199999999999989</v>
      </c>
      <c r="AO72" s="600">
        <f t="shared" si="200"/>
        <v>80.899999999999949</v>
      </c>
      <c r="AP72" s="600">
        <f t="shared" si="200"/>
        <v>70</v>
      </c>
      <c r="AQ72" s="601">
        <f t="shared" si="200"/>
        <v>45.400000000000006</v>
      </c>
      <c r="AR72" s="628">
        <f t="shared" si="200"/>
        <v>53.700000000000017</v>
      </c>
      <c r="AS72" s="600">
        <f t="shared" si="200"/>
        <v>65.19999999999996</v>
      </c>
      <c r="AT72" s="600">
        <f t="shared" si="200"/>
        <v>86.5</v>
      </c>
      <c r="AU72" s="600">
        <f t="shared" si="200"/>
        <v>85.300000000000011</v>
      </c>
      <c r="AV72" s="628">
        <f t="shared" si="200"/>
        <v>87.600000000000023</v>
      </c>
      <c r="AW72" s="600">
        <f t="shared" si="200"/>
        <v>101.19999999999999</v>
      </c>
      <c r="AX72" s="600">
        <f t="shared" si="200"/>
        <v>108</v>
      </c>
      <c r="AY72" s="601">
        <f t="shared" si="200"/>
        <v>88.700000000000102</v>
      </c>
      <c r="AZ72" s="628">
        <f t="shared" si="200"/>
        <v>100</v>
      </c>
      <c r="BA72" s="600">
        <f t="shared" si="200"/>
        <v>108.59999999999997</v>
      </c>
      <c r="BB72" s="600">
        <f t="shared" si="200"/>
        <v>106.6</v>
      </c>
      <c r="BC72" s="601">
        <f t="shared" si="200"/>
        <v>93.200000000000017</v>
      </c>
      <c r="BD72" s="628">
        <f t="shared" si="200"/>
        <v>86.300000000000011</v>
      </c>
      <c r="BE72" s="600">
        <f t="shared" si="200"/>
        <v>108.19999999999999</v>
      </c>
      <c r="BF72" s="600">
        <f t="shared" si="200"/>
        <v>122.9</v>
      </c>
      <c r="BG72" s="601">
        <f t="shared" si="200"/>
        <v>162.19999999999993</v>
      </c>
      <c r="BH72" s="628">
        <f>BH25-BH66</f>
        <v>169.20000000000005</v>
      </c>
      <c r="BI72" s="1410">
        <f t="shared" ref="BI72" si="201">BI25-BI66</f>
        <v>196.59999999999997</v>
      </c>
      <c r="BJ72" s="1410">
        <f t="shared" si="200"/>
        <v>231.00000000000006</v>
      </c>
      <c r="BK72" s="1411">
        <f t="shared" ref="BK72" si="202">BK25-BK66</f>
        <v>211.50000000000006</v>
      </c>
      <c r="BL72" s="1419">
        <f t="shared" si="200"/>
        <v>216.18210511615223</v>
      </c>
      <c r="BM72" s="1410">
        <f t="shared" si="200"/>
        <v>236.20913112368061</v>
      </c>
      <c r="BN72" s="1410">
        <f t="shared" si="200"/>
        <v>246.57535071078769</v>
      </c>
      <c r="BO72" s="1411">
        <f t="shared" si="200"/>
        <v>236.31030375307745</v>
      </c>
      <c r="BP72" s="1419">
        <f t="shared" ref="BP72:BS72" si="203">BP25-BP66</f>
        <v>233.11112687518317</v>
      </c>
      <c r="BQ72" s="1410">
        <f t="shared" si="203"/>
        <v>254.58653623642681</v>
      </c>
      <c r="BR72" s="1410">
        <f t="shared" si="203"/>
        <v>273.52669741313429</v>
      </c>
      <c r="BS72" s="1411">
        <f t="shared" si="203"/>
        <v>265.57681913520321</v>
      </c>
      <c r="BT72" s="1419">
        <f t="shared" ref="BT72:BW72" si="204">BT25-BT66</f>
        <v>254.4124236815901</v>
      </c>
      <c r="BU72" s="1410">
        <f t="shared" si="204"/>
        <v>277.00340065184201</v>
      </c>
      <c r="BV72" s="1410">
        <f t="shared" si="204"/>
        <v>296.67248998062723</v>
      </c>
      <c r="BW72" s="1411">
        <f t="shared" si="204"/>
        <v>288.37227877434469</v>
      </c>
      <c r="BX72" s="1236"/>
      <c r="BY72" s="600">
        <f t="shared" ref="BY72:CN72" si="205">BY25-BY66</f>
        <v>82.999999999999829</v>
      </c>
      <c r="BZ72" s="600">
        <f t="shared" si="205"/>
        <v>169.50000000000011</v>
      </c>
      <c r="CA72" s="600">
        <f t="shared" si="205"/>
        <v>170.90000000000012</v>
      </c>
      <c r="CB72" s="600">
        <f t="shared" si="205"/>
        <v>320.29999999999984</v>
      </c>
      <c r="CC72" s="600">
        <f t="shared" si="205"/>
        <v>299.09999999999991</v>
      </c>
      <c r="CD72" s="600">
        <f t="shared" si="205"/>
        <v>346.99999999999972</v>
      </c>
      <c r="CE72" s="1410">
        <f t="shared" si="205"/>
        <v>210.29999999999995</v>
      </c>
      <c r="CF72" s="1410">
        <f t="shared" si="205"/>
        <v>442.90000000000009</v>
      </c>
      <c r="CG72" s="1410">
        <f t="shared" si="205"/>
        <v>453.30000000000041</v>
      </c>
      <c r="CH72" s="1410">
        <f t="shared" si="205"/>
        <v>262.49999999999955</v>
      </c>
      <c r="CI72" s="1410">
        <f t="shared" si="205"/>
        <v>290.6999999999997</v>
      </c>
      <c r="CJ72" s="1410">
        <f t="shared" si="205"/>
        <v>385.50000000000045</v>
      </c>
      <c r="CK72" s="1410">
        <f t="shared" si="205"/>
        <v>408.40000000000009</v>
      </c>
      <c r="CL72" s="1410">
        <f t="shared" si="205"/>
        <v>479.5999999999998</v>
      </c>
      <c r="CM72" s="1410">
        <f t="shared" si="205"/>
        <v>808.30000000000018</v>
      </c>
      <c r="CN72" s="1410">
        <f t="shared" si="205"/>
        <v>935.27689070369797</v>
      </c>
      <c r="CO72" s="1410">
        <f t="shared" ref="CO72:CP72" si="206">CO25-CO66</f>
        <v>1026.8011796599476</v>
      </c>
      <c r="CP72" s="1411">
        <f t="shared" si="206"/>
        <v>1116.4605930884031</v>
      </c>
      <c r="CQ72" s="1468"/>
    </row>
    <row r="73" spans="1:95" ht="14.25" hidden="1" customHeight="1" outlineLevel="1">
      <c r="A73" s="9"/>
      <c r="B73" s="459" t="s">
        <v>85</v>
      </c>
      <c r="C73" s="33"/>
      <c r="D73" s="34">
        <f t="shared" ref="D73:AI73" si="207">D72/D8</f>
        <v>6.6790352504638245E-2</v>
      </c>
      <c r="E73" s="34">
        <f t="shared" si="207"/>
        <v>7.4941451990632221E-2</v>
      </c>
      <c r="F73" s="34">
        <f t="shared" si="207"/>
        <v>8.7613293051359606E-2</v>
      </c>
      <c r="G73" s="34">
        <f t="shared" si="207"/>
        <v>8.1119885139985762E-2</v>
      </c>
      <c r="H73" s="36">
        <f t="shared" si="207"/>
        <v>0.11940298507462681</v>
      </c>
      <c r="I73" s="34">
        <f t="shared" si="207"/>
        <v>0.14692653673163419</v>
      </c>
      <c r="J73" s="34">
        <f t="shared" si="207"/>
        <v>0.13662060301507531</v>
      </c>
      <c r="K73" s="34">
        <f t="shared" si="207"/>
        <v>0.13102998696219043</v>
      </c>
      <c r="L73" s="36">
        <f t="shared" si="207"/>
        <v>0.11044973544973541</v>
      </c>
      <c r="M73" s="34">
        <f t="shared" si="207"/>
        <v>0.12912813738441214</v>
      </c>
      <c r="N73" s="34">
        <f t="shared" si="207"/>
        <v>0.13520408163265313</v>
      </c>
      <c r="O73" s="34">
        <f t="shared" si="207"/>
        <v>0.16383850204798134</v>
      </c>
      <c r="P73" s="36">
        <f t="shared" si="207"/>
        <v>0.16407185628742513</v>
      </c>
      <c r="Q73" s="34">
        <f t="shared" si="207"/>
        <v>0.23021582733812951</v>
      </c>
      <c r="R73" s="34">
        <f t="shared" si="207"/>
        <v>0.21644095984794481</v>
      </c>
      <c r="S73" s="34">
        <f t="shared" si="207"/>
        <v>0.21912350597609567</v>
      </c>
      <c r="T73" s="36">
        <f t="shared" si="207"/>
        <v>0.17637626937466597</v>
      </c>
      <c r="U73" s="34">
        <f t="shared" si="207"/>
        <v>0.19674711437565584</v>
      </c>
      <c r="V73" s="34">
        <f t="shared" si="207"/>
        <v>0.19682303301067253</v>
      </c>
      <c r="W73" s="34">
        <f t="shared" si="207"/>
        <v>0.1931846040696249</v>
      </c>
      <c r="X73" s="36">
        <f t="shared" si="207"/>
        <v>0.17515999051908035</v>
      </c>
      <c r="Y73" s="34">
        <f t="shared" si="207"/>
        <v>0.18020259463301941</v>
      </c>
      <c r="Z73" s="34">
        <f t="shared" si="207"/>
        <v>0.18950988822012041</v>
      </c>
      <c r="AA73" s="34">
        <f t="shared" si="207"/>
        <v>0.12584407612031925</v>
      </c>
      <c r="AB73" s="36">
        <f t="shared" si="207"/>
        <v>4.1941440253231536E-2</v>
      </c>
      <c r="AC73" s="34">
        <f t="shared" si="207"/>
        <v>7.6941400666984239E-2</v>
      </c>
      <c r="AD73" s="34">
        <f t="shared" si="207"/>
        <v>0.14358215267498403</v>
      </c>
      <c r="AE73" s="34">
        <f t="shared" si="207"/>
        <v>0.18949909474954746</v>
      </c>
      <c r="AF73" s="36">
        <f t="shared" si="207"/>
        <v>0.18084332969829162</v>
      </c>
      <c r="AG73" s="34">
        <f t="shared" si="207"/>
        <v>0.1985256300360021</v>
      </c>
      <c r="AH73" s="34">
        <f t="shared" si="207"/>
        <v>0.19660396204428179</v>
      </c>
      <c r="AI73" s="34">
        <f t="shared" si="207"/>
        <v>0.18905386740331501</v>
      </c>
      <c r="AJ73" s="36">
        <f t="shared" ref="AJ73:BG73" si="208">AJ72/AJ8</f>
        <v>0.14438318401102682</v>
      </c>
      <c r="AK73" s="34">
        <f t="shared" si="208"/>
        <v>0.13954515345550886</v>
      </c>
      <c r="AL73" s="34">
        <f t="shared" si="208"/>
        <v>0.1415367483296214</v>
      </c>
      <c r="AM73" s="34">
        <f t="shared" si="208"/>
        <v>9.649693970569069E-2</v>
      </c>
      <c r="AN73" s="36">
        <f t="shared" si="208"/>
        <v>8.8930682428801713E-2</v>
      </c>
      <c r="AO73" s="34">
        <f t="shared" si="208"/>
        <v>0.1086197636949516</v>
      </c>
      <c r="AP73" s="34">
        <f t="shared" si="208"/>
        <v>9.648518263266713E-2</v>
      </c>
      <c r="AQ73" s="34">
        <f t="shared" si="208"/>
        <v>6.6745074977947669E-2</v>
      </c>
      <c r="AR73" s="36">
        <f t="shared" si="208"/>
        <v>8.1240544629349501E-2</v>
      </c>
      <c r="AS73" s="34">
        <f t="shared" si="208"/>
        <v>9.4726136858927737E-2</v>
      </c>
      <c r="AT73" s="34">
        <f t="shared" si="208"/>
        <v>0.12091137824993012</v>
      </c>
      <c r="AU73" s="34">
        <f t="shared" si="208"/>
        <v>0.11880222841225628</v>
      </c>
      <c r="AV73" s="36">
        <f t="shared" si="208"/>
        <v>0.1239915074309979</v>
      </c>
      <c r="AW73" s="34">
        <f t="shared" si="208"/>
        <v>0.13357972544878563</v>
      </c>
      <c r="AX73" s="34">
        <f t="shared" si="208"/>
        <v>0.1295740851829634</v>
      </c>
      <c r="AY73" s="35">
        <f t="shared" si="208"/>
        <v>0.10263827817634819</v>
      </c>
      <c r="AZ73" s="36">
        <f t="shared" si="208"/>
        <v>0.1148369315571888</v>
      </c>
      <c r="BA73" s="34">
        <f t="shared" si="208"/>
        <v>0.12333901192504255</v>
      </c>
      <c r="BB73" s="34">
        <f t="shared" si="208"/>
        <v>0.1178942711789427</v>
      </c>
      <c r="BC73" s="35">
        <f t="shared" si="208"/>
        <v>0.11091276924907774</v>
      </c>
      <c r="BD73" s="36">
        <f t="shared" si="208"/>
        <v>0.1056045031815957</v>
      </c>
      <c r="BE73" s="34">
        <f t="shared" si="208"/>
        <v>0.12326270221007063</v>
      </c>
      <c r="BF73" s="34">
        <f t="shared" si="208"/>
        <v>0.12924597749500474</v>
      </c>
      <c r="BG73" s="35">
        <f t="shared" si="208"/>
        <v>0.12862807295796982</v>
      </c>
      <c r="BH73" s="36">
        <f>BH72/(BH8-155.1)</f>
        <v>0.13202247191011238</v>
      </c>
      <c r="BI73" s="1393">
        <f t="shared" ref="BI73" si="209">BI72/BI8</f>
        <v>0.14693572496263077</v>
      </c>
      <c r="BJ73" s="1393">
        <f t="shared" ref="BJ73:BS73" si="210">BJ72/BJ8</f>
        <v>0.16607951685958736</v>
      </c>
      <c r="BK73" s="1394">
        <f t="shared" si="210"/>
        <v>0.15353901996370239</v>
      </c>
      <c r="BL73" s="1395">
        <f t="shared" si="210"/>
        <v>0.15781362953662478</v>
      </c>
      <c r="BM73" s="1393">
        <f t="shared" si="210"/>
        <v>0.16536791789381658</v>
      </c>
      <c r="BN73" s="1393">
        <f t="shared" si="210"/>
        <v>0.16864224193921892</v>
      </c>
      <c r="BO73" s="1394">
        <f t="shared" si="210"/>
        <v>0.16453676932432953</v>
      </c>
      <c r="BP73" s="1395">
        <f t="shared" si="210"/>
        <v>0.16321478413990376</v>
      </c>
      <c r="BQ73" s="1393">
        <f t="shared" si="210"/>
        <v>0.17182924912216083</v>
      </c>
      <c r="BR73" s="1393">
        <f t="shared" si="210"/>
        <v>0.18068884623021131</v>
      </c>
      <c r="BS73" s="1394">
        <f t="shared" si="210"/>
        <v>0.17853879923691152</v>
      </c>
      <c r="BT73" s="1395">
        <f t="shared" ref="BT73:BW73" si="211">BT72/BT8</f>
        <v>0.1717390739853123</v>
      </c>
      <c r="BU73" s="1393">
        <f t="shared" si="211"/>
        <v>0.18026808008352249</v>
      </c>
      <c r="BV73" s="1393">
        <f t="shared" si="211"/>
        <v>0.18914427791702285</v>
      </c>
      <c r="BW73" s="1394">
        <f t="shared" si="211"/>
        <v>0.18703616375586535</v>
      </c>
      <c r="BX73" s="211"/>
      <c r="BY73" s="34">
        <f t="shared" ref="BY73:CO73" si="212">BY72/BY8</f>
        <v>7.7635394256851398E-2</v>
      </c>
      <c r="BZ73" s="34">
        <f t="shared" si="212"/>
        <v>0.13379114373668016</v>
      </c>
      <c r="CA73" s="34">
        <f t="shared" si="212"/>
        <v>0.1355703633190545</v>
      </c>
      <c r="CB73" s="34">
        <f t="shared" si="212"/>
        <v>0.2091004047525786</v>
      </c>
      <c r="CC73" s="34">
        <f t="shared" si="212"/>
        <v>0.19097177882773589</v>
      </c>
      <c r="CD73" s="34">
        <f t="shared" si="212"/>
        <v>0.16887288300564521</v>
      </c>
      <c r="CE73" s="1393">
        <f t="shared" si="212"/>
        <v>0.1188874441743456</v>
      </c>
      <c r="CF73" s="1393">
        <f t="shared" si="212"/>
        <v>0.19144981412639409</v>
      </c>
      <c r="CG73" s="1393">
        <f t="shared" si="212"/>
        <v>0.13168521046974418</v>
      </c>
      <c r="CH73" s="1393">
        <f t="shared" si="212"/>
        <v>9.06767073128604E-2</v>
      </c>
      <c r="CI73" s="1393">
        <f t="shared" si="212"/>
        <v>0.10446688468034633</v>
      </c>
      <c r="CJ73" s="1393">
        <f t="shared" si="212"/>
        <v>0.12192422038079588</v>
      </c>
      <c r="CK73" s="1393">
        <f t="shared" si="212"/>
        <v>0.11682590537216089</v>
      </c>
      <c r="CL73" s="1393">
        <f t="shared" si="212"/>
        <v>0.1227571732063784</v>
      </c>
      <c r="CM73" s="1393">
        <f t="shared" si="212"/>
        <v>0.14582093052623984</v>
      </c>
      <c r="CN73" s="1393">
        <f t="shared" si="212"/>
        <v>0.16418219825910155</v>
      </c>
      <c r="CO73" s="1393">
        <f t="shared" si="212"/>
        <v>0.17370510892872199</v>
      </c>
      <c r="CP73" s="1394">
        <f t="shared" ref="CP73" si="213">CP72/CP8</f>
        <v>0.18218093352133685</v>
      </c>
      <c r="CQ73" s="22"/>
    </row>
    <row r="74" spans="1:95" ht="14.25" customHeight="1" collapsed="1">
      <c r="A74" s="9"/>
      <c r="B74" s="453"/>
      <c r="C74" s="24"/>
      <c r="D74" s="27"/>
      <c r="E74" s="27"/>
      <c r="F74" s="593"/>
      <c r="G74" s="593"/>
      <c r="H74" s="493"/>
      <c r="I74" s="27"/>
      <c r="J74" s="593"/>
      <c r="K74" s="593"/>
      <c r="L74" s="493"/>
      <c r="M74" s="27"/>
      <c r="N74" s="593"/>
      <c r="O74" s="593"/>
      <c r="P74" s="493"/>
      <c r="Q74" s="27"/>
      <c r="R74" s="593"/>
      <c r="S74" s="593"/>
      <c r="T74" s="493"/>
      <c r="U74" s="27"/>
      <c r="V74" s="593"/>
      <c r="W74" s="593"/>
      <c r="X74" s="493"/>
      <c r="Y74" s="27"/>
      <c r="Z74" s="593"/>
      <c r="AA74" s="593"/>
      <c r="AB74" s="493"/>
      <c r="AC74" s="27"/>
      <c r="AD74" s="593"/>
      <c r="AE74" s="593"/>
      <c r="AF74" s="493"/>
      <c r="AG74" s="27"/>
      <c r="AH74" s="593"/>
      <c r="AI74" s="593"/>
      <c r="AJ74" s="493"/>
      <c r="AK74" s="27"/>
      <c r="AL74" s="593"/>
      <c r="AM74" s="593"/>
      <c r="AN74" s="493"/>
      <c r="AO74" s="27"/>
      <c r="AP74" s="593"/>
      <c r="AQ74" s="594"/>
      <c r="AR74" s="493"/>
      <c r="AS74" s="27"/>
      <c r="AT74" s="593"/>
      <c r="AU74" s="593"/>
      <c r="AV74" s="493"/>
      <c r="AW74" s="27"/>
      <c r="AX74" s="593"/>
      <c r="AY74" s="594"/>
      <c r="AZ74" s="493"/>
      <c r="BA74" s="27"/>
      <c r="BB74" s="593"/>
      <c r="BC74" s="594"/>
      <c r="BD74" s="493"/>
      <c r="BE74" s="27"/>
      <c r="BF74" s="39"/>
      <c r="BG74" s="594"/>
      <c r="BH74" s="41"/>
      <c r="BI74" s="27"/>
      <c r="BJ74" s="1455"/>
      <c r="BK74" s="1407"/>
      <c r="BL74" s="41"/>
      <c r="BM74" s="39"/>
      <c r="BN74" s="39"/>
      <c r="BO74" s="40"/>
      <c r="BP74" s="41"/>
      <c r="BQ74" s="39"/>
      <c r="BR74" s="39"/>
      <c r="BS74" s="40"/>
      <c r="BT74" s="41"/>
      <c r="BU74" s="39"/>
      <c r="BV74" s="39"/>
      <c r="BW74" s="40"/>
      <c r="BX74" s="211"/>
      <c r="BY74" s="595"/>
      <c r="BZ74" s="595"/>
      <c r="CA74" s="595"/>
      <c r="CB74" s="595"/>
      <c r="CC74" s="595">
        <f>-CC76</f>
        <v>38.800000000000004</v>
      </c>
      <c r="CD74" s="595">
        <f t="shared" ref="CD74:CI74" si="214">-CD76</f>
        <v>79.900000000000006</v>
      </c>
      <c r="CE74" s="1408">
        <f t="shared" si="214"/>
        <v>64.600000000000009</v>
      </c>
      <c r="CF74" s="1408">
        <f t="shared" si="214"/>
        <v>61.4</v>
      </c>
      <c r="CG74" s="1408">
        <f t="shared" si="214"/>
        <v>68.900000000000006</v>
      </c>
      <c r="CH74" s="1408">
        <f t="shared" si="214"/>
        <v>56.099999999999994</v>
      </c>
      <c r="CI74" s="1408">
        <f t="shared" si="214"/>
        <v>38.599999999999994</v>
      </c>
      <c r="CJ74" s="1408"/>
      <c r="CK74" s="1408"/>
      <c r="CL74" s="1408"/>
      <c r="CM74" s="1408"/>
      <c r="CN74" s="1408"/>
      <c r="CO74" s="1408"/>
      <c r="CP74" s="1409"/>
      <c r="CQ74" s="22"/>
    </row>
    <row r="75" spans="1:95" ht="14.25" customHeight="1">
      <c r="A75" s="475"/>
      <c r="B75" s="471" t="s">
        <v>74</v>
      </c>
      <c r="C75" s="476"/>
      <c r="D75" s="603">
        <f t="shared" ref="D75:AI75" si="215">+SUM(D76:D80)</f>
        <v>-40.6</v>
      </c>
      <c r="E75" s="603">
        <f t="shared" si="215"/>
        <v>-38</v>
      </c>
      <c r="F75" s="603">
        <f t="shared" si="215"/>
        <v>-40.200000000000003</v>
      </c>
      <c r="G75" s="603">
        <f t="shared" si="215"/>
        <v>-33.4</v>
      </c>
      <c r="H75" s="611">
        <f t="shared" si="215"/>
        <v>-68.599999999999994</v>
      </c>
      <c r="I75" s="603">
        <f t="shared" si="215"/>
        <v>-49.599999999999994</v>
      </c>
      <c r="J75" s="603">
        <f t="shared" si="215"/>
        <v>-25.799999999999997</v>
      </c>
      <c r="K75" s="603">
        <f t="shared" si="215"/>
        <v>-118.9</v>
      </c>
      <c r="L75" s="611">
        <f t="shared" si="215"/>
        <v>-14.7</v>
      </c>
      <c r="M75" s="603">
        <f t="shared" si="215"/>
        <v>-14.8</v>
      </c>
      <c r="N75" s="603">
        <f t="shared" si="215"/>
        <v>-15.200000000000003</v>
      </c>
      <c r="O75" s="603">
        <f t="shared" si="215"/>
        <v>-14.3</v>
      </c>
      <c r="P75" s="611">
        <f t="shared" si="215"/>
        <v>-10</v>
      </c>
      <c r="Q75" s="603">
        <f t="shared" si="215"/>
        <v>-10.5</v>
      </c>
      <c r="R75" s="603">
        <f t="shared" si="215"/>
        <v>-10.9</v>
      </c>
      <c r="S75" s="603">
        <f t="shared" si="215"/>
        <v>-9.4</v>
      </c>
      <c r="T75" s="611">
        <f t="shared" si="215"/>
        <v>-7.4999999999999991</v>
      </c>
      <c r="U75" s="603">
        <f t="shared" si="215"/>
        <v>-6.5</v>
      </c>
      <c r="V75" s="603">
        <f t="shared" si="215"/>
        <v>-6.3</v>
      </c>
      <c r="W75" s="603">
        <f t="shared" si="215"/>
        <v>-5.6</v>
      </c>
      <c r="X75" s="611">
        <f t="shared" si="215"/>
        <v>-19</v>
      </c>
      <c r="Y75" s="603">
        <f t="shared" si="215"/>
        <v>-17</v>
      </c>
      <c r="Z75" s="603">
        <f t="shared" si="215"/>
        <v>-18.100000000000001</v>
      </c>
      <c r="AA75" s="603">
        <f t="shared" si="215"/>
        <v>-18</v>
      </c>
      <c r="AB75" s="611">
        <f t="shared" si="215"/>
        <v>-21.7</v>
      </c>
      <c r="AC75" s="603">
        <f t="shared" si="215"/>
        <v>-16.899999999999999</v>
      </c>
      <c r="AD75" s="603">
        <f t="shared" si="215"/>
        <v>-17.200000000000003</v>
      </c>
      <c r="AE75" s="603">
        <f t="shared" si="215"/>
        <v>-15.8</v>
      </c>
      <c r="AF75" s="611">
        <f t="shared" si="215"/>
        <v>-19.099999999999998</v>
      </c>
      <c r="AG75" s="603">
        <f t="shared" si="215"/>
        <v>-18.5</v>
      </c>
      <c r="AH75" s="603">
        <f t="shared" si="215"/>
        <v>-14.700000000000001</v>
      </c>
      <c r="AI75" s="603">
        <f t="shared" si="215"/>
        <v>-16.199999999999996</v>
      </c>
      <c r="AJ75" s="611">
        <f t="shared" ref="AJ75:AQ75" si="216">+SUM(AJ76:AJ80)</f>
        <v>4.3000000000000007</v>
      </c>
      <c r="AK75" s="603">
        <f t="shared" si="216"/>
        <v>-18.600000000000001</v>
      </c>
      <c r="AL75" s="603">
        <f t="shared" si="216"/>
        <v>-25</v>
      </c>
      <c r="AM75" s="603">
        <f t="shared" si="216"/>
        <v>-36.299999999999997</v>
      </c>
      <c r="AN75" s="611">
        <f t="shared" si="216"/>
        <v>-10.5</v>
      </c>
      <c r="AO75" s="603">
        <f t="shared" si="216"/>
        <v>-11.5</v>
      </c>
      <c r="AP75" s="603">
        <f t="shared" si="216"/>
        <v>-24.7</v>
      </c>
      <c r="AQ75" s="604">
        <f t="shared" si="216"/>
        <v>-9.8999999999999986</v>
      </c>
      <c r="AR75" s="611">
        <f t="shared" ref="AR75:AW75" si="217">+SUM(AR76:AR80)</f>
        <v>-11.999999999999998</v>
      </c>
      <c r="AS75" s="603">
        <f t="shared" si="217"/>
        <v>-4.8000000000000007</v>
      </c>
      <c r="AT75" s="603">
        <f t="shared" si="217"/>
        <v>-10.299999999999999</v>
      </c>
      <c r="AU75" s="603">
        <f t="shared" si="217"/>
        <v>-10.199999999999999</v>
      </c>
      <c r="AV75" s="611">
        <f t="shared" si="217"/>
        <v>-8.5</v>
      </c>
      <c r="AW75" s="603">
        <f t="shared" si="217"/>
        <v>-8.9</v>
      </c>
      <c r="AX75" s="603">
        <f t="shared" ref="AX75:BD75" si="218">+SUM(AX76:AX80)</f>
        <v>-9.3000000000000007</v>
      </c>
      <c r="AY75" s="604">
        <f t="shared" si="218"/>
        <v>-10.899999999999999</v>
      </c>
      <c r="AZ75" s="611">
        <f t="shared" si="218"/>
        <v>-5.1999999999999984</v>
      </c>
      <c r="BA75" s="603">
        <f t="shared" si="218"/>
        <v>-8.6999999999999993</v>
      </c>
      <c r="BB75" s="603">
        <f t="shared" si="218"/>
        <v>-12.600000000000001</v>
      </c>
      <c r="BC75" s="604">
        <f t="shared" si="218"/>
        <v>-14.799999999999999</v>
      </c>
      <c r="BD75" s="611">
        <f t="shared" si="218"/>
        <v>-16.7</v>
      </c>
      <c r="BE75" s="603">
        <f>+SUM(BE76:BE80)</f>
        <v>-41.9</v>
      </c>
      <c r="BF75" s="603">
        <f>+SUM(BF76:BF81)</f>
        <v>40.6</v>
      </c>
      <c r="BG75" s="604">
        <f t="shared" ref="BG75:BH75" si="219">+SUM(BG76:BG80)</f>
        <v>-37.499999999999993</v>
      </c>
      <c r="BH75" s="611">
        <f t="shared" si="219"/>
        <v>-68.399999999999991</v>
      </c>
      <c r="BI75" s="1412">
        <f>+SUM(BI76:BI80)</f>
        <v>-11.000000000000007</v>
      </c>
      <c r="BJ75" s="1412">
        <f t="shared" ref="BJ75:BO75" si="220">+SUM(BJ76:BJ81)</f>
        <v>-8.9999999999999964</v>
      </c>
      <c r="BK75" s="1413">
        <f t="shared" ref="BK75" si="221">+SUM(BK76:BK80)</f>
        <v>-45</v>
      </c>
      <c r="BL75" s="1486">
        <v>-30</v>
      </c>
      <c r="BM75" s="1412">
        <f t="shared" si="220"/>
        <v>-29.191547667919853</v>
      </c>
      <c r="BN75" s="1412">
        <f t="shared" si="220"/>
        <v>-28.340554358669792</v>
      </c>
      <c r="BO75" s="1413">
        <f t="shared" si="220"/>
        <v>-27.488880235461856</v>
      </c>
      <c r="BP75" s="1416">
        <f t="shared" ref="BP75:BS75" si="222">+SUM(BP76:BP81)</f>
        <v>-26.848419207751547</v>
      </c>
      <c r="BQ75" s="1412">
        <f t="shared" si="222"/>
        <v>-26.217066610184414</v>
      </c>
      <c r="BR75" s="1412">
        <f t="shared" si="222"/>
        <v>-25.616008255924399</v>
      </c>
      <c r="BS75" s="1413">
        <f t="shared" si="222"/>
        <v>-24.992627391597608</v>
      </c>
      <c r="BT75" s="1416">
        <f t="shared" ref="BT75:BW75" si="223">+SUM(BT76:BT81)</f>
        <v>-24.341206335454942</v>
      </c>
      <c r="BU75" s="1412">
        <f t="shared" si="223"/>
        <v>-23.707015035266302</v>
      </c>
      <c r="BV75" s="1412">
        <f t="shared" si="223"/>
        <v>-23.091384923154049</v>
      </c>
      <c r="BW75" s="1413">
        <f t="shared" si="223"/>
        <v>-22.451747048726787</v>
      </c>
      <c r="BX75" s="1177"/>
      <c r="BY75" s="603">
        <f t="shared" ref="BY75:CN75" si="224">+SUM(BY76:BY81)</f>
        <v>-152.19999999999999</v>
      </c>
      <c r="BZ75" s="603">
        <f t="shared" si="224"/>
        <v>-262.89999999999998</v>
      </c>
      <c r="CA75" s="603">
        <f t="shared" si="224"/>
        <v>-59</v>
      </c>
      <c r="CB75" s="603">
        <f t="shared" si="224"/>
        <v>-40.799999999999997</v>
      </c>
      <c r="CC75" s="603">
        <f t="shared" si="224"/>
        <v>-25.900000000000006</v>
      </c>
      <c r="CD75" s="603">
        <f t="shared" si="224"/>
        <v>-72.100000000000009</v>
      </c>
      <c r="CE75" s="1412">
        <f t="shared" si="224"/>
        <v>-71.600000000000009</v>
      </c>
      <c r="CF75" s="1412">
        <f t="shared" si="224"/>
        <v>-68.5</v>
      </c>
      <c r="CG75" s="1412">
        <f t="shared" si="224"/>
        <v>-75.600000000000023</v>
      </c>
      <c r="CH75" s="1412">
        <f t="shared" si="224"/>
        <v>-56.599999999999994</v>
      </c>
      <c r="CI75" s="1412">
        <f t="shared" si="224"/>
        <v>-37.299999999999997</v>
      </c>
      <c r="CJ75" s="1412">
        <f t="shared" si="224"/>
        <v>-37.6</v>
      </c>
      <c r="CK75" s="1412">
        <f t="shared" si="224"/>
        <v>-41.29999999999999</v>
      </c>
      <c r="CL75" s="1412">
        <f t="shared" si="224"/>
        <v>-55.500000000000014</v>
      </c>
      <c r="CM75" s="1412">
        <f t="shared" si="224"/>
        <v>-133.39999999999998</v>
      </c>
      <c r="CN75" s="1412">
        <f t="shared" si="224"/>
        <v>-115.0209822620515</v>
      </c>
      <c r="CO75" s="1412">
        <f t="shared" ref="CO75:CP75" si="225">+SUM(CO76:CO81)</f>
        <v>-103.67412146545797</v>
      </c>
      <c r="CP75" s="1413">
        <f t="shared" si="225"/>
        <v>-93.591353342602076</v>
      </c>
      <c r="CQ75" s="1467"/>
    </row>
    <row r="76" spans="1:95" ht="14.25" hidden="1" customHeight="1" outlineLevel="1">
      <c r="A76" s="12"/>
      <c r="B76" s="460" t="s">
        <v>401</v>
      </c>
      <c r="C76" s="26"/>
      <c r="D76" s="27">
        <v>-39.1</v>
      </c>
      <c r="E76" s="27">
        <v>-39</v>
      </c>
      <c r="F76" s="593">
        <v>-38.1</v>
      </c>
      <c r="G76" s="593">
        <v>-34.9</v>
      </c>
      <c r="H76" s="493">
        <v>-34.299999999999997</v>
      </c>
      <c r="I76" s="27">
        <v>-23.8</v>
      </c>
      <c r="J76" s="593">
        <v>-22</v>
      </c>
      <c r="K76" s="593">
        <v>-21.1</v>
      </c>
      <c r="L76" s="493">
        <v>-14.6</v>
      </c>
      <c r="M76" s="27">
        <v>-15.4</v>
      </c>
      <c r="N76" s="593">
        <v>-16.100000000000001</v>
      </c>
      <c r="O76" s="593">
        <v>-15.4</v>
      </c>
      <c r="P76" s="493">
        <v>-13</v>
      </c>
      <c r="Q76" s="27">
        <v>-13.1</v>
      </c>
      <c r="R76" s="593">
        <v>-13.8</v>
      </c>
      <c r="S76" s="593">
        <v>-11.9</v>
      </c>
      <c r="T76" s="493">
        <v>-9.6999999999999993</v>
      </c>
      <c r="U76" s="27">
        <v>-9.4</v>
      </c>
      <c r="V76" s="593">
        <v>-9.6</v>
      </c>
      <c r="W76" s="593">
        <v>-10.1</v>
      </c>
      <c r="X76" s="493">
        <v>-19.100000000000001</v>
      </c>
      <c r="Y76" s="27">
        <v>-20</v>
      </c>
      <c r="Z76" s="593">
        <v>-20.3</v>
      </c>
      <c r="AA76" s="593">
        <v>-20.5</v>
      </c>
      <c r="AB76" s="493">
        <v>-17.7</v>
      </c>
      <c r="AC76" s="27">
        <v>-15.7</v>
      </c>
      <c r="AD76" s="593">
        <v>-15.8</v>
      </c>
      <c r="AE76" s="593">
        <v>-15.4</v>
      </c>
      <c r="AF76" s="493">
        <v>-16.399999999999999</v>
      </c>
      <c r="AG76" s="27">
        <v>-14.5</v>
      </c>
      <c r="AH76" s="593">
        <v>-14.1</v>
      </c>
      <c r="AI76" s="593">
        <v>-16.399999999999999</v>
      </c>
      <c r="AJ76" s="493">
        <v>-17.8</v>
      </c>
      <c r="AK76" s="27">
        <v>-17.8</v>
      </c>
      <c r="AL76" s="593">
        <v>-16.899999999999999</v>
      </c>
      <c r="AM76" s="593">
        <v>-16.399999999999999</v>
      </c>
      <c r="AN76" s="493">
        <v>-15.7</v>
      </c>
      <c r="AO76" s="27">
        <v>-14.1</v>
      </c>
      <c r="AP76" s="593">
        <v>-13.6</v>
      </c>
      <c r="AQ76" s="594">
        <v>-12.7</v>
      </c>
      <c r="AR76" s="493">
        <v>-10.1</v>
      </c>
      <c r="AS76" s="27">
        <v>-9.3000000000000007</v>
      </c>
      <c r="AT76" s="593">
        <v>-9.1999999999999993</v>
      </c>
      <c r="AU76" s="593">
        <v>-10</v>
      </c>
      <c r="AV76" s="493">
        <v>-8.1</v>
      </c>
      <c r="AW76" s="27">
        <v>-7.9</v>
      </c>
      <c r="AX76" s="593">
        <v>-8.6</v>
      </c>
      <c r="AY76" s="594">
        <v>-9.5</v>
      </c>
      <c r="AZ76" s="493">
        <v>-9.1999999999999993</v>
      </c>
      <c r="BA76" s="27">
        <v>-10.7</v>
      </c>
      <c r="BB76" s="593">
        <v>-14.9</v>
      </c>
      <c r="BC76" s="594">
        <v>-14.9</v>
      </c>
      <c r="BD76" s="493">
        <v>-15.6</v>
      </c>
      <c r="BE76" s="27">
        <v>-42.1</v>
      </c>
      <c r="BF76" s="27">
        <v>-46.7</v>
      </c>
      <c r="BG76" s="594">
        <v>-40.9</v>
      </c>
      <c r="BH76" s="493">
        <v>-38.4</v>
      </c>
      <c r="BI76" s="27">
        <v>-34.700000000000003</v>
      </c>
      <c r="BJ76" s="27">
        <v>-34.9</v>
      </c>
      <c r="BK76" s="1407">
        <v>-33.200000000000003</v>
      </c>
      <c r="BL76" s="31">
        <f>BL75-BL77-BL78</f>
        <v>-29.591813471502594</v>
      </c>
      <c r="BM76" s="535">
        <f t="shared" ref="BM76:BO76" si="226">BL76+0.75</f>
        <v>-28.841813471502594</v>
      </c>
      <c r="BN76" s="535">
        <f t="shared" si="226"/>
        <v>-28.091813471502594</v>
      </c>
      <c r="BO76" s="1123">
        <f t="shared" si="226"/>
        <v>-27.341813471502594</v>
      </c>
      <c r="BP76" s="1087">
        <f t="shared" ref="BP76:BS76" si="227">BO76+0.5</f>
        <v>-26.841813471502594</v>
      </c>
      <c r="BQ76" s="535">
        <f t="shared" si="227"/>
        <v>-26.341813471502594</v>
      </c>
      <c r="BR76" s="535">
        <f t="shared" si="227"/>
        <v>-25.841813471502594</v>
      </c>
      <c r="BS76" s="1123">
        <f t="shared" si="227"/>
        <v>-25.341813471502594</v>
      </c>
      <c r="BT76" s="1087">
        <f t="shared" ref="BT76" si="228">BS76+0.5</f>
        <v>-24.841813471502594</v>
      </c>
      <c r="BU76" s="535">
        <f t="shared" ref="BU76" si="229">BT76+0.5</f>
        <v>-24.341813471502594</v>
      </c>
      <c r="BV76" s="535">
        <f t="shared" ref="BV76" si="230">BU76+0.5</f>
        <v>-23.841813471502594</v>
      </c>
      <c r="BW76" s="1123">
        <f t="shared" ref="BW76" si="231">BV76+0.5</f>
        <v>-23.341813471502594</v>
      </c>
      <c r="BX76" s="433"/>
      <c r="BY76" s="595">
        <f>SUM(D76:G76)</f>
        <v>-151.1</v>
      </c>
      <c r="BZ76" s="595">
        <f>SUM(H76:K76)</f>
        <v>-101.19999999999999</v>
      </c>
      <c r="CA76" s="595">
        <f>SUM(L76:O76)</f>
        <v>-61.5</v>
      </c>
      <c r="CB76" s="595">
        <f>SUM(P76:S76)</f>
        <v>-51.800000000000004</v>
      </c>
      <c r="CC76" s="595">
        <f>SUM(T76:W76)</f>
        <v>-38.800000000000004</v>
      </c>
      <c r="CD76" s="595">
        <f>SUM(X76:AA76)</f>
        <v>-79.900000000000006</v>
      </c>
      <c r="CE76" s="1408">
        <f>SUM(AB76:AE76)</f>
        <v>-64.600000000000009</v>
      </c>
      <c r="CF76" s="1408">
        <f>SUM(AF76:AI76)</f>
        <v>-61.4</v>
      </c>
      <c r="CG76" s="1408">
        <f>SUM(AJ76:AM76)</f>
        <v>-68.900000000000006</v>
      </c>
      <c r="CH76" s="1408">
        <f>SUM(AN76:AQ76)</f>
        <v>-56.099999999999994</v>
      </c>
      <c r="CI76" s="1408">
        <f>SUM(AR76:AU76)</f>
        <v>-38.599999999999994</v>
      </c>
      <c r="CJ76" s="1408">
        <f t="shared" ref="CJ76:CJ82" si="232">SUM(AV76:AY76)</f>
        <v>-34.1</v>
      </c>
      <c r="CK76" s="1408">
        <f t="shared" ref="CK76:CK82" si="233">SUM(AZ76:BC76)</f>
        <v>-49.699999999999996</v>
      </c>
      <c r="CL76" s="1408">
        <f t="shared" ref="CL76:CL82" si="234">SUM(BD76:BG76)</f>
        <v>-145.30000000000001</v>
      </c>
      <c r="CM76" s="1408">
        <f t="shared" ref="CM76:CM82" si="235">SUM(BH76:BK76)</f>
        <v>-141.19999999999999</v>
      </c>
      <c r="CN76" s="1408">
        <f t="shared" ref="CN76:CN82" si="236">SUM(BL76:BO76)</f>
        <v>-113.86725388601037</v>
      </c>
      <c r="CO76" s="1408">
        <f>SUM(BP76:BS76)</f>
        <v>-104.36725388601037</v>
      </c>
      <c r="CP76" s="1409">
        <f>SUM(BT76:BW76)</f>
        <v>-96.367253886010374</v>
      </c>
      <c r="CQ76" s="23"/>
    </row>
    <row r="77" spans="1:95" ht="14.25" hidden="1" customHeight="1" outlineLevel="1">
      <c r="A77" s="9"/>
      <c r="B77" s="460" t="s">
        <v>403</v>
      </c>
      <c r="C77" s="26"/>
      <c r="D77" s="27">
        <v>0.7</v>
      </c>
      <c r="E77" s="27">
        <v>0.5</v>
      </c>
      <c r="F77" s="593">
        <v>0.3</v>
      </c>
      <c r="G77" s="593">
        <v>0.5</v>
      </c>
      <c r="H77" s="493">
        <v>0.4</v>
      </c>
      <c r="I77" s="27">
        <v>0.6</v>
      </c>
      <c r="J77" s="593">
        <v>0.6</v>
      </c>
      <c r="K77" s="593">
        <v>0.6</v>
      </c>
      <c r="L77" s="493">
        <v>0.9</v>
      </c>
      <c r="M77" s="27">
        <v>1.2</v>
      </c>
      <c r="N77" s="593">
        <v>1.7</v>
      </c>
      <c r="O77" s="593">
        <v>1.7</v>
      </c>
      <c r="P77" s="493">
        <v>2</v>
      </c>
      <c r="Q77" s="27">
        <v>2.8</v>
      </c>
      <c r="R77" s="593">
        <v>3.6</v>
      </c>
      <c r="S77" s="593">
        <v>3.4</v>
      </c>
      <c r="T77" s="493">
        <v>2.8</v>
      </c>
      <c r="U77" s="27">
        <v>2.9</v>
      </c>
      <c r="V77" s="593">
        <v>3.1</v>
      </c>
      <c r="W77" s="593">
        <v>4.2</v>
      </c>
      <c r="X77" s="493">
        <v>2</v>
      </c>
      <c r="Y77" s="27">
        <v>1.8</v>
      </c>
      <c r="Z77" s="593">
        <v>1.7</v>
      </c>
      <c r="AA77" s="593">
        <v>1.4</v>
      </c>
      <c r="AB77" s="493">
        <v>0.4</v>
      </c>
      <c r="AC77" s="27">
        <v>0.2</v>
      </c>
      <c r="AD77" s="593">
        <v>0.1</v>
      </c>
      <c r="AE77" s="593">
        <v>0.1</v>
      </c>
      <c r="AF77" s="493">
        <v>0.1</v>
      </c>
      <c r="AG77" s="27">
        <v>0.1</v>
      </c>
      <c r="AH77" s="593">
        <v>0.2</v>
      </c>
      <c r="AI77" s="593">
        <v>0.1</v>
      </c>
      <c r="AJ77" s="493">
        <v>0.3</v>
      </c>
      <c r="AK77" s="27">
        <v>0.2</v>
      </c>
      <c r="AL77" s="593">
        <v>0.3</v>
      </c>
      <c r="AM77" s="593">
        <v>0.3</v>
      </c>
      <c r="AN77" s="493">
        <v>0.5</v>
      </c>
      <c r="AO77" s="27">
        <v>0.3</v>
      </c>
      <c r="AP77" s="593">
        <v>0.3</v>
      </c>
      <c r="AQ77" s="594">
        <v>0.4</v>
      </c>
      <c r="AR77" s="493">
        <v>0.3</v>
      </c>
      <c r="AS77" s="27">
        <v>0.4</v>
      </c>
      <c r="AT77" s="593">
        <v>0.3</v>
      </c>
      <c r="AU77" s="593">
        <v>0.3</v>
      </c>
      <c r="AV77" s="493">
        <v>0.2</v>
      </c>
      <c r="AW77" s="27">
        <v>0.2</v>
      </c>
      <c r="AX77" s="593">
        <v>0.2</v>
      </c>
      <c r="AY77" s="594">
        <v>0.9</v>
      </c>
      <c r="AZ77" s="493">
        <v>0.3</v>
      </c>
      <c r="BA77" s="27">
        <v>0.3</v>
      </c>
      <c r="BB77" s="593">
        <v>0.2</v>
      </c>
      <c r="BC77" s="594">
        <v>0.3</v>
      </c>
      <c r="BD77" s="493">
        <v>0.3</v>
      </c>
      <c r="BE77" s="27">
        <v>2.1</v>
      </c>
      <c r="BF77" s="27">
        <v>1.4</v>
      </c>
      <c r="BG77" s="594">
        <v>0.7</v>
      </c>
      <c r="BH77" s="493">
        <v>0.6</v>
      </c>
      <c r="BI77" s="27">
        <v>0.5</v>
      </c>
      <c r="BJ77" s="27">
        <v>0.7</v>
      </c>
      <c r="BK77" s="1407">
        <v>1.2</v>
      </c>
      <c r="BL77" s="1087">
        <f>BS!BL146</f>
        <v>0.49181347150259069</v>
      </c>
      <c r="BM77" s="535">
        <f>BS!BM146</f>
        <v>0.55026580358274091</v>
      </c>
      <c r="BN77" s="1422">
        <f>BS!BN146</f>
        <v>0.65125911283279947</v>
      </c>
      <c r="BO77" s="1423">
        <f>BS!BO146</f>
        <v>0.75293323604073548</v>
      </c>
      <c r="BP77" s="1436">
        <f>BS!BP146</f>
        <v>0.89339426375104314</v>
      </c>
      <c r="BQ77" s="1422">
        <f>BS!BQ146</f>
        <v>1.0247468613181774</v>
      </c>
      <c r="BR77" s="1422">
        <f>BS!BR146</f>
        <v>1.1258052155781939</v>
      </c>
      <c r="BS77" s="1423">
        <f>BS!BS146</f>
        <v>1.2491860799049845</v>
      </c>
      <c r="BT77" s="1436">
        <f>BS!BT146</f>
        <v>1.4006071360476495</v>
      </c>
      <c r="BU77" s="1422">
        <f>BS!BU146</f>
        <v>1.5347984362362912</v>
      </c>
      <c r="BV77" s="1422">
        <f>BS!BV146</f>
        <v>1.6504285483485437</v>
      </c>
      <c r="BW77" s="1423">
        <f>BS!BW146</f>
        <v>1.7900664227758039</v>
      </c>
      <c r="BX77" s="1236"/>
      <c r="BY77" s="595">
        <f>SUM(D77:G77)</f>
        <v>2</v>
      </c>
      <c r="BZ77" s="595">
        <f>SUM(H77:K77)</f>
        <v>2.2000000000000002</v>
      </c>
      <c r="CA77" s="595">
        <f>SUM(L77:O77)</f>
        <v>5.5</v>
      </c>
      <c r="CB77" s="595">
        <f>SUM(P77:S77)</f>
        <v>11.8</v>
      </c>
      <c r="CC77" s="595">
        <f>SUM(T77:W77)</f>
        <v>13</v>
      </c>
      <c r="CD77" s="595">
        <f>SUM(X77:AA77)</f>
        <v>6.9</v>
      </c>
      <c r="CE77" s="1408">
        <f>SUM(AB77:AE77)</f>
        <v>0.8</v>
      </c>
      <c r="CF77" s="1408">
        <f>SUM(AF77:AI77)</f>
        <v>0.5</v>
      </c>
      <c r="CG77" s="1408">
        <f>SUM(AJ77:AM77)</f>
        <v>1.1000000000000001</v>
      </c>
      <c r="CH77" s="1408">
        <f>SUM(AN77:AQ77)</f>
        <v>1.5</v>
      </c>
      <c r="CI77" s="1408">
        <f>SUM(AR77:AU77)</f>
        <v>1.3</v>
      </c>
      <c r="CJ77" s="1408">
        <f t="shared" si="232"/>
        <v>1.5</v>
      </c>
      <c r="CK77" s="1408">
        <f t="shared" si="233"/>
        <v>1.1000000000000001</v>
      </c>
      <c r="CL77" s="1408">
        <f t="shared" si="234"/>
        <v>4.5</v>
      </c>
      <c r="CM77" s="1408">
        <f t="shared" si="235"/>
        <v>3</v>
      </c>
      <c r="CN77" s="1408">
        <f t="shared" si="236"/>
        <v>2.4462716239588667</v>
      </c>
      <c r="CO77" s="1408">
        <f t="shared" ref="CO77:CP82" si="237">SUM(BP77:BS77)</f>
        <v>4.2931324205523991</v>
      </c>
      <c r="CP77" s="1409">
        <f>SUM(BT77:BW77)</f>
        <v>6.3759005434082878</v>
      </c>
      <c r="CQ77" s="22"/>
    </row>
    <row r="78" spans="1:95" ht="14.25" hidden="1" customHeight="1" outlineLevel="1">
      <c r="A78" s="9"/>
      <c r="B78" s="460" t="s">
        <v>351</v>
      </c>
      <c r="C78" s="26"/>
      <c r="D78" s="27">
        <v>1.3</v>
      </c>
      <c r="E78" s="27">
        <v>0.5</v>
      </c>
      <c r="F78" s="593">
        <v>0.5</v>
      </c>
      <c r="G78" s="593">
        <v>2.2999999999999998</v>
      </c>
      <c r="H78" s="493">
        <v>-1.7</v>
      </c>
      <c r="I78" s="27">
        <v>1</v>
      </c>
      <c r="J78" s="593">
        <v>-1.4</v>
      </c>
      <c r="K78" s="593">
        <v>-2.1</v>
      </c>
      <c r="L78" s="493">
        <v>-1</v>
      </c>
      <c r="M78" s="27">
        <v>-0.6</v>
      </c>
      <c r="N78" s="593">
        <v>-0.8</v>
      </c>
      <c r="O78" s="593">
        <v>-0.6</v>
      </c>
      <c r="P78" s="493">
        <v>1</v>
      </c>
      <c r="Q78" s="27">
        <v>-0.2</v>
      </c>
      <c r="R78" s="593">
        <v>-0.7</v>
      </c>
      <c r="S78" s="593">
        <f>0.4-1.3</f>
        <v>-0.9</v>
      </c>
      <c r="T78" s="493">
        <v>-0.5</v>
      </c>
      <c r="U78" s="27">
        <v>0</v>
      </c>
      <c r="V78" s="593">
        <v>0.2</v>
      </c>
      <c r="W78" s="593">
        <v>0.3</v>
      </c>
      <c r="X78" s="493">
        <v>-1.9</v>
      </c>
      <c r="Y78" s="27">
        <v>1.2</v>
      </c>
      <c r="Z78" s="593">
        <v>0.5</v>
      </c>
      <c r="AA78" s="593">
        <v>-2.7</v>
      </c>
      <c r="AB78" s="493">
        <v>-2.2000000000000002</v>
      </c>
      <c r="AC78" s="27">
        <v>-0.5</v>
      </c>
      <c r="AD78" s="593">
        <v>-1.5</v>
      </c>
      <c r="AE78" s="593">
        <v>-0.5</v>
      </c>
      <c r="AF78" s="493">
        <v>-2.8</v>
      </c>
      <c r="AG78" s="27">
        <v>-3.4</v>
      </c>
      <c r="AH78" s="593">
        <v>-0.8</v>
      </c>
      <c r="AI78" s="593">
        <v>0.1</v>
      </c>
      <c r="AJ78" s="493">
        <v>-2.5</v>
      </c>
      <c r="AK78" s="27">
        <v>-1</v>
      </c>
      <c r="AL78" s="593">
        <v>-3.1</v>
      </c>
      <c r="AM78" s="593">
        <v>-2.2999999999999998</v>
      </c>
      <c r="AN78" s="493">
        <v>4.7</v>
      </c>
      <c r="AO78" s="27">
        <v>2.2999999999999998</v>
      </c>
      <c r="AP78" s="593">
        <v>-3.6</v>
      </c>
      <c r="AQ78" s="594">
        <v>2.4</v>
      </c>
      <c r="AR78" s="493">
        <v>0.9</v>
      </c>
      <c r="AS78" s="27">
        <v>4.0999999999999996</v>
      </c>
      <c r="AT78" s="593">
        <v>-1.4</v>
      </c>
      <c r="AU78" s="593">
        <v>-0.5</v>
      </c>
      <c r="AV78" s="493">
        <v>-0.6</v>
      </c>
      <c r="AW78" s="27">
        <v>-1.2</v>
      </c>
      <c r="AX78" s="593">
        <v>-0.9</v>
      </c>
      <c r="AY78" s="594">
        <v>-2.2999999999999998</v>
      </c>
      <c r="AZ78" s="493">
        <v>3.7</v>
      </c>
      <c r="BA78" s="27">
        <v>2.1</v>
      </c>
      <c r="BB78" s="593">
        <v>2.1</v>
      </c>
      <c r="BC78" s="594">
        <v>-0.2</v>
      </c>
      <c r="BD78" s="493">
        <v>-1.4</v>
      </c>
      <c r="BE78" s="27">
        <v>-1.9</v>
      </c>
      <c r="BF78" s="27">
        <v>0</v>
      </c>
      <c r="BG78" s="594">
        <v>2.7</v>
      </c>
      <c r="BH78" s="493">
        <v>-4.4000000000000004</v>
      </c>
      <c r="BI78" s="27">
        <v>-0.7</v>
      </c>
      <c r="BJ78" s="27">
        <v>-2.1</v>
      </c>
      <c r="BK78" s="1407">
        <v>-0.9</v>
      </c>
      <c r="BL78" s="1244">
        <f t="shared" ref="BL78:BS78" si="238">BK78</f>
        <v>-0.9</v>
      </c>
      <c r="BM78" s="434">
        <f t="shared" si="238"/>
        <v>-0.9</v>
      </c>
      <c r="BN78" s="434">
        <f t="shared" si="238"/>
        <v>-0.9</v>
      </c>
      <c r="BO78" s="435">
        <f t="shared" si="238"/>
        <v>-0.9</v>
      </c>
      <c r="BP78" s="1244">
        <f t="shared" si="238"/>
        <v>-0.9</v>
      </c>
      <c r="BQ78" s="434">
        <f t="shared" si="238"/>
        <v>-0.9</v>
      </c>
      <c r="BR78" s="434">
        <f t="shared" si="238"/>
        <v>-0.9</v>
      </c>
      <c r="BS78" s="435">
        <f t="shared" si="238"/>
        <v>-0.9</v>
      </c>
      <c r="BT78" s="1244">
        <f t="shared" ref="BT78" si="239">BS78</f>
        <v>-0.9</v>
      </c>
      <c r="BU78" s="434">
        <f t="shared" ref="BU78" si="240">BT78</f>
        <v>-0.9</v>
      </c>
      <c r="BV78" s="434">
        <f t="shared" ref="BV78" si="241">BU78</f>
        <v>-0.9</v>
      </c>
      <c r="BW78" s="435">
        <f t="shared" ref="BW78" si="242">BV78</f>
        <v>-0.9</v>
      </c>
      <c r="BX78" s="1236"/>
      <c r="BY78" s="595">
        <f>SUM(D78:G78)</f>
        <v>4.5999999999999996</v>
      </c>
      <c r="BZ78" s="595">
        <f>SUM(H78:K78)</f>
        <v>-4.1999999999999993</v>
      </c>
      <c r="CA78" s="595">
        <f>SUM(L78:O78)</f>
        <v>-3.0000000000000004</v>
      </c>
      <c r="CB78" s="595">
        <f>SUM(P78:S78)</f>
        <v>-0.79999999999999993</v>
      </c>
      <c r="CC78" s="595">
        <f>SUM(T78:W78)</f>
        <v>0</v>
      </c>
      <c r="CD78" s="595">
        <f>SUM(X78:AA78)</f>
        <v>-2.9000000000000004</v>
      </c>
      <c r="CE78" s="1408">
        <f>SUM(AB78:AE78)</f>
        <v>-4.7</v>
      </c>
      <c r="CF78" s="1408">
        <f>SUM(AF78:AI78)</f>
        <v>-6.8999999999999995</v>
      </c>
      <c r="CG78" s="1408">
        <f>SUM(AJ78:AM78)</f>
        <v>-8.8999999999999986</v>
      </c>
      <c r="CH78" s="1408">
        <f>SUM(AN78:AQ78)</f>
        <v>5.8</v>
      </c>
      <c r="CI78" s="1408">
        <f>SUM(AR78:AU78)</f>
        <v>3.1</v>
      </c>
      <c r="CJ78" s="1408">
        <f t="shared" si="232"/>
        <v>-5</v>
      </c>
      <c r="CK78" s="1408">
        <f t="shared" si="233"/>
        <v>7.7</v>
      </c>
      <c r="CL78" s="1408">
        <f t="shared" si="234"/>
        <v>-0.59999999999999964</v>
      </c>
      <c r="CM78" s="1408">
        <f t="shared" si="235"/>
        <v>-8.1000000000000014</v>
      </c>
      <c r="CN78" s="1408">
        <f t="shared" si="236"/>
        <v>-3.6</v>
      </c>
      <c r="CO78" s="1408">
        <f t="shared" si="237"/>
        <v>-3.6</v>
      </c>
      <c r="CP78" s="1409">
        <f>SUM(BT78:BW78)</f>
        <v>-3.6</v>
      </c>
      <c r="CQ78" s="22"/>
    </row>
    <row r="79" spans="1:95" ht="14.25" hidden="1" customHeight="1" outlineLevel="1">
      <c r="A79" s="9"/>
      <c r="B79" s="574" t="s">
        <v>346</v>
      </c>
      <c r="C79" s="26"/>
      <c r="D79" s="27">
        <v>-3.5</v>
      </c>
      <c r="E79" s="27">
        <v>0</v>
      </c>
      <c r="F79" s="593">
        <v>-2.9</v>
      </c>
      <c r="G79" s="593">
        <v>-1.3</v>
      </c>
      <c r="H79" s="493">
        <v>-33</v>
      </c>
      <c r="I79" s="27">
        <v>-27.4</v>
      </c>
      <c r="J79" s="593">
        <v>-3</v>
      </c>
      <c r="K79" s="593">
        <v>-96.3</v>
      </c>
      <c r="L79" s="493">
        <v>0</v>
      </c>
      <c r="M79" s="27">
        <v>0</v>
      </c>
      <c r="N79" s="593">
        <v>0</v>
      </c>
      <c r="O79" s="593">
        <v>0</v>
      </c>
      <c r="P79" s="493">
        <v>0</v>
      </c>
      <c r="Q79" s="27">
        <v>0</v>
      </c>
      <c r="R79" s="593">
        <v>0</v>
      </c>
      <c r="S79" s="593">
        <v>0</v>
      </c>
      <c r="T79" s="493">
        <v>-0.1</v>
      </c>
      <c r="U79" s="27">
        <v>0</v>
      </c>
      <c r="V79" s="593">
        <v>0</v>
      </c>
      <c r="W79" s="593">
        <v>0</v>
      </c>
      <c r="X79" s="493">
        <v>0</v>
      </c>
      <c r="Y79" s="27">
        <v>0</v>
      </c>
      <c r="Z79" s="593">
        <v>0</v>
      </c>
      <c r="AA79" s="593">
        <v>3.8</v>
      </c>
      <c r="AB79" s="493">
        <v>-2.2000000000000002</v>
      </c>
      <c r="AC79" s="27">
        <v>-0.9</v>
      </c>
      <c r="AD79" s="593">
        <v>0</v>
      </c>
      <c r="AE79" s="593">
        <v>0</v>
      </c>
      <c r="AF79" s="493">
        <v>0</v>
      </c>
      <c r="AG79" s="27">
        <v>-0.7</v>
      </c>
      <c r="AH79" s="593">
        <v>0</v>
      </c>
      <c r="AI79" s="593">
        <v>0</v>
      </c>
      <c r="AJ79" s="493">
        <v>0</v>
      </c>
      <c r="AK79" s="27">
        <v>0</v>
      </c>
      <c r="AL79" s="593">
        <v>-5.3</v>
      </c>
      <c r="AM79" s="593">
        <v>-17.899999999999999</v>
      </c>
      <c r="AN79" s="493">
        <v>0</v>
      </c>
      <c r="AO79" s="27">
        <v>0</v>
      </c>
      <c r="AP79" s="593">
        <v>-7.8</v>
      </c>
      <c r="AQ79" s="594">
        <v>0</v>
      </c>
      <c r="AR79" s="493">
        <v>-3.1</v>
      </c>
      <c r="AS79" s="27">
        <v>0</v>
      </c>
      <c r="AT79" s="593">
        <v>0</v>
      </c>
      <c r="AU79" s="593">
        <v>0</v>
      </c>
      <c r="AV79" s="493">
        <v>0</v>
      </c>
      <c r="AW79" s="27">
        <v>0</v>
      </c>
      <c r="AX79" s="593">
        <v>0</v>
      </c>
      <c r="AY79" s="594">
        <v>0</v>
      </c>
      <c r="AZ79" s="493">
        <v>0</v>
      </c>
      <c r="BA79" s="27">
        <v>-0.4</v>
      </c>
      <c r="BB79" s="593">
        <v>0</v>
      </c>
      <c r="BC79" s="594">
        <v>0</v>
      </c>
      <c r="BD79" s="493">
        <v>0</v>
      </c>
      <c r="BE79" s="27">
        <v>0</v>
      </c>
      <c r="BF79" s="27">
        <v>-6.3</v>
      </c>
      <c r="BG79" s="594">
        <v>0</v>
      </c>
      <c r="BH79" s="493">
        <v>-26.2</v>
      </c>
      <c r="BI79" s="27">
        <v>23.9</v>
      </c>
      <c r="BJ79" s="27">
        <f>21.5-6.7</f>
        <v>14.8</v>
      </c>
      <c r="BK79" s="1407">
        <f>2.2-14.3</f>
        <v>-12.100000000000001</v>
      </c>
      <c r="BL79" s="1244">
        <v>0</v>
      </c>
      <c r="BM79" s="434">
        <v>0</v>
      </c>
      <c r="BN79" s="434">
        <v>0</v>
      </c>
      <c r="BO79" s="435">
        <v>0</v>
      </c>
      <c r="BP79" s="1244">
        <v>0</v>
      </c>
      <c r="BQ79" s="434">
        <v>0</v>
      </c>
      <c r="BR79" s="434">
        <v>0</v>
      </c>
      <c r="BS79" s="435">
        <v>0</v>
      </c>
      <c r="BT79" s="1244">
        <v>0</v>
      </c>
      <c r="BU79" s="434">
        <v>0</v>
      </c>
      <c r="BV79" s="434">
        <v>0</v>
      </c>
      <c r="BW79" s="435">
        <v>0</v>
      </c>
      <c r="BX79" s="1236"/>
      <c r="BY79" s="595">
        <f>SUM(D79:G79)</f>
        <v>-7.7</v>
      </c>
      <c r="BZ79" s="595">
        <f>SUM(H79:K79)</f>
        <v>-159.69999999999999</v>
      </c>
      <c r="CA79" s="595">
        <f>SUM(L79:O79)</f>
        <v>0</v>
      </c>
      <c r="CB79" s="595">
        <f>SUM(P79:S79)</f>
        <v>0</v>
      </c>
      <c r="CC79" s="595">
        <f>SUM(T79:W79)</f>
        <v>-0.1</v>
      </c>
      <c r="CD79" s="595">
        <f>SUM(X79:AA79)</f>
        <v>3.8</v>
      </c>
      <c r="CE79" s="1408">
        <f>SUM(AB79:AE79)</f>
        <v>-3.1</v>
      </c>
      <c r="CF79" s="1408">
        <f>SUM(AF79:AI79)</f>
        <v>-0.7</v>
      </c>
      <c r="CG79" s="1408">
        <f>SUM(AJ79:AM79)</f>
        <v>-23.2</v>
      </c>
      <c r="CH79" s="1408">
        <f>SUM(AN79:AQ79)</f>
        <v>-7.8</v>
      </c>
      <c r="CI79" s="1408">
        <f>SUM(AR79:AU79)</f>
        <v>-3.1</v>
      </c>
      <c r="CJ79" s="1408">
        <f t="shared" si="232"/>
        <v>0</v>
      </c>
      <c r="CK79" s="1408">
        <f t="shared" si="233"/>
        <v>-0.4</v>
      </c>
      <c r="CL79" s="1408">
        <f t="shared" si="234"/>
        <v>-6.3</v>
      </c>
      <c r="CM79" s="1408">
        <f t="shared" si="235"/>
        <v>0.39999999999999858</v>
      </c>
      <c r="CN79" s="1408">
        <f t="shared" si="236"/>
        <v>0</v>
      </c>
      <c r="CO79" s="1408">
        <f t="shared" si="237"/>
        <v>0</v>
      </c>
      <c r="CP79" s="1409">
        <f>SUM(BT79:BW79)</f>
        <v>0</v>
      </c>
      <c r="CQ79" s="22"/>
    </row>
    <row r="80" spans="1:95" ht="14.25" hidden="1" customHeight="1" outlineLevel="1">
      <c r="A80" s="9"/>
      <c r="B80" s="460" t="s">
        <v>347</v>
      </c>
      <c r="C80" s="26"/>
      <c r="D80" s="27">
        <v>0</v>
      </c>
      <c r="E80" s="27">
        <v>0</v>
      </c>
      <c r="F80" s="593">
        <v>0</v>
      </c>
      <c r="G80" s="593">
        <v>0</v>
      </c>
      <c r="H80" s="493">
        <v>0</v>
      </c>
      <c r="I80" s="27">
        <v>0</v>
      </c>
      <c r="J80" s="593">
        <v>0</v>
      </c>
      <c r="K80" s="593">
        <v>0</v>
      </c>
      <c r="L80" s="493">
        <v>0</v>
      </c>
      <c r="M80" s="27">
        <v>0</v>
      </c>
      <c r="N80" s="593">
        <v>0</v>
      </c>
      <c r="O80" s="593">
        <v>0</v>
      </c>
      <c r="P80" s="493">
        <v>0</v>
      </c>
      <c r="Q80" s="27">
        <v>0</v>
      </c>
      <c r="R80" s="593">
        <v>0</v>
      </c>
      <c r="S80" s="593">
        <v>0</v>
      </c>
      <c r="T80" s="493">
        <v>0</v>
      </c>
      <c r="U80" s="27">
        <v>0</v>
      </c>
      <c r="V80" s="593">
        <v>0</v>
      </c>
      <c r="W80" s="593">
        <v>0</v>
      </c>
      <c r="X80" s="493">
        <v>0</v>
      </c>
      <c r="Y80" s="27">
        <v>0</v>
      </c>
      <c r="Z80" s="593">
        <v>0</v>
      </c>
      <c r="AA80" s="593">
        <v>0</v>
      </c>
      <c r="AB80" s="493">
        <v>0</v>
      </c>
      <c r="AC80" s="27">
        <v>0</v>
      </c>
      <c r="AD80" s="593">
        <v>0</v>
      </c>
      <c r="AE80" s="593">
        <v>0</v>
      </c>
      <c r="AF80" s="493">
        <v>0</v>
      </c>
      <c r="AG80" s="27">
        <v>0</v>
      </c>
      <c r="AH80" s="593">
        <v>0</v>
      </c>
      <c r="AI80" s="593">
        <v>0</v>
      </c>
      <c r="AJ80" s="493">
        <v>24.3</v>
      </c>
      <c r="AK80" s="27">
        <v>0</v>
      </c>
      <c r="AL80" s="593">
        <v>0</v>
      </c>
      <c r="AM80" s="593">
        <v>0</v>
      </c>
      <c r="AN80" s="493">
        <v>0</v>
      </c>
      <c r="AO80" s="27">
        <v>0</v>
      </c>
      <c r="AP80" s="593">
        <v>0</v>
      </c>
      <c r="AQ80" s="594">
        <v>0</v>
      </c>
      <c r="AR80" s="493">
        <v>0</v>
      </c>
      <c r="AS80" s="27">
        <v>0</v>
      </c>
      <c r="AT80" s="593">
        <v>0</v>
      </c>
      <c r="AU80" s="593">
        <v>0</v>
      </c>
      <c r="AV80" s="493">
        <v>0</v>
      </c>
      <c r="AW80" s="27">
        <v>0</v>
      </c>
      <c r="AX80" s="593">
        <v>0</v>
      </c>
      <c r="AY80" s="594">
        <v>0</v>
      </c>
      <c r="AZ80" s="493">
        <v>0</v>
      </c>
      <c r="BA80" s="27">
        <v>0</v>
      </c>
      <c r="BB80" s="593">
        <v>0</v>
      </c>
      <c r="BC80" s="594">
        <v>0</v>
      </c>
      <c r="BD80" s="493">
        <v>0</v>
      </c>
      <c r="BE80" s="27">
        <v>0</v>
      </c>
      <c r="BF80" s="27">
        <v>0</v>
      </c>
      <c r="BG80" s="594">
        <v>0</v>
      </c>
      <c r="BH80" s="493">
        <v>0</v>
      </c>
      <c r="BI80" s="27">
        <v>0</v>
      </c>
      <c r="BJ80" s="27">
        <v>0</v>
      </c>
      <c r="BK80" s="1407">
        <v>0</v>
      </c>
      <c r="BL80" s="1244">
        <v>0</v>
      </c>
      <c r="BM80" s="434">
        <v>0</v>
      </c>
      <c r="BN80" s="434">
        <v>0</v>
      </c>
      <c r="BO80" s="435">
        <v>0</v>
      </c>
      <c r="BP80" s="1244">
        <v>0</v>
      </c>
      <c r="BQ80" s="434">
        <v>0</v>
      </c>
      <c r="BR80" s="434">
        <v>0</v>
      </c>
      <c r="BS80" s="435">
        <v>0</v>
      </c>
      <c r="BT80" s="1244">
        <v>0</v>
      </c>
      <c r="BU80" s="434">
        <v>0</v>
      </c>
      <c r="BV80" s="434">
        <v>0</v>
      </c>
      <c r="BW80" s="435">
        <v>0</v>
      </c>
      <c r="BX80" s="1236"/>
      <c r="BY80" s="595">
        <f>SUM(D80:G80)</f>
        <v>0</v>
      </c>
      <c r="BZ80" s="595">
        <f>SUM(H80:K80)</f>
        <v>0</v>
      </c>
      <c r="CA80" s="595">
        <f>SUM(L80:O80)</f>
        <v>0</v>
      </c>
      <c r="CB80" s="595">
        <f>SUM(P80:S80)</f>
        <v>0</v>
      </c>
      <c r="CC80" s="595">
        <f>SUM(T80:W80)</f>
        <v>0</v>
      </c>
      <c r="CD80" s="595">
        <f>SUM(X80:AA80)</f>
        <v>0</v>
      </c>
      <c r="CE80" s="1408">
        <f>SUM(AB80:AE80)</f>
        <v>0</v>
      </c>
      <c r="CF80" s="1408">
        <f>SUM(AF80:AI80)</f>
        <v>0</v>
      </c>
      <c r="CG80" s="1408">
        <f>SUM(AJ80:AM80)</f>
        <v>24.3</v>
      </c>
      <c r="CH80" s="1408">
        <f>SUM(AN80:AQ80)</f>
        <v>0</v>
      </c>
      <c r="CI80" s="1408">
        <f>SUM(AR80:AU80)</f>
        <v>0</v>
      </c>
      <c r="CJ80" s="1408">
        <f t="shared" si="232"/>
        <v>0</v>
      </c>
      <c r="CK80" s="1408">
        <f t="shared" si="233"/>
        <v>0</v>
      </c>
      <c r="CL80" s="1408">
        <f t="shared" si="234"/>
        <v>0</v>
      </c>
      <c r="CM80" s="1408">
        <f t="shared" si="235"/>
        <v>0</v>
      </c>
      <c r="CN80" s="1408">
        <f t="shared" si="236"/>
        <v>0</v>
      </c>
      <c r="CO80" s="1408">
        <f t="shared" si="237"/>
        <v>0</v>
      </c>
      <c r="CP80" s="1409">
        <f>SUM(BT80:BW80)</f>
        <v>0</v>
      </c>
      <c r="CQ80" s="22"/>
    </row>
    <row r="81" spans="1:101" s="1319" customFormat="1" ht="14.25" hidden="1" customHeight="1" outlineLevel="1">
      <c r="A81" s="9"/>
      <c r="B81" s="460" t="s">
        <v>627</v>
      </c>
      <c r="C81" s="26"/>
      <c r="D81" s="27"/>
      <c r="E81" s="27"/>
      <c r="F81" s="593"/>
      <c r="G81" s="593"/>
      <c r="H81" s="493"/>
      <c r="I81" s="27"/>
      <c r="J81" s="593"/>
      <c r="K81" s="593"/>
      <c r="L81" s="493"/>
      <c r="M81" s="27"/>
      <c r="N81" s="593"/>
      <c r="O81" s="593"/>
      <c r="P81" s="493"/>
      <c r="Q81" s="27"/>
      <c r="R81" s="593"/>
      <c r="S81" s="593"/>
      <c r="T81" s="493"/>
      <c r="U81" s="27"/>
      <c r="V81" s="593"/>
      <c r="W81" s="593"/>
      <c r="X81" s="493"/>
      <c r="Y81" s="27"/>
      <c r="Z81" s="593"/>
      <c r="AA81" s="593"/>
      <c r="AB81" s="493"/>
      <c r="AC81" s="27"/>
      <c r="AD81" s="593"/>
      <c r="AE81" s="593"/>
      <c r="AF81" s="493"/>
      <c r="AG81" s="27"/>
      <c r="AH81" s="593"/>
      <c r="AI81" s="593"/>
      <c r="AJ81" s="493"/>
      <c r="AK81" s="27"/>
      <c r="AL81" s="593"/>
      <c r="AM81" s="593"/>
      <c r="AN81" s="493"/>
      <c r="AO81" s="27"/>
      <c r="AP81" s="593"/>
      <c r="AQ81" s="594"/>
      <c r="AR81" s="493"/>
      <c r="AS81" s="27"/>
      <c r="AT81" s="593"/>
      <c r="AU81" s="593"/>
      <c r="AV81" s="493"/>
      <c r="AW81" s="27"/>
      <c r="AX81" s="593"/>
      <c r="AY81" s="594"/>
      <c r="AZ81" s="493"/>
      <c r="BA81" s="27"/>
      <c r="BB81" s="593"/>
      <c r="BC81" s="594"/>
      <c r="BD81" s="493"/>
      <c r="BE81" s="27"/>
      <c r="BF81" s="27">
        <v>92.2</v>
      </c>
      <c r="BG81" s="594"/>
      <c r="BH81" s="493"/>
      <c r="BI81" s="27"/>
      <c r="BJ81" s="27">
        <v>12.5</v>
      </c>
      <c r="BK81" s="1407">
        <v>0</v>
      </c>
      <c r="BL81" s="1244"/>
      <c r="BM81" s="434"/>
      <c r="BN81" s="434"/>
      <c r="BO81" s="435"/>
      <c r="BP81" s="1244"/>
      <c r="BQ81" s="434"/>
      <c r="BR81" s="434"/>
      <c r="BS81" s="435"/>
      <c r="BT81" s="1244"/>
      <c r="BU81" s="434"/>
      <c r="BV81" s="434"/>
      <c r="BW81" s="435"/>
      <c r="BX81" s="1236"/>
      <c r="BY81" s="595"/>
      <c r="BZ81" s="595"/>
      <c r="CA81" s="595"/>
      <c r="CB81" s="595"/>
      <c r="CC81" s="595"/>
      <c r="CD81" s="595"/>
      <c r="CE81" s="1408"/>
      <c r="CF81" s="1408"/>
      <c r="CG81" s="1408"/>
      <c r="CH81" s="1408"/>
      <c r="CI81" s="1408"/>
      <c r="CJ81" s="1408">
        <f t="shared" si="232"/>
        <v>0</v>
      </c>
      <c r="CK81" s="1408">
        <f t="shared" si="233"/>
        <v>0</v>
      </c>
      <c r="CL81" s="1408">
        <f t="shared" si="234"/>
        <v>92.2</v>
      </c>
      <c r="CM81" s="1408">
        <f t="shared" si="235"/>
        <v>12.5</v>
      </c>
      <c r="CN81" s="1408">
        <f t="shared" si="236"/>
        <v>0</v>
      </c>
      <c r="CO81" s="1408">
        <f t="shared" si="237"/>
        <v>0</v>
      </c>
      <c r="CP81" s="1409">
        <f t="shared" si="237"/>
        <v>0</v>
      </c>
      <c r="CQ81" s="22"/>
      <c r="CR81"/>
      <c r="CS81"/>
      <c r="CT81"/>
      <c r="CU81"/>
      <c r="CV81"/>
      <c r="CW81"/>
    </row>
    <row r="82" spans="1:101" ht="14.25" hidden="1" customHeight="1" outlineLevel="1">
      <c r="A82" s="9"/>
      <c r="B82" s="460" t="s">
        <v>532</v>
      </c>
      <c r="C82" s="26"/>
      <c r="D82" s="27">
        <v>0</v>
      </c>
      <c r="E82" s="27">
        <v>0</v>
      </c>
      <c r="F82" s="593">
        <v>0</v>
      </c>
      <c r="G82" s="593">
        <v>0</v>
      </c>
      <c r="H82" s="493">
        <v>0</v>
      </c>
      <c r="I82" s="27">
        <v>0</v>
      </c>
      <c r="J82" s="593">
        <v>0</v>
      </c>
      <c r="K82" s="593">
        <v>0</v>
      </c>
      <c r="L82" s="493">
        <v>0</v>
      </c>
      <c r="M82" s="27">
        <v>0</v>
      </c>
      <c r="N82" s="593">
        <v>0</v>
      </c>
      <c r="O82" s="593">
        <v>0</v>
      </c>
      <c r="P82" s="493">
        <v>0</v>
      </c>
      <c r="Q82" s="27">
        <v>0</v>
      </c>
      <c r="R82" s="593">
        <v>0</v>
      </c>
      <c r="S82" s="593">
        <v>0</v>
      </c>
      <c r="T82" s="493">
        <v>0</v>
      </c>
      <c r="U82" s="27">
        <v>0</v>
      </c>
      <c r="V82" s="593">
        <v>0</v>
      </c>
      <c r="W82" s="593">
        <v>0</v>
      </c>
      <c r="X82" s="493">
        <v>9.8000000000000007</v>
      </c>
      <c r="Y82" s="27">
        <v>10.4</v>
      </c>
      <c r="Z82" s="593">
        <v>10.6</v>
      </c>
      <c r="AA82" s="593">
        <v>10.8</v>
      </c>
      <c r="AB82" s="493">
        <v>9.9</v>
      </c>
      <c r="AC82" s="27">
        <v>8.4</v>
      </c>
      <c r="AD82" s="593">
        <v>8.3000000000000007</v>
      </c>
      <c r="AE82" s="593">
        <v>8.3000000000000007</v>
      </c>
      <c r="AF82" s="493">
        <v>8.6999999999999993</v>
      </c>
      <c r="AG82" s="27">
        <v>8.3000000000000007</v>
      </c>
      <c r="AH82" s="593">
        <v>8.3000000000000007</v>
      </c>
      <c r="AI82" s="593">
        <v>8.4</v>
      </c>
      <c r="AJ82" s="493">
        <v>8.6999999999999993</v>
      </c>
      <c r="AK82" s="27">
        <v>8.9</v>
      </c>
      <c r="AL82" s="593">
        <v>8.9</v>
      </c>
      <c r="AM82" s="593">
        <v>8.4</v>
      </c>
      <c r="AN82" s="493">
        <v>7.2</v>
      </c>
      <c r="AO82" s="27">
        <v>6</v>
      </c>
      <c r="AP82" s="593">
        <v>5.5</v>
      </c>
      <c r="AQ82" s="594">
        <v>4.7</v>
      </c>
      <c r="AR82" s="493">
        <v>3.1</v>
      </c>
      <c r="AS82" s="27">
        <v>2.7</v>
      </c>
      <c r="AT82" s="593">
        <v>2.7</v>
      </c>
      <c r="AU82" s="593">
        <v>2.7</v>
      </c>
      <c r="AV82" s="493">
        <v>1.6</v>
      </c>
      <c r="AW82" s="27">
        <v>1.7</v>
      </c>
      <c r="AX82" s="593">
        <v>1.8</v>
      </c>
      <c r="AY82" s="594">
        <v>1.9</v>
      </c>
      <c r="AZ82" s="493"/>
      <c r="BA82" s="27">
        <v>3</v>
      </c>
      <c r="BB82" s="593">
        <v>6.4</v>
      </c>
      <c r="BC82" s="594">
        <v>6.3</v>
      </c>
      <c r="BD82" s="493">
        <v>6.5</v>
      </c>
      <c r="BE82" s="27">
        <v>6.5</v>
      </c>
      <c r="BF82" s="27">
        <v>6.6</v>
      </c>
      <c r="BG82" s="594">
        <v>6.5</v>
      </c>
      <c r="BH82" s="493">
        <v>4.7</v>
      </c>
      <c r="BI82" s="27">
        <v>8.6</v>
      </c>
      <c r="BJ82" s="27">
        <v>8.6</v>
      </c>
      <c r="BK82" s="1407">
        <v>0</v>
      </c>
      <c r="BL82" s="493">
        <f t="shared" ref="BL82:BO82" si="243">BK82</f>
        <v>0</v>
      </c>
      <c r="BM82" s="27">
        <f t="shared" si="243"/>
        <v>0</v>
      </c>
      <c r="BN82" s="27">
        <f t="shared" si="243"/>
        <v>0</v>
      </c>
      <c r="BO82" s="28">
        <f t="shared" si="243"/>
        <v>0</v>
      </c>
      <c r="BP82" s="493">
        <f t="shared" ref="BP82" si="244">BO82</f>
        <v>0</v>
      </c>
      <c r="BQ82" s="27">
        <f t="shared" ref="BQ82" si="245">BP82</f>
        <v>0</v>
      </c>
      <c r="BR82" s="27">
        <f t="shared" ref="BR82" si="246">BQ82</f>
        <v>0</v>
      </c>
      <c r="BS82" s="28">
        <f t="shared" ref="BS82" si="247">BR82</f>
        <v>0</v>
      </c>
      <c r="BT82" s="493">
        <f t="shared" ref="BT82" si="248">BS82</f>
        <v>0</v>
      </c>
      <c r="BU82" s="27">
        <f t="shared" ref="BU82" si="249">BT82</f>
        <v>0</v>
      </c>
      <c r="BV82" s="27">
        <f t="shared" ref="BV82" si="250">BU82</f>
        <v>0</v>
      </c>
      <c r="BW82" s="28">
        <f t="shared" ref="BW82" si="251">BV82</f>
        <v>0</v>
      </c>
      <c r="BX82" s="1236"/>
      <c r="BY82" s="595">
        <f>SUM(D82:G82)</f>
        <v>0</v>
      </c>
      <c r="BZ82" s="595">
        <f>SUM(H82:K82)</f>
        <v>0</v>
      </c>
      <c r="CA82" s="595">
        <f>SUM(L82:O82)</f>
        <v>0</v>
      </c>
      <c r="CB82" s="595">
        <f>SUM(P82:S82)</f>
        <v>0</v>
      </c>
      <c r="CC82" s="595">
        <f>SUM(T82:W82)</f>
        <v>0</v>
      </c>
      <c r="CD82" s="595">
        <f>SUM(X82:AA82)</f>
        <v>41.600000000000009</v>
      </c>
      <c r="CE82" s="1408">
        <f>SUM(AB82:AE82)</f>
        <v>34.900000000000006</v>
      </c>
      <c r="CF82" s="1408">
        <f>SUM(AF82:AI82)</f>
        <v>33.700000000000003</v>
      </c>
      <c r="CG82" s="1408">
        <f>SUM(AJ82:AM82)</f>
        <v>34.9</v>
      </c>
      <c r="CH82" s="1408">
        <f>SUM(AN82:AQ82)</f>
        <v>23.4</v>
      </c>
      <c r="CI82" s="1408">
        <f>SUM(AR82:AU82)</f>
        <v>11.2</v>
      </c>
      <c r="CJ82" s="1408">
        <f t="shared" si="232"/>
        <v>7</v>
      </c>
      <c r="CK82" s="1408">
        <f t="shared" si="233"/>
        <v>15.7</v>
      </c>
      <c r="CL82" s="1408">
        <f t="shared" si="234"/>
        <v>26.1</v>
      </c>
      <c r="CM82" s="1408">
        <f t="shared" si="235"/>
        <v>21.9</v>
      </c>
      <c r="CN82" s="1408">
        <f t="shared" si="236"/>
        <v>0</v>
      </c>
      <c r="CO82" s="1408">
        <f t="shared" si="237"/>
        <v>0</v>
      </c>
      <c r="CP82" s="1409">
        <f>SUM(BT82:BW82)</f>
        <v>0</v>
      </c>
      <c r="CQ82" s="22"/>
    </row>
    <row r="83" spans="1:101" ht="14.25" hidden="1" customHeight="1" outlineLevel="1">
      <c r="A83" s="9"/>
      <c r="B83" s="460"/>
      <c r="C83" s="26"/>
      <c r="D83" s="27"/>
      <c r="E83" s="27"/>
      <c r="F83" s="593"/>
      <c r="G83" s="593"/>
      <c r="H83" s="493"/>
      <c r="I83" s="27"/>
      <c r="J83" s="593"/>
      <c r="K83" s="593"/>
      <c r="L83" s="493"/>
      <c r="M83" s="27"/>
      <c r="N83" s="593"/>
      <c r="O83" s="593"/>
      <c r="P83" s="493"/>
      <c r="Q83" s="27"/>
      <c r="R83" s="593"/>
      <c r="S83" s="593"/>
      <c r="T83" s="493"/>
      <c r="U83" s="27"/>
      <c r="V83" s="593"/>
      <c r="W83" s="593"/>
      <c r="X83" s="493"/>
      <c r="Y83" s="27"/>
      <c r="Z83" s="593"/>
      <c r="AA83" s="593"/>
      <c r="AB83" s="493"/>
      <c r="AC83" s="27"/>
      <c r="AD83" s="593"/>
      <c r="AE83" s="593"/>
      <c r="AF83" s="493"/>
      <c r="AG83" s="27"/>
      <c r="AH83" s="593"/>
      <c r="AI83" s="593"/>
      <c r="AJ83" s="493"/>
      <c r="AK83" s="27"/>
      <c r="AL83" s="593"/>
      <c r="AM83" s="593"/>
      <c r="AN83" s="493"/>
      <c r="AO83" s="27"/>
      <c r="AP83" s="593"/>
      <c r="AQ83" s="594"/>
      <c r="AR83" s="493"/>
      <c r="AS83" s="27"/>
      <c r="AT83" s="593"/>
      <c r="AU83" s="593"/>
      <c r="AV83" s="493"/>
      <c r="AW83" s="27"/>
      <c r="AX83" s="593"/>
      <c r="AY83" s="594"/>
      <c r="AZ83" s="493"/>
      <c r="BA83" s="27"/>
      <c r="BB83" s="593"/>
      <c r="BC83" s="594"/>
      <c r="BD83" s="493"/>
      <c r="BE83" s="27"/>
      <c r="BF83" s="434"/>
      <c r="BG83" s="594"/>
      <c r="BH83" s="493"/>
      <c r="BI83" s="27"/>
      <c r="BJ83" s="27"/>
      <c r="BK83" s="1407"/>
      <c r="BL83" s="1244"/>
      <c r="BM83" s="434"/>
      <c r="BN83" s="434"/>
      <c r="BO83" s="435"/>
      <c r="BP83" s="1244"/>
      <c r="BQ83" s="434"/>
      <c r="BR83" s="434"/>
      <c r="BS83" s="435"/>
      <c r="BT83" s="1244"/>
      <c r="BU83" s="434"/>
      <c r="BV83" s="434"/>
      <c r="BW83" s="435"/>
      <c r="BX83" s="1236"/>
      <c r="BY83" s="595"/>
      <c r="BZ83" s="595"/>
      <c r="CA83" s="595"/>
      <c r="CB83" s="595"/>
      <c r="CC83" s="595"/>
      <c r="CD83" s="595"/>
      <c r="CE83" s="1408"/>
      <c r="CF83" s="1408"/>
      <c r="CG83" s="1408"/>
      <c r="CH83" s="1408"/>
      <c r="CI83" s="1408"/>
      <c r="CJ83" s="1408"/>
      <c r="CK83" s="1408"/>
      <c r="CL83" s="1408"/>
      <c r="CM83" s="1408"/>
      <c r="CN83" s="1408"/>
      <c r="CO83" s="1408"/>
      <c r="CP83" s="1409"/>
      <c r="CQ83" s="22"/>
    </row>
    <row r="84" spans="1:101" ht="14.25" hidden="1" customHeight="1" outlineLevel="1">
      <c r="A84" s="9"/>
      <c r="B84" s="504" t="s">
        <v>62</v>
      </c>
      <c r="C84" s="26"/>
      <c r="D84" s="27">
        <v>0</v>
      </c>
      <c r="E84" s="27">
        <v>0</v>
      </c>
      <c r="F84" s="593">
        <v>0</v>
      </c>
      <c r="G84" s="593">
        <v>0</v>
      </c>
      <c r="H84" s="493">
        <v>0</v>
      </c>
      <c r="I84" s="27">
        <v>0</v>
      </c>
      <c r="J84" s="593">
        <v>0</v>
      </c>
      <c r="K84" s="593">
        <v>0</v>
      </c>
      <c r="L84" s="493">
        <v>0</v>
      </c>
      <c r="M84" s="27">
        <v>0</v>
      </c>
      <c r="N84" s="593">
        <v>0</v>
      </c>
      <c r="O84" s="593">
        <v>0</v>
      </c>
      <c r="P84" s="493">
        <f>0.6</f>
        <v>0.6</v>
      </c>
      <c r="Q84" s="27">
        <v>0.7</v>
      </c>
      <c r="R84" s="593">
        <v>0.7</v>
      </c>
      <c r="S84" s="593">
        <v>0.8</v>
      </c>
      <c r="T84" s="493">
        <v>0</v>
      </c>
      <c r="U84" s="27">
        <v>0</v>
      </c>
      <c r="V84" s="593">
        <v>0</v>
      </c>
      <c r="W84" s="593">
        <v>0</v>
      </c>
      <c r="X84" s="493">
        <v>0</v>
      </c>
      <c r="Y84" s="27">
        <v>0</v>
      </c>
      <c r="Z84" s="593">
        <v>0</v>
      </c>
      <c r="AA84" s="593">
        <v>0</v>
      </c>
      <c r="AB84" s="493">
        <v>0</v>
      </c>
      <c r="AC84" s="27">
        <v>0</v>
      </c>
      <c r="AD84" s="593">
        <v>0</v>
      </c>
      <c r="AE84" s="593">
        <v>0</v>
      </c>
      <c r="AF84" s="493">
        <v>0</v>
      </c>
      <c r="AG84" s="27">
        <v>0</v>
      </c>
      <c r="AH84" s="593">
        <v>0</v>
      </c>
      <c r="AI84" s="593">
        <v>0</v>
      </c>
      <c r="AJ84" s="493">
        <v>7.3</v>
      </c>
      <c r="AK84" s="27">
        <v>0</v>
      </c>
      <c r="AL84" s="593">
        <v>0</v>
      </c>
      <c r="AM84" s="593">
        <v>0</v>
      </c>
      <c r="AN84" s="493">
        <v>0</v>
      </c>
      <c r="AO84" s="27">
        <v>-2.2000000000000002</v>
      </c>
      <c r="AP84" s="593">
        <v>0</v>
      </c>
      <c r="AQ84" s="594">
        <v>0</v>
      </c>
      <c r="AR84" s="493">
        <v>0</v>
      </c>
      <c r="AS84" s="27">
        <v>0</v>
      </c>
      <c r="AT84" s="593">
        <v>0</v>
      </c>
      <c r="AU84" s="593">
        <v>0</v>
      </c>
      <c r="AV84" s="493">
        <v>0</v>
      </c>
      <c r="AW84" s="27">
        <v>0</v>
      </c>
      <c r="AX84" s="593">
        <v>0</v>
      </c>
      <c r="AY84" s="594">
        <v>0</v>
      </c>
      <c r="AZ84" s="493">
        <f>-3.4+1.8</f>
        <v>-1.5999999999999999</v>
      </c>
      <c r="BA84" s="27">
        <v>-1.3</v>
      </c>
      <c r="BB84" s="593">
        <v>-0.7</v>
      </c>
      <c r="BC84" s="594">
        <v>0</v>
      </c>
      <c r="BD84" s="493">
        <v>0</v>
      </c>
      <c r="BE84" s="27">
        <v>23.9</v>
      </c>
      <c r="BF84" s="27">
        <f>24.4-1.3</f>
        <v>23.099999999999998</v>
      </c>
      <c r="BG84" s="594">
        <v>0.8</v>
      </c>
      <c r="BH84" s="493">
        <v>1.5</v>
      </c>
      <c r="BI84" s="27">
        <v>0.8</v>
      </c>
      <c r="BJ84" s="27">
        <v>-0.3</v>
      </c>
      <c r="BK84" s="1407">
        <f>8.9-0.2</f>
        <v>8.7000000000000011</v>
      </c>
      <c r="BL84" s="1488">
        <f>BL75-BL85</f>
        <v>-4</v>
      </c>
      <c r="BM84" s="434"/>
      <c r="BN84" s="434"/>
      <c r="BO84" s="435"/>
      <c r="BP84" s="1244"/>
      <c r="BQ84" s="434"/>
      <c r="BR84" s="434"/>
      <c r="BS84" s="435"/>
      <c r="BT84" s="1244"/>
      <c r="BU84" s="434"/>
      <c r="BV84" s="434"/>
      <c r="BW84" s="435"/>
      <c r="BX84" s="1236"/>
      <c r="BY84" s="595">
        <f>SUM(D84:G84)</f>
        <v>0</v>
      </c>
      <c r="BZ84" s="595">
        <f>SUM(H84:K84)</f>
        <v>0</v>
      </c>
      <c r="CA84" s="595">
        <f>SUM(L84:O84)</f>
        <v>0</v>
      </c>
      <c r="CB84" s="595">
        <f>SUM(P84:S84)</f>
        <v>2.8</v>
      </c>
      <c r="CC84" s="595">
        <f>SUM(T84:W84)</f>
        <v>0</v>
      </c>
      <c r="CD84" s="595">
        <f>SUM(X84:AA84)</f>
        <v>0</v>
      </c>
      <c r="CE84" s="1408">
        <f>SUM(AB84:AE84)</f>
        <v>0</v>
      </c>
      <c r="CF84" s="1408">
        <f>SUM(AF84:AI84)</f>
        <v>0</v>
      </c>
      <c r="CG84" s="1408">
        <f>SUM(AJ84:AM84)</f>
        <v>7.3</v>
      </c>
      <c r="CH84" s="1408">
        <f>SUM(AN84:AQ84)</f>
        <v>-2.2000000000000002</v>
      </c>
      <c r="CI84" s="1408">
        <f>SUM(AR84:AU84)</f>
        <v>0</v>
      </c>
      <c r="CJ84" s="1408">
        <f>SUM(AV84:AY84)</f>
        <v>0</v>
      </c>
      <c r="CK84" s="1408">
        <f>SUM(AZ84:BC84)</f>
        <v>-3.5999999999999996</v>
      </c>
      <c r="CL84" s="1408">
        <f>SUM(BD84:BG84)</f>
        <v>47.8</v>
      </c>
      <c r="CM84" s="1408">
        <f>SUM(BH84:BK84)</f>
        <v>10.700000000000001</v>
      </c>
      <c r="CN84" s="1408">
        <f>SUM(BL84:BO84)</f>
        <v>-4</v>
      </c>
      <c r="CO84" s="1408">
        <f>SUM(BP84:BS84)</f>
        <v>0</v>
      </c>
      <c r="CP84" s="1409">
        <f>SUM(BT84:BW84)</f>
        <v>0</v>
      </c>
      <c r="CQ84" s="22"/>
    </row>
    <row r="85" spans="1:101" ht="14.25" hidden="1" customHeight="1" outlineLevel="1">
      <c r="A85" s="9"/>
      <c r="B85" s="453" t="s">
        <v>86</v>
      </c>
      <c r="C85" s="24"/>
      <c r="D85" s="595">
        <f t="shared" ref="D85:AI85" si="252">D76+D77+D78+D84+D82</f>
        <v>-37.1</v>
      </c>
      <c r="E85" s="595">
        <f t="shared" si="252"/>
        <v>-38</v>
      </c>
      <c r="F85" s="595">
        <f t="shared" si="252"/>
        <v>-37.300000000000004</v>
      </c>
      <c r="G85" s="608">
        <f t="shared" si="252"/>
        <v>-32.1</v>
      </c>
      <c r="H85" s="627">
        <f t="shared" si="252"/>
        <v>-35.6</v>
      </c>
      <c r="I85" s="595">
        <f t="shared" si="252"/>
        <v>-22.2</v>
      </c>
      <c r="J85" s="595">
        <f t="shared" si="252"/>
        <v>-22.799999999999997</v>
      </c>
      <c r="K85" s="608">
        <f t="shared" si="252"/>
        <v>-22.6</v>
      </c>
      <c r="L85" s="627">
        <f t="shared" si="252"/>
        <v>-14.7</v>
      </c>
      <c r="M85" s="595">
        <f t="shared" si="252"/>
        <v>-14.8</v>
      </c>
      <c r="N85" s="595">
        <f t="shared" si="252"/>
        <v>-15.200000000000003</v>
      </c>
      <c r="O85" s="608">
        <f t="shared" si="252"/>
        <v>-14.3</v>
      </c>
      <c r="P85" s="627">
        <f t="shared" si="252"/>
        <v>-9.4</v>
      </c>
      <c r="Q85" s="595">
        <f t="shared" si="252"/>
        <v>-9.8000000000000007</v>
      </c>
      <c r="R85" s="595">
        <f t="shared" si="252"/>
        <v>-10.200000000000001</v>
      </c>
      <c r="S85" s="608">
        <f t="shared" si="252"/>
        <v>-8.6</v>
      </c>
      <c r="T85" s="627">
        <f t="shared" si="252"/>
        <v>-7.3999999999999995</v>
      </c>
      <c r="U85" s="595">
        <f t="shared" si="252"/>
        <v>-6.5</v>
      </c>
      <c r="V85" s="595">
        <f t="shared" si="252"/>
        <v>-6.3</v>
      </c>
      <c r="W85" s="608">
        <f t="shared" si="252"/>
        <v>-5.6</v>
      </c>
      <c r="X85" s="627">
        <f t="shared" si="252"/>
        <v>-9.1999999999999993</v>
      </c>
      <c r="Y85" s="595">
        <f t="shared" si="252"/>
        <v>-6.6</v>
      </c>
      <c r="Z85" s="595">
        <f t="shared" si="252"/>
        <v>-7.5000000000000018</v>
      </c>
      <c r="AA85" s="608">
        <f t="shared" si="252"/>
        <v>-11</v>
      </c>
      <c r="AB85" s="627">
        <f t="shared" si="252"/>
        <v>-9.6</v>
      </c>
      <c r="AC85" s="595">
        <f t="shared" si="252"/>
        <v>-7.6</v>
      </c>
      <c r="AD85" s="595">
        <f t="shared" si="252"/>
        <v>-8.9000000000000021</v>
      </c>
      <c r="AE85" s="608">
        <f t="shared" si="252"/>
        <v>-7.5</v>
      </c>
      <c r="AF85" s="627">
        <f t="shared" si="252"/>
        <v>-10.399999999999999</v>
      </c>
      <c r="AG85" s="595">
        <f t="shared" si="252"/>
        <v>-9.5</v>
      </c>
      <c r="AH85" s="595">
        <f t="shared" si="252"/>
        <v>-6.4</v>
      </c>
      <c r="AI85" s="608">
        <f t="shared" si="252"/>
        <v>-7.7999999999999954</v>
      </c>
      <c r="AJ85" s="627">
        <f t="shared" ref="AJ85:BO85" si="253">AJ76+AJ77+AJ78+AJ84+AJ82</f>
        <v>-4</v>
      </c>
      <c r="AK85" s="595">
        <f t="shared" si="253"/>
        <v>-9.7000000000000011</v>
      </c>
      <c r="AL85" s="595">
        <f t="shared" si="253"/>
        <v>-10.799999999999999</v>
      </c>
      <c r="AM85" s="608">
        <f t="shared" si="253"/>
        <v>-9.9999999999999982</v>
      </c>
      <c r="AN85" s="627">
        <f t="shared" si="253"/>
        <v>-3.3</v>
      </c>
      <c r="AO85" s="595">
        <f t="shared" si="253"/>
        <v>-7.6999999999999993</v>
      </c>
      <c r="AP85" s="595">
        <f t="shared" si="253"/>
        <v>-11.399999999999999</v>
      </c>
      <c r="AQ85" s="607">
        <f t="shared" si="253"/>
        <v>-5.1999999999999984</v>
      </c>
      <c r="AR85" s="627">
        <f t="shared" si="253"/>
        <v>-5.7999999999999989</v>
      </c>
      <c r="AS85" s="595">
        <f t="shared" si="253"/>
        <v>-2.1000000000000005</v>
      </c>
      <c r="AT85" s="595">
        <f t="shared" si="253"/>
        <v>-7.5999999999999988</v>
      </c>
      <c r="AU85" s="608">
        <f t="shared" si="253"/>
        <v>-7.4999999999999991</v>
      </c>
      <c r="AV85" s="627">
        <f t="shared" si="253"/>
        <v>-6.9</v>
      </c>
      <c r="AW85" s="595">
        <f t="shared" si="253"/>
        <v>-7.2</v>
      </c>
      <c r="AX85" s="595">
        <f t="shared" si="253"/>
        <v>-7.5000000000000009</v>
      </c>
      <c r="AY85" s="607">
        <f t="shared" si="253"/>
        <v>-8.9999999999999982</v>
      </c>
      <c r="AZ85" s="627">
        <f t="shared" si="253"/>
        <v>-6.799999999999998</v>
      </c>
      <c r="BA85" s="595">
        <f t="shared" si="253"/>
        <v>-6.6</v>
      </c>
      <c r="BB85" s="595">
        <f t="shared" si="253"/>
        <v>-6.9</v>
      </c>
      <c r="BC85" s="607">
        <f t="shared" si="253"/>
        <v>-8.5</v>
      </c>
      <c r="BD85" s="627">
        <f t="shared" si="253"/>
        <v>-10.199999999999999</v>
      </c>
      <c r="BE85" s="595">
        <f t="shared" si="253"/>
        <v>-11.5</v>
      </c>
      <c r="BF85" s="595">
        <f t="shared" si="253"/>
        <v>-15.600000000000007</v>
      </c>
      <c r="BG85" s="607">
        <f t="shared" ref="BG85:BI85" si="254">BG76+BG77+BG78+BG84+BG82</f>
        <v>-30.199999999999996</v>
      </c>
      <c r="BH85" s="627">
        <f t="shared" si="254"/>
        <v>-35.999999999999993</v>
      </c>
      <c r="BI85" s="1408">
        <f t="shared" si="254"/>
        <v>-25.500000000000007</v>
      </c>
      <c r="BJ85" s="1408">
        <f t="shared" si="253"/>
        <v>-27.999999999999993</v>
      </c>
      <c r="BK85" s="607">
        <f t="shared" si="253"/>
        <v>-24.199999999999996</v>
      </c>
      <c r="BL85" s="1487">
        <v>-26</v>
      </c>
      <c r="BM85" s="1408">
        <f t="shared" si="253"/>
        <v>-29.191547667919853</v>
      </c>
      <c r="BN85" s="1408">
        <f t="shared" si="253"/>
        <v>-28.340554358669792</v>
      </c>
      <c r="BO85" s="1409">
        <f t="shared" si="253"/>
        <v>-27.488880235461856</v>
      </c>
      <c r="BP85" s="1418">
        <f t="shared" ref="BP85:BS85" si="255">BP76+BP77+BP78+BP84+BP82</f>
        <v>-26.848419207751547</v>
      </c>
      <c r="BQ85" s="1408">
        <f t="shared" si="255"/>
        <v>-26.217066610184414</v>
      </c>
      <c r="BR85" s="1408">
        <f t="shared" si="255"/>
        <v>-25.616008255924399</v>
      </c>
      <c r="BS85" s="1409">
        <f t="shared" si="255"/>
        <v>-24.992627391597608</v>
      </c>
      <c r="BT85" s="1418">
        <f t="shared" ref="BT85:BW85" si="256">BT76+BT77+BT78+BT84+BT82</f>
        <v>-24.341206335454942</v>
      </c>
      <c r="BU85" s="1408">
        <f t="shared" si="256"/>
        <v>-23.707015035266302</v>
      </c>
      <c r="BV85" s="1408">
        <f t="shared" si="256"/>
        <v>-23.091384923154049</v>
      </c>
      <c r="BW85" s="1409">
        <f t="shared" si="256"/>
        <v>-22.451747048726787</v>
      </c>
      <c r="BX85" s="1236"/>
      <c r="BY85" s="595">
        <f t="shared" ref="BY85:CN85" si="257">BY76+BY77+BY78+BY84+BY82</f>
        <v>-144.5</v>
      </c>
      <c r="BZ85" s="595">
        <f t="shared" si="257"/>
        <v>-103.19999999999999</v>
      </c>
      <c r="CA85" s="595">
        <f t="shared" si="257"/>
        <v>-59</v>
      </c>
      <c r="CB85" s="595">
        <f t="shared" si="257"/>
        <v>-38</v>
      </c>
      <c r="CC85" s="595">
        <f t="shared" si="257"/>
        <v>-25.800000000000004</v>
      </c>
      <c r="CD85" s="595">
        <f t="shared" si="257"/>
        <v>-34.299999999999997</v>
      </c>
      <c r="CE85" s="1408">
        <f t="shared" si="257"/>
        <v>-33.600000000000009</v>
      </c>
      <c r="CF85" s="1408">
        <f t="shared" si="257"/>
        <v>-34.099999999999994</v>
      </c>
      <c r="CG85" s="1408">
        <f t="shared" si="257"/>
        <v>-34.500000000000021</v>
      </c>
      <c r="CH85" s="1408">
        <f t="shared" si="257"/>
        <v>-27.6</v>
      </c>
      <c r="CI85" s="1408">
        <f t="shared" si="257"/>
        <v>-22.999999999999996</v>
      </c>
      <c r="CJ85" s="1408">
        <f t="shared" si="257"/>
        <v>-30.6</v>
      </c>
      <c r="CK85" s="1408">
        <f t="shared" si="257"/>
        <v>-28.799999999999994</v>
      </c>
      <c r="CL85" s="1408">
        <f t="shared" si="257"/>
        <v>-67.5</v>
      </c>
      <c r="CM85" s="1408">
        <f t="shared" si="257"/>
        <v>-113.69999999999999</v>
      </c>
      <c r="CN85" s="1408">
        <f t="shared" si="257"/>
        <v>-119.0209822620515</v>
      </c>
      <c r="CO85" s="1408">
        <f t="shared" ref="CO85:CP85" si="258">CO76+CO77+CO78+CO84+CO82</f>
        <v>-103.67412146545797</v>
      </c>
      <c r="CP85" s="1409">
        <f t="shared" si="258"/>
        <v>-93.591353342602076</v>
      </c>
      <c r="CQ85" s="22"/>
    </row>
    <row r="86" spans="1:101" ht="14.25" hidden="1" customHeight="1" outlineLevel="1">
      <c r="A86" s="9"/>
      <c r="B86" s="459"/>
      <c r="C86" s="33"/>
      <c r="D86" s="597"/>
      <c r="E86" s="597"/>
      <c r="F86" s="598"/>
      <c r="G86" s="598"/>
      <c r="H86" s="613"/>
      <c r="I86" s="597"/>
      <c r="J86" s="598"/>
      <c r="K86" s="598"/>
      <c r="L86" s="613"/>
      <c r="M86" s="597"/>
      <c r="N86" s="598"/>
      <c r="O86" s="598"/>
      <c r="P86" s="613"/>
      <c r="Q86" s="597"/>
      <c r="R86" s="597"/>
      <c r="S86" s="597"/>
      <c r="T86" s="613"/>
      <c r="U86" s="597"/>
      <c r="V86" s="598"/>
      <c r="W86" s="598"/>
      <c r="X86" s="613"/>
      <c r="Y86" s="597"/>
      <c r="Z86" s="598"/>
      <c r="AA86" s="598"/>
      <c r="AB86" s="613"/>
      <c r="AC86" s="597"/>
      <c r="AD86" s="598"/>
      <c r="AE86" s="598"/>
      <c r="AF86" s="613"/>
      <c r="AG86" s="597"/>
      <c r="AH86" s="598"/>
      <c r="AI86" s="598"/>
      <c r="AJ86" s="613"/>
      <c r="AK86" s="597"/>
      <c r="AL86" s="598"/>
      <c r="AM86" s="598"/>
      <c r="AN86" s="613"/>
      <c r="AO86" s="597"/>
      <c r="AP86" s="598"/>
      <c r="AQ86" s="599"/>
      <c r="AR86" s="613"/>
      <c r="AS86" s="597"/>
      <c r="AT86" s="598"/>
      <c r="AU86" s="598"/>
      <c r="AV86" s="613"/>
      <c r="AW86" s="597"/>
      <c r="AX86" s="598"/>
      <c r="AY86" s="599"/>
      <c r="AZ86" s="613"/>
      <c r="BA86" s="597"/>
      <c r="BB86" s="598"/>
      <c r="BC86" s="599"/>
      <c r="BD86" s="613"/>
      <c r="BE86" s="597"/>
      <c r="BF86" s="34"/>
      <c r="BG86" s="599"/>
      <c r="BH86" s="36"/>
      <c r="BI86" s="597"/>
      <c r="BJ86" s="597"/>
      <c r="BK86" s="599"/>
      <c r="BL86" s="1395"/>
      <c r="BM86" s="1393"/>
      <c r="BN86" s="1393"/>
      <c r="BO86" s="1394"/>
      <c r="BP86" s="1395"/>
      <c r="BQ86" s="1393"/>
      <c r="BR86" s="1393"/>
      <c r="BS86" s="1394"/>
      <c r="BT86" s="1395"/>
      <c r="BU86" s="1393"/>
      <c r="BV86" s="1393"/>
      <c r="BW86" s="1394"/>
      <c r="BX86" s="211"/>
      <c r="BY86" s="598"/>
      <c r="BZ86" s="598"/>
      <c r="CA86" s="598"/>
      <c r="CB86" s="598"/>
      <c r="CC86" s="598"/>
      <c r="CD86" s="598"/>
      <c r="CE86" s="598"/>
      <c r="CF86" s="598"/>
      <c r="CG86" s="598"/>
      <c r="CH86" s="598"/>
      <c r="CI86" s="598"/>
      <c r="CJ86" s="598"/>
      <c r="CK86" s="598"/>
      <c r="CL86" s="598"/>
      <c r="CM86" s="598"/>
      <c r="CN86" s="598"/>
      <c r="CO86" s="598"/>
      <c r="CP86" s="599"/>
      <c r="CQ86" s="22"/>
    </row>
    <row r="87" spans="1:101" ht="14.25" customHeight="1" collapsed="1">
      <c r="A87" s="432"/>
      <c r="B87" s="461" t="s">
        <v>486</v>
      </c>
      <c r="C87" s="437"/>
      <c r="D87" s="600">
        <f t="shared" ref="D87:AI87" si="259">D68+D75</f>
        <v>-25.599999999999994</v>
      </c>
      <c r="E87" s="600">
        <f t="shared" si="259"/>
        <v>-56.300000000000026</v>
      </c>
      <c r="F87" s="600">
        <f t="shared" si="259"/>
        <v>-13.699999999999982</v>
      </c>
      <c r="G87" s="600">
        <f t="shared" si="259"/>
        <v>-40.699999999999953</v>
      </c>
      <c r="H87" s="628">
        <f t="shared" si="259"/>
        <v>-44.900000000000006</v>
      </c>
      <c r="I87" s="600">
        <f t="shared" si="259"/>
        <v>-1.4999999999999858</v>
      </c>
      <c r="J87" s="600">
        <f t="shared" si="259"/>
        <v>17.699999999999974</v>
      </c>
      <c r="K87" s="600">
        <f t="shared" si="259"/>
        <v>-84.299999999999983</v>
      </c>
      <c r="L87" s="628">
        <f t="shared" si="259"/>
        <v>17.599999999999984</v>
      </c>
      <c r="M87" s="600">
        <f t="shared" si="259"/>
        <v>21.500000000000004</v>
      </c>
      <c r="N87" s="600">
        <f t="shared" si="259"/>
        <v>27.000000000000014</v>
      </c>
      <c r="O87" s="600">
        <f t="shared" si="259"/>
        <v>42.500000000000014</v>
      </c>
      <c r="P87" s="628">
        <f t="shared" si="259"/>
        <v>42.899999999999991</v>
      </c>
      <c r="Q87" s="600">
        <f t="shared" si="259"/>
        <v>70.200000000000017</v>
      </c>
      <c r="R87" s="600">
        <f t="shared" si="259"/>
        <v>77.299999999999983</v>
      </c>
      <c r="S87" s="600">
        <f t="shared" si="259"/>
        <v>85.800000000000011</v>
      </c>
      <c r="T87" s="628">
        <f t="shared" si="259"/>
        <v>55.199999999999989</v>
      </c>
      <c r="U87" s="600">
        <f t="shared" si="259"/>
        <v>65</v>
      </c>
      <c r="V87" s="600">
        <f t="shared" si="259"/>
        <v>66.899999999999963</v>
      </c>
      <c r="W87" s="600">
        <f t="shared" si="259"/>
        <v>64.199999999999989</v>
      </c>
      <c r="X87" s="628">
        <f t="shared" si="259"/>
        <v>11.799999999999969</v>
      </c>
      <c r="Y87" s="600">
        <f t="shared" si="259"/>
        <v>16.400000000000006</v>
      </c>
      <c r="Z87" s="600">
        <f t="shared" si="259"/>
        <v>55.500000000000021</v>
      </c>
      <c r="AA87" s="600">
        <f t="shared" si="259"/>
        <v>-521.70000000000005</v>
      </c>
      <c r="AB87" s="628">
        <f t="shared" si="259"/>
        <v>-26.299999999999965</v>
      </c>
      <c r="AC87" s="600">
        <f t="shared" si="259"/>
        <v>-3.2000000000000099</v>
      </c>
      <c r="AD87" s="600">
        <f t="shared" si="259"/>
        <v>32.499999999999943</v>
      </c>
      <c r="AE87" s="600">
        <f t="shared" si="259"/>
        <v>68.000000000000014</v>
      </c>
      <c r="AF87" s="628">
        <f t="shared" si="259"/>
        <v>65.100000000000023</v>
      </c>
      <c r="AG87" s="600">
        <f t="shared" si="259"/>
        <v>82.999999999999972</v>
      </c>
      <c r="AH87" s="600">
        <f t="shared" si="259"/>
        <v>93.000000000000043</v>
      </c>
      <c r="AI87" s="600">
        <f t="shared" si="259"/>
        <v>64.600000000000023</v>
      </c>
      <c r="AJ87" s="628">
        <f t="shared" ref="AJ87:BO87" si="260">AJ68+AJ75</f>
        <v>36.999999999999986</v>
      </c>
      <c r="AK87" s="600">
        <f t="shared" si="260"/>
        <v>38.299999999999919</v>
      </c>
      <c r="AL87" s="600">
        <f t="shared" si="260"/>
        <v>-31.699999999999989</v>
      </c>
      <c r="AM87" s="600">
        <f t="shared" si="260"/>
        <v>-5.8000000000000824</v>
      </c>
      <c r="AN87" s="628">
        <f t="shared" si="260"/>
        <v>33.099999999999994</v>
      </c>
      <c r="AO87" s="600">
        <f t="shared" si="260"/>
        <v>15.39999999999992</v>
      </c>
      <c r="AP87" s="600">
        <f t="shared" si="260"/>
        <v>19.899999999999967</v>
      </c>
      <c r="AQ87" s="601">
        <f t="shared" si="260"/>
        <v>-141.29999999999998</v>
      </c>
      <c r="AR87" s="628">
        <f t="shared" si="260"/>
        <v>25.700000000000017</v>
      </c>
      <c r="AS87" s="600">
        <f t="shared" si="260"/>
        <v>46.099999999999952</v>
      </c>
      <c r="AT87" s="600">
        <f t="shared" si="260"/>
        <v>57.000000000000014</v>
      </c>
      <c r="AU87" s="600">
        <f t="shared" si="260"/>
        <v>52.09999999999998</v>
      </c>
      <c r="AV87" s="628">
        <f t="shared" si="260"/>
        <v>64.800000000000011</v>
      </c>
      <c r="AW87" s="600">
        <f t="shared" si="260"/>
        <v>72.799999999999983</v>
      </c>
      <c r="AX87" s="600">
        <f t="shared" si="260"/>
        <v>48.300000000000026</v>
      </c>
      <c r="AY87" s="601">
        <f t="shared" si="260"/>
        <v>9.200000000000081</v>
      </c>
      <c r="AZ87" s="628">
        <f t="shared" si="260"/>
        <v>63.20000000000001</v>
      </c>
      <c r="BA87" s="600">
        <f t="shared" si="260"/>
        <v>59.099999999999952</v>
      </c>
      <c r="BB87" s="600">
        <f t="shared" si="260"/>
        <v>56.800000000000004</v>
      </c>
      <c r="BC87" s="601">
        <f t="shared" si="260"/>
        <v>40.699999999999974</v>
      </c>
      <c r="BD87" s="628">
        <f t="shared" si="260"/>
        <v>41.7</v>
      </c>
      <c r="BE87" s="600">
        <f t="shared" si="260"/>
        <v>33.399999999999984</v>
      </c>
      <c r="BF87" s="600">
        <f>BF68+BF75</f>
        <v>87.30000000000004</v>
      </c>
      <c r="BG87" s="601">
        <f t="shared" ref="BG87:BI87" si="261">BG68+BG75</f>
        <v>18.199999999999996</v>
      </c>
      <c r="BH87" s="628">
        <f t="shared" si="261"/>
        <v>115.0000000000001</v>
      </c>
      <c r="BI87" s="1410">
        <f t="shared" si="261"/>
        <v>143.19999999999999</v>
      </c>
      <c r="BJ87" s="1410">
        <f t="shared" si="260"/>
        <v>168.30000000000007</v>
      </c>
      <c r="BK87" s="1411">
        <f t="shared" si="260"/>
        <v>121.00000000000006</v>
      </c>
      <c r="BL87" s="1419">
        <f t="shared" si="260"/>
        <v>156.18210511615223</v>
      </c>
      <c r="BM87" s="1410">
        <f t="shared" si="260"/>
        <v>207.01758345576076</v>
      </c>
      <c r="BN87" s="1410">
        <f t="shared" si="260"/>
        <v>218.23479635211788</v>
      </c>
      <c r="BO87" s="1411">
        <f t="shared" si="260"/>
        <v>208.82142351761559</v>
      </c>
      <c r="BP87" s="1419">
        <f t="shared" ref="BP87:BS87" si="262">BP68+BP75</f>
        <v>206.26270766743164</v>
      </c>
      <c r="BQ87" s="1410">
        <f t="shared" si="262"/>
        <v>228.36946962624239</v>
      </c>
      <c r="BR87" s="1410">
        <f t="shared" si="262"/>
        <v>247.9106891572099</v>
      </c>
      <c r="BS87" s="1411">
        <f t="shared" si="262"/>
        <v>240.5841917436056</v>
      </c>
      <c r="BT87" s="1419">
        <f t="shared" ref="BT87:BW87" si="263">BT68+BT75</f>
        <v>230.07121734613514</v>
      </c>
      <c r="BU87" s="1410">
        <f t="shared" si="263"/>
        <v>253.29638561657572</v>
      </c>
      <c r="BV87" s="1410">
        <f t="shared" si="263"/>
        <v>273.58110505747317</v>
      </c>
      <c r="BW87" s="1411">
        <f t="shared" si="263"/>
        <v>265.92053172561793</v>
      </c>
      <c r="BX87" s="1236"/>
      <c r="BY87" s="600">
        <f t="shared" ref="BY87:CN87" si="264">BY68+BY75</f>
        <v>-136.30000000000018</v>
      </c>
      <c r="BZ87" s="600">
        <f t="shared" si="264"/>
        <v>-112.99999999999989</v>
      </c>
      <c r="CA87" s="600">
        <f t="shared" si="264"/>
        <v>108.60000000000011</v>
      </c>
      <c r="CB87" s="600">
        <f t="shared" si="264"/>
        <v>276.19999999999976</v>
      </c>
      <c r="CC87" s="600">
        <f t="shared" si="264"/>
        <v>251.29999999999987</v>
      </c>
      <c r="CD87" s="600">
        <f t="shared" si="264"/>
        <v>-438.00000000000057</v>
      </c>
      <c r="CE87" s="1410">
        <f t="shared" si="264"/>
        <v>71.000000000000014</v>
      </c>
      <c r="CF87" s="1410">
        <f t="shared" si="264"/>
        <v>305.70000000000005</v>
      </c>
      <c r="CG87" s="1410">
        <f t="shared" si="264"/>
        <v>37.800000000000182</v>
      </c>
      <c r="CH87" s="1410">
        <f t="shared" si="264"/>
        <v>-72.900000000000404</v>
      </c>
      <c r="CI87" s="1410">
        <f t="shared" si="264"/>
        <v>180.89999999999958</v>
      </c>
      <c r="CJ87" s="1410">
        <f t="shared" si="264"/>
        <v>195.10000000000039</v>
      </c>
      <c r="CK87" s="1410">
        <f t="shared" si="264"/>
        <v>219.80000000000038</v>
      </c>
      <c r="CL87" s="1410">
        <f t="shared" si="264"/>
        <v>180.59999999999991</v>
      </c>
      <c r="CM87" s="1410">
        <f t="shared" si="264"/>
        <v>547.50000000000034</v>
      </c>
      <c r="CN87" s="1410">
        <f t="shared" si="264"/>
        <v>790.25590844164651</v>
      </c>
      <c r="CO87" s="1410">
        <f t="shared" ref="CO87:CP87" si="265">CO68+CO75</f>
        <v>923.12705819448956</v>
      </c>
      <c r="CP87" s="1411">
        <f t="shared" si="265"/>
        <v>1022.869239745801</v>
      </c>
      <c r="CQ87" s="1468"/>
    </row>
    <row r="88" spans="1:101" ht="14.25" hidden="1" customHeight="1" outlineLevel="1">
      <c r="A88" s="432"/>
      <c r="B88" s="545" t="s">
        <v>87</v>
      </c>
      <c r="C88" s="437"/>
      <c r="D88" s="600">
        <f t="shared" ref="D88:AI88" si="266">D72+D85</f>
        <v>-19.099999999999994</v>
      </c>
      <c r="E88" s="600">
        <f t="shared" si="266"/>
        <v>-18.800000000000026</v>
      </c>
      <c r="F88" s="600">
        <f t="shared" si="266"/>
        <v>-14.09999999999998</v>
      </c>
      <c r="G88" s="600">
        <f t="shared" si="266"/>
        <v>-9.4999999999999645</v>
      </c>
      <c r="H88" s="628">
        <f t="shared" si="266"/>
        <v>1.1999999999999815</v>
      </c>
      <c r="I88" s="600">
        <f t="shared" si="266"/>
        <v>26.800000000000008</v>
      </c>
      <c r="J88" s="600">
        <f t="shared" si="266"/>
        <v>20.699999999999974</v>
      </c>
      <c r="K88" s="600">
        <f t="shared" si="266"/>
        <v>17.600000000000023</v>
      </c>
      <c r="L88" s="628">
        <f t="shared" si="266"/>
        <v>18.699999999999985</v>
      </c>
      <c r="M88" s="600">
        <f t="shared" si="266"/>
        <v>24.3</v>
      </c>
      <c r="N88" s="600">
        <f t="shared" si="266"/>
        <v>27.200000000000017</v>
      </c>
      <c r="O88" s="600">
        <f t="shared" si="266"/>
        <v>41.700000000000017</v>
      </c>
      <c r="P88" s="628">
        <f t="shared" si="266"/>
        <v>45.4</v>
      </c>
      <c r="Q88" s="600">
        <f t="shared" si="266"/>
        <v>76.600000000000009</v>
      </c>
      <c r="R88" s="600">
        <f t="shared" si="266"/>
        <v>80.899999999999963</v>
      </c>
      <c r="S88" s="600">
        <f t="shared" si="266"/>
        <v>79.400000000000034</v>
      </c>
      <c r="T88" s="628">
        <f t="shared" si="266"/>
        <v>58.6</v>
      </c>
      <c r="U88" s="600">
        <f t="shared" si="266"/>
        <v>68.5</v>
      </c>
      <c r="V88" s="600">
        <f t="shared" si="266"/>
        <v>72.999999999999957</v>
      </c>
      <c r="W88" s="600">
        <f t="shared" si="266"/>
        <v>73.2</v>
      </c>
      <c r="X88" s="628">
        <f t="shared" si="266"/>
        <v>64.699999999999989</v>
      </c>
      <c r="Y88" s="600">
        <f t="shared" si="266"/>
        <v>94.80000000000004</v>
      </c>
      <c r="Z88" s="600">
        <f t="shared" si="266"/>
        <v>102.70000000000002</v>
      </c>
      <c r="AA88" s="600">
        <f t="shared" si="266"/>
        <v>50.500000000000014</v>
      </c>
      <c r="AB88" s="628">
        <f t="shared" si="266"/>
        <v>6.3000000000000771</v>
      </c>
      <c r="AC88" s="600">
        <f t="shared" si="266"/>
        <v>24.699999999999982</v>
      </c>
      <c r="AD88" s="600">
        <f t="shared" si="266"/>
        <v>58.999999999999943</v>
      </c>
      <c r="AE88" s="600">
        <f t="shared" si="266"/>
        <v>86.700000000000045</v>
      </c>
      <c r="AF88" s="628">
        <f t="shared" si="266"/>
        <v>89.100000000000051</v>
      </c>
      <c r="AG88" s="600">
        <f t="shared" si="266"/>
        <v>106.30000000000001</v>
      </c>
      <c r="AH88" s="600">
        <f t="shared" si="266"/>
        <v>111.70000000000007</v>
      </c>
      <c r="AI88" s="600">
        <f t="shared" si="266"/>
        <v>101.70000000000006</v>
      </c>
      <c r="AJ88" s="628">
        <f t="shared" ref="AJ88:BO88" si="267">AJ72+AJ85</f>
        <v>121.69999999999996</v>
      </c>
      <c r="AK88" s="600">
        <f t="shared" si="267"/>
        <v>116.69999999999992</v>
      </c>
      <c r="AL88" s="600">
        <f t="shared" si="267"/>
        <v>116.30000000000003</v>
      </c>
      <c r="AM88" s="600">
        <f t="shared" si="267"/>
        <v>64.099999999999881</v>
      </c>
      <c r="AN88" s="628">
        <f t="shared" si="267"/>
        <v>62.899999999999991</v>
      </c>
      <c r="AO88" s="600">
        <f t="shared" si="267"/>
        <v>73.199999999999946</v>
      </c>
      <c r="AP88" s="600">
        <f t="shared" si="267"/>
        <v>58.6</v>
      </c>
      <c r="AQ88" s="601">
        <f t="shared" si="267"/>
        <v>40.20000000000001</v>
      </c>
      <c r="AR88" s="628">
        <f t="shared" si="267"/>
        <v>47.90000000000002</v>
      </c>
      <c r="AS88" s="600">
        <f t="shared" si="267"/>
        <v>63.099999999999959</v>
      </c>
      <c r="AT88" s="600">
        <f t="shared" si="267"/>
        <v>78.900000000000006</v>
      </c>
      <c r="AU88" s="600">
        <f t="shared" si="267"/>
        <v>77.800000000000011</v>
      </c>
      <c r="AV88" s="628">
        <f t="shared" si="267"/>
        <v>80.700000000000017</v>
      </c>
      <c r="AW88" s="600">
        <f t="shared" si="267"/>
        <v>93.999999999999986</v>
      </c>
      <c r="AX88" s="600">
        <f t="shared" si="267"/>
        <v>100.5</v>
      </c>
      <c r="AY88" s="601">
        <f t="shared" si="267"/>
        <v>79.700000000000102</v>
      </c>
      <c r="AZ88" s="628">
        <f t="shared" si="267"/>
        <v>93.2</v>
      </c>
      <c r="BA88" s="600">
        <f t="shared" si="267"/>
        <v>101.99999999999997</v>
      </c>
      <c r="BB88" s="600">
        <f t="shared" si="267"/>
        <v>99.699999999999989</v>
      </c>
      <c r="BC88" s="601">
        <f t="shared" si="267"/>
        <v>84.700000000000017</v>
      </c>
      <c r="BD88" s="628">
        <f t="shared" si="267"/>
        <v>76.100000000000009</v>
      </c>
      <c r="BE88" s="600">
        <f t="shared" si="267"/>
        <v>96.699999999999989</v>
      </c>
      <c r="BF88" s="600">
        <f t="shared" si="267"/>
        <v>107.3</v>
      </c>
      <c r="BG88" s="601">
        <f t="shared" ref="BG88" si="268">BG72+BG85</f>
        <v>131.99999999999994</v>
      </c>
      <c r="BH88" s="628">
        <f>BH72+BH85</f>
        <v>133.20000000000005</v>
      </c>
      <c r="BI88" s="1410">
        <f t="shared" ref="BI88" si="269">BI72+BI85</f>
        <v>171.09999999999997</v>
      </c>
      <c r="BJ88" s="1410">
        <f t="shared" si="267"/>
        <v>203.00000000000006</v>
      </c>
      <c r="BK88" s="1411">
        <f t="shared" si="267"/>
        <v>187.30000000000007</v>
      </c>
      <c r="BL88" s="1419">
        <f t="shared" si="267"/>
        <v>190.18210511615223</v>
      </c>
      <c r="BM88" s="1410">
        <f t="shared" si="267"/>
        <v>207.01758345576076</v>
      </c>
      <c r="BN88" s="1410">
        <f t="shared" si="267"/>
        <v>218.23479635211788</v>
      </c>
      <c r="BO88" s="1411">
        <f t="shared" si="267"/>
        <v>208.82142351761559</v>
      </c>
      <c r="BP88" s="1419">
        <f t="shared" ref="BP88:BS88" si="270">BP72+BP85</f>
        <v>206.26270766743164</v>
      </c>
      <c r="BQ88" s="1410">
        <f t="shared" si="270"/>
        <v>228.36946962624239</v>
      </c>
      <c r="BR88" s="1410">
        <f t="shared" si="270"/>
        <v>247.9106891572099</v>
      </c>
      <c r="BS88" s="1411">
        <f t="shared" si="270"/>
        <v>240.5841917436056</v>
      </c>
      <c r="BT88" s="1419">
        <f t="shared" ref="BT88:BW88" si="271">BT72+BT85</f>
        <v>230.07121734613514</v>
      </c>
      <c r="BU88" s="1410">
        <f t="shared" si="271"/>
        <v>253.29638561657572</v>
      </c>
      <c r="BV88" s="1410">
        <f t="shared" si="271"/>
        <v>273.58110505747317</v>
      </c>
      <c r="BW88" s="1411">
        <f t="shared" si="271"/>
        <v>265.92053172561793</v>
      </c>
      <c r="BX88" s="1236"/>
      <c r="BY88" s="600">
        <f t="shared" ref="BY88:CN88" si="272">BY72+BY85</f>
        <v>-61.500000000000171</v>
      </c>
      <c r="BZ88" s="600">
        <f t="shared" si="272"/>
        <v>66.300000000000125</v>
      </c>
      <c r="CA88" s="600">
        <f t="shared" si="272"/>
        <v>111.90000000000012</v>
      </c>
      <c r="CB88" s="600">
        <f t="shared" si="272"/>
        <v>282.29999999999984</v>
      </c>
      <c r="CC88" s="600">
        <f t="shared" si="272"/>
        <v>273.2999999999999</v>
      </c>
      <c r="CD88" s="600">
        <f t="shared" si="272"/>
        <v>312.6999999999997</v>
      </c>
      <c r="CE88" s="1410">
        <f t="shared" si="272"/>
        <v>176.69999999999993</v>
      </c>
      <c r="CF88" s="1410">
        <f t="shared" si="272"/>
        <v>408.80000000000007</v>
      </c>
      <c r="CG88" s="1410">
        <f t="shared" si="272"/>
        <v>418.80000000000041</v>
      </c>
      <c r="CH88" s="1410">
        <f t="shared" si="272"/>
        <v>234.89999999999955</v>
      </c>
      <c r="CI88" s="1410">
        <f t="shared" si="272"/>
        <v>267.6999999999997</v>
      </c>
      <c r="CJ88" s="1410">
        <f t="shared" si="272"/>
        <v>354.90000000000043</v>
      </c>
      <c r="CK88" s="1410">
        <f t="shared" si="272"/>
        <v>379.60000000000008</v>
      </c>
      <c r="CL88" s="1410">
        <f t="shared" si="272"/>
        <v>412.0999999999998</v>
      </c>
      <c r="CM88" s="1410">
        <f t="shared" si="272"/>
        <v>694.60000000000014</v>
      </c>
      <c r="CN88" s="1410">
        <f t="shared" si="272"/>
        <v>816.25590844164651</v>
      </c>
      <c r="CO88" s="1410">
        <f t="shared" ref="CO88:CP88" si="273">CO72+CO85</f>
        <v>923.12705819448956</v>
      </c>
      <c r="CP88" s="1411">
        <f t="shared" si="273"/>
        <v>1022.869239745801</v>
      </c>
      <c r="CQ88" s="1468"/>
    </row>
    <row r="89" spans="1:101" ht="14.25" customHeight="1" collapsed="1">
      <c r="A89" s="9"/>
      <c r="B89" s="459"/>
      <c r="C89" s="33"/>
      <c r="D89" s="34"/>
      <c r="E89" s="34"/>
      <c r="F89" s="585"/>
      <c r="G89" s="585"/>
      <c r="H89" s="36"/>
      <c r="I89" s="34"/>
      <c r="J89" s="585"/>
      <c r="K89" s="585"/>
      <c r="L89" s="36"/>
      <c r="M89" s="34"/>
      <c r="N89" s="585"/>
      <c r="O89" s="585"/>
      <c r="P89" s="36"/>
      <c r="Q89" s="34"/>
      <c r="R89" s="585"/>
      <c r="S89" s="585"/>
      <c r="T89" s="36"/>
      <c r="U89" s="34"/>
      <c r="V89" s="585"/>
      <c r="W89" s="585"/>
      <c r="X89" s="36"/>
      <c r="Y89" s="34"/>
      <c r="Z89" s="585"/>
      <c r="AA89" s="585"/>
      <c r="AB89" s="36"/>
      <c r="AC89" s="34"/>
      <c r="AD89" s="585"/>
      <c r="AE89" s="585"/>
      <c r="AF89" s="36"/>
      <c r="AG89" s="34"/>
      <c r="AH89" s="585"/>
      <c r="AI89" s="585"/>
      <c r="AJ89" s="36"/>
      <c r="AK89" s="34"/>
      <c r="AL89" s="585"/>
      <c r="AM89" s="585"/>
      <c r="AN89" s="36"/>
      <c r="AO89" s="34"/>
      <c r="AP89" s="585"/>
      <c r="AQ89" s="586"/>
      <c r="AR89" s="36"/>
      <c r="AS89" s="34"/>
      <c r="AT89" s="585"/>
      <c r="AU89" s="585"/>
      <c r="AV89" s="36"/>
      <c r="AW89" s="34"/>
      <c r="AX89" s="585"/>
      <c r="AY89" s="586"/>
      <c r="AZ89" s="36"/>
      <c r="BA89" s="34"/>
      <c r="BB89" s="585"/>
      <c r="BC89" s="586"/>
      <c r="BD89" s="36"/>
      <c r="BE89" s="34"/>
      <c r="BF89" s="34"/>
      <c r="BG89" s="586"/>
      <c r="BH89" s="36"/>
      <c r="BI89" s="1393"/>
      <c r="BJ89" s="1393"/>
      <c r="BK89" s="586"/>
      <c r="BL89" s="1395"/>
      <c r="BM89" s="1393"/>
      <c r="BN89" s="1393"/>
      <c r="BO89" s="1394"/>
      <c r="BP89" s="1395"/>
      <c r="BQ89" s="1393"/>
      <c r="BR89" s="1393"/>
      <c r="BS89" s="1394"/>
      <c r="BT89" s="1395"/>
      <c r="BU89" s="1393"/>
      <c r="BV89" s="1393"/>
      <c r="BW89" s="1394"/>
      <c r="BX89" s="211"/>
      <c r="BY89" s="585"/>
      <c r="BZ89" s="585"/>
      <c r="CA89" s="585"/>
      <c r="CB89" s="585"/>
      <c r="CC89" s="585"/>
      <c r="CD89" s="585"/>
      <c r="CE89" s="585"/>
      <c r="CF89" s="585"/>
      <c r="CG89" s="585"/>
      <c r="CH89" s="585"/>
      <c r="CI89" s="585"/>
      <c r="CJ89" s="585"/>
      <c r="CK89" s="585"/>
      <c r="CL89" s="585"/>
      <c r="CM89" s="585"/>
      <c r="CN89" s="585"/>
      <c r="CO89" s="585"/>
      <c r="CP89" s="586"/>
      <c r="CQ89" s="22"/>
    </row>
    <row r="90" spans="1:101" ht="14.25" customHeight="1">
      <c r="A90" s="475"/>
      <c r="B90" s="471" t="s">
        <v>75</v>
      </c>
      <c r="C90" s="476"/>
      <c r="D90" s="538">
        <v>2.2000000000000002</v>
      </c>
      <c r="E90" s="538">
        <v>2.2999999999999998</v>
      </c>
      <c r="F90" s="591">
        <v>1.8</v>
      </c>
      <c r="G90" s="591">
        <v>1.4</v>
      </c>
      <c r="H90" s="540">
        <v>1.6</v>
      </c>
      <c r="I90" s="538">
        <v>1.6</v>
      </c>
      <c r="J90" s="591">
        <v>1.6</v>
      </c>
      <c r="K90" s="591">
        <v>2.6</v>
      </c>
      <c r="L90" s="540">
        <v>1.8</v>
      </c>
      <c r="M90" s="538">
        <v>2</v>
      </c>
      <c r="N90" s="591">
        <v>2.5</v>
      </c>
      <c r="O90" s="591">
        <v>-4.8</v>
      </c>
      <c r="P90" s="540">
        <v>2</v>
      </c>
      <c r="Q90" s="538">
        <v>1.8</v>
      </c>
      <c r="R90" s="591">
        <v>0</v>
      </c>
      <c r="S90" s="591">
        <v>-2.9</v>
      </c>
      <c r="T90" s="540">
        <v>0.6</v>
      </c>
      <c r="U90" s="538">
        <v>1.4</v>
      </c>
      <c r="V90" s="591">
        <v>2.4</v>
      </c>
      <c r="W90" s="591">
        <v>3.3</v>
      </c>
      <c r="X90" s="540">
        <v>1.1000000000000001</v>
      </c>
      <c r="Y90" s="538">
        <v>-17.100000000000001</v>
      </c>
      <c r="Z90" s="591">
        <v>4.5</v>
      </c>
      <c r="AA90" s="591">
        <v>2.1</v>
      </c>
      <c r="AB90" s="540">
        <v>7.2</v>
      </c>
      <c r="AC90" s="538">
        <v>-1</v>
      </c>
      <c r="AD90" s="591">
        <v>1.9</v>
      </c>
      <c r="AE90" s="591">
        <v>-0.4</v>
      </c>
      <c r="AF90" s="540">
        <v>1.4</v>
      </c>
      <c r="AG90" s="538">
        <v>3.4</v>
      </c>
      <c r="AH90" s="591">
        <v>4.5999999999999996</v>
      </c>
      <c r="AI90" s="591">
        <v>3.4</v>
      </c>
      <c r="AJ90" s="540">
        <v>0.8</v>
      </c>
      <c r="AK90" s="538">
        <v>3.2</v>
      </c>
      <c r="AL90" s="591">
        <v>17.3</v>
      </c>
      <c r="AM90" s="591">
        <v>1.6</v>
      </c>
      <c r="AN90" s="540">
        <v>4.0999999999999996</v>
      </c>
      <c r="AO90" s="538">
        <v>7.2</v>
      </c>
      <c r="AP90" s="591">
        <v>6.5</v>
      </c>
      <c r="AQ90" s="592">
        <v>-4.4000000000000004</v>
      </c>
      <c r="AR90" s="540">
        <v>2.4</v>
      </c>
      <c r="AS90" s="538">
        <v>-2.6</v>
      </c>
      <c r="AT90" s="591">
        <v>4.2</v>
      </c>
      <c r="AU90" s="591">
        <f>26.9-AR90-AS90-AT90</f>
        <v>22.900000000000002</v>
      </c>
      <c r="AV90" s="540">
        <v>6.2</v>
      </c>
      <c r="AW90" s="538">
        <v>-16.2</v>
      </c>
      <c r="AX90" s="591">
        <v>6.3</v>
      </c>
      <c r="AY90" s="592">
        <v>3.5</v>
      </c>
      <c r="AZ90" s="540">
        <v>7.4</v>
      </c>
      <c r="BA90" s="538">
        <v>7.7</v>
      </c>
      <c r="BB90" s="591">
        <v>10</v>
      </c>
      <c r="BC90" s="592">
        <v>-14.3</v>
      </c>
      <c r="BD90" s="540">
        <v>5.3</v>
      </c>
      <c r="BE90" s="538">
        <v>7.6</v>
      </c>
      <c r="BF90" s="538">
        <v>76.7</v>
      </c>
      <c r="BG90" s="592">
        <v>-93.5</v>
      </c>
      <c r="BH90" s="540">
        <v>36.299999999999997</v>
      </c>
      <c r="BI90" s="538">
        <v>48.8</v>
      </c>
      <c r="BJ90" s="538">
        <v>59.4</v>
      </c>
      <c r="BK90" s="592">
        <v>-410</v>
      </c>
      <c r="BL90" s="474">
        <f t="shared" ref="BL90:BS90" si="274">BL87*BL91</f>
        <v>15.618210511615224</v>
      </c>
      <c r="BM90" s="472">
        <f t="shared" si="274"/>
        <v>20.701758345576078</v>
      </c>
      <c r="BN90" s="1412">
        <f t="shared" si="274"/>
        <v>21.82347963521179</v>
      </c>
      <c r="BO90" s="1413">
        <f t="shared" si="274"/>
        <v>20.882142351761559</v>
      </c>
      <c r="BP90" s="474">
        <f t="shared" si="274"/>
        <v>20.626270766743165</v>
      </c>
      <c r="BQ90" s="472">
        <f t="shared" si="274"/>
        <v>22.836946962624239</v>
      </c>
      <c r="BR90" s="1412">
        <f t="shared" si="274"/>
        <v>24.791068915720992</v>
      </c>
      <c r="BS90" s="1413">
        <f t="shared" si="274"/>
        <v>24.058419174360562</v>
      </c>
      <c r="BT90" s="474">
        <f t="shared" ref="BT90:BW90" si="275">BT87*BT91</f>
        <v>23.007121734613516</v>
      </c>
      <c r="BU90" s="472">
        <f t="shared" si="275"/>
        <v>25.329638561657575</v>
      </c>
      <c r="BV90" s="1412">
        <f t="shared" si="275"/>
        <v>27.35811050574732</v>
      </c>
      <c r="BW90" s="1413">
        <f t="shared" si="275"/>
        <v>26.592053172561794</v>
      </c>
      <c r="BX90" s="1177"/>
      <c r="BY90" s="603">
        <f>SUM(D90:G90)</f>
        <v>7.6999999999999993</v>
      </c>
      <c r="BZ90" s="603">
        <f>SUM(H90:K90)</f>
        <v>7.4</v>
      </c>
      <c r="CA90" s="603">
        <f>SUM(L90:O90)</f>
        <v>1.5</v>
      </c>
      <c r="CB90" s="603">
        <f>SUM(P90:S90)</f>
        <v>0.89999999999999991</v>
      </c>
      <c r="CC90" s="603">
        <f>SUM(T90:W90)</f>
        <v>7.7</v>
      </c>
      <c r="CD90" s="603">
        <f>SUM(X90:AA90)</f>
        <v>-9.4</v>
      </c>
      <c r="CE90" s="1412">
        <f>SUM(AB90:AE90)</f>
        <v>7.6999999999999993</v>
      </c>
      <c r="CF90" s="1412">
        <f>SUM(AF90:AI90)</f>
        <v>12.799999999999999</v>
      </c>
      <c r="CG90" s="1412">
        <f>SUM(AJ90:AM90)</f>
        <v>22.900000000000002</v>
      </c>
      <c r="CH90" s="1412">
        <f>SUM(AN90:AQ90)</f>
        <v>13.4</v>
      </c>
      <c r="CI90" s="1412">
        <f>SUM(AR90:AU90)</f>
        <v>26.900000000000002</v>
      </c>
      <c r="CJ90" s="1412">
        <f>SUM(AV90:AY90)</f>
        <v>-0.20000000000000018</v>
      </c>
      <c r="CK90" s="1412">
        <f>SUM(AZ90:BC90)</f>
        <v>10.8</v>
      </c>
      <c r="CL90" s="1412">
        <f>SUM(BD90:BG90)</f>
        <v>-3.9000000000000057</v>
      </c>
      <c r="CM90" s="1412">
        <f>SUM(BH90:BK90)</f>
        <v>-265.5</v>
      </c>
      <c r="CN90" s="1412">
        <f>SUM(BL90:BO90)</f>
        <v>79.02559084416464</v>
      </c>
      <c r="CO90" s="1412">
        <f>SUM(BP90:BS90)</f>
        <v>92.312705819448965</v>
      </c>
      <c r="CP90" s="1413">
        <f>SUM(BT90:BW90)</f>
        <v>102.2869239745802</v>
      </c>
      <c r="CQ90" s="1467"/>
    </row>
    <row r="91" spans="1:101" ht="14.25" customHeight="1">
      <c r="A91" s="9"/>
      <c r="B91" s="459" t="s">
        <v>76</v>
      </c>
      <c r="C91" s="33"/>
      <c r="D91" s="621">
        <f t="shared" ref="D91:AV91" si="276">D90/D87</f>
        <v>-8.5937500000000028E-2</v>
      </c>
      <c r="E91" s="621">
        <f t="shared" si="276"/>
        <v>-4.0852575488454689E-2</v>
      </c>
      <c r="F91" s="621">
        <f t="shared" si="276"/>
        <v>-0.13138686131386879</v>
      </c>
      <c r="G91" s="621">
        <f t="shared" si="276"/>
        <v>-3.4398034398034433E-2</v>
      </c>
      <c r="H91" s="635">
        <f t="shared" si="276"/>
        <v>-3.5634743875278395E-2</v>
      </c>
      <c r="I91" s="621">
        <f t="shared" si="276"/>
        <v>-1.0666666666666769</v>
      </c>
      <c r="J91" s="621">
        <f t="shared" si="276"/>
        <v>9.0395480225988839E-2</v>
      </c>
      <c r="K91" s="621">
        <f t="shared" si="276"/>
        <v>-3.0842230130486366E-2</v>
      </c>
      <c r="L91" s="635">
        <f t="shared" si="276"/>
        <v>0.10227272727272738</v>
      </c>
      <c r="M91" s="621">
        <f t="shared" si="276"/>
        <v>9.3023255813953473E-2</v>
      </c>
      <c r="N91" s="621">
        <f t="shared" si="276"/>
        <v>9.2592592592592546E-2</v>
      </c>
      <c r="O91" s="621">
        <f t="shared" si="276"/>
        <v>-0.1129411764705882</v>
      </c>
      <c r="P91" s="635">
        <f t="shared" si="276"/>
        <v>4.662004662004663E-2</v>
      </c>
      <c r="Q91" s="621">
        <f t="shared" si="276"/>
        <v>2.5641025641025637E-2</v>
      </c>
      <c r="R91" s="621">
        <f t="shared" si="276"/>
        <v>0</v>
      </c>
      <c r="S91" s="621">
        <f t="shared" si="276"/>
        <v>-3.3799533799533793E-2</v>
      </c>
      <c r="T91" s="635">
        <f t="shared" si="276"/>
        <v>1.0869565217391306E-2</v>
      </c>
      <c r="U91" s="621">
        <f t="shared" si="276"/>
        <v>2.1538461538461538E-2</v>
      </c>
      <c r="V91" s="621">
        <f t="shared" si="276"/>
        <v>3.5874439461883428E-2</v>
      </c>
      <c r="W91" s="621">
        <f t="shared" si="276"/>
        <v>5.140186915887851E-2</v>
      </c>
      <c r="X91" s="635">
        <f t="shared" si="276"/>
        <v>9.3220338983051099E-2</v>
      </c>
      <c r="Y91" s="621">
        <f t="shared" si="276"/>
        <v>-1.0426829268292681</v>
      </c>
      <c r="Z91" s="621">
        <f t="shared" si="276"/>
        <v>8.1081081081081044E-2</v>
      </c>
      <c r="AA91" s="621">
        <f t="shared" si="276"/>
        <v>-4.0253018976423227E-3</v>
      </c>
      <c r="AB91" s="635">
        <f t="shared" si="276"/>
        <v>-0.27376425855513342</v>
      </c>
      <c r="AC91" s="621">
        <f t="shared" si="276"/>
        <v>0.312499999999999</v>
      </c>
      <c r="AD91" s="621">
        <f t="shared" si="276"/>
        <v>5.8461538461538558E-2</v>
      </c>
      <c r="AE91" s="621">
        <f t="shared" si="276"/>
        <v>-5.8823529411764696E-3</v>
      </c>
      <c r="AF91" s="635">
        <f t="shared" si="276"/>
        <v>2.1505376344086013E-2</v>
      </c>
      <c r="AG91" s="621">
        <f t="shared" si="276"/>
        <v>4.0963855421686762E-2</v>
      </c>
      <c r="AH91" s="621">
        <f t="shared" si="276"/>
        <v>4.9462365591397821E-2</v>
      </c>
      <c r="AI91" s="621">
        <f t="shared" si="276"/>
        <v>5.2631578947368404E-2</v>
      </c>
      <c r="AJ91" s="635">
        <f t="shared" si="276"/>
        <v>2.162162162162163E-2</v>
      </c>
      <c r="AK91" s="621">
        <f t="shared" si="276"/>
        <v>8.3550913838120286E-2</v>
      </c>
      <c r="AL91" s="621">
        <f t="shared" si="276"/>
        <v>-0.54574132492113592</v>
      </c>
      <c r="AM91" s="621">
        <f t="shared" si="276"/>
        <v>-0.27586206896551335</v>
      </c>
      <c r="AN91" s="635">
        <f t="shared" si="276"/>
        <v>0.12386706948640484</v>
      </c>
      <c r="AO91" s="621">
        <f t="shared" si="276"/>
        <v>0.46753246753246996</v>
      </c>
      <c r="AP91" s="621">
        <f t="shared" si="276"/>
        <v>0.32663316582914625</v>
      </c>
      <c r="AQ91" s="621">
        <f t="shared" si="276"/>
        <v>3.1139419674451527E-2</v>
      </c>
      <c r="AR91" s="635">
        <f t="shared" si="276"/>
        <v>9.3385214007782033E-2</v>
      </c>
      <c r="AS91" s="621">
        <f>AS90/AS87</f>
        <v>-5.6399132321041275E-2</v>
      </c>
      <c r="AT91" s="621">
        <f t="shared" si="276"/>
        <v>7.3684210526315769E-2</v>
      </c>
      <c r="AU91" s="621">
        <f t="shared" si="276"/>
        <v>0.43953934740882938</v>
      </c>
      <c r="AV91" s="635">
        <f t="shared" si="276"/>
        <v>9.5679012345678993E-2</v>
      </c>
      <c r="AW91" s="621">
        <f t="shared" ref="AW91:BD91" si="277">AW90/AW87</f>
        <v>-0.22252747252747257</v>
      </c>
      <c r="AX91" s="621">
        <f t="shared" si="277"/>
        <v>0.13043478260869559</v>
      </c>
      <c r="AY91" s="928">
        <f t="shared" si="277"/>
        <v>0.38043478260869229</v>
      </c>
      <c r="AZ91" s="635">
        <f t="shared" si="277"/>
        <v>0.11708860759493669</v>
      </c>
      <c r="BA91" s="621">
        <f t="shared" si="277"/>
        <v>0.13028764805414564</v>
      </c>
      <c r="BB91" s="621">
        <f t="shared" si="277"/>
        <v>0.176056338028169</v>
      </c>
      <c r="BC91" s="928">
        <f t="shared" si="277"/>
        <v>-0.35135135135135159</v>
      </c>
      <c r="BD91" s="635">
        <f t="shared" si="277"/>
        <v>0.12709832134292565</v>
      </c>
      <c r="BE91" s="621">
        <f>BE90/BE87</f>
        <v>0.22754491017964082</v>
      </c>
      <c r="BF91" s="621">
        <f>BF90/BF87</f>
        <v>0.87857961053837308</v>
      </c>
      <c r="BG91" s="928">
        <f t="shared" ref="BG91:BH91" si="278">BG90/BG87</f>
        <v>-5.1373626373626387</v>
      </c>
      <c r="BH91" s="635">
        <f t="shared" si="278"/>
        <v>0.31565217391304318</v>
      </c>
      <c r="BI91" s="621">
        <f>BI90/BI87</f>
        <v>0.34078212290502796</v>
      </c>
      <c r="BJ91" s="621">
        <f>BJ90/BJ87</f>
        <v>0.35294117647058809</v>
      </c>
      <c r="BK91" s="928">
        <f t="shared" ref="BK91" si="279">BK90/BK87</f>
        <v>-3.3884297520661142</v>
      </c>
      <c r="BL91" s="1214">
        <v>0.1</v>
      </c>
      <c r="BM91" s="1213">
        <f>BL91</f>
        <v>0.1</v>
      </c>
      <c r="BN91" s="1213">
        <f>BM91</f>
        <v>0.1</v>
      </c>
      <c r="BO91" s="1215">
        <f>BN91</f>
        <v>0.1</v>
      </c>
      <c r="BP91" s="1214">
        <v>0.1</v>
      </c>
      <c r="BQ91" s="1213">
        <f>BP91</f>
        <v>0.1</v>
      </c>
      <c r="BR91" s="1213">
        <f>BQ91</f>
        <v>0.1</v>
      </c>
      <c r="BS91" s="1215">
        <f>BR91</f>
        <v>0.1</v>
      </c>
      <c r="BT91" s="1214">
        <v>0.1</v>
      </c>
      <c r="BU91" s="1213">
        <f>BT91</f>
        <v>0.1</v>
      </c>
      <c r="BV91" s="1213">
        <f>BU91</f>
        <v>0.1</v>
      </c>
      <c r="BW91" s="1215">
        <f>BV91</f>
        <v>0.1</v>
      </c>
      <c r="BX91" s="211"/>
      <c r="BY91" s="621">
        <f t="shared" ref="BY91:CH91" si="280">BY90/BY87</f>
        <v>-5.6493030080704248E-2</v>
      </c>
      <c r="BZ91" s="621">
        <f t="shared" si="280"/>
        <v>-6.5486725663716883E-2</v>
      </c>
      <c r="CA91" s="621">
        <f t="shared" si="280"/>
        <v>1.3812154696132582E-2</v>
      </c>
      <c r="CB91" s="621">
        <f t="shared" si="280"/>
        <v>3.2585083272990614E-3</v>
      </c>
      <c r="CC91" s="621">
        <f t="shared" si="280"/>
        <v>3.0640668523676896E-2</v>
      </c>
      <c r="CD91" s="621">
        <f t="shared" si="280"/>
        <v>2.1461187214611845E-2</v>
      </c>
      <c r="CE91" s="621">
        <f t="shared" si="280"/>
        <v>0.10845070422535208</v>
      </c>
      <c r="CF91" s="621">
        <f t="shared" si="280"/>
        <v>4.1871115472685627E-2</v>
      </c>
      <c r="CG91" s="621">
        <f t="shared" si="280"/>
        <v>0.60582010582010293</v>
      </c>
      <c r="CH91" s="621">
        <f t="shared" si="280"/>
        <v>-0.18381344307270131</v>
      </c>
      <c r="CI91" s="621">
        <f t="shared" ref="CI91:CN91" si="281">CI90/CI87</f>
        <v>0.14870093974571622</v>
      </c>
      <c r="CJ91" s="621">
        <f t="shared" si="281"/>
        <v>-1.0251153254741147E-3</v>
      </c>
      <c r="CK91" s="621">
        <f t="shared" si="281"/>
        <v>4.9135577797998098E-2</v>
      </c>
      <c r="CL91" s="621">
        <f t="shared" si="281"/>
        <v>-2.1594684385382101E-2</v>
      </c>
      <c r="CM91" s="621">
        <f t="shared" si="281"/>
        <v>-0.48493150684931474</v>
      </c>
      <c r="CN91" s="621">
        <f t="shared" si="281"/>
        <v>9.9999999999999992E-2</v>
      </c>
      <c r="CO91" s="621">
        <f t="shared" ref="CO91:CP91" si="282">CO90/CO87</f>
        <v>0.1</v>
      </c>
      <c r="CP91" s="928">
        <f t="shared" si="282"/>
        <v>0.1000000000000001</v>
      </c>
      <c r="CQ91" s="22"/>
    </row>
    <row r="92" spans="1:101" ht="14.25" hidden="1" customHeight="1" outlineLevel="1">
      <c r="A92" s="9"/>
      <c r="B92" s="460"/>
      <c r="C92" s="26"/>
      <c r="D92" s="29"/>
      <c r="E92" s="29"/>
      <c r="F92" s="595"/>
      <c r="G92" s="593"/>
      <c r="H92" s="31"/>
      <c r="I92" s="29"/>
      <c r="J92" s="595"/>
      <c r="K92" s="593"/>
      <c r="L92" s="31"/>
      <c r="M92" s="29"/>
      <c r="N92" s="595"/>
      <c r="O92" s="593"/>
      <c r="P92" s="31"/>
      <c r="Q92" s="29"/>
      <c r="R92" s="595"/>
      <c r="S92" s="593"/>
      <c r="T92" s="31"/>
      <c r="U92" s="29"/>
      <c r="V92" s="595"/>
      <c r="W92" s="593"/>
      <c r="X92" s="31"/>
      <c r="Y92" s="29"/>
      <c r="Z92" s="595"/>
      <c r="AA92" s="593"/>
      <c r="AB92" s="31"/>
      <c r="AC92" s="29"/>
      <c r="AD92" s="595"/>
      <c r="AE92" s="593"/>
      <c r="AF92" s="31"/>
      <c r="AG92" s="29"/>
      <c r="AH92" s="595"/>
      <c r="AI92" s="593"/>
      <c r="AJ92" s="31"/>
      <c r="AK92" s="29"/>
      <c r="AL92" s="595"/>
      <c r="AM92" s="593"/>
      <c r="AN92" s="31"/>
      <c r="AO92" s="29"/>
      <c r="AP92" s="595"/>
      <c r="AQ92" s="594"/>
      <c r="AR92" s="31"/>
      <c r="AS92" s="29"/>
      <c r="AT92" s="595"/>
      <c r="AU92" s="593"/>
      <c r="AV92" s="31"/>
      <c r="AW92" s="29"/>
      <c r="AX92" s="595"/>
      <c r="AY92" s="594"/>
      <c r="AZ92" s="31"/>
      <c r="BA92" s="29"/>
      <c r="BB92" s="595"/>
      <c r="BC92" s="594"/>
      <c r="BD92" s="31"/>
      <c r="BE92" s="29"/>
      <c r="BF92" s="29"/>
      <c r="BG92" s="594"/>
      <c r="BH92" s="29"/>
      <c r="BI92" s="29"/>
      <c r="BJ92" s="29"/>
      <c r="BK92" s="1407"/>
      <c r="BL92" s="31"/>
      <c r="BM92" s="29"/>
      <c r="BN92" s="29"/>
      <c r="BO92" s="30"/>
      <c r="BP92" s="31"/>
      <c r="BQ92" s="29"/>
      <c r="BR92" s="29"/>
      <c r="BS92" s="30"/>
      <c r="BT92" s="31"/>
      <c r="BU92" s="29"/>
      <c r="BV92" s="29"/>
      <c r="BW92" s="30"/>
      <c r="BX92" s="211"/>
      <c r="BY92" s="595"/>
      <c r="BZ92" s="595"/>
      <c r="CA92" s="595"/>
      <c r="CB92" s="595"/>
      <c r="CC92" s="595"/>
      <c r="CD92" s="595"/>
      <c r="CE92" s="1408"/>
      <c r="CF92" s="1408"/>
      <c r="CG92" s="1408"/>
      <c r="CH92" s="1408"/>
      <c r="CI92" s="1408"/>
      <c r="CJ92" s="1408"/>
      <c r="CK92" s="1408"/>
      <c r="CL92" s="1408"/>
      <c r="CM92" s="1408"/>
      <c r="CN92" s="1408"/>
      <c r="CO92" s="1408"/>
      <c r="CP92" s="1409"/>
      <c r="CQ92" s="22"/>
    </row>
    <row r="93" spans="1:101" ht="14.25" hidden="1" customHeight="1" outlineLevel="1">
      <c r="A93" s="409"/>
      <c r="B93" s="504" t="s">
        <v>88</v>
      </c>
      <c r="C93" s="537"/>
      <c r="D93" s="472">
        <f>(D79-D59)*D132</f>
        <v>-2.8469999999999995</v>
      </c>
      <c r="E93" s="472">
        <f>(-E60-E59)*E132</f>
        <v>-16.424999999999997</v>
      </c>
      <c r="F93" s="472">
        <f>(-F60+F79)*F132</f>
        <v>0.17519999999999994</v>
      </c>
      <c r="G93" s="472">
        <f>(-G60+G79)*G132</f>
        <v>-13.665599999999998</v>
      </c>
      <c r="H93" s="474">
        <f>(-H60+H79)*H132</f>
        <v>-16.227200000000003</v>
      </c>
      <c r="I93" s="472">
        <f>(-I60+I79)*I132</f>
        <v>-9.9616000000000007</v>
      </c>
      <c r="J93" s="472">
        <f>(J79)*J132</f>
        <v>-1.056</v>
      </c>
      <c r="K93" s="472">
        <f>(-K60+K79)*K132</f>
        <v>-35.8688</v>
      </c>
      <c r="L93" s="474">
        <f>-L60*L132</f>
        <v>-0.38390000000000002</v>
      </c>
      <c r="M93" s="472">
        <f>-M60*M132</f>
        <v>-0.97719999999999985</v>
      </c>
      <c r="N93" s="472">
        <f>-N60*N132</f>
        <v>-6.9800000000000001E-2</v>
      </c>
      <c r="O93" s="472">
        <f>-O60*O132</f>
        <v>0.2792</v>
      </c>
      <c r="P93" s="540">
        <v>0</v>
      </c>
      <c r="Q93" s="538">
        <v>0</v>
      </c>
      <c r="R93" s="538">
        <v>0</v>
      </c>
      <c r="S93" s="538">
        <v>0</v>
      </c>
      <c r="T93" s="474">
        <f>T79*T132</f>
        <v>-3.4999999999999996E-2</v>
      </c>
      <c r="U93" s="538">
        <v>0</v>
      </c>
      <c r="V93" s="603">
        <f>-V60*V132</f>
        <v>-0.7</v>
      </c>
      <c r="W93" s="836">
        <f>3.1-T93-U93-V93</f>
        <v>3.835</v>
      </c>
      <c r="X93" s="540">
        <v>1.5</v>
      </c>
      <c r="Y93" s="538">
        <v>-17.5</v>
      </c>
      <c r="Z93" s="591">
        <v>2.6</v>
      </c>
      <c r="AA93" s="591">
        <v>0.4</v>
      </c>
      <c r="AB93" s="540">
        <v>2.2999999999999998</v>
      </c>
      <c r="AC93" s="538">
        <v>-2.2999999999999998</v>
      </c>
      <c r="AD93" s="591">
        <v>1</v>
      </c>
      <c r="AE93" s="591">
        <v>-1.8</v>
      </c>
      <c r="AF93" s="540">
        <v>-1.7</v>
      </c>
      <c r="AG93" s="538">
        <v>1.4</v>
      </c>
      <c r="AH93" s="591">
        <v>1.3</v>
      </c>
      <c r="AI93" s="591">
        <v>1.1000000000000001</v>
      </c>
      <c r="AJ93" s="540">
        <v>-1.3</v>
      </c>
      <c r="AK93" s="538">
        <v>-5</v>
      </c>
      <c r="AL93" s="591">
        <v>11.9</v>
      </c>
      <c r="AM93" s="591">
        <v>-2.7</v>
      </c>
      <c r="AN93" s="540">
        <v>-0.5</v>
      </c>
      <c r="AO93" s="538">
        <v>0.3</v>
      </c>
      <c r="AP93" s="591">
        <v>2.2999999999999998</v>
      </c>
      <c r="AQ93" s="592">
        <v>-6.3</v>
      </c>
      <c r="AR93" s="540">
        <v>-0.1</v>
      </c>
      <c r="AS93" s="538">
        <v>-7.5</v>
      </c>
      <c r="AT93" s="591">
        <v>1.7</v>
      </c>
      <c r="AU93" s="591">
        <v>19.899999999999999</v>
      </c>
      <c r="AV93" s="540">
        <v>0.9</v>
      </c>
      <c r="AW93" s="538">
        <v>-19.5</v>
      </c>
      <c r="AX93" s="591">
        <v>-0.6</v>
      </c>
      <c r="AY93" s="592">
        <v>0.9</v>
      </c>
      <c r="AZ93" s="540">
        <v>2</v>
      </c>
      <c r="BA93" s="538">
        <v>1.8</v>
      </c>
      <c r="BB93" s="591">
        <v>6.3</v>
      </c>
      <c r="BC93" s="592">
        <v>-19.2</v>
      </c>
      <c r="BD93" s="540">
        <v>-0.1</v>
      </c>
      <c r="BE93" s="538">
        <v>0.1</v>
      </c>
      <c r="BF93" s="538">
        <f>BF90-6.5</f>
        <v>70.2</v>
      </c>
      <c r="BG93" s="539">
        <f>BG90-8.2</f>
        <v>-101.7</v>
      </c>
      <c r="BH93" s="538">
        <v>17.899999999999999</v>
      </c>
      <c r="BI93" s="538">
        <v>31.7</v>
      </c>
      <c r="BJ93" s="538">
        <v>46</v>
      </c>
      <c r="BK93" s="539">
        <v>-428.9</v>
      </c>
      <c r="BL93" s="474">
        <f t="shared" ref="BL93:BS93" si="283">+BL101</f>
        <v>-2.6</v>
      </c>
      <c r="BM93" s="472">
        <f t="shared" si="283"/>
        <v>0</v>
      </c>
      <c r="BN93" s="472">
        <f t="shared" si="283"/>
        <v>0</v>
      </c>
      <c r="BO93" s="473">
        <f t="shared" si="283"/>
        <v>0</v>
      </c>
      <c r="BP93" s="474">
        <f t="shared" si="283"/>
        <v>0</v>
      </c>
      <c r="BQ93" s="472">
        <f t="shared" si="283"/>
        <v>0</v>
      </c>
      <c r="BR93" s="472">
        <f t="shared" si="283"/>
        <v>0</v>
      </c>
      <c r="BS93" s="473">
        <f t="shared" si="283"/>
        <v>0</v>
      </c>
      <c r="BT93" s="474">
        <f t="shared" ref="BT93:BW93" si="284">+BT101</f>
        <v>0</v>
      </c>
      <c r="BU93" s="472">
        <f t="shared" si="284"/>
        <v>0</v>
      </c>
      <c r="BV93" s="472">
        <f t="shared" si="284"/>
        <v>0</v>
      </c>
      <c r="BW93" s="473">
        <f t="shared" si="284"/>
        <v>0</v>
      </c>
      <c r="BX93" s="1177"/>
      <c r="BY93" s="603">
        <f>SUM(D93:G93)</f>
        <v>-32.7624</v>
      </c>
      <c r="BZ93" s="603">
        <f>SUM(H93:K93)</f>
        <v>-63.113600000000005</v>
      </c>
      <c r="CA93" s="603">
        <f>SUM(L93:O93)</f>
        <v>-1.1516999999999999</v>
      </c>
      <c r="CB93" s="603">
        <f>SUM(P93:S93)</f>
        <v>0</v>
      </c>
      <c r="CC93" s="603">
        <f>SUM(T93:W93)</f>
        <v>3.1</v>
      </c>
      <c r="CD93" s="603">
        <f>SUM(X93:AA93)</f>
        <v>-13</v>
      </c>
      <c r="CE93" s="1412">
        <f>SUM(AB93:AE93)</f>
        <v>-0.8</v>
      </c>
      <c r="CF93" s="1412">
        <f>SUM(AF93:AI93)</f>
        <v>2.1</v>
      </c>
      <c r="CG93" s="1412">
        <f>SUM(AJ93:AM93)</f>
        <v>2.9000000000000004</v>
      </c>
      <c r="CH93" s="1412">
        <f>SUM(AN93:AQ93)</f>
        <v>-4.2</v>
      </c>
      <c r="CI93" s="1412">
        <f>SUM(AR93:AU93)</f>
        <v>14</v>
      </c>
      <c r="CJ93" s="1412">
        <f>SUM(AV93:AY93)</f>
        <v>-18.300000000000004</v>
      </c>
      <c r="CK93" s="1412">
        <f>SUM(AZ93:BC93)</f>
        <v>-9.1</v>
      </c>
      <c r="CL93" s="1412">
        <f>SUM(BD93:BG93)</f>
        <v>-31.5</v>
      </c>
      <c r="CM93" s="1412">
        <f>SUM(BH93:BK93)</f>
        <v>-333.29999999999995</v>
      </c>
      <c r="CN93" s="1412">
        <f>SUM(BL93:BO93)</f>
        <v>-2.6</v>
      </c>
      <c r="CO93" s="1412">
        <f>SUM(BP93:BS93)</f>
        <v>0</v>
      </c>
      <c r="CP93" s="1413">
        <f>SUM(BT93:BW93)</f>
        <v>0</v>
      </c>
      <c r="CQ93" s="410"/>
    </row>
    <row r="94" spans="1:101" ht="14.25" hidden="1" customHeight="1" outlineLevel="1">
      <c r="A94" s="9"/>
      <c r="B94" s="453" t="s">
        <v>89</v>
      </c>
      <c r="C94" s="24"/>
      <c r="D94" s="595">
        <f t="shared" ref="D94:AI94" si="285">D90-D93</f>
        <v>5.0469999999999997</v>
      </c>
      <c r="E94" s="595">
        <f t="shared" si="285"/>
        <v>18.724999999999998</v>
      </c>
      <c r="F94" s="595">
        <f t="shared" si="285"/>
        <v>1.6248</v>
      </c>
      <c r="G94" s="595">
        <f t="shared" si="285"/>
        <v>15.065599999999998</v>
      </c>
      <c r="H94" s="627">
        <f t="shared" si="285"/>
        <v>17.827200000000005</v>
      </c>
      <c r="I94" s="595">
        <f t="shared" si="285"/>
        <v>11.5616</v>
      </c>
      <c r="J94" s="595">
        <f t="shared" si="285"/>
        <v>2.6560000000000001</v>
      </c>
      <c r="K94" s="595">
        <f t="shared" si="285"/>
        <v>38.468800000000002</v>
      </c>
      <c r="L94" s="627">
        <f t="shared" si="285"/>
        <v>2.1839</v>
      </c>
      <c r="M94" s="595">
        <f t="shared" si="285"/>
        <v>2.9771999999999998</v>
      </c>
      <c r="N94" s="595">
        <f t="shared" si="285"/>
        <v>2.5697999999999999</v>
      </c>
      <c r="O94" s="595">
        <f t="shared" si="285"/>
        <v>-5.0792000000000002</v>
      </c>
      <c r="P94" s="627">
        <f t="shared" si="285"/>
        <v>2</v>
      </c>
      <c r="Q94" s="595">
        <f t="shared" si="285"/>
        <v>1.8</v>
      </c>
      <c r="R94" s="595">
        <f t="shared" si="285"/>
        <v>0</v>
      </c>
      <c r="S94" s="595">
        <f t="shared" si="285"/>
        <v>-2.9</v>
      </c>
      <c r="T94" s="627">
        <f t="shared" si="285"/>
        <v>0.63500000000000001</v>
      </c>
      <c r="U94" s="595">
        <f t="shared" si="285"/>
        <v>1.4</v>
      </c>
      <c r="V94" s="595">
        <f t="shared" si="285"/>
        <v>3.0999999999999996</v>
      </c>
      <c r="W94" s="595">
        <f t="shared" si="285"/>
        <v>-0.53500000000000014</v>
      </c>
      <c r="X94" s="627">
        <f t="shared" si="285"/>
        <v>-0.39999999999999991</v>
      </c>
      <c r="Y94" s="595">
        <f t="shared" si="285"/>
        <v>0.39999999999999858</v>
      </c>
      <c r="Z94" s="595">
        <f t="shared" si="285"/>
        <v>1.9</v>
      </c>
      <c r="AA94" s="595">
        <f t="shared" si="285"/>
        <v>1.7000000000000002</v>
      </c>
      <c r="AB94" s="627">
        <f t="shared" si="285"/>
        <v>4.9000000000000004</v>
      </c>
      <c r="AC94" s="595">
        <f t="shared" si="285"/>
        <v>1.2999999999999998</v>
      </c>
      <c r="AD94" s="595">
        <f t="shared" si="285"/>
        <v>0.89999999999999991</v>
      </c>
      <c r="AE94" s="595">
        <f t="shared" si="285"/>
        <v>1.4</v>
      </c>
      <c r="AF94" s="627">
        <f t="shared" si="285"/>
        <v>3.0999999999999996</v>
      </c>
      <c r="AG94" s="595">
        <f t="shared" si="285"/>
        <v>2</v>
      </c>
      <c r="AH94" s="595">
        <f t="shared" si="285"/>
        <v>3.3</v>
      </c>
      <c r="AI94" s="595">
        <f t="shared" si="285"/>
        <v>2.2999999999999998</v>
      </c>
      <c r="AJ94" s="627">
        <f t="shared" ref="AJ94:AV94" si="286">AJ90-AJ93</f>
        <v>2.1</v>
      </c>
      <c r="AK94" s="595">
        <f t="shared" si="286"/>
        <v>8.1999999999999993</v>
      </c>
      <c r="AL94" s="595">
        <f t="shared" si="286"/>
        <v>5.4</v>
      </c>
      <c r="AM94" s="595">
        <f t="shared" si="286"/>
        <v>4.3000000000000007</v>
      </c>
      <c r="AN94" s="627">
        <f t="shared" si="286"/>
        <v>4.5999999999999996</v>
      </c>
      <c r="AO94" s="595">
        <f t="shared" si="286"/>
        <v>6.9</v>
      </c>
      <c r="AP94" s="595">
        <f t="shared" si="286"/>
        <v>4.2</v>
      </c>
      <c r="AQ94" s="596">
        <f t="shared" si="286"/>
        <v>1.8999999999999995</v>
      </c>
      <c r="AR94" s="627">
        <f t="shared" si="286"/>
        <v>2.5</v>
      </c>
      <c r="AS94" s="595">
        <f t="shared" si="286"/>
        <v>4.9000000000000004</v>
      </c>
      <c r="AT94" s="595">
        <f t="shared" si="286"/>
        <v>2.5</v>
      </c>
      <c r="AU94" s="595">
        <f t="shared" si="286"/>
        <v>3.0000000000000036</v>
      </c>
      <c r="AV94" s="627">
        <f t="shared" si="286"/>
        <v>5.3</v>
      </c>
      <c r="AW94" s="595">
        <f t="shared" ref="AW94:BC94" si="287">AW90-AW93</f>
        <v>3.3000000000000007</v>
      </c>
      <c r="AX94" s="595">
        <f t="shared" si="287"/>
        <v>6.8999999999999995</v>
      </c>
      <c r="AY94" s="596">
        <f t="shared" si="287"/>
        <v>2.6</v>
      </c>
      <c r="AZ94" s="627">
        <f t="shared" si="287"/>
        <v>5.4</v>
      </c>
      <c r="BA94" s="595">
        <f>BA90-BA93</f>
        <v>5.9</v>
      </c>
      <c r="BB94" s="595">
        <f>BB90-BB93</f>
        <v>3.7</v>
      </c>
      <c r="BC94" s="596">
        <f t="shared" si="287"/>
        <v>4.8999999999999986</v>
      </c>
      <c r="BD94" s="627">
        <f>BD90-BD93</f>
        <v>5.3999999999999995</v>
      </c>
      <c r="BE94" s="595">
        <f>BE90-BE93</f>
        <v>7.5</v>
      </c>
      <c r="BF94" s="595">
        <f>BF90-BF93</f>
        <v>6.5</v>
      </c>
      <c r="BG94" s="596">
        <f t="shared" ref="BG94" si="288">BG90-BG93</f>
        <v>8.2000000000000028</v>
      </c>
      <c r="BH94" s="595">
        <f>BH90-BH93</f>
        <v>18.399999999999999</v>
      </c>
      <c r="BI94" s="1408">
        <f>BI90-BI93</f>
        <v>17.099999999999998</v>
      </c>
      <c r="BJ94" s="1408">
        <f>BJ90-BJ93</f>
        <v>13.399999999999999</v>
      </c>
      <c r="BK94" s="1409">
        <f t="shared" ref="BK94" si="289">BK90-BK93</f>
        <v>18.899999999999977</v>
      </c>
      <c r="BL94" s="1418">
        <f t="shared" ref="BL94:BO94" si="290">BL90-BL93</f>
        <v>18.218210511615226</v>
      </c>
      <c r="BM94" s="1408">
        <f t="shared" si="290"/>
        <v>20.701758345576078</v>
      </c>
      <c r="BN94" s="1408">
        <f t="shared" si="290"/>
        <v>21.82347963521179</v>
      </c>
      <c r="BO94" s="1409">
        <f t="shared" si="290"/>
        <v>20.882142351761559</v>
      </c>
      <c r="BP94" s="1418">
        <f t="shared" ref="BP94:BS94" si="291">BP90-BP93</f>
        <v>20.626270766743165</v>
      </c>
      <c r="BQ94" s="1408">
        <f t="shared" si="291"/>
        <v>22.836946962624239</v>
      </c>
      <c r="BR94" s="1408">
        <f t="shared" si="291"/>
        <v>24.791068915720992</v>
      </c>
      <c r="BS94" s="1409">
        <f t="shared" si="291"/>
        <v>24.058419174360562</v>
      </c>
      <c r="BT94" s="1418">
        <f t="shared" ref="BT94:BW94" si="292">BT90-BT93</f>
        <v>23.007121734613516</v>
      </c>
      <c r="BU94" s="1408">
        <f t="shared" si="292"/>
        <v>25.329638561657575</v>
      </c>
      <c r="BV94" s="1408">
        <f t="shared" si="292"/>
        <v>27.35811050574732</v>
      </c>
      <c r="BW94" s="1409">
        <f t="shared" si="292"/>
        <v>26.592053172561794</v>
      </c>
      <c r="BX94" s="1236"/>
      <c r="BY94" s="595">
        <f t="shared" ref="BY94:CH94" si="293">BY90-BY93</f>
        <v>40.462400000000002</v>
      </c>
      <c r="BZ94" s="595">
        <f t="shared" si="293"/>
        <v>70.513600000000011</v>
      </c>
      <c r="CA94" s="595">
        <f t="shared" si="293"/>
        <v>2.6516999999999999</v>
      </c>
      <c r="CB94" s="595">
        <f t="shared" si="293"/>
        <v>0.89999999999999991</v>
      </c>
      <c r="CC94" s="595">
        <f t="shared" si="293"/>
        <v>4.5999999999999996</v>
      </c>
      <c r="CD94" s="595">
        <f t="shared" si="293"/>
        <v>3.5999999999999996</v>
      </c>
      <c r="CE94" s="1408">
        <f t="shared" si="293"/>
        <v>8.5</v>
      </c>
      <c r="CF94" s="1408">
        <f t="shared" si="293"/>
        <v>10.7</v>
      </c>
      <c r="CG94" s="1408">
        <f t="shared" si="293"/>
        <v>20</v>
      </c>
      <c r="CH94" s="1408">
        <f t="shared" si="293"/>
        <v>17.600000000000001</v>
      </c>
      <c r="CI94" s="1408">
        <f t="shared" ref="CI94:CN94" si="294">CI90-CI93</f>
        <v>12.900000000000002</v>
      </c>
      <c r="CJ94" s="1408">
        <f t="shared" si="294"/>
        <v>18.100000000000005</v>
      </c>
      <c r="CK94" s="1408">
        <f t="shared" si="294"/>
        <v>19.899999999999999</v>
      </c>
      <c r="CL94" s="1408">
        <f t="shared" si="294"/>
        <v>27.599999999999994</v>
      </c>
      <c r="CM94" s="1408">
        <f t="shared" si="294"/>
        <v>67.799999999999955</v>
      </c>
      <c r="CN94" s="1408">
        <f t="shared" si="294"/>
        <v>81.625590844164634</v>
      </c>
      <c r="CO94" s="1408">
        <f t="shared" ref="CO94:CP94" si="295">CO90-CO93</f>
        <v>92.312705819448965</v>
      </c>
      <c r="CP94" s="1409">
        <f t="shared" si="295"/>
        <v>102.2869239745802</v>
      </c>
      <c r="CQ94" s="22"/>
    </row>
    <row r="95" spans="1:101" ht="14.25" hidden="1" customHeight="1" outlineLevel="1">
      <c r="A95" s="9"/>
      <c r="B95" s="459" t="s">
        <v>90</v>
      </c>
      <c r="C95" s="33"/>
      <c r="D95" s="34">
        <f t="shared" ref="D95:AV95" si="296">D94/D88</f>
        <v>-0.26424083769633516</v>
      </c>
      <c r="E95" s="34">
        <f t="shared" si="296"/>
        <v>-0.99601063829787084</v>
      </c>
      <c r="F95" s="34">
        <f t="shared" si="296"/>
        <v>-0.11523404255319165</v>
      </c>
      <c r="G95" s="34">
        <f t="shared" si="296"/>
        <v>-1.5858526315789532</v>
      </c>
      <c r="H95" s="36">
        <f t="shared" si="296"/>
        <v>14.856000000000233</v>
      </c>
      <c r="I95" s="34">
        <f t="shared" si="296"/>
        <v>0.43140298507462677</v>
      </c>
      <c r="J95" s="34">
        <f t="shared" si="296"/>
        <v>0.12830917874396153</v>
      </c>
      <c r="K95" s="34">
        <f t="shared" si="296"/>
        <v>2.1857272727272701</v>
      </c>
      <c r="L95" s="36">
        <f t="shared" si="296"/>
        <v>0.11678609625668458</v>
      </c>
      <c r="M95" s="34">
        <f t="shared" si="296"/>
        <v>0.12251851851851851</v>
      </c>
      <c r="N95" s="34">
        <f t="shared" si="296"/>
        <v>9.4477941176470528E-2</v>
      </c>
      <c r="O95" s="34">
        <f t="shared" si="296"/>
        <v>-0.12180335731414864</v>
      </c>
      <c r="P95" s="36">
        <f t="shared" si="296"/>
        <v>4.405286343612335E-2</v>
      </c>
      <c r="Q95" s="34">
        <f t="shared" si="296"/>
        <v>2.3498694516971279E-2</v>
      </c>
      <c r="R95" s="34">
        <f t="shared" si="296"/>
        <v>0</v>
      </c>
      <c r="S95" s="34">
        <f t="shared" si="296"/>
        <v>-3.652392947103273E-2</v>
      </c>
      <c r="T95" s="36">
        <f t="shared" si="296"/>
        <v>1.083617747440273E-2</v>
      </c>
      <c r="U95" s="34">
        <f t="shared" si="296"/>
        <v>2.0437956204379562E-2</v>
      </c>
      <c r="V95" s="34">
        <f t="shared" si="296"/>
        <v>4.2465753424657554E-2</v>
      </c>
      <c r="W95" s="34">
        <f t="shared" si="296"/>
        <v>-7.3087431693989085E-3</v>
      </c>
      <c r="X95" s="36">
        <f t="shared" si="296"/>
        <v>-6.1823802163833074E-3</v>
      </c>
      <c r="Y95" s="34">
        <f t="shared" si="296"/>
        <v>4.2194092827004051E-3</v>
      </c>
      <c r="Z95" s="34">
        <f t="shared" si="296"/>
        <v>1.8500486854917231E-2</v>
      </c>
      <c r="AA95" s="34">
        <f t="shared" si="296"/>
        <v>3.3663366336633659E-2</v>
      </c>
      <c r="AB95" s="36">
        <f t="shared" si="296"/>
        <v>0.77777777777776835</v>
      </c>
      <c r="AC95" s="34">
        <f t="shared" si="296"/>
        <v>5.2631578947368453E-2</v>
      </c>
      <c r="AD95" s="34">
        <f t="shared" si="296"/>
        <v>1.5254237288135606E-2</v>
      </c>
      <c r="AE95" s="34">
        <f t="shared" si="296"/>
        <v>1.6147635524798146E-2</v>
      </c>
      <c r="AF95" s="36">
        <f t="shared" si="296"/>
        <v>3.4792368125701433E-2</v>
      </c>
      <c r="AG95" s="34">
        <f t="shared" si="296"/>
        <v>1.881467544684854E-2</v>
      </c>
      <c r="AH95" s="34">
        <f t="shared" si="296"/>
        <v>2.9543419874664259E-2</v>
      </c>
      <c r="AI95" s="34">
        <f t="shared" si="296"/>
        <v>2.2615535889872158E-2</v>
      </c>
      <c r="AJ95" s="36">
        <f t="shared" si="296"/>
        <v>1.7255546425636818E-2</v>
      </c>
      <c r="AK95" s="34">
        <f t="shared" si="296"/>
        <v>7.0265638389031743E-2</v>
      </c>
      <c r="AL95" s="34">
        <f t="shared" si="296"/>
        <v>4.6431642304385207E-2</v>
      </c>
      <c r="AM95" s="34">
        <f t="shared" si="296"/>
        <v>6.7082683307332427E-2</v>
      </c>
      <c r="AN95" s="36">
        <f t="shared" si="296"/>
        <v>7.3131955484896663E-2</v>
      </c>
      <c r="AO95" s="34">
        <f t="shared" si="296"/>
        <v>9.426229508196729E-2</v>
      </c>
      <c r="AP95" s="34">
        <f t="shared" si="296"/>
        <v>7.1672354948805458E-2</v>
      </c>
      <c r="AQ95" s="34">
        <f t="shared" si="296"/>
        <v>4.7263681592039773E-2</v>
      </c>
      <c r="AR95" s="36">
        <f t="shared" si="296"/>
        <v>5.219206680584549E-2</v>
      </c>
      <c r="AS95" s="34">
        <f t="shared" si="296"/>
        <v>7.7654516640253621E-2</v>
      </c>
      <c r="AT95" s="34">
        <f t="shared" si="296"/>
        <v>3.1685678073510769E-2</v>
      </c>
      <c r="AU95" s="34">
        <f t="shared" si="296"/>
        <v>3.8560411311054026E-2</v>
      </c>
      <c r="AV95" s="36">
        <f t="shared" si="296"/>
        <v>6.5675340768277551E-2</v>
      </c>
      <c r="AW95" s="34">
        <f t="shared" ref="AW95:BC95" si="297">AW94/AW88</f>
        <v>3.510638297872342E-2</v>
      </c>
      <c r="AX95" s="34">
        <f t="shared" si="297"/>
        <v>6.8656716417910449E-2</v>
      </c>
      <c r="AY95" s="35">
        <f t="shared" si="297"/>
        <v>3.2622333751568339E-2</v>
      </c>
      <c r="AZ95" s="36">
        <f t="shared" si="297"/>
        <v>5.7939914163090134E-2</v>
      </c>
      <c r="BA95" s="34">
        <f>BA94/BA88</f>
        <v>5.7843137254901977E-2</v>
      </c>
      <c r="BB95" s="34">
        <f>BB94/BB88</f>
        <v>3.7111334002006023E-2</v>
      </c>
      <c r="BC95" s="35">
        <f t="shared" si="297"/>
        <v>5.7851239669421461E-2</v>
      </c>
      <c r="BD95" s="36">
        <f>BD94/BD88</f>
        <v>7.0959264126149793E-2</v>
      </c>
      <c r="BE95" s="34">
        <f>BE94/BE88</f>
        <v>7.7559462254395042E-2</v>
      </c>
      <c r="BF95" s="34">
        <f>BF94/BF88</f>
        <v>6.0577819198508853E-2</v>
      </c>
      <c r="BG95" s="35">
        <f t="shared" ref="BG95" si="298">BG94/BG88</f>
        <v>6.2121212121212167E-2</v>
      </c>
      <c r="BH95" s="36">
        <f>BH94/BH88</f>
        <v>0.13813813813813808</v>
      </c>
      <c r="BI95" s="1393">
        <f>BI94/BI88</f>
        <v>9.9941554646405611E-2</v>
      </c>
      <c r="BJ95" s="1393">
        <f t="shared" ref="BJ95:BO95" si="299">BJ94/BJ88</f>
        <v>6.6009852216748738E-2</v>
      </c>
      <c r="BK95" s="1394">
        <f t="shared" si="299"/>
        <v>0.10090763481046433</v>
      </c>
      <c r="BL95" s="1395">
        <f t="shared" si="299"/>
        <v>9.5793505390470865E-2</v>
      </c>
      <c r="BM95" s="1393">
        <f t="shared" si="299"/>
        <v>0.1</v>
      </c>
      <c r="BN95" s="1393">
        <f t="shared" si="299"/>
        <v>0.1</v>
      </c>
      <c r="BO95" s="1394">
        <f t="shared" si="299"/>
        <v>0.1</v>
      </c>
      <c r="BP95" s="1395">
        <f t="shared" ref="BP95:BS95" si="300">BP94/BP88</f>
        <v>0.1</v>
      </c>
      <c r="BQ95" s="1393">
        <f t="shared" si="300"/>
        <v>0.1</v>
      </c>
      <c r="BR95" s="1393">
        <f t="shared" si="300"/>
        <v>0.1</v>
      </c>
      <c r="BS95" s="1394">
        <f t="shared" si="300"/>
        <v>0.1</v>
      </c>
      <c r="BT95" s="1395">
        <f t="shared" ref="BT95:BW95" si="301">BT94/BT88</f>
        <v>0.1</v>
      </c>
      <c r="BU95" s="1393">
        <f t="shared" si="301"/>
        <v>0.1</v>
      </c>
      <c r="BV95" s="1393">
        <f t="shared" si="301"/>
        <v>0.1</v>
      </c>
      <c r="BW95" s="1394">
        <f t="shared" si="301"/>
        <v>0.1</v>
      </c>
      <c r="BX95" s="211"/>
      <c r="BY95" s="34">
        <f t="shared" ref="BY95:CH95" si="302">BY94/BY88</f>
        <v>-0.65792520325203074</v>
      </c>
      <c r="BZ95" s="34">
        <f t="shared" si="302"/>
        <v>1.0635535444947191</v>
      </c>
      <c r="CA95" s="34">
        <f t="shared" si="302"/>
        <v>2.3697050938337776E-2</v>
      </c>
      <c r="CB95" s="34">
        <f t="shared" si="302"/>
        <v>3.1880977683315637E-3</v>
      </c>
      <c r="CC95" s="34">
        <f t="shared" si="302"/>
        <v>1.683132089279181E-2</v>
      </c>
      <c r="CD95" s="34">
        <f t="shared" si="302"/>
        <v>1.1512631915574043E-2</v>
      </c>
      <c r="CE95" s="1393">
        <f t="shared" si="302"/>
        <v>4.8104131295981907E-2</v>
      </c>
      <c r="CF95" s="1393">
        <f t="shared" si="302"/>
        <v>2.6174168297455964E-2</v>
      </c>
      <c r="CG95" s="1393">
        <f t="shared" si="302"/>
        <v>4.7755491881566331E-2</v>
      </c>
      <c r="CH95" s="1393">
        <f t="shared" si="302"/>
        <v>7.4925500212856683E-2</v>
      </c>
      <c r="CI95" s="1393">
        <f t="shared" ref="CI95:CN95" si="303">CI94/CI88</f>
        <v>4.8188270451998569E-2</v>
      </c>
      <c r="CJ95" s="1393">
        <f t="shared" si="303"/>
        <v>5.100028176951249E-2</v>
      </c>
      <c r="CK95" s="1393">
        <f t="shared" si="303"/>
        <v>5.2423603793466791E-2</v>
      </c>
      <c r="CL95" s="1393">
        <f t="shared" si="303"/>
        <v>6.6974035428294124E-2</v>
      </c>
      <c r="CM95" s="1393">
        <f t="shared" si="303"/>
        <v>9.7610135329686071E-2</v>
      </c>
      <c r="CN95" s="1393">
        <f t="shared" si="303"/>
        <v>9.9999999999999978E-2</v>
      </c>
      <c r="CO95" s="1393">
        <f t="shared" ref="CO95:CP95" si="304">CO94/CO88</f>
        <v>0.1</v>
      </c>
      <c r="CP95" s="1394">
        <f t="shared" si="304"/>
        <v>0.1000000000000001</v>
      </c>
      <c r="CQ95" s="22"/>
    </row>
    <row r="96" spans="1:101" ht="14.25" customHeight="1" collapsed="1">
      <c r="A96" s="9"/>
      <c r="B96" s="453"/>
      <c r="C96" s="24"/>
      <c r="D96" s="39"/>
      <c r="E96" s="39"/>
      <c r="F96" s="581"/>
      <c r="G96" s="581"/>
      <c r="H96" s="41"/>
      <c r="I96" s="39"/>
      <c r="J96" s="581"/>
      <c r="K96" s="581"/>
      <c r="L96" s="41"/>
      <c r="M96" s="39"/>
      <c r="N96" s="581"/>
      <c r="O96" s="581"/>
      <c r="P96" s="41"/>
      <c r="Q96" s="39"/>
      <c r="R96" s="581"/>
      <c r="S96" s="581"/>
      <c r="T96" s="41"/>
      <c r="U96" s="39"/>
      <c r="V96" s="581"/>
      <c r="W96" s="581"/>
      <c r="X96" s="41"/>
      <c r="Y96" s="39"/>
      <c r="Z96" s="581"/>
      <c r="AA96" s="581"/>
      <c r="AB96" s="41"/>
      <c r="AC96" s="39"/>
      <c r="AD96" s="581"/>
      <c r="AE96" s="581"/>
      <c r="AF96" s="41"/>
      <c r="AG96" s="39"/>
      <c r="AH96" s="581"/>
      <c r="AI96" s="581"/>
      <c r="AJ96" s="41"/>
      <c r="AK96" s="39"/>
      <c r="AL96" s="581"/>
      <c r="AM96" s="581"/>
      <c r="AN96" s="41"/>
      <c r="AO96" s="39"/>
      <c r="AP96" s="581"/>
      <c r="AQ96" s="582"/>
      <c r="AR96" s="41"/>
      <c r="AS96" s="39"/>
      <c r="AT96" s="581"/>
      <c r="AU96" s="581"/>
      <c r="AV96" s="41"/>
      <c r="AW96" s="39"/>
      <c r="AX96" s="581"/>
      <c r="AY96" s="582"/>
      <c r="AZ96" s="41"/>
      <c r="BA96" s="39"/>
      <c r="BB96" s="581"/>
      <c r="BC96" s="582"/>
      <c r="BD96" s="41"/>
      <c r="BE96" s="39"/>
      <c r="BF96" s="39"/>
      <c r="BG96" s="582"/>
      <c r="BH96" s="1184"/>
      <c r="BI96" s="39"/>
      <c r="BJ96" s="39"/>
      <c r="BK96" s="582"/>
      <c r="BL96" s="1184"/>
      <c r="BM96" s="39"/>
      <c r="BN96" s="39"/>
      <c r="BO96" s="1072"/>
      <c r="BP96" s="1184"/>
      <c r="BQ96" s="39"/>
      <c r="BR96" s="39"/>
      <c r="BS96" s="1072"/>
      <c r="BT96" s="1184"/>
      <c r="BU96" s="39"/>
      <c r="BV96" s="39"/>
      <c r="BW96" s="1072"/>
      <c r="BX96" s="211"/>
      <c r="BY96" s="616"/>
      <c r="BZ96" s="616"/>
      <c r="CA96" s="616"/>
      <c r="CB96" s="616"/>
      <c r="CC96" s="616"/>
      <c r="CD96" s="616"/>
      <c r="CE96" s="616"/>
      <c r="CF96" s="616"/>
      <c r="CG96" s="616"/>
      <c r="CH96" s="616"/>
      <c r="CI96" s="616"/>
      <c r="CJ96" s="616"/>
      <c r="CK96" s="616"/>
      <c r="CL96" s="616"/>
      <c r="CM96" s="616"/>
      <c r="CN96" s="616"/>
      <c r="CO96" s="616"/>
      <c r="CP96" s="1045"/>
      <c r="CQ96" s="22"/>
    </row>
    <row r="97" spans="1:95" ht="14.25" customHeight="1">
      <c r="A97" s="432"/>
      <c r="B97" s="461" t="s">
        <v>307</v>
      </c>
      <c r="C97" s="437"/>
      <c r="D97" s="600">
        <f t="shared" ref="D97:AI97" si="305">D87-D90</f>
        <v>-27.799999999999994</v>
      </c>
      <c r="E97" s="600">
        <f t="shared" si="305"/>
        <v>-58.600000000000023</v>
      </c>
      <c r="F97" s="600">
        <f t="shared" si="305"/>
        <v>-15.499999999999982</v>
      </c>
      <c r="G97" s="600">
        <f t="shared" si="305"/>
        <v>-42.099999999999952</v>
      </c>
      <c r="H97" s="628">
        <f t="shared" si="305"/>
        <v>-46.500000000000007</v>
      </c>
      <c r="I97" s="600">
        <f t="shared" si="305"/>
        <v>-3.0999999999999859</v>
      </c>
      <c r="J97" s="600">
        <f t="shared" si="305"/>
        <v>16.099999999999973</v>
      </c>
      <c r="K97" s="600">
        <f t="shared" si="305"/>
        <v>-86.899999999999977</v>
      </c>
      <c r="L97" s="628">
        <f t="shared" si="305"/>
        <v>15.799999999999983</v>
      </c>
      <c r="M97" s="600">
        <f t="shared" si="305"/>
        <v>19.500000000000004</v>
      </c>
      <c r="N97" s="600">
        <f t="shared" si="305"/>
        <v>24.500000000000014</v>
      </c>
      <c r="O97" s="600">
        <f t="shared" si="305"/>
        <v>47.300000000000011</v>
      </c>
      <c r="P97" s="628">
        <f t="shared" si="305"/>
        <v>40.899999999999991</v>
      </c>
      <c r="Q97" s="600">
        <f t="shared" si="305"/>
        <v>68.40000000000002</v>
      </c>
      <c r="R97" s="600">
        <f t="shared" si="305"/>
        <v>77.299999999999983</v>
      </c>
      <c r="S97" s="600">
        <f t="shared" si="305"/>
        <v>88.700000000000017</v>
      </c>
      <c r="T97" s="628">
        <f t="shared" si="305"/>
        <v>54.599999999999987</v>
      </c>
      <c r="U97" s="600">
        <f t="shared" si="305"/>
        <v>63.6</v>
      </c>
      <c r="V97" s="600">
        <f t="shared" si="305"/>
        <v>64.499999999999957</v>
      </c>
      <c r="W97" s="600">
        <f t="shared" si="305"/>
        <v>60.899999999999991</v>
      </c>
      <c r="X97" s="628">
        <f t="shared" si="305"/>
        <v>10.699999999999969</v>
      </c>
      <c r="Y97" s="600">
        <f t="shared" si="305"/>
        <v>33.500000000000007</v>
      </c>
      <c r="Z97" s="600">
        <f t="shared" si="305"/>
        <v>51.000000000000021</v>
      </c>
      <c r="AA97" s="600">
        <f t="shared" si="305"/>
        <v>-523.80000000000007</v>
      </c>
      <c r="AB97" s="628">
        <f t="shared" si="305"/>
        <v>-33.499999999999964</v>
      </c>
      <c r="AC97" s="600">
        <f t="shared" si="305"/>
        <v>-2.2000000000000099</v>
      </c>
      <c r="AD97" s="600">
        <f t="shared" si="305"/>
        <v>30.599999999999945</v>
      </c>
      <c r="AE97" s="600">
        <f t="shared" si="305"/>
        <v>68.40000000000002</v>
      </c>
      <c r="AF97" s="628">
        <f t="shared" si="305"/>
        <v>63.700000000000024</v>
      </c>
      <c r="AG97" s="600">
        <f t="shared" si="305"/>
        <v>79.599999999999966</v>
      </c>
      <c r="AH97" s="600">
        <f t="shared" si="305"/>
        <v>88.400000000000048</v>
      </c>
      <c r="AI97" s="600">
        <f t="shared" si="305"/>
        <v>61.200000000000024</v>
      </c>
      <c r="AJ97" s="628">
        <f t="shared" ref="AJ97:AQ97" si="306">AJ87-AJ90</f>
        <v>36.199999999999989</v>
      </c>
      <c r="AK97" s="600">
        <f t="shared" si="306"/>
        <v>35.099999999999916</v>
      </c>
      <c r="AL97" s="600">
        <f t="shared" si="306"/>
        <v>-48.999999999999986</v>
      </c>
      <c r="AM97" s="600">
        <f t="shared" si="306"/>
        <v>-7.4000000000000821</v>
      </c>
      <c r="AN97" s="628">
        <f t="shared" si="306"/>
        <v>28.999999999999993</v>
      </c>
      <c r="AO97" s="600">
        <f t="shared" si="306"/>
        <v>8.1999999999999211</v>
      </c>
      <c r="AP97" s="600">
        <f t="shared" si="306"/>
        <v>13.399999999999967</v>
      </c>
      <c r="AQ97" s="601">
        <f t="shared" si="306"/>
        <v>-136.89999999999998</v>
      </c>
      <c r="AR97" s="628">
        <f>AR87-AR90</f>
        <v>23.300000000000018</v>
      </c>
      <c r="AS97" s="600">
        <f>AS87-AS90</f>
        <v>48.699999999999953</v>
      </c>
      <c r="AT97" s="600">
        <f>AT87-AT90</f>
        <v>52.800000000000011</v>
      </c>
      <c r="AU97" s="600">
        <f>AU87-AU90</f>
        <v>29.199999999999978</v>
      </c>
      <c r="AV97" s="628">
        <f t="shared" ref="AV97:BA97" si="307">AV87-AV90</f>
        <v>58.600000000000009</v>
      </c>
      <c r="AW97" s="600">
        <f t="shared" si="307"/>
        <v>88.999999999999986</v>
      </c>
      <c r="AX97" s="600">
        <f t="shared" si="307"/>
        <v>42.000000000000028</v>
      </c>
      <c r="AY97" s="601">
        <f t="shared" si="307"/>
        <v>5.700000000000081</v>
      </c>
      <c r="AZ97" s="628">
        <f t="shared" si="307"/>
        <v>55.800000000000011</v>
      </c>
      <c r="BA97" s="600">
        <f t="shared" si="307"/>
        <v>51.399999999999949</v>
      </c>
      <c r="BB97" s="600">
        <f t="shared" ref="BB97:BG97" si="308">BB87-BB90</f>
        <v>46.800000000000004</v>
      </c>
      <c r="BC97" s="601">
        <f t="shared" si="308"/>
        <v>54.999999999999972</v>
      </c>
      <c r="BD97" s="628">
        <f t="shared" si="308"/>
        <v>36.400000000000006</v>
      </c>
      <c r="BE97" s="600">
        <f t="shared" si="308"/>
        <v>25.799999999999983</v>
      </c>
      <c r="BF97" s="600">
        <f t="shared" si="308"/>
        <v>10.600000000000037</v>
      </c>
      <c r="BG97" s="601">
        <f t="shared" si="308"/>
        <v>111.69999999999999</v>
      </c>
      <c r="BH97" s="628">
        <f t="shared" ref="BH97:BI97" si="309">BH87-BH90</f>
        <v>78.700000000000102</v>
      </c>
      <c r="BI97" s="1410">
        <f t="shared" si="309"/>
        <v>94.399999999999991</v>
      </c>
      <c r="BJ97" s="1410">
        <f t="shared" ref="BJ97:BK97" si="310">BJ87-BJ90</f>
        <v>108.90000000000006</v>
      </c>
      <c r="BK97" s="1411">
        <f t="shared" si="310"/>
        <v>531</v>
      </c>
      <c r="BL97" s="1419">
        <f t="shared" ref="BL97:BS97" si="311">BL87-BL90</f>
        <v>140.56389460453701</v>
      </c>
      <c r="BM97" s="1410">
        <f t="shared" si="311"/>
        <v>186.31582511018468</v>
      </c>
      <c r="BN97" s="1410">
        <f t="shared" si="311"/>
        <v>196.4113167169061</v>
      </c>
      <c r="BO97" s="1411">
        <f t="shared" si="311"/>
        <v>187.93928116585403</v>
      </c>
      <c r="BP97" s="1419">
        <f t="shared" si="311"/>
        <v>185.63643690068847</v>
      </c>
      <c r="BQ97" s="1410">
        <f t="shared" si="311"/>
        <v>205.53252266361815</v>
      </c>
      <c r="BR97" s="1410">
        <f t="shared" si="311"/>
        <v>223.11962024148892</v>
      </c>
      <c r="BS97" s="1411">
        <f t="shared" si="311"/>
        <v>216.52577256924505</v>
      </c>
      <c r="BT97" s="1419">
        <f t="shared" ref="BT97:BW97" si="312">BT87-BT90</f>
        <v>207.06409561152162</v>
      </c>
      <c r="BU97" s="1410">
        <f t="shared" si="312"/>
        <v>227.96674705491813</v>
      </c>
      <c r="BV97" s="1410">
        <f t="shared" si="312"/>
        <v>246.22299455172583</v>
      </c>
      <c r="BW97" s="1411">
        <f t="shared" si="312"/>
        <v>239.32847855305613</v>
      </c>
      <c r="BX97" s="1236"/>
      <c r="BY97" s="600">
        <f t="shared" ref="BY97:CJ97" si="313">BY87-BY90</f>
        <v>-144.00000000000017</v>
      </c>
      <c r="BZ97" s="600">
        <f t="shared" si="313"/>
        <v>-120.39999999999989</v>
      </c>
      <c r="CA97" s="600">
        <f t="shared" si="313"/>
        <v>107.10000000000011</v>
      </c>
      <c r="CB97" s="600">
        <f t="shared" si="313"/>
        <v>275.29999999999978</v>
      </c>
      <c r="CC97" s="600">
        <f t="shared" si="313"/>
        <v>243.59999999999988</v>
      </c>
      <c r="CD97" s="600">
        <f t="shared" si="313"/>
        <v>-428.60000000000059</v>
      </c>
      <c r="CE97" s="1410">
        <f t="shared" si="313"/>
        <v>63.300000000000011</v>
      </c>
      <c r="CF97" s="1410">
        <f t="shared" si="313"/>
        <v>292.90000000000003</v>
      </c>
      <c r="CG97" s="1410">
        <f t="shared" si="313"/>
        <v>14.90000000000018</v>
      </c>
      <c r="CH97" s="1410">
        <f t="shared" si="313"/>
        <v>-86.300000000000409</v>
      </c>
      <c r="CI97" s="1410">
        <f t="shared" si="313"/>
        <v>153.99999999999957</v>
      </c>
      <c r="CJ97" s="1410">
        <f t="shared" si="313"/>
        <v>195.30000000000038</v>
      </c>
      <c r="CK97" s="1410">
        <f t="shared" ref="CK97:CP97" si="314">CK87-CK90</f>
        <v>209.00000000000037</v>
      </c>
      <c r="CL97" s="1410">
        <f t="shared" si="314"/>
        <v>184.49999999999991</v>
      </c>
      <c r="CM97" s="1410">
        <f t="shared" si="314"/>
        <v>813.00000000000034</v>
      </c>
      <c r="CN97" s="1410">
        <f t="shared" si="314"/>
        <v>711.23031759748187</v>
      </c>
      <c r="CO97" s="1410">
        <f t="shared" si="314"/>
        <v>830.81435237504058</v>
      </c>
      <c r="CP97" s="1411">
        <f t="shared" si="314"/>
        <v>920.58231577122081</v>
      </c>
      <c r="CQ97" s="1468"/>
    </row>
    <row r="98" spans="1:95" ht="14.25" customHeight="1">
      <c r="A98" s="9"/>
      <c r="B98" s="459" t="s">
        <v>69</v>
      </c>
      <c r="C98" s="33"/>
      <c r="D98" s="34">
        <f t="shared" ref="D98:AI98" si="315">D97/D8</f>
        <v>-0.10315398886827457</v>
      </c>
      <c r="E98" s="34">
        <f t="shared" si="315"/>
        <v>-0.22872755659640914</v>
      </c>
      <c r="F98" s="34">
        <f t="shared" si="315"/>
        <v>-5.8534743202416847E-2</v>
      </c>
      <c r="G98" s="34">
        <f t="shared" si="315"/>
        <v>-0.15111270638908811</v>
      </c>
      <c r="H98" s="36">
        <f t="shared" si="315"/>
        <v>-0.15087605451005842</v>
      </c>
      <c r="I98" s="34">
        <f t="shared" si="315"/>
        <v>-9.2953523238380378E-3</v>
      </c>
      <c r="J98" s="34">
        <f t="shared" si="315"/>
        <v>5.056532663316575E-2</v>
      </c>
      <c r="K98" s="34">
        <f t="shared" si="315"/>
        <v>-0.28324641460234673</v>
      </c>
      <c r="L98" s="36">
        <f t="shared" si="315"/>
        <v>5.2248677248677197E-2</v>
      </c>
      <c r="M98" s="34">
        <f t="shared" si="315"/>
        <v>6.4398943196829594E-2</v>
      </c>
      <c r="N98" s="34">
        <f t="shared" si="315"/>
        <v>7.8125000000000042E-2</v>
      </c>
      <c r="O98" s="34">
        <f t="shared" si="315"/>
        <v>0.1383850204798128</v>
      </c>
      <c r="P98" s="36">
        <f t="shared" si="315"/>
        <v>0.12245508982035926</v>
      </c>
      <c r="Q98" s="34">
        <f t="shared" si="315"/>
        <v>0.18225419664268591</v>
      </c>
      <c r="R98" s="34">
        <f t="shared" si="315"/>
        <v>0.18365407460204322</v>
      </c>
      <c r="S98" s="34">
        <f t="shared" si="315"/>
        <v>0.22086653386454186</v>
      </c>
      <c r="T98" s="36">
        <f t="shared" si="315"/>
        <v>0.14591127739176907</v>
      </c>
      <c r="U98" s="34">
        <f t="shared" si="315"/>
        <v>0.16684155299055614</v>
      </c>
      <c r="V98" s="34">
        <f t="shared" si="315"/>
        <v>0.16008935219657475</v>
      </c>
      <c r="W98" s="34">
        <f t="shared" si="315"/>
        <v>0.14930129933807304</v>
      </c>
      <c r="X98" s="36">
        <f t="shared" si="315"/>
        <v>2.5361460061625905E-2</v>
      </c>
      <c r="Y98" s="34">
        <f t="shared" si="315"/>
        <v>5.9534387773236191E-2</v>
      </c>
      <c r="Z98" s="34">
        <f t="shared" si="315"/>
        <v>8.7704213241616549E-2</v>
      </c>
      <c r="AA98" s="34">
        <f t="shared" si="315"/>
        <v>-1.0718232044198897</v>
      </c>
      <c r="AB98" s="36">
        <f t="shared" si="315"/>
        <v>-8.8367185439197998E-2</v>
      </c>
      <c r="AC98" s="34">
        <f t="shared" si="315"/>
        <v>-5.240590757503597E-3</v>
      </c>
      <c r="AD98" s="34">
        <f t="shared" si="315"/>
        <v>6.470712624233442E-2</v>
      </c>
      <c r="AE98" s="34">
        <f t="shared" si="315"/>
        <v>0.13759806879903444</v>
      </c>
      <c r="AF98" s="36">
        <f t="shared" si="315"/>
        <v>0.11577608142493642</v>
      </c>
      <c r="AG98" s="34">
        <f t="shared" si="315"/>
        <v>0.13646494085376301</v>
      </c>
      <c r="AH98" s="34">
        <f t="shared" si="315"/>
        <v>0.14716164474779431</v>
      </c>
      <c r="AI98" s="34">
        <f t="shared" si="315"/>
        <v>0.1056629834254144</v>
      </c>
      <c r="AJ98" s="36">
        <f t="shared" ref="AJ98:BO98" si="316">AJ97/AJ8</f>
        <v>4.1580519182173196E-2</v>
      </c>
      <c r="AK98" s="34">
        <f t="shared" si="316"/>
        <v>3.8750275999116714E-2</v>
      </c>
      <c r="AL98" s="34">
        <f t="shared" si="316"/>
        <v>-5.4565701559020026E-2</v>
      </c>
      <c r="AM98" s="34">
        <f t="shared" si="316"/>
        <v>-9.6366714415940646E-3</v>
      </c>
      <c r="AN98" s="36">
        <f t="shared" si="316"/>
        <v>3.8957549704459957E-2</v>
      </c>
      <c r="AO98" s="34">
        <f t="shared" si="316"/>
        <v>1.1009667024704513E-2</v>
      </c>
      <c r="AP98" s="34">
        <f t="shared" si="316"/>
        <v>1.8470020675396232E-2</v>
      </c>
      <c r="AQ98" s="34">
        <f t="shared" si="316"/>
        <v>-0.20126433401940602</v>
      </c>
      <c r="AR98" s="36">
        <f t="shared" si="316"/>
        <v>3.5249621785174004E-2</v>
      </c>
      <c r="AS98" s="34">
        <f t="shared" si="316"/>
        <v>7.0754031672235887E-2</v>
      </c>
      <c r="AT98" s="34">
        <f t="shared" si="316"/>
        <v>7.3804864411518054E-2</v>
      </c>
      <c r="AU98" s="34">
        <f t="shared" si="316"/>
        <v>4.0668523676880189E-2</v>
      </c>
      <c r="AV98" s="36">
        <f t="shared" si="316"/>
        <v>8.2944090587402708E-2</v>
      </c>
      <c r="AW98" s="34">
        <f t="shared" si="316"/>
        <v>0.11747624076029564</v>
      </c>
      <c r="AX98" s="34">
        <f t="shared" si="316"/>
        <v>5.0389922015596916E-2</v>
      </c>
      <c r="AY98" s="35">
        <f t="shared" si="316"/>
        <v>6.5956954408702625E-3</v>
      </c>
      <c r="AZ98" s="36">
        <f t="shared" si="316"/>
        <v>6.4079007808911362E-2</v>
      </c>
      <c r="BA98" s="34">
        <f t="shared" si="316"/>
        <v>5.8375922771152694E-2</v>
      </c>
      <c r="BB98" s="34">
        <f t="shared" si="316"/>
        <v>5.1758460517584606E-2</v>
      </c>
      <c r="BC98" s="35">
        <f t="shared" si="316"/>
        <v>6.5452814471022219E-2</v>
      </c>
      <c r="BD98" s="36">
        <f t="shared" si="316"/>
        <v>4.454233969652472E-2</v>
      </c>
      <c r="BE98" s="34">
        <f t="shared" si="316"/>
        <v>2.9391660970608319E-2</v>
      </c>
      <c r="BF98" s="34">
        <f t="shared" si="316"/>
        <v>1.1147334104532588E-2</v>
      </c>
      <c r="BG98" s="35">
        <f t="shared" si="316"/>
        <v>8.8580491673275169E-2</v>
      </c>
      <c r="BH98" s="36">
        <f t="shared" si="316"/>
        <v>5.4778311408088046E-2</v>
      </c>
      <c r="BI98" s="1393">
        <f t="shared" ref="BI98" si="317">BI97/BI8</f>
        <v>7.0553064275037367E-2</v>
      </c>
      <c r="BJ98" s="1393">
        <f t="shared" si="316"/>
        <v>7.8294629376662636E-2</v>
      </c>
      <c r="BK98" s="1394">
        <f t="shared" ref="BK98" si="318">BK97/BK8</f>
        <v>0.38548094373865699</v>
      </c>
      <c r="BL98" s="1395">
        <f t="shared" si="316"/>
        <v>0.10261209352840259</v>
      </c>
      <c r="BM98" s="1393">
        <f t="shared" si="316"/>
        <v>0.13043805682942483</v>
      </c>
      <c r="BN98" s="1393">
        <f t="shared" si="316"/>
        <v>0.13433315494793246</v>
      </c>
      <c r="BO98" s="1394">
        <f t="shared" si="316"/>
        <v>0.13085727393621416</v>
      </c>
      <c r="BP98" s="1395">
        <f t="shared" ref="BP98:BS98" si="319">BP97/BP8</f>
        <v>0.12997496680400758</v>
      </c>
      <c r="BQ98" s="1393">
        <f t="shared" si="319"/>
        <v>0.13872100057434164</v>
      </c>
      <c r="BR98" s="1393">
        <f t="shared" si="319"/>
        <v>0.1473904636513981</v>
      </c>
      <c r="BS98" s="1394">
        <f t="shared" si="319"/>
        <v>0.14556334985952585</v>
      </c>
      <c r="BT98" s="1395">
        <f t="shared" ref="BT98:BW98" si="320">BT97/BT8</f>
        <v>0.13977696340975573</v>
      </c>
      <c r="BU98" s="1393">
        <f t="shared" si="320"/>
        <v>0.14835604082033432</v>
      </c>
      <c r="BV98" s="1393">
        <f t="shared" si="320"/>
        <v>0.15698007764081653</v>
      </c>
      <c r="BW98" s="1394">
        <f t="shared" si="320"/>
        <v>0.15522671144517064</v>
      </c>
      <c r="BX98" s="211"/>
      <c r="BY98" s="34">
        <f t="shared" ref="BY98:CO98" si="321">BY97/BY8</f>
        <v>-0.1346927322046583</v>
      </c>
      <c r="BZ98" s="34">
        <f t="shared" si="321"/>
        <v>-9.5035125108532542E-2</v>
      </c>
      <c r="CA98" s="34">
        <f t="shared" si="321"/>
        <v>8.4959543074726404E-2</v>
      </c>
      <c r="CB98" s="34">
        <f t="shared" si="321"/>
        <v>0.17972320146233178</v>
      </c>
      <c r="CC98" s="34">
        <f t="shared" si="321"/>
        <v>0.15553569148256921</v>
      </c>
      <c r="CD98" s="34">
        <f t="shared" si="321"/>
        <v>-0.20858477710726137</v>
      </c>
      <c r="CE98" s="1393">
        <f t="shared" si="321"/>
        <v>3.5784951099553403E-2</v>
      </c>
      <c r="CF98" s="1393">
        <f t="shared" si="321"/>
        <v>0.12661018414454916</v>
      </c>
      <c r="CG98" s="1393">
        <f t="shared" si="321"/>
        <v>4.3285012927403712E-3</v>
      </c>
      <c r="CH98" s="1393">
        <f t="shared" si="321"/>
        <v>-2.9811047013713919E-2</v>
      </c>
      <c r="CI98" s="1393">
        <f t="shared" si="321"/>
        <v>5.5341934092787433E-2</v>
      </c>
      <c r="CJ98" s="1393">
        <f t="shared" si="321"/>
        <v>6.1768612815484965E-2</v>
      </c>
      <c r="CK98" s="1393">
        <f t="shared" si="321"/>
        <v>5.9786028949024649E-2</v>
      </c>
      <c r="CL98" s="1393">
        <f t="shared" si="321"/>
        <v>4.7224141902787356E-2</v>
      </c>
      <c r="CM98" s="1393">
        <f t="shared" si="321"/>
        <v>0.14666883152026849</v>
      </c>
      <c r="CN98" s="1393">
        <f t="shared" si="321"/>
        <v>0.12485217818630727</v>
      </c>
      <c r="CO98" s="1393">
        <f t="shared" si="321"/>
        <v>0.14054979721258826</v>
      </c>
      <c r="CP98" s="1394">
        <f t="shared" ref="CP98" si="322">CP97/CP8</f>
        <v>0.150218061173571</v>
      </c>
      <c r="CQ98" s="22"/>
    </row>
    <row r="99" spans="1:95" ht="14.25" customHeight="1">
      <c r="A99" s="9"/>
      <c r="B99" s="459"/>
      <c r="C99" s="33"/>
      <c r="D99" s="597"/>
      <c r="E99" s="597"/>
      <c r="F99" s="598"/>
      <c r="G99" s="598"/>
      <c r="H99" s="613"/>
      <c r="I99" s="597"/>
      <c r="J99" s="598"/>
      <c r="K99" s="598"/>
      <c r="L99" s="613"/>
      <c r="M99" s="597"/>
      <c r="N99" s="598"/>
      <c r="O99" s="598"/>
      <c r="P99" s="613"/>
      <c r="Q99" s="597"/>
      <c r="R99" s="598"/>
      <c r="S99" s="598"/>
      <c r="T99" s="613"/>
      <c r="U99" s="597"/>
      <c r="V99" s="598"/>
      <c r="W99" s="598"/>
      <c r="X99" s="613"/>
      <c r="Y99" s="597"/>
      <c r="Z99" s="598"/>
      <c r="AA99" s="598"/>
      <c r="AB99" s="613"/>
      <c r="AC99" s="597"/>
      <c r="AD99" s="598"/>
      <c r="AE99" s="598"/>
      <c r="AF99" s="613"/>
      <c r="AG99" s="597"/>
      <c r="AH99" s="598"/>
      <c r="AI99" s="598"/>
      <c r="AJ99" s="613"/>
      <c r="AK99" s="597"/>
      <c r="AL99" s="598"/>
      <c r="AM99" s="598"/>
      <c r="AN99" s="613"/>
      <c r="AO99" s="597"/>
      <c r="AP99" s="598"/>
      <c r="AQ99" s="599"/>
      <c r="AR99" s="613"/>
      <c r="AS99" s="597"/>
      <c r="AT99" s="598"/>
      <c r="AU99" s="598"/>
      <c r="AV99" s="613"/>
      <c r="AW99" s="597"/>
      <c r="AX99" s="598"/>
      <c r="AY99" s="599"/>
      <c r="AZ99" s="613"/>
      <c r="BA99" s="597"/>
      <c r="BB99" s="598"/>
      <c r="BC99" s="599"/>
      <c r="BD99" s="613"/>
      <c r="BE99" s="597"/>
      <c r="BF99" s="34"/>
      <c r="BG99" s="599"/>
      <c r="BH99" s="36"/>
      <c r="BI99" s="597"/>
      <c r="BJ99" s="597"/>
      <c r="BK99" s="599"/>
      <c r="BL99" s="1395"/>
      <c r="BM99" s="1393"/>
      <c r="BN99" s="1393"/>
      <c r="BO99" s="1394"/>
      <c r="BP99" s="1395"/>
      <c r="BQ99" s="1393"/>
      <c r="BR99" s="1393"/>
      <c r="BS99" s="1394"/>
      <c r="BT99" s="1395"/>
      <c r="BU99" s="1393"/>
      <c r="BV99" s="1393"/>
      <c r="BW99" s="1394"/>
      <c r="BX99" s="211"/>
      <c r="BY99" s="598"/>
      <c r="BZ99" s="598"/>
      <c r="CA99" s="598"/>
      <c r="CB99" s="598"/>
      <c r="CC99" s="598"/>
      <c r="CD99" s="598"/>
      <c r="CE99" s="598"/>
      <c r="CF99" s="598"/>
      <c r="CG99" s="598"/>
      <c r="CH99" s="598"/>
      <c r="CI99" s="598"/>
      <c r="CJ99" s="598"/>
      <c r="CK99" s="598"/>
      <c r="CL99" s="598"/>
      <c r="CM99" s="598"/>
      <c r="CN99" s="598"/>
      <c r="CO99" s="598"/>
      <c r="CP99" s="599"/>
      <c r="CQ99" s="22"/>
    </row>
    <row r="100" spans="1:95" ht="14.25" hidden="1" customHeight="1" outlineLevel="1">
      <c r="A100" s="9"/>
      <c r="B100" s="453" t="s">
        <v>71</v>
      </c>
      <c r="C100" s="24"/>
      <c r="D100" s="595">
        <f t="shared" ref="D100:AI100" si="323">D18+D19+D34+D44+D54+D59+D60+D61-D79+D84+D82-D63-D80</f>
        <v>6.5</v>
      </c>
      <c r="E100" s="595">
        <f t="shared" si="323"/>
        <v>37.5</v>
      </c>
      <c r="F100" s="595">
        <f t="shared" si="323"/>
        <v>-0.39999999999999991</v>
      </c>
      <c r="G100" s="595">
        <f t="shared" si="323"/>
        <v>31.2</v>
      </c>
      <c r="H100" s="627">
        <f t="shared" si="323"/>
        <v>46.1</v>
      </c>
      <c r="I100" s="595">
        <f t="shared" si="323"/>
        <v>28.299999999999997</v>
      </c>
      <c r="J100" s="595">
        <f t="shared" si="323"/>
        <v>3</v>
      </c>
      <c r="K100" s="595">
        <f t="shared" si="323"/>
        <v>101.89999999999999</v>
      </c>
      <c r="L100" s="627">
        <f t="shared" si="323"/>
        <v>1.1000000000000001</v>
      </c>
      <c r="M100" s="595">
        <f t="shared" si="323"/>
        <v>2.8</v>
      </c>
      <c r="N100" s="595">
        <f t="shared" si="323"/>
        <v>0.2</v>
      </c>
      <c r="O100" s="595">
        <f t="shared" si="323"/>
        <v>-0.8</v>
      </c>
      <c r="P100" s="627">
        <f t="shared" si="323"/>
        <v>2.5</v>
      </c>
      <c r="Q100" s="595">
        <f t="shared" si="323"/>
        <v>6.3999999999999995</v>
      </c>
      <c r="R100" s="595">
        <f t="shared" si="323"/>
        <v>3.5999999999999996</v>
      </c>
      <c r="S100" s="595">
        <f t="shared" si="323"/>
        <v>-6.3999999999999995</v>
      </c>
      <c r="T100" s="627">
        <f t="shared" si="323"/>
        <v>3.4</v>
      </c>
      <c r="U100" s="595">
        <f t="shared" si="323"/>
        <v>3.5000000000000004</v>
      </c>
      <c r="V100" s="595">
        <f t="shared" si="323"/>
        <v>6.1</v>
      </c>
      <c r="W100" s="595">
        <f t="shared" si="323"/>
        <v>9</v>
      </c>
      <c r="X100" s="627">
        <f t="shared" si="323"/>
        <v>52.899999999999991</v>
      </c>
      <c r="Y100" s="595">
        <f t="shared" si="323"/>
        <v>78.400000000000006</v>
      </c>
      <c r="Z100" s="595">
        <f t="shared" si="323"/>
        <v>47.2</v>
      </c>
      <c r="AA100" s="595">
        <f t="shared" si="323"/>
        <v>572.20000000000005</v>
      </c>
      <c r="AB100" s="627">
        <f t="shared" si="323"/>
        <v>32.6</v>
      </c>
      <c r="AC100" s="595">
        <f t="shared" si="323"/>
        <v>27.9</v>
      </c>
      <c r="AD100" s="595">
        <f t="shared" si="323"/>
        <v>26.500000000000004</v>
      </c>
      <c r="AE100" s="595">
        <f t="shared" si="323"/>
        <v>18.700000000000003</v>
      </c>
      <c r="AF100" s="627">
        <f t="shared" si="323"/>
        <v>24</v>
      </c>
      <c r="AG100" s="595">
        <f t="shared" si="323"/>
        <v>23.3</v>
      </c>
      <c r="AH100" s="595">
        <f t="shared" si="323"/>
        <v>18.700000000000003</v>
      </c>
      <c r="AI100" s="595">
        <f t="shared" si="323"/>
        <v>37.1</v>
      </c>
      <c r="AJ100" s="627">
        <f t="shared" ref="AJ100:BO100" si="324">AJ18+AJ19+AJ34+AJ44+AJ54+AJ59+AJ60+AJ61-AJ79+AJ84+AJ82-AJ63-AJ80</f>
        <v>84.700000000000017</v>
      </c>
      <c r="AK100" s="595">
        <f t="shared" si="324"/>
        <v>78.400000000000006</v>
      </c>
      <c r="AL100" s="595">
        <f t="shared" si="324"/>
        <v>148.00000000000003</v>
      </c>
      <c r="AM100" s="595">
        <f t="shared" si="324"/>
        <v>69.900000000000006</v>
      </c>
      <c r="AN100" s="627">
        <f t="shared" si="324"/>
        <v>29.8</v>
      </c>
      <c r="AO100" s="595">
        <f t="shared" si="324"/>
        <v>57.8</v>
      </c>
      <c r="AP100" s="595">
        <f t="shared" si="324"/>
        <v>38.699999999999996</v>
      </c>
      <c r="AQ100" s="596">
        <f t="shared" si="324"/>
        <v>181.49999999999997</v>
      </c>
      <c r="AR100" s="627">
        <f t="shared" si="324"/>
        <v>22.200000000000003</v>
      </c>
      <c r="AS100" s="595">
        <f t="shared" si="324"/>
        <v>17</v>
      </c>
      <c r="AT100" s="595">
        <f t="shared" si="324"/>
        <v>21.9</v>
      </c>
      <c r="AU100" s="595">
        <f t="shared" si="324"/>
        <v>25.700000000000003</v>
      </c>
      <c r="AV100" s="627">
        <f t="shared" si="324"/>
        <v>15.9</v>
      </c>
      <c r="AW100" s="595">
        <f t="shared" si="324"/>
        <v>21.2</v>
      </c>
      <c r="AX100" s="595">
        <f t="shared" si="324"/>
        <v>52.199999999999996</v>
      </c>
      <c r="AY100" s="596">
        <f t="shared" si="324"/>
        <v>70.5</v>
      </c>
      <c r="AZ100" s="627">
        <f t="shared" si="324"/>
        <v>29.999999999999996</v>
      </c>
      <c r="BA100" s="595">
        <f t="shared" si="324"/>
        <v>42.900000000000006</v>
      </c>
      <c r="BB100" s="595">
        <f t="shared" si="324"/>
        <v>42.9</v>
      </c>
      <c r="BC100" s="596">
        <f t="shared" si="324"/>
        <v>44</v>
      </c>
      <c r="BD100" s="627">
        <f t="shared" si="324"/>
        <v>34.4</v>
      </c>
      <c r="BE100" s="595">
        <f t="shared" si="324"/>
        <v>63.3</v>
      </c>
      <c r="BF100" s="595">
        <f t="shared" si="324"/>
        <v>112.19999999999999</v>
      </c>
      <c r="BG100" s="596">
        <f t="shared" si="324"/>
        <v>113.8</v>
      </c>
      <c r="BH100" s="627">
        <f>BH18+BH19+BH34+BH44+BH54+BH59+BH60+BH61-BH79+BH84+BH82-BH63-BH80</f>
        <v>18.2</v>
      </c>
      <c r="BI100" s="1408">
        <f t="shared" ref="BI100:BK100" si="325">BI18+BI19+BI34+BI44+BI54+BI59+BI60+BI61-BI79+BI84+BI82-BI63-BI80</f>
        <v>27.900000000000002</v>
      </c>
      <c r="BJ100" s="1408">
        <f t="shared" si="325"/>
        <v>47.20000000000001</v>
      </c>
      <c r="BK100" s="1409">
        <f t="shared" si="325"/>
        <v>66.300000000000011</v>
      </c>
      <c r="BL100" s="1418">
        <f t="shared" si="324"/>
        <v>26</v>
      </c>
      <c r="BM100" s="1408">
        <f t="shared" si="324"/>
        <v>0</v>
      </c>
      <c r="BN100" s="1408">
        <f t="shared" si="324"/>
        <v>0</v>
      </c>
      <c r="BO100" s="1409">
        <f t="shared" si="324"/>
        <v>0</v>
      </c>
      <c r="BP100" s="1418">
        <f t="shared" ref="BP100:BS100" si="326">BP18+BP19+BP34+BP44+BP54+BP59+BP60+BP61-BP79+BP84+BP82-BP63-BP80</f>
        <v>0</v>
      </c>
      <c r="BQ100" s="1408">
        <f t="shared" si="326"/>
        <v>0</v>
      </c>
      <c r="BR100" s="1408">
        <f t="shared" si="326"/>
        <v>0</v>
      </c>
      <c r="BS100" s="1409">
        <f t="shared" si="326"/>
        <v>0</v>
      </c>
      <c r="BT100" s="1418">
        <f t="shared" ref="BT100:BW100" si="327">BT18+BT19+BT34+BT44+BT54+BT59+BT60+BT61-BT79+BT84+BT82-BT63-BT80</f>
        <v>0</v>
      </c>
      <c r="BU100" s="1408">
        <f t="shared" si="327"/>
        <v>0</v>
      </c>
      <c r="BV100" s="1408">
        <f t="shared" si="327"/>
        <v>0</v>
      </c>
      <c r="BW100" s="1409">
        <f t="shared" si="327"/>
        <v>0</v>
      </c>
      <c r="BX100" s="1236"/>
      <c r="BY100" s="595">
        <f t="shared" ref="BY100:CN100" si="328">BY18+BY19+BY34+BY44+BY54+BY59+BY60+BY61-BY79+BY84+BY82-BY63-BY80</f>
        <v>74.800000000000011</v>
      </c>
      <c r="BZ100" s="595">
        <f t="shared" si="328"/>
        <v>179.29999999999998</v>
      </c>
      <c r="CA100" s="595">
        <f t="shared" si="328"/>
        <v>3.3</v>
      </c>
      <c r="CB100" s="595">
        <f t="shared" si="328"/>
        <v>6.1</v>
      </c>
      <c r="CC100" s="595">
        <f t="shared" si="328"/>
        <v>22</v>
      </c>
      <c r="CD100" s="595">
        <f t="shared" si="328"/>
        <v>750.7</v>
      </c>
      <c r="CE100" s="1408">
        <f t="shared" si="328"/>
        <v>105.7</v>
      </c>
      <c r="CF100" s="1408">
        <f t="shared" si="328"/>
        <v>103.1</v>
      </c>
      <c r="CG100" s="1408">
        <f t="shared" si="328"/>
        <v>380.99999999999994</v>
      </c>
      <c r="CH100" s="1408">
        <f t="shared" si="328"/>
        <v>307.8</v>
      </c>
      <c r="CI100" s="1408">
        <f t="shared" si="328"/>
        <v>86.800000000000011</v>
      </c>
      <c r="CJ100" s="1408">
        <f t="shared" si="328"/>
        <v>159.79999999999998</v>
      </c>
      <c r="CK100" s="1408">
        <f t="shared" si="328"/>
        <v>159.80000000000001</v>
      </c>
      <c r="CL100" s="1408">
        <f t="shared" si="328"/>
        <v>323.70000000000005</v>
      </c>
      <c r="CM100" s="1408">
        <f t="shared" si="328"/>
        <v>159.6</v>
      </c>
      <c r="CN100" s="1408">
        <f t="shared" si="328"/>
        <v>26</v>
      </c>
      <c r="CO100" s="1408">
        <f t="shared" ref="CO100:CP100" si="329">CO18+CO19+CO34+CO44+CO54+CO59+CO60+CO61-CO79+CO84+CO82-CO63-CO80</f>
        <v>0</v>
      </c>
      <c r="CP100" s="1409">
        <f t="shared" si="329"/>
        <v>0</v>
      </c>
      <c r="CQ100" s="22"/>
    </row>
    <row r="101" spans="1:95" ht="14.25" hidden="1" customHeight="1" outlineLevel="1">
      <c r="A101" s="502"/>
      <c r="B101" s="471" t="s">
        <v>72</v>
      </c>
      <c r="C101" s="412"/>
      <c r="D101" s="611">
        <f t="shared" ref="D101:AI101" si="330">+D93</f>
        <v>-2.8469999999999995</v>
      </c>
      <c r="E101" s="603">
        <f t="shared" si="330"/>
        <v>-16.424999999999997</v>
      </c>
      <c r="F101" s="603">
        <f t="shared" si="330"/>
        <v>0.17519999999999994</v>
      </c>
      <c r="G101" s="603">
        <f t="shared" si="330"/>
        <v>-13.665599999999998</v>
      </c>
      <c r="H101" s="611">
        <f t="shared" si="330"/>
        <v>-16.227200000000003</v>
      </c>
      <c r="I101" s="603">
        <f t="shared" si="330"/>
        <v>-9.9616000000000007</v>
      </c>
      <c r="J101" s="603">
        <f t="shared" si="330"/>
        <v>-1.056</v>
      </c>
      <c r="K101" s="603">
        <f t="shared" si="330"/>
        <v>-35.8688</v>
      </c>
      <c r="L101" s="611">
        <f t="shared" si="330"/>
        <v>-0.38390000000000002</v>
      </c>
      <c r="M101" s="603">
        <f t="shared" si="330"/>
        <v>-0.97719999999999985</v>
      </c>
      <c r="N101" s="603">
        <f t="shared" si="330"/>
        <v>-6.9800000000000001E-2</v>
      </c>
      <c r="O101" s="603">
        <f t="shared" si="330"/>
        <v>0.2792</v>
      </c>
      <c r="P101" s="611">
        <f t="shared" si="330"/>
        <v>0</v>
      </c>
      <c r="Q101" s="603">
        <f t="shared" si="330"/>
        <v>0</v>
      </c>
      <c r="R101" s="603">
        <f t="shared" si="330"/>
        <v>0</v>
      </c>
      <c r="S101" s="603">
        <f t="shared" si="330"/>
        <v>0</v>
      </c>
      <c r="T101" s="611">
        <f t="shared" si="330"/>
        <v>-3.4999999999999996E-2</v>
      </c>
      <c r="U101" s="603">
        <f t="shared" si="330"/>
        <v>0</v>
      </c>
      <c r="V101" s="603">
        <f t="shared" si="330"/>
        <v>-0.7</v>
      </c>
      <c r="W101" s="603">
        <f t="shared" si="330"/>
        <v>3.835</v>
      </c>
      <c r="X101" s="611">
        <f t="shared" si="330"/>
        <v>1.5</v>
      </c>
      <c r="Y101" s="603">
        <f t="shared" si="330"/>
        <v>-17.5</v>
      </c>
      <c r="Z101" s="603">
        <f t="shared" si="330"/>
        <v>2.6</v>
      </c>
      <c r="AA101" s="603">
        <f t="shared" si="330"/>
        <v>0.4</v>
      </c>
      <c r="AB101" s="611">
        <f t="shared" si="330"/>
        <v>2.2999999999999998</v>
      </c>
      <c r="AC101" s="603">
        <f t="shared" si="330"/>
        <v>-2.2999999999999998</v>
      </c>
      <c r="AD101" s="603">
        <f t="shared" si="330"/>
        <v>1</v>
      </c>
      <c r="AE101" s="603">
        <f t="shared" si="330"/>
        <v>-1.8</v>
      </c>
      <c r="AF101" s="611">
        <f t="shared" si="330"/>
        <v>-1.7</v>
      </c>
      <c r="AG101" s="603">
        <f t="shared" si="330"/>
        <v>1.4</v>
      </c>
      <c r="AH101" s="603">
        <f t="shared" si="330"/>
        <v>1.3</v>
      </c>
      <c r="AI101" s="603">
        <f t="shared" si="330"/>
        <v>1.1000000000000001</v>
      </c>
      <c r="AJ101" s="611">
        <f t="shared" ref="AJ101:AQ101" si="331">+AJ93</f>
        <v>-1.3</v>
      </c>
      <c r="AK101" s="603">
        <f t="shared" si="331"/>
        <v>-5</v>
      </c>
      <c r="AL101" s="603">
        <f t="shared" si="331"/>
        <v>11.9</v>
      </c>
      <c r="AM101" s="603">
        <f t="shared" si="331"/>
        <v>-2.7</v>
      </c>
      <c r="AN101" s="611">
        <f t="shared" si="331"/>
        <v>-0.5</v>
      </c>
      <c r="AO101" s="603">
        <f t="shared" si="331"/>
        <v>0.3</v>
      </c>
      <c r="AP101" s="603">
        <f t="shared" si="331"/>
        <v>2.2999999999999998</v>
      </c>
      <c r="AQ101" s="603">
        <f t="shared" si="331"/>
        <v>-6.3</v>
      </c>
      <c r="AR101" s="611">
        <f t="shared" ref="AR101:AW101" si="332">+AR93</f>
        <v>-0.1</v>
      </c>
      <c r="AS101" s="603">
        <f t="shared" si="332"/>
        <v>-7.5</v>
      </c>
      <c r="AT101" s="603">
        <f t="shared" si="332"/>
        <v>1.7</v>
      </c>
      <c r="AU101" s="603">
        <f t="shared" si="332"/>
        <v>19.899999999999999</v>
      </c>
      <c r="AV101" s="611">
        <f t="shared" si="332"/>
        <v>0.9</v>
      </c>
      <c r="AW101" s="603">
        <f t="shared" si="332"/>
        <v>-19.5</v>
      </c>
      <c r="AX101" s="603">
        <f t="shared" ref="AX101:BD101" si="333">+AX93</f>
        <v>-0.6</v>
      </c>
      <c r="AY101" s="604">
        <f t="shared" si="333"/>
        <v>0.9</v>
      </c>
      <c r="AZ101" s="611">
        <f t="shared" si="333"/>
        <v>2</v>
      </c>
      <c r="BA101" s="603">
        <f t="shared" si="333"/>
        <v>1.8</v>
      </c>
      <c r="BB101" s="603">
        <f t="shared" si="333"/>
        <v>6.3</v>
      </c>
      <c r="BC101" s="604">
        <f t="shared" si="333"/>
        <v>-19.2</v>
      </c>
      <c r="BD101" s="611">
        <f t="shared" si="333"/>
        <v>-0.1</v>
      </c>
      <c r="BE101" s="603">
        <f>+BE93</f>
        <v>0.1</v>
      </c>
      <c r="BF101" s="603">
        <f t="shared" ref="BF101:BH101" si="334">+BF93</f>
        <v>70.2</v>
      </c>
      <c r="BG101" s="604">
        <f t="shared" si="334"/>
        <v>-101.7</v>
      </c>
      <c r="BH101" s="611">
        <f t="shared" si="334"/>
        <v>17.899999999999999</v>
      </c>
      <c r="BI101" s="1412">
        <f>+BI93</f>
        <v>31.7</v>
      </c>
      <c r="BJ101" s="1412">
        <f>+BJ93</f>
        <v>46</v>
      </c>
      <c r="BK101" s="1413">
        <f t="shared" ref="BK101" si="335">+BK93</f>
        <v>-428.9</v>
      </c>
      <c r="BL101" s="474">
        <f t="shared" ref="BL101:BS101" si="336">-BL91*BL100</f>
        <v>-2.6</v>
      </c>
      <c r="BM101" s="472">
        <f t="shared" si="336"/>
        <v>0</v>
      </c>
      <c r="BN101" s="472">
        <f t="shared" si="336"/>
        <v>0</v>
      </c>
      <c r="BO101" s="473">
        <f t="shared" si="336"/>
        <v>0</v>
      </c>
      <c r="BP101" s="474">
        <f t="shared" si="336"/>
        <v>0</v>
      </c>
      <c r="BQ101" s="472">
        <f t="shared" si="336"/>
        <v>0</v>
      </c>
      <c r="BR101" s="472">
        <f t="shared" si="336"/>
        <v>0</v>
      </c>
      <c r="BS101" s="473">
        <f t="shared" si="336"/>
        <v>0</v>
      </c>
      <c r="BT101" s="474">
        <f t="shared" ref="BT101:BW101" si="337">-BT91*BT100</f>
        <v>0</v>
      </c>
      <c r="BU101" s="472">
        <f t="shared" si="337"/>
        <v>0</v>
      </c>
      <c r="BV101" s="472">
        <f t="shared" si="337"/>
        <v>0</v>
      </c>
      <c r="BW101" s="473">
        <f t="shared" si="337"/>
        <v>0</v>
      </c>
      <c r="BX101" s="476"/>
      <c r="BY101" s="603">
        <f t="shared" ref="BY101:CJ101" si="338">+BY93</f>
        <v>-32.7624</v>
      </c>
      <c r="BZ101" s="603">
        <f t="shared" si="338"/>
        <v>-63.113600000000005</v>
      </c>
      <c r="CA101" s="603">
        <f t="shared" si="338"/>
        <v>-1.1516999999999999</v>
      </c>
      <c r="CB101" s="603">
        <f t="shared" si="338"/>
        <v>0</v>
      </c>
      <c r="CC101" s="603">
        <f t="shared" si="338"/>
        <v>3.1</v>
      </c>
      <c r="CD101" s="603">
        <f t="shared" si="338"/>
        <v>-13</v>
      </c>
      <c r="CE101" s="1412">
        <f t="shared" si="338"/>
        <v>-0.8</v>
      </c>
      <c r="CF101" s="1412">
        <f t="shared" si="338"/>
        <v>2.1</v>
      </c>
      <c r="CG101" s="1412">
        <f t="shared" si="338"/>
        <v>2.9000000000000004</v>
      </c>
      <c r="CH101" s="1412">
        <f t="shared" si="338"/>
        <v>-4.2</v>
      </c>
      <c r="CI101" s="1412">
        <f t="shared" si="338"/>
        <v>14</v>
      </c>
      <c r="CJ101" s="1412">
        <f t="shared" si="338"/>
        <v>-18.300000000000004</v>
      </c>
      <c r="CK101" s="1412">
        <f t="shared" ref="CK101:CP101" si="339">+CK93</f>
        <v>-9.1</v>
      </c>
      <c r="CL101" s="1412">
        <f t="shared" si="339"/>
        <v>-31.5</v>
      </c>
      <c r="CM101" s="1412">
        <f t="shared" si="339"/>
        <v>-333.29999999999995</v>
      </c>
      <c r="CN101" s="1412">
        <f t="shared" si="339"/>
        <v>-2.6</v>
      </c>
      <c r="CO101" s="1412">
        <f t="shared" si="339"/>
        <v>0</v>
      </c>
      <c r="CP101" s="1413">
        <f t="shared" si="339"/>
        <v>0</v>
      </c>
      <c r="CQ101" s="1471"/>
    </row>
    <row r="102" spans="1:95" ht="14.25" customHeight="1" collapsed="1">
      <c r="A102" s="542"/>
      <c r="B102" s="463" t="s">
        <v>73</v>
      </c>
      <c r="C102" s="543"/>
      <c r="D102" s="608">
        <f t="shared" ref="D102:AI102" si="340">+SUM(D100:D101)</f>
        <v>3.6530000000000005</v>
      </c>
      <c r="E102" s="608">
        <f t="shared" si="340"/>
        <v>21.075000000000003</v>
      </c>
      <c r="F102" s="608">
        <f t="shared" si="340"/>
        <v>-0.22479999999999997</v>
      </c>
      <c r="G102" s="608">
        <f t="shared" si="340"/>
        <v>17.534400000000002</v>
      </c>
      <c r="H102" s="636">
        <f t="shared" si="340"/>
        <v>29.872799999999998</v>
      </c>
      <c r="I102" s="608">
        <f t="shared" si="340"/>
        <v>18.338399999999996</v>
      </c>
      <c r="J102" s="608">
        <f t="shared" si="340"/>
        <v>1.944</v>
      </c>
      <c r="K102" s="608">
        <f t="shared" si="340"/>
        <v>66.031199999999984</v>
      </c>
      <c r="L102" s="636">
        <f t="shared" si="340"/>
        <v>0.71610000000000007</v>
      </c>
      <c r="M102" s="608">
        <f t="shared" si="340"/>
        <v>1.8228</v>
      </c>
      <c r="N102" s="608">
        <f t="shared" si="340"/>
        <v>0.13020000000000001</v>
      </c>
      <c r="O102" s="608">
        <f t="shared" si="340"/>
        <v>-0.52080000000000004</v>
      </c>
      <c r="P102" s="636">
        <f t="shared" si="340"/>
        <v>2.5</v>
      </c>
      <c r="Q102" s="608">
        <f t="shared" si="340"/>
        <v>6.3999999999999995</v>
      </c>
      <c r="R102" s="608">
        <f t="shared" si="340"/>
        <v>3.5999999999999996</v>
      </c>
      <c r="S102" s="608">
        <f t="shared" si="340"/>
        <v>-6.3999999999999995</v>
      </c>
      <c r="T102" s="636">
        <f t="shared" si="340"/>
        <v>3.3649999999999998</v>
      </c>
      <c r="U102" s="608">
        <f t="shared" si="340"/>
        <v>3.5000000000000004</v>
      </c>
      <c r="V102" s="608">
        <f t="shared" si="340"/>
        <v>5.3999999999999995</v>
      </c>
      <c r="W102" s="608">
        <f t="shared" si="340"/>
        <v>12.835000000000001</v>
      </c>
      <c r="X102" s="636">
        <f t="shared" si="340"/>
        <v>54.399999999999991</v>
      </c>
      <c r="Y102" s="608">
        <f t="shared" si="340"/>
        <v>60.900000000000006</v>
      </c>
      <c r="Z102" s="608">
        <f t="shared" si="340"/>
        <v>49.800000000000004</v>
      </c>
      <c r="AA102" s="608">
        <f t="shared" si="340"/>
        <v>572.6</v>
      </c>
      <c r="AB102" s="636">
        <f t="shared" si="340"/>
        <v>34.9</v>
      </c>
      <c r="AC102" s="608">
        <f t="shared" si="340"/>
        <v>25.599999999999998</v>
      </c>
      <c r="AD102" s="608">
        <f t="shared" si="340"/>
        <v>27.500000000000004</v>
      </c>
      <c r="AE102" s="608">
        <f t="shared" si="340"/>
        <v>16.900000000000002</v>
      </c>
      <c r="AF102" s="636">
        <f t="shared" si="340"/>
        <v>22.3</v>
      </c>
      <c r="AG102" s="608">
        <f t="shared" si="340"/>
        <v>24.7</v>
      </c>
      <c r="AH102" s="608">
        <f t="shared" si="340"/>
        <v>20.000000000000004</v>
      </c>
      <c r="AI102" s="608">
        <f t="shared" si="340"/>
        <v>38.200000000000003</v>
      </c>
      <c r="AJ102" s="636">
        <f t="shared" ref="AJ102:AV102" si="341">+SUM(AJ100:AJ101)</f>
        <v>83.40000000000002</v>
      </c>
      <c r="AK102" s="608">
        <f t="shared" si="341"/>
        <v>73.400000000000006</v>
      </c>
      <c r="AL102" s="608">
        <f t="shared" si="341"/>
        <v>159.90000000000003</v>
      </c>
      <c r="AM102" s="608">
        <f t="shared" si="341"/>
        <v>67.2</v>
      </c>
      <c r="AN102" s="636">
        <f t="shared" si="341"/>
        <v>29.3</v>
      </c>
      <c r="AO102" s="608">
        <f t="shared" si="341"/>
        <v>58.099999999999994</v>
      </c>
      <c r="AP102" s="608">
        <f t="shared" si="341"/>
        <v>40.999999999999993</v>
      </c>
      <c r="AQ102" s="607">
        <f t="shared" si="341"/>
        <v>175.19999999999996</v>
      </c>
      <c r="AR102" s="636">
        <f t="shared" si="341"/>
        <v>22.1</v>
      </c>
      <c r="AS102" s="608">
        <f t="shared" si="341"/>
        <v>9.5</v>
      </c>
      <c r="AT102" s="608">
        <f t="shared" si="341"/>
        <v>23.599999999999998</v>
      </c>
      <c r="AU102" s="608">
        <f t="shared" si="341"/>
        <v>45.6</v>
      </c>
      <c r="AV102" s="636">
        <f t="shared" si="341"/>
        <v>16.8</v>
      </c>
      <c r="AW102" s="608">
        <f t="shared" ref="AW102:BD102" si="342">+SUM(AW100:AW101)</f>
        <v>1.6999999999999993</v>
      </c>
      <c r="AX102" s="608">
        <f t="shared" si="342"/>
        <v>51.599999999999994</v>
      </c>
      <c r="AY102" s="607">
        <f t="shared" si="342"/>
        <v>71.400000000000006</v>
      </c>
      <c r="AZ102" s="636">
        <f t="shared" si="342"/>
        <v>31.999999999999996</v>
      </c>
      <c r="BA102" s="608">
        <f>+SUM(BA100:BA101)</f>
        <v>44.7</v>
      </c>
      <c r="BB102" s="608">
        <f>+SUM(BB100:BB101)</f>
        <v>49.199999999999996</v>
      </c>
      <c r="BC102" s="607">
        <f t="shared" si="342"/>
        <v>24.8</v>
      </c>
      <c r="BD102" s="636">
        <f t="shared" si="342"/>
        <v>34.299999999999997</v>
      </c>
      <c r="BE102" s="595">
        <f>+SUM(BE100:BE101)</f>
        <v>63.4</v>
      </c>
      <c r="BF102" s="608">
        <f>+SUM(BF100:BF101)</f>
        <v>182.39999999999998</v>
      </c>
      <c r="BG102" s="607">
        <f t="shared" ref="BG102:BH102" si="343">+SUM(BG100:BG101)</f>
        <v>12.099999999999994</v>
      </c>
      <c r="BH102" s="636">
        <f t="shared" si="343"/>
        <v>36.099999999999994</v>
      </c>
      <c r="BI102" s="1408">
        <f>+SUM(BI100:BI101)</f>
        <v>59.6</v>
      </c>
      <c r="BJ102" s="1408">
        <f t="shared" ref="BJ102:BO102" si="344">+SUM(BJ100:BJ101)</f>
        <v>93.200000000000017</v>
      </c>
      <c r="BK102" s="607">
        <f t="shared" si="344"/>
        <v>-362.59999999999997</v>
      </c>
      <c r="BL102" s="1418">
        <f t="shared" si="344"/>
        <v>23.4</v>
      </c>
      <c r="BM102" s="1408">
        <f t="shared" si="344"/>
        <v>0</v>
      </c>
      <c r="BN102" s="1408">
        <f t="shared" si="344"/>
        <v>0</v>
      </c>
      <c r="BO102" s="1409">
        <f t="shared" si="344"/>
        <v>0</v>
      </c>
      <c r="BP102" s="1418">
        <f t="shared" ref="BP102:BS102" si="345">+SUM(BP100:BP101)</f>
        <v>0</v>
      </c>
      <c r="BQ102" s="1408">
        <f t="shared" si="345"/>
        <v>0</v>
      </c>
      <c r="BR102" s="1408">
        <f t="shared" si="345"/>
        <v>0</v>
      </c>
      <c r="BS102" s="1409">
        <f t="shared" si="345"/>
        <v>0</v>
      </c>
      <c r="BT102" s="1418">
        <f t="shared" ref="BT102:BW102" si="346">+SUM(BT100:BT101)</f>
        <v>0</v>
      </c>
      <c r="BU102" s="1408">
        <f t="shared" si="346"/>
        <v>0</v>
      </c>
      <c r="BV102" s="1408">
        <f t="shared" si="346"/>
        <v>0</v>
      </c>
      <c r="BW102" s="1409">
        <f t="shared" si="346"/>
        <v>0</v>
      </c>
      <c r="BX102" s="1190"/>
      <c r="BY102" s="595">
        <f t="shared" ref="BY102:CH102" si="347">+SUM(BY100:BY101)</f>
        <v>42.037600000000012</v>
      </c>
      <c r="BZ102" s="595">
        <f t="shared" si="347"/>
        <v>116.18639999999998</v>
      </c>
      <c r="CA102" s="595">
        <f t="shared" si="347"/>
        <v>2.1482999999999999</v>
      </c>
      <c r="CB102" s="595">
        <f t="shared" si="347"/>
        <v>6.1</v>
      </c>
      <c r="CC102" s="595">
        <f t="shared" si="347"/>
        <v>25.1</v>
      </c>
      <c r="CD102" s="595">
        <f t="shared" si="347"/>
        <v>737.7</v>
      </c>
      <c r="CE102" s="1408">
        <f t="shared" si="347"/>
        <v>104.9</v>
      </c>
      <c r="CF102" s="1408">
        <f t="shared" si="347"/>
        <v>105.19999999999999</v>
      </c>
      <c r="CG102" s="1408">
        <f t="shared" si="347"/>
        <v>383.89999999999992</v>
      </c>
      <c r="CH102" s="1408">
        <f t="shared" si="347"/>
        <v>303.60000000000002</v>
      </c>
      <c r="CI102" s="1408">
        <f t="shared" ref="CI102:CN102" si="348">+SUM(CI100:CI101)</f>
        <v>100.80000000000001</v>
      </c>
      <c r="CJ102" s="1408">
        <f t="shared" si="348"/>
        <v>141.49999999999997</v>
      </c>
      <c r="CK102" s="1408">
        <f t="shared" si="348"/>
        <v>150.70000000000002</v>
      </c>
      <c r="CL102" s="1408">
        <f t="shared" si="348"/>
        <v>292.20000000000005</v>
      </c>
      <c r="CM102" s="1408">
        <f t="shared" si="348"/>
        <v>-173.69999999999996</v>
      </c>
      <c r="CN102" s="1408">
        <f t="shared" si="348"/>
        <v>23.4</v>
      </c>
      <c r="CO102" s="1408">
        <f t="shared" ref="CO102:CP102" si="349">+SUM(CO100:CO101)</f>
        <v>0</v>
      </c>
      <c r="CP102" s="1409">
        <f t="shared" si="349"/>
        <v>0</v>
      </c>
      <c r="CQ102" s="1472"/>
    </row>
    <row r="103" spans="1:95" ht="14.25" customHeight="1">
      <c r="A103" s="542"/>
      <c r="B103" s="463"/>
      <c r="C103" s="543"/>
      <c r="D103" s="608"/>
      <c r="E103" s="608"/>
      <c r="F103" s="608"/>
      <c r="G103" s="608"/>
      <c r="H103" s="636"/>
      <c r="I103" s="608"/>
      <c r="J103" s="608"/>
      <c r="K103" s="608"/>
      <c r="L103" s="636"/>
      <c r="M103" s="608"/>
      <c r="N103" s="608"/>
      <c r="O103" s="608"/>
      <c r="P103" s="636"/>
      <c r="Q103" s="608"/>
      <c r="R103" s="608"/>
      <c r="S103" s="608"/>
      <c r="T103" s="636"/>
      <c r="U103" s="608"/>
      <c r="V103" s="608"/>
      <c r="W103" s="608"/>
      <c r="X103" s="636"/>
      <c r="Y103" s="608"/>
      <c r="Z103" s="608"/>
      <c r="AA103" s="608"/>
      <c r="AB103" s="636"/>
      <c r="AC103" s="608"/>
      <c r="AD103" s="608"/>
      <c r="AE103" s="608"/>
      <c r="AF103" s="636"/>
      <c r="AG103" s="608"/>
      <c r="AH103" s="608"/>
      <c r="AI103" s="608"/>
      <c r="AJ103" s="636"/>
      <c r="AK103" s="608"/>
      <c r="AL103" s="608"/>
      <c r="AM103" s="608"/>
      <c r="AN103" s="636"/>
      <c r="AO103" s="608"/>
      <c r="AP103" s="608"/>
      <c r="AQ103" s="607"/>
      <c r="AR103" s="636"/>
      <c r="AS103" s="608"/>
      <c r="AT103" s="608"/>
      <c r="AU103" s="608"/>
      <c r="AV103" s="636"/>
      <c r="AW103" s="608"/>
      <c r="AX103" s="608"/>
      <c r="AY103" s="607"/>
      <c r="AZ103" s="636"/>
      <c r="BA103" s="608"/>
      <c r="BB103" s="608"/>
      <c r="BC103" s="607"/>
      <c r="BD103" s="636"/>
      <c r="BE103" s="595"/>
      <c r="BF103" s="608"/>
      <c r="BG103" s="607"/>
      <c r="BH103" s="627"/>
      <c r="BI103" s="1408"/>
      <c r="BJ103" s="1408"/>
      <c r="BK103" s="607"/>
      <c r="BL103" s="1418"/>
      <c r="BM103" s="1408"/>
      <c r="BN103" s="1408"/>
      <c r="BO103" s="1409"/>
      <c r="BP103" s="1418"/>
      <c r="BQ103" s="1408"/>
      <c r="BR103" s="1408"/>
      <c r="BS103" s="1409"/>
      <c r="BT103" s="1418"/>
      <c r="BU103" s="1408"/>
      <c r="BV103" s="1408"/>
      <c r="BW103" s="1409"/>
      <c r="BX103" s="1190"/>
      <c r="BY103" s="595"/>
      <c r="BZ103" s="595"/>
      <c r="CA103" s="595"/>
      <c r="CB103" s="595"/>
      <c r="CC103" s="595"/>
      <c r="CD103" s="595"/>
      <c r="CE103" s="1408"/>
      <c r="CF103" s="1408"/>
      <c r="CG103" s="1408"/>
      <c r="CH103" s="1408"/>
      <c r="CI103" s="1408"/>
      <c r="CJ103" s="1408"/>
      <c r="CK103" s="1408"/>
      <c r="CL103" s="1408"/>
      <c r="CM103" s="1408"/>
      <c r="CN103" s="1408"/>
      <c r="CO103" s="1408"/>
      <c r="CP103" s="1409"/>
      <c r="CQ103" s="1472"/>
    </row>
    <row r="104" spans="1:95" ht="14.25" customHeight="1">
      <c r="A104" s="9"/>
      <c r="B104" s="574" t="s">
        <v>348</v>
      </c>
      <c r="C104" s="33"/>
      <c r="D104" s="593">
        <v>-1.2</v>
      </c>
      <c r="E104" s="593">
        <v>1.1000000000000001</v>
      </c>
      <c r="F104" s="593">
        <v>-0.8</v>
      </c>
      <c r="G104" s="593">
        <v>-0.3</v>
      </c>
      <c r="H104" s="612">
        <v>-1.1000000000000001</v>
      </c>
      <c r="I104" s="593">
        <v>-0.4</v>
      </c>
      <c r="J104" s="593">
        <v>-0.4</v>
      </c>
      <c r="K104" s="593">
        <v>-1.4</v>
      </c>
      <c r="L104" s="612">
        <v>-1</v>
      </c>
      <c r="M104" s="593">
        <v>-1</v>
      </c>
      <c r="N104" s="593">
        <v>-1</v>
      </c>
      <c r="O104" s="593">
        <v>-0.6</v>
      </c>
      <c r="P104" s="612">
        <v>-0.5</v>
      </c>
      <c r="Q104" s="593">
        <v>-0.9</v>
      </c>
      <c r="R104" s="593">
        <v>-0.5</v>
      </c>
      <c r="S104" s="593">
        <v>-1.3</v>
      </c>
      <c r="T104" s="612">
        <v>-0.6</v>
      </c>
      <c r="U104" s="593">
        <v>-0.3</v>
      </c>
      <c r="V104" s="593">
        <v>-0.7</v>
      </c>
      <c r="W104" s="593">
        <v>0.2</v>
      </c>
      <c r="X104" s="612">
        <v>0.3</v>
      </c>
      <c r="Y104" s="593">
        <v>0.7</v>
      </c>
      <c r="Z104" s="593">
        <v>-0.4</v>
      </c>
      <c r="AA104" s="593">
        <v>-0.9</v>
      </c>
      <c r="AB104" s="612">
        <v>-0.4</v>
      </c>
      <c r="AC104" s="593">
        <v>-0.8</v>
      </c>
      <c r="AD104" s="593">
        <v>-0.7</v>
      </c>
      <c r="AE104" s="593">
        <v>-0.4</v>
      </c>
      <c r="AF104" s="612">
        <v>-0.7</v>
      </c>
      <c r="AG104" s="593">
        <v>-0.9</v>
      </c>
      <c r="AH104" s="593">
        <v>-0.6</v>
      </c>
      <c r="AI104" s="593">
        <v>-0.2</v>
      </c>
      <c r="AJ104" s="612">
        <v>-0.7</v>
      </c>
      <c r="AK104" s="593">
        <v>-0.8</v>
      </c>
      <c r="AL104" s="593">
        <v>-0.4</v>
      </c>
      <c r="AM104" s="593">
        <v>-1.4</v>
      </c>
      <c r="AN104" s="612">
        <v>-0.8</v>
      </c>
      <c r="AO104" s="593">
        <v>-1.3</v>
      </c>
      <c r="AP104" s="593">
        <v>-0.9</v>
      </c>
      <c r="AQ104" s="594">
        <v>-1.3</v>
      </c>
      <c r="AR104" s="612">
        <v>-0.7</v>
      </c>
      <c r="AS104" s="593">
        <v>-1</v>
      </c>
      <c r="AT104" s="593">
        <v>-1</v>
      </c>
      <c r="AU104" s="593">
        <v>-0.5</v>
      </c>
      <c r="AV104" s="612">
        <v>-0.2</v>
      </c>
      <c r="AW104" s="593">
        <v>-1</v>
      </c>
      <c r="AX104" s="593">
        <v>-0.4</v>
      </c>
      <c r="AY104" s="594">
        <v>-0.8</v>
      </c>
      <c r="AZ104" s="612">
        <v>-0.7</v>
      </c>
      <c r="BA104" s="593">
        <v>-0.7</v>
      </c>
      <c r="BB104" s="593">
        <v>-0.5</v>
      </c>
      <c r="BC104" s="594">
        <v>-0.9</v>
      </c>
      <c r="BD104" s="612">
        <v>-0.4</v>
      </c>
      <c r="BE104" s="593">
        <v>-0.7</v>
      </c>
      <c r="BF104" s="593">
        <v>-0.5</v>
      </c>
      <c r="BG104" s="594">
        <v>-0.8</v>
      </c>
      <c r="BH104" s="612">
        <v>-0.5</v>
      </c>
      <c r="BI104" s="1406">
        <v>-0.5</v>
      </c>
      <c r="BJ104" s="1406">
        <v>-0.2</v>
      </c>
      <c r="BK104" s="1407">
        <v>-1.1000000000000001</v>
      </c>
      <c r="BL104" s="1418">
        <f t="shared" ref="BL104:BS104" si="350">BK104</f>
        <v>-1.1000000000000001</v>
      </c>
      <c r="BM104" s="1408">
        <f t="shared" si="350"/>
        <v>-1.1000000000000001</v>
      </c>
      <c r="BN104" s="1408">
        <f t="shared" si="350"/>
        <v>-1.1000000000000001</v>
      </c>
      <c r="BO104" s="1409">
        <f t="shared" si="350"/>
        <v>-1.1000000000000001</v>
      </c>
      <c r="BP104" s="1418">
        <f t="shared" si="350"/>
        <v>-1.1000000000000001</v>
      </c>
      <c r="BQ104" s="1408">
        <f t="shared" si="350"/>
        <v>-1.1000000000000001</v>
      </c>
      <c r="BR104" s="1408">
        <f t="shared" si="350"/>
        <v>-1.1000000000000001</v>
      </c>
      <c r="BS104" s="1409">
        <f t="shared" si="350"/>
        <v>-1.1000000000000001</v>
      </c>
      <c r="BT104" s="1418">
        <f t="shared" ref="BT104" si="351">BS104</f>
        <v>-1.1000000000000001</v>
      </c>
      <c r="BU104" s="1408">
        <f t="shared" ref="BU104" si="352">BT104</f>
        <v>-1.1000000000000001</v>
      </c>
      <c r="BV104" s="1408">
        <f t="shared" ref="BV104" si="353">BU104</f>
        <v>-1.1000000000000001</v>
      </c>
      <c r="BW104" s="1409">
        <f t="shared" ref="BW104" si="354">BV104</f>
        <v>-1.1000000000000001</v>
      </c>
      <c r="BX104" s="211"/>
      <c r="BY104" s="595">
        <f>SUM(D104:G104)</f>
        <v>-1.2</v>
      </c>
      <c r="BZ104" s="595">
        <f>SUM(H104:K104)</f>
        <v>-3.3</v>
      </c>
      <c r="CA104" s="595">
        <f>SUM(L104:O104)</f>
        <v>-3.6</v>
      </c>
      <c r="CB104" s="595">
        <f>SUM(P104:S104)</f>
        <v>-3.2</v>
      </c>
      <c r="CC104" s="595">
        <f>SUM(T104:W104)</f>
        <v>-1.4</v>
      </c>
      <c r="CD104" s="595">
        <f>SUM(X104:AA104)</f>
        <v>-0.30000000000000004</v>
      </c>
      <c r="CE104" s="1408">
        <f>SUM(AB104:AE104)</f>
        <v>-2.3000000000000003</v>
      </c>
      <c r="CF104" s="1408">
        <f>SUM(AF104:AI104)</f>
        <v>-2.4000000000000004</v>
      </c>
      <c r="CG104" s="1408">
        <f>SUM(AJ104:AM104)</f>
        <v>-3.3</v>
      </c>
      <c r="CH104" s="1408">
        <f>SUM(AN104:AQ104)</f>
        <v>-4.3</v>
      </c>
      <c r="CI104" s="1408">
        <f>SUM(AR104:AU104)</f>
        <v>-3.2</v>
      </c>
      <c r="CJ104" s="1408">
        <f>SUM(AV104:AY104)</f>
        <v>-2.4000000000000004</v>
      </c>
      <c r="CK104" s="1408">
        <f>SUM(AZ104:BC104)</f>
        <v>-2.8</v>
      </c>
      <c r="CL104" s="1408">
        <f>SUM(BD104:BG104)</f>
        <v>-2.4000000000000004</v>
      </c>
      <c r="CM104" s="1408">
        <f>SUM(BH104:BK104)</f>
        <v>-2.2999999999999998</v>
      </c>
      <c r="CN104" s="1408">
        <f>SUM(BL104:BO104)</f>
        <v>-4.4000000000000004</v>
      </c>
      <c r="CO104" s="1408">
        <f>SUM(BP104:BS104)</f>
        <v>-4.4000000000000004</v>
      </c>
      <c r="CP104" s="1409">
        <f>SUM(BT104:BW104)</f>
        <v>-4.4000000000000004</v>
      </c>
      <c r="CQ104" s="22"/>
    </row>
    <row r="105" spans="1:95" ht="14.25" customHeight="1">
      <c r="A105" s="9"/>
      <c r="B105" s="459"/>
      <c r="C105" s="33"/>
      <c r="D105" s="34"/>
      <c r="E105" s="34"/>
      <c r="F105" s="585"/>
      <c r="G105" s="585"/>
      <c r="H105" s="36"/>
      <c r="I105" s="34"/>
      <c r="J105" s="585"/>
      <c r="K105" s="585"/>
      <c r="L105" s="36"/>
      <c r="M105" s="34"/>
      <c r="N105" s="585"/>
      <c r="O105" s="585"/>
      <c r="P105" s="36"/>
      <c r="Q105" s="34"/>
      <c r="R105" s="585"/>
      <c r="S105" s="585"/>
      <c r="T105" s="36"/>
      <c r="U105" s="34"/>
      <c r="V105" s="585"/>
      <c r="W105" s="585"/>
      <c r="X105" s="36"/>
      <c r="Y105" s="34"/>
      <c r="Z105" s="585"/>
      <c r="AA105" s="585"/>
      <c r="AB105" s="36"/>
      <c r="AC105" s="34"/>
      <c r="AD105" s="585"/>
      <c r="AE105" s="585"/>
      <c r="AF105" s="36"/>
      <c r="AG105" s="34"/>
      <c r="AH105" s="585"/>
      <c r="AI105" s="585"/>
      <c r="AJ105" s="36"/>
      <c r="AK105" s="34"/>
      <c r="AL105" s="585"/>
      <c r="AM105" s="585"/>
      <c r="AN105" s="36"/>
      <c r="AO105" s="34"/>
      <c r="AP105" s="585"/>
      <c r="AQ105" s="586"/>
      <c r="AR105" s="36"/>
      <c r="AS105" s="34"/>
      <c r="AT105" s="585"/>
      <c r="AU105" s="585"/>
      <c r="AV105" s="36"/>
      <c r="AW105" s="34"/>
      <c r="AX105" s="585"/>
      <c r="AY105" s="586"/>
      <c r="AZ105" s="36"/>
      <c r="BA105" s="34"/>
      <c r="BB105" s="585"/>
      <c r="BC105" s="586"/>
      <c r="BD105" s="36"/>
      <c r="BE105" s="34"/>
      <c r="BF105" s="34"/>
      <c r="BG105" s="586"/>
      <c r="BH105" s="36"/>
      <c r="BI105" s="1393"/>
      <c r="BJ105" s="1393"/>
      <c r="BK105" s="586"/>
      <c r="BL105" s="1395"/>
      <c r="BM105" s="1393"/>
      <c r="BN105" s="1393"/>
      <c r="BO105" s="1394"/>
      <c r="BP105" s="1395"/>
      <c r="BQ105" s="1393"/>
      <c r="BR105" s="1393"/>
      <c r="BS105" s="1394"/>
      <c r="BT105" s="1395"/>
      <c r="BU105" s="1393"/>
      <c r="BV105" s="1393"/>
      <c r="BW105" s="1394"/>
      <c r="BX105" s="211"/>
      <c r="BY105" s="585"/>
      <c r="BZ105" s="585"/>
      <c r="CA105" s="585"/>
      <c r="CB105" s="585"/>
      <c r="CC105" s="585"/>
      <c r="CD105" s="585"/>
      <c r="CE105" s="585"/>
      <c r="CF105" s="585"/>
      <c r="CG105" s="585"/>
      <c r="CH105" s="585"/>
      <c r="CI105" s="585"/>
      <c r="CJ105" s="585"/>
      <c r="CK105" s="585"/>
      <c r="CL105" s="585"/>
      <c r="CM105" s="585"/>
      <c r="CN105" s="585"/>
      <c r="CO105" s="585"/>
      <c r="CP105" s="1394"/>
      <c r="CQ105" s="22"/>
    </row>
    <row r="106" spans="1:95" ht="14.25" customHeight="1">
      <c r="A106" s="484"/>
      <c r="B106" s="491" t="s">
        <v>77</v>
      </c>
      <c r="C106" s="487"/>
      <c r="D106" s="600">
        <f t="shared" ref="D106:AP106" si="355">D88-D94+D104</f>
        <v>-25.346999999999994</v>
      </c>
      <c r="E106" s="600">
        <f t="shared" si="355"/>
        <v>-36.425000000000018</v>
      </c>
      <c r="F106" s="600">
        <f t="shared" si="355"/>
        <v>-16.524799999999981</v>
      </c>
      <c r="G106" s="600">
        <f t="shared" si="355"/>
        <v>-24.865599999999962</v>
      </c>
      <c r="H106" s="628">
        <f t="shared" si="355"/>
        <v>-17.727200000000025</v>
      </c>
      <c r="I106" s="600">
        <f t="shared" si="355"/>
        <v>14.838400000000007</v>
      </c>
      <c r="J106" s="600">
        <f t="shared" si="355"/>
        <v>17.643999999999977</v>
      </c>
      <c r="K106" s="600">
        <f t="shared" si="355"/>
        <v>-22.268799999999978</v>
      </c>
      <c r="L106" s="628">
        <f t="shared" si="355"/>
        <v>15.516099999999984</v>
      </c>
      <c r="M106" s="600">
        <f t="shared" si="355"/>
        <v>20.322800000000001</v>
      </c>
      <c r="N106" s="600">
        <f t="shared" si="355"/>
        <v>23.630200000000016</v>
      </c>
      <c r="O106" s="600">
        <f t="shared" si="355"/>
        <v>46.179200000000016</v>
      </c>
      <c r="P106" s="628">
        <f t="shared" si="355"/>
        <v>42.9</v>
      </c>
      <c r="Q106" s="600">
        <f t="shared" si="355"/>
        <v>73.900000000000006</v>
      </c>
      <c r="R106" s="600">
        <f t="shared" si="355"/>
        <v>80.399999999999963</v>
      </c>
      <c r="S106" s="600">
        <f t="shared" si="355"/>
        <v>81.000000000000043</v>
      </c>
      <c r="T106" s="628">
        <f t="shared" si="355"/>
        <v>57.365000000000002</v>
      </c>
      <c r="U106" s="600">
        <f t="shared" si="355"/>
        <v>66.8</v>
      </c>
      <c r="V106" s="600">
        <f t="shared" si="355"/>
        <v>69.19999999999996</v>
      </c>
      <c r="W106" s="600">
        <f t="shared" si="355"/>
        <v>73.935000000000002</v>
      </c>
      <c r="X106" s="628">
        <f t="shared" si="355"/>
        <v>65.399999999999991</v>
      </c>
      <c r="Y106" s="600">
        <f t="shared" si="355"/>
        <v>95.100000000000037</v>
      </c>
      <c r="Z106" s="600">
        <f t="shared" si="355"/>
        <v>100.4</v>
      </c>
      <c r="AA106" s="600">
        <f t="shared" si="355"/>
        <v>47.900000000000013</v>
      </c>
      <c r="AB106" s="628">
        <f t="shared" si="355"/>
        <v>1.0000000000000768</v>
      </c>
      <c r="AC106" s="600">
        <f t="shared" si="355"/>
        <v>22.59999999999998</v>
      </c>
      <c r="AD106" s="600">
        <f t="shared" si="355"/>
        <v>57.399999999999942</v>
      </c>
      <c r="AE106" s="600">
        <f t="shared" si="355"/>
        <v>84.900000000000034</v>
      </c>
      <c r="AF106" s="628">
        <f t="shared" si="355"/>
        <v>85.300000000000054</v>
      </c>
      <c r="AG106" s="600">
        <f t="shared" si="355"/>
        <v>103.4</v>
      </c>
      <c r="AH106" s="600">
        <f t="shared" si="355"/>
        <v>107.80000000000008</v>
      </c>
      <c r="AI106" s="600">
        <f t="shared" si="355"/>
        <v>99.20000000000006</v>
      </c>
      <c r="AJ106" s="628">
        <f t="shared" si="355"/>
        <v>118.89999999999996</v>
      </c>
      <c r="AK106" s="600">
        <f t="shared" si="355"/>
        <v>107.69999999999992</v>
      </c>
      <c r="AL106" s="600">
        <f t="shared" si="355"/>
        <v>110.50000000000001</v>
      </c>
      <c r="AM106" s="600">
        <f t="shared" si="355"/>
        <v>58.399999999999885</v>
      </c>
      <c r="AN106" s="628">
        <f t="shared" si="355"/>
        <v>57.499999999999993</v>
      </c>
      <c r="AO106" s="600">
        <f t="shared" si="355"/>
        <v>64.999999999999943</v>
      </c>
      <c r="AP106" s="600">
        <f t="shared" si="355"/>
        <v>53.5</v>
      </c>
      <c r="AQ106" s="601">
        <f t="shared" ref="AQ106:AV106" si="356">AQ88-AQ94+AQ104</f>
        <v>37.000000000000014</v>
      </c>
      <c r="AR106" s="628">
        <f t="shared" si="356"/>
        <v>44.700000000000017</v>
      </c>
      <c r="AS106" s="600">
        <f t="shared" si="356"/>
        <v>57.19999999999996</v>
      </c>
      <c r="AT106" s="600">
        <f t="shared" si="356"/>
        <v>75.400000000000006</v>
      </c>
      <c r="AU106" s="600">
        <f t="shared" si="356"/>
        <v>74.300000000000011</v>
      </c>
      <c r="AV106" s="628">
        <f t="shared" si="356"/>
        <v>75.200000000000017</v>
      </c>
      <c r="AW106" s="600">
        <f t="shared" ref="AW106:BB106" si="357">AW88-AW94+AW104</f>
        <v>89.699999999999989</v>
      </c>
      <c r="AX106" s="600">
        <f t="shared" si="357"/>
        <v>93.199999999999989</v>
      </c>
      <c r="AY106" s="601">
        <f t="shared" si="357"/>
        <v>76.300000000000111</v>
      </c>
      <c r="AZ106" s="628">
        <f t="shared" si="357"/>
        <v>87.1</v>
      </c>
      <c r="BA106" s="600">
        <f t="shared" si="357"/>
        <v>95.399999999999963</v>
      </c>
      <c r="BB106" s="600">
        <f t="shared" si="357"/>
        <v>95.499999999999986</v>
      </c>
      <c r="BC106" s="601">
        <f>BC88-BC94+BC104</f>
        <v>78.900000000000006</v>
      </c>
      <c r="BD106" s="628">
        <f t="shared" ref="BD106:BJ106" si="358">BD88-BD94+BD104</f>
        <v>70.3</v>
      </c>
      <c r="BE106" s="600">
        <f t="shared" si="358"/>
        <v>88.499999999999986</v>
      </c>
      <c r="BF106" s="600">
        <f t="shared" si="358"/>
        <v>100.3</v>
      </c>
      <c r="BG106" s="601">
        <f>BG88-BG94+BG104</f>
        <v>122.99999999999994</v>
      </c>
      <c r="BH106" s="628">
        <f>BH88-BH94+BH104</f>
        <v>114.30000000000004</v>
      </c>
      <c r="BI106" s="1410">
        <f t="shared" ref="BI106" si="359">BI88-BI94+BI104</f>
        <v>153.49999999999997</v>
      </c>
      <c r="BJ106" s="1410">
        <f t="shared" si="358"/>
        <v>189.40000000000006</v>
      </c>
      <c r="BK106" s="1411">
        <f>BK88-BK94+BK104</f>
        <v>167.3000000000001</v>
      </c>
      <c r="BL106" s="1419">
        <f t="shared" ref="BL106:BS106" si="360">BL88-BL94+BL104</f>
        <v>170.86389460453702</v>
      </c>
      <c r="BM106" s="1410">
        <f t="shared" si="360"/>
        <v>185.21582511018468</v>
      </c>
      <c r="BN106" s="1410">
        <f t="shared" si="360"/>
        <v>195.31131671690611</v>
      </c>
      <c r="BO106" s="1411">
        <f t="shared" si="360"/>
        <v>186.83928116585403</v>
      </c>
      <c r="BP106" s="1419">
        <f t="shared" si="360"/>
        <v>184.53643690068847</v>
      </c>
      <c r="BQ106" s="1410">
        <f t="shared" si="360"/>
        <v>204.43252266361816</v>
      </c>
      <c r="BR106" s="1410">
        <f t="shared" si="360"/>
        <v>222.01962024148892</v>
      </c>
      <c r="BS106" s="1411">
        <f t="shared" si="360"/>
        <v>215.42577256924505</v>
      </c>
      <c r="BT106" s="1419">
        <f t="shared" ref="BT106:BW106" si="361">BT88-BT94+BT104</f>
        <v>205.96409561152163</v>
      </c>
      <c r="BU106" s="1410">
        <f t="shared" si="361"/>
        <v>226.86674705491814</v>
      </c>
      <c r="BV106" s="1410">
        <f t="shared" si="361"/>
        <v>245.12299455172584</v>
      </c>
      <c r="BW106" s="1411">
        <f t="shared" si="361"/>
        <v>238.22847855305614</v>
      </c>
      <c r="BX106" s="1191"/>
      <c r="BY106" s="600">
        <f t="shared" ref="BY106:CJ106" si="362">BY88-BY94+BY104</f>
        <v>-103.16240000000018</v>
      </c>
      <c r="BZ106" s="600">
        <f t="shared" si="362"/>
        <v>-7.5135999999998857</v>
      </c>
      <c r="CA106" s="600">
        <f t="shared" si="362"/>
        <v>105.64830000000012</v>
      </c>
      <c r="CB106" s="600">
        <f t="shared" si="362"/>
        <v>278.19999999999987</v>
      </c>
      <c r="CC106" s="600">
        <f t="shared" si="362"/>
        <v>267.2999999999999</v>
      </c>
      <c r="CD106" s="600">
        <f t="shared" si="362"/>
        <v>308.79999999999967</v>
      </c>
      <c r="CE106" s="1410">
        <f t="shared" si="362"/>
        <v>165.89999999999992</v>
      </c>
      <c r="CF106" s="1410">
        <f t="shared" si="362"/>
        <v>395.7000000000001</v>
      </c>
      <c r="CG106" s="1410">
        <f t="shared" si="362"/>
        <v>395.5000000000004</v>
      </c>
      <c r="CH106" s="1410">
        <f t="shared" si="362"/>
        <v>212.99999999999955</v>
      </c>
      <c r="CI106" s="1410">
        <f t="shared" si="362"/>
        <v>251.59999999999971</v>
      </c>
      <c r="CJ106" s="1410">
        <f t="shared" si="362"/>
        <v>334.40000000000043</v>
      </c>
      <c r="CK106" s="1410">
        <f t="shared" ref="CK106:CP106" si="363">CK88-CK94+CK104</f>
        <v>356.90000000000009</v>
      </c>
      <c r="CL106" s="1410">
        <f t="shared" si="363"/>
        <v>382.0999999999998</v>
      </c>
      <c r="CM106" s="1410">
        <f t="shared" si="363"/>
        <v>624.50000000000023</v>
      </c>
      <c r="CN106" s="1410">
        <f t="shared" si="363"/>
        <v>730.23031759748187</v>
      </c>
      <c r="CO106" s="1410">
        <f t="shared" si="363"/>
        <v>826.41435237504061</v>
      </c>
      <c r="CP106" s="1411">
        <f t="shared" si="363"/>
        <v>916.18231577122083</v>
      </c>
      <c r="CQ106" s="486"/>
    </row>
    <row r="107" spans="1:95" ht="14.25" hidden="1" customHeight="1" outlineLevel="1">
      <c r="A107" s="9"/>
      <c r="B107" s="459"/>
      <c r="C107" s="33"/>
      <c r="D107" s="598"/>
      <c r="E107" s="598"/>
      <c r="F107" s="598"/>
      <c r="G107" s="598"/>
      <c r="H107" s="634"/>
      <c r="I107" s="598"/>
      <c r="J107" s="598"/>
      <c r="K107" s="598"/>
      <c r="L107" s="634"/>
      <c r="M107" s="598"/>
      <c r="N107" s="598"/>
      <c r="O107" s="598"/>
      <c r="P107" s="634"/>
      <c r="Q107" s="598"/>
      <c r="R107" s="598"/>
      <c r="S107" s="598"/>
      <c r="T107" s="634"/>
      <c r="U107" s="598"/>
      <c r="V107" s="598"/>
      <c r="W107" s="598"/>
      <c r="X107" s="634"/>
      <c r="Y107" s="598"/>
      <c r="Z107" s="598"/>
      <c r="AA107" s="598"/>
      <c r="AB107" s="634"/>
      <c r="AC107" s="598"/>
      <c r="AD107" s="598"/>
      <c r="AE107" s="598"/>
      <c r="AF107" s="634"/>
      <c r="AG107" s="598"/>
      <c r="AH107" s="598"/>
      <c r="AI107" s="598"/>
      <c r="AJ107" s="634"/>
      <c r="AK107" s="598"/>
      <c r="AL107" s="598"/>
      <c r="AM107" s="598"/>
      <c r="AN107" s="634"/>
      <c r="AO107" s="598"/>
      <c r="AP107" s="598"/>
      <c r="AQ107" s="599"/>
      <c r="AR107" s="634"/>
      <c r="AS107" s="598"/>
      <c r="AT107" s="598"/>
      <c r="AU107" s="598"/>
      <c r="AV107" s="634"/>
      <c r="AW107" s="598"/>
      <c r="AX107" s="598"/>
      <c r="AY107" s="599"/>
      <c r="AZ107" s="634"/>
      <c r="BA107" s="598"/>
      <c r="BB107" s="598"/>
      <c r="BC107" s="599"/>
      <c r="BD107" s="634"/>
      <c r="BE107" s="598"/>
      <c r="BF107" s="34"/>
      <c r="BG107" s="599"/>
      <c r="BH107" s="634"/>
      <c r="BI107" s="598"/>
      <c r="BJ107" s="598"/>
      <c r="BK107" s="599"/>
      <c r="BL107" s="1395"/>
      <c r="BM107" s="1393"/>
      <c r="BN107" s="1393"/>
      <c r="BO107" s="1394"/>
      <c r="BP107" s="1395"/>
      <c r="BQ107" s="1393"/>
      <c r="BR107" s="1393"/>
      <c r="BS107" s="1394"/>
      <c r="BT107" s="1395"/>
      <c r="BU107" s="1393"/>
      <c r="BV107" s="1393"/>
      <c r="BW107" s="1394"/>
      <c r="BX107" s="211"/>
      <c r="BY107" s="598"/>
      <c r="BZ107" s="598"/>
      <c r="CA107" s="598"/>
      <c r="CB107" s="598"/>
      <c r="CC107" s="598"/>
      <c r="CD107" s="598"/>
      <c r="CE107" s="598"/>
      <c r="CF107" s="598"/>
      <c r="CG107" s="598"/>
      <c r="CH107" s="598"/>
      <c r="CI107" s="598"/>
      <c r="CJ107" s="598"/>
      <c r="CK107" s="598"/>
      <c r="CL107" s="598"/>
      <c r="CM107" s="598"/>
      <c r="CN107" s="598"/>
      <c r="CO107" s="598"/>
      <c r="CP107" s="599"/>
      <c r="CQ107" s="22"/>
    </row>
    <row r="108" spans="1:95" ht="14.25" hidden="1" customHeight="1" outlineLevel="1">
      <c r="A108" s="9"/>
      <c r="B108" s="574" t="s">
        <v>405</v>
      </c>
      <c r="C108" s="33"/>
      <c r="D108" s="593">
        <v>-21.5</v>
      </c>
      <c r="E108" s="593">
        <v>0</v>
      </c>
      <c r="F108" s="593">
        <v>0</v>
      </c>
      <c r="G108" s="593">
        <v>0</v>
      </c>
      <c r="H108" s="612">
        <v>0</v>
      </c>
      <c r="I108" s="593">
        <v>0</v>
      </c>
      <c r="J108" s="593">
        <v>0</v>
      </c>
      <c r="K108" s="593">
        <v>0</v>
      </c>
      <c r="L108" s="612">
        <v>0</v>
      </c>
      <c r="M108" s="593">
        <v>0</v>
      </c>
      <c r="N108" s="593">
        <v>0</v>
      </c>
      <c r="O108" s="593">
        <v>-2.9</v>
      </c>
      <c r="P108" s="612">
        <v>0</v>
      </c>
      <c r="Q108" s="593">
        <v>0</v>
      </c>
      <c r="R108" s="593">
        <v>0</v>
      </c>
      <c r="S108" s="593">
        <v>0</v>
      </c>
      <c r="T108" s="612">
        <v>0</v>
      </c>
      <c r="U108" s="593">
        <v>0</v>
      </c>
      <c r="V108" s="593">
        <v>0</v>
      </c>
      <c r="W108" s="593">
        <v>0</v>
      </c>
      <c r="X108" s="612">
        <v>0</v>
      </c>
      <c r="Y108" s="593">
        <v>0</v>
      </c>
      <c r="Z108" s="593">
        <v>0</v>
      </c>
      <c r="AA108" s="593">
        <v>0</v>
      </c>
      <c r="AB108" s="612">
        <v>0</v>
      </c>
      <c r="AC108" s="593">
        <v>0</v>
      </c>
      <c r="AD108" s="593">
        <v>0</v>
      </c>
      <c r="AE108" s="593">
        <v>0</v>
      </c>
      <c r="AF108" s="612">
        <v>0</v>
      </c>
      <c r="AG108" s="593">
        <v>0</v>
      </c>
      <c r="AH108" s="593">
        <v>0</v>
      </c>
      <c r="AI108" s="593">
        <v>0</v>
      </c>
      <c r="AJ108" s="612">
        <v>0</v>
      </c>
      <c r="AK108" s="593">
        <v>0</v>
      </c>
      <c r="AL108" s="593">
        <v>0</v>
      </c>
      <c r="AM108" s="593">
        <v>0</v>
      </c>
      <c r="AN108" s="612">
        <v>0</v>
      </c>
      <c r="AO108" s="593">
        <v>0</v>
      </c>
      <c r="AP108" s="593">
        <v>0</v>
      </c>
      <c r="AQ108" s="593">
        <v>0</v>
      </c>
      <c r="AR108" s="612">
        <v>0</v>
      </c>
      <c r="AS108" s="593">
        <v>0</v>
      </c>
      <c r="AT108" s="593">
        <v>0</v>
      </c>
      <c r="AU108" s="593">
        <v>0</v>
      </c>
      <c r="AV108" s="612">
        <v>0</v>
      </c>
      <c r="AW108" s="593">
        <v>0</v>
      </c>
      <c r="AX108" s="593">
        <v>0</v>
      </c>
      <c r="AY108" s="594">
        <v>0</v>
      </c>
      <c r="AZ108" s="612">
        <v>0</v>
      </c>
      <c r="BA108" s="593">
        <v>0</v>
      </c>
      <c r="BB108" s="593">
        <v>0</v>
      </c>
      <c r="BC108" s="594">
        <v>0</v>
      </c>
      <c r="BD108" s="612">
        <v>0</v>
      </c>
      <c r="BE108" s="593">
        <v>0</v>
      </c>
      <c r="BF108" s="593">
        <v>0</v>
      </c>
      <c r="BG108" s="594">
        <v>0</v>
      </c>
      <c r="BH108" s="612">
        <v>0</v>
      </c>
      <c r="BI108" s="1406">
        <v>0</v>
      </c>
      <c r="BJ108" s="1406">
        <v>0</v>
      </c>
      <c r="BK108" s="1407">
        <v>0</v>
      </c>
      <c r="BL108" s="1417">
        <v>0</v>
      </c>
      <c r="BM108" s="1406">
        <v>0</v>
      </c>
      <c r="BN108" s="1406">
        <v>0</v>
      </c>
      <c r="BO108" s="1407">
        <v>0</v>
      </c>
      <c r="BP108" s="1417">
        <v>0</v>
      </c>
      <c r="BQ108" s="1406">
        <v>0</v>
      </c>
      <c r="BR108" s="1406">
        <v>0</v>
      </c>
      <c r="BS108" s="1407">
        <v>0</v>
      </c>
      <c r="BT108" s="1417">
        <v>0</v>
      </c>
      <c r="BU108" s="1406">
        <v>0</v>
      </c>
      <c r="BV108" s="1406">
        <v>0</v>
      </c>
      <c r="BW108" s="1407">
        <v>0</v>
      </c>
      <c r="BX108" s="211"/>
      <c r="BY108" s="595">
        <f>SUM(D108:G108)</f>
        <v>-21.5</v>
      </c>
      <c r="BZ108" s="595">
        <f>SUM(H108:K108)</f>
        <v>0</v>
      </c>
      <c r="CA108" s="595">
        <f>SUM(L108:O108)</f>
        <v>-2.9</v>
      </c>
      <c r="CB108" s="595">
        <f>SUM(P108:S108)</f>
        <v>0</v>
      </c>
      <c r="CC108" s="595">
        <f>SUM(T108:W108)</f>
        <v>0</v>
      </c>
      <c r="CD108" s="595">
        <f>SUM(X108:AA108)</f>
        <v>0</v>
      </c>
      <c r="CE108" s="1408">
        <f>SUM(AB108:AE108)</f>
        <v>0</v>
      </c>
      <c r="CF108" s="1408">
        <f>SUM(AF108:AI108)</f>
        <v>0</v>
      </c>
      <c r="CG108" s="1408">
        <f>SUM(AJ108:AM108)</f>
        <v>0</v>
      </c>
      <c r="CH108" s="1408">
        <f>SUM(AN108:AQ108)</f>
        <v>0</v>
      </c>
      <c r="CI108" s="1408">
        <f>SUM(AR108:AU108)</f>
        <v>0</v>
      </c>
      <c r="CJ108" s="1408">
        <f>SUM(AV108:AY108)</f>
        <v>0</v>
      </c>
      <c r="CK108" s="1408">
        <f>SUM(AZ108:BC108)</f>
        <v>0</v>
      </c>
      <c r="CL108" s="1408">
        <f>SUM(BD108:BG108)</f>
        <v>0</v>
      </c>
      <c r="CM108" s="1408">
        <f>SUM(BH108:BK108)</f>
        <v>0</v>
      </c>
      <c r="CN108" s="1408">
        <f>SUM(BL108:BO108)</f>
        <v>0</v>
      </c>
      <c r="CO108" s="1408">
        <f>SUM(BP108:BS108)</f>
        <v>0</v>
      </c>
      <c r="CP108" s="1409">
        <f>SUM(BT108:BW108)</f>
        <v>0</v>
      </c>
      <c r="CQ108" s="22"/>
    </row>
    <row r="109" spans="1:95" ht="14.25" hidden="1" customHeight="1" outlineLevel="1">
      <c r="A109" s="9"/>
      <c r="B109" s="574"/>
      <c r="C109" s="33"/>
      <c r="D109" s="593"/>
      <c r="E109" s="593"/>
      <c r="F109" s="593"/>
      <c r="G109" s="593"/>
      <c r="H109" s="612"/>
      <c r="I109" s="593"/>
      <c r="J109" s="593"/>
      <c r="K109" s="593"/>
      <c r="L109" s="612"/>
      <c r="M109" s="593"/>
      <c r="N109" s="593"/>
      <c r="O109" s="593"/>
      <c r="P109" s="612"/>
      <c r="Q109" s="593"/>
      <c r="R109" s="593"/>
      <c r="S109" s="593"/>
      <c r="T109" s="612"/>
      <c r="U109" s="593"/>
      <c r="V109" s="593"/>
      <c r="W109" s="593"/>
      <c r="X109" s="612"/>
      <c r="Y109" s="593"/>
      <c r="Z109" s="593"/>
      <c r="AA109" s="593"/>
      <c r="AB109" s="612"/>
      <c r="AC109" s="593"/>
      <c r="AD109" s="593"/>
      <c r="AE109" s="593"/>
      <c r="AF109" s="612"/>
      <c r="AG109" s="593"/>
      <c r="AH109" s="593"/>
      <c r="AI109" s="593"/>
      <c r="AJ109" s="612"/>
      <c r="AK109" s="593"/>
      <c r="AL109" s="593"/>
      <c r="AM109" s="593"/>
      <c r="AN109" s="612"/>
      <c r="AO109" s="593"/>
      <c r="AP109" s="593"/>
      <c r="AQ109" s="593"/>
      <c r="AR109" s="612"/>
      <c r="AS109" s="593"/>
      <c r="AT109" s="593"/>
      <c r="AU109" s="593"/>
      <c r="AV109" s="612"/>
      <c r="AW109" s="593"/>
      <c r="AX109" s="593"/>
      <c r="AY109" s="594"/>
      <c r="AZ109" s="612"/>
      <c r="BA109" s="593"/>
      <c r="BB109" s="593"/>
      <c r="BC109" s="594"/>
      <c r="BD109" s="612"/>
      <c r="BE109" s="593"/>
      <c r="BF109" s="593"/>
      <c r="BG109" s="594"/>
      <c r="BH109" s="612"/>
      <c r="BI109" s="1406"/>
      <c r="BJ109" s="1406"/>
      <c r="BK109" s="1407"/>
      <c r="BL109" s="1417"/>
      <c r="BM109" s="1406"/>
      <c r="BN109" s="1406"/>
      <c r="BO109" s="1407"/>
      <c r="BP109" s="1417"/>
      <c r="BQ109" s="1406"/>
      <c r="BR109" s="1406"/>
      <c r="BS109" s="1407"/>
      <c r="BT109" s="1417"/>
      <c r="BU109" s="1406"/>
      <c r="BV109" s="1406"/>
      <c r="BW109" s="1407"/>
      <c r="BX109" s="211"/>
      <c r="BY109" s="595"/>
      <c r="BZ109" s="595"/>
      <c r="CA109" s="595"/>
      <c r="CB109" s="595"/>
      <c r="CC109" s="595"/>
      <c r="CD109" s="595"/>
      <c r="CE109" s="1408"/>
      <c r="CF109" s="1408"/>
      <c r="CG109" s="1408"/>
      <c r="CH109" s="1408"/>
      <c r="CI109" s="1408"/>
      <c r="CJ109" s="1408"/>
      <c r="CK109" s="1408"/>
      <c r="CL109" s="1408"/>
      <c r="CM109" s="1408"/>
      <c r="CN109" s="1408"/>
      <c r="CO109" s="1408"/>
      <c r="CP109" s="1409"/>
      <c r="CQ109" s="22"/>
    </row>
    <row r="110" spans="1:95" ht="14.25" customHeight="1" collapsed="1">
      <c r="A110" s="432"/>
      <c r="B110" s="461" t="s">
        <v>319</v>
      </c>
      <c r="C110" s="437"/>
      <c r="D110" s="600">
        <f>D97+D104+D108</f>
        <v>-50.499999999999993</v>
      </c>
      <c r="E110" s="600">
        <f t="shared" ref="E110:BY110" si="364">E97+E104+E108</f>
        <v>-57.500000000000021</v>
      </c>
      <c r="F110" s="600">
        <f t="shared" si="364"/>
        <v>-16.299999999999983</v>
      </c>
      <c r="G110" s="600">
        <f t="shared" si="364"/>
        <v>-42.399999999999949</v>
      </c>
      <c r="H110" s="628">
        <f t="shared" si="364"/>
        <v>-47.600000000000009</v>
      </c>
      <c r="I110" s="600">
        <f t="shared" si="364"/>
        <v>-3.4999999999999858</v>
      </c>
      <c r="J110" s="600">
        <f t="shared" si="364"/>
        <v>15.699999999999973</v>
      </c>
      <c r="K110" s="600">
        <f t="shared" si="364"/>
        <v>-88.299999999999983</v>
      </c>
      <c r="L110" s="628">
        <f t="shared" si="364"/>
        <v>14.799999999999983</v>
      </c>
      <c r="M110" s="600">
        <f t="shared" si="364"/>
        <v>18.500000000000004</v>
      </c>
      <c r="N110" s="600">
        <f t="shared" si="364"/>
        <v>23.500000000000014</v>
      </c>
      <c r="O110" s="600">
        <f t="shared" si="364"/>
        <v>43.800000000000011</v>
      </c>
      <c r="P110" s="628">
        <f t="shared" si="364"/>
        <v>40.399999999999991</v>
      </c>
      <c r="Q110" s="600">
        <f t="shared" si="364"/>
        <v>67.500000000000014</v>
      </c>
      <c r="R110" s="600">
        <f t="shared" si="364"/>
        <v>76.799999999999983</v>
      </c>
      <c r="S110" s="600">
        <f t="shared" si="364"/>
        <v>87.40000000000002</v>
      </c>
      <c r="T110" s="628">
        <f t="shared" si="364"/>
        <v>53.999999999999986</v>
      </c>
      <c r="U110" s="600">
        <f t="shared" si="364"/>
        <v>63.300000000000004</v>
      </c>
      <c r="V110" s="600">
        <f t="shared" si="364"/>
        <v>63.799999999999955</v>
      </c>
      <c r="W110" s="600">
        <f t="shared" si="364"/>
        <v>61.099999999999994</v>
      </c>
      <c r="X110" s="628">
        <f t="shared" si="364"/>
        <v>10.99999999999997</v>
      </c>
      <c r="Y110" s="600">
        <f t="shared" si="364"/>
        <v>34.20000000000001</v>
      </c>
      <c r="Z110" s="600">
        <f t="shared" si="364"/>
        <v>50.600000000000023</v>
      </c>
      <c r="AA110" s="600">
        <f t="shared" si="364"/>
        <v>-524.70000000000005</v>
      </c>
      <c r="AB110" s="628">
        <f t="shared" si="364"/>
        <v>-33.899999999999963</v>
      </c>
      <c r="AC110" s="600">
        <f t="shared" si="364"/>
        <v>-3.0000000000000098</v>
      </c>
      <c r="AD110" s="600">
        <f t="shared" si="364"/>
        <v>29.899999999999945</v>
      </c>
      <c r="AE110" s="600">
        <f t="shared" si="364"/>
        <v>68.000000000000014</v>
      </c>
      <c r="AF110" s="628">
        <f t="shared" si="364"/>
        <v>63.000000000000021</v>
      </c>
      <c r="AG110" s="600">
        <f t="shared" si="364"/>
        <v>78.69999999999996</v>
      </c>
      <c r="AH110" s="600">
        <f t="shared" si="364"/>
        <v>87.800000000000054</v>
      </c>
      <c r="AI110" s="600">
        <f t="shared" si="364"/>
        <v>61.000000000000021</v>
      </c>
      <c r="AJ110" s="628">
        <f t="shared" si="364"/>
        <v>35.499999999999986</v>
      </c>
      <c r="AK110" s="600">
        <f t="shared" si="364"/>
        <v>34.299999999999919</v>
      </c>
      <c r="AL110" s="600">
        <f t="shared" si="364"/>
        <v>-49.399999999999984</v>
      </c>
      <c r="AM110" s="600">
        <f t="shared" si="364"/>
        <v>-8.8000000000000824</v>
      </c>
      <c r="AN110" s="628">
        <f t="shared" si="364"/>
        <v>28.199999999999992</v>
      </c>
      <c r="AO110" s="600">
        <f t="shared" si="364"/>
        <v>6.8999999999999213</v>
      </c>
      <c r="AP110" s="600">
        <f t="shared" si="364"/>
        <v>12.499999999999966</v>
      </c>
      <c r="AQ110" s="601">
        <f t="shared" si="364"/>
        <v>-138.19999999999999</v>
      </c>
      <c r="AR110" s="628">
        <f t="shared" ref="AR110:AW110" si="365">AR97+AR104+AR108</f>
        <v>22.600000000000019</v>
      </c>
      <c r="AS110" s="600">
        <f t="shared" si="365"/>
        <v>47.699999999999953</v>
      </c>
      <c r="AT110" s="600">
        <f t="shared" si="365"/>
        <v>51.800000000000011</v>
      </c>
      <c r="AU110" s="600">
        <f t="shared" si="365"/>
        <v>28.699999999999978</v>
      </c>
      <c r="AV110" s="628">
        <f t="shared" si="365"/>
        <v>58.400000000000006</v>
      </c>
      <c r="AW110" s="600">
        <f t="shared" si="365"/>
        <v>87.999999999999986</v>
      </c>
      <c r="AX110" s="600">
        <f t="shared" ref="AX110:BK110" si="366">AX97+AX104+AX108</f>
        <v>41.60000000000003</v>
      </c>
      <c r="AY110" s="601">
        <f t="shared" si="366"/>
        <v>4.9000000000000812</v>
      </c>
      <c r="AZ110" s="628">
        <f t="shared" si="366"/>
        <v>55.100000000000009</v>
      </c>
      <c r="BA110" s="600">
        <f t="shared" si="366"/>
        <v>50.699999999999946</v>
      </c>
      <c r="BB110" s="600">
        <f t="shared" si="366"/>
        <v>46.300000000000004</v>
      </c>
      <c r="BC110" s="601">
        <f t="shared" si="366"/>
        <v>54.099999999999973</v>
      </c>
      <c r="BD110" s="628">
        <f>BD97+BD104+BD108</f>
        <v>36.000000000000007</v>
      </c>
      <c r="BE110" s="600">
        <f>BE97+BE104+BE108</f>
        <v>25.099999999999984</v>
      </c>
      <c r="BF110" s="600">
        <f t="shared" si="366"/>
        <v>10.100000000000037</v>
      </c>
      <c r="BG110" s="601">
        <f t="shared" ref="BG110" si="367">BG97+BG104+BG108</f>
        <v>110.89999999999999</v>
      </c>
      <c r="BH110" s="628">
        <f>BH97+BH104+BH108</f>
        <v>78.200000000000102</v>
      </c>
      <c r="BI110" s="1410">
        <f>BI97+BI104+BI108</f>
        <v>93.899999999999991</v>
      </c>
      <c r="BJ110" s="1410">
        <f t="shared" si="366"/>
        <v>108.70000000000006</v>
      </c>
      <c r="BK110" s="1411">
        <f t="shared" si="366"/>
        <v>529.9</v>
      </c>
      <c r="BL110" s="1419">
        <f t="shared" ref="BL110:BS110" si="368">BL97+BL104+BL108</f>
        <v>139.46389460453702</v>
      </c>
      <c r="BM110" s="1410">
        <f t="shared" si="368"/>
        <v>185.21582511018468</v>
      </c>
      <c r="BN110" s="1410">
        <f t="shared" si="368"/>
        <v>195.31131671690611</v>
      </c>
      <c r="BO110" s="1411">
        <f t="shared" si="368"/>
        <v>186.83928116585403</v>
      </c>
      <c r="BP110" s="1419">
        <f t="shared" si="368"/>
        <v>184.53643690068847</v>
      </c>
      <c r="BQ110" s="1410">
        <f t="shared" si="368"/>
        <v>204.43252266361816</v>
      </c>
      <c r="BR110" s="1410">
        <f t="shared" si="368"/>
        <v>222.01962024148892</v>
      </c>
      <c r="BS110" s="1411">
        <f t="shared" si="368"/>
        <v>215.42577256924505</v>
      </c>
      <c r="BT110" s="1419">
        <f t="shared" ref="BT110:BW110" si="369">BT97+BT104+BT108</f>
        <v>205.96409561152163</v>
      </c>
      <c r="BU110" s="1410">
        <f t="shared" si="369"/>
        <v>226.86674705491814</v>
      </c>
      <c r="BV110" s="1410">
        <f t="shared" si="369"/>
        <v>245.12299455172584</v>
      </c>
      <c r="BW110" s="1411">
        <f t="shared" si="369"/>
        <v>238.22847855305614</v>
      </c>
      <c r="BX110" s="1236"/>
      <c r="BY110" s="600">
        <f t="shared" si="364"/>
        <v>-166.70000000000016</v>
      </c>
      <c r="BZ110" s="600">
        <f t="shared" ref="BZ110:CJ110" si="370">BZ97+BZ104+BZ108</f>
        <v>-123.69999999999989</v>
      </c>
      <c r="CA110" s="600">
        <f t="shared" si="370"/>
        <v>100.60000000000011</v>
      </c>
      <c r="CB110" s="600">
        <f t="shared" si="370"/>
        <v>272.0999999999998</v>
      </c>
      <c r="CC110" s="600">
        <f t="shared" si="370"/>
        <v>242.19999999999987</v>
      </c>
      <c r="CD110" s="600">
        <f t="shared" si="370"/>
        <v>-428.9000000000006</v>
      </c>
      <c r="CE110" s="1410">
        <f t="shared" si="370"/>
        <v>61.000000000000014</v>
      </c>
      <c r="CF110" s="1410">
        <f t="shared" si="370"/>
        <v>290.50000000000006</v>
      </c>
      <c r="CG110" s="1410">
        <f t="shared" si="370"/>
        <v>11.600000000000179</v>
      </c>
      <c r="CH110" s="1410">
        <f t="shared" si="370"/>
        <v>-90.600000000000406</v>
      </c>
      <c r="CI110" s="1410">
        <f t="shared" si="370"/>
        <v>150.79999999999959</v>
      </c>
      <c r="CJ110" s="1410">
        <f t="shared" si="370"/>
        <v>192.90000000000038</v>
      </c>
      <c r="CK110" s="1410">
        <f t="shared" ref="CK110:CP110" si="371">CK97+CK104+CK108</f>
        <v>206.20000000000036</v>
      </c>
      <c r="CL110" s="1410">
        <f t="shared" si="371"/>
        <v>182.09999999999991</v>
      </c>
      <c r="CM110" s="1410">
        <f t="shared" si="371"/>
        <v>810.70000000000039</v>
      </c>
      <c r="CN110" s="1410">
        <f t="shared" si="371"/>
        <v>706.83031759748189</v>
      </c>
      <c r="CO110" s="1410">
        <f t="shared" si="371"/>
        <v>826.41435237504061</v>
      </c>
      <c r="CP110" s="1411">
        <f t="shared" si="371"/>
        <v>916.18231577122083</v>
      </c>
      <c r="CQ110" s="1468"/>
    </row>
    <row r="111" spans="1:95" ht="14.25" customHeight="1">
      <c r="A111" s="9"/>
      <c r="B111" s="461"/>
      <c r="C111" s="33"/>
      <c r="D111" s="593"/>
      <c r="E111" s="593"/>
      <c r="F111" s="593"/>
      <c r="G111" s="593"/>
      <c r="H111" s="612"/>
      <c r="I111" s="593"/>
      <c r="J111" s="593"/>
      <c r="K111" s="593"/>
      <c r="L111" s="612"/>
      <c r="M111" s="593"/>
      <c r="N111" s="593"/>
      <c r="O111" s="593"/>
      <c r="P111" s="612"/>
      <c r="Q111" s="593"/>
      <c r="R111" s="593"/>
      <c r="S111" s="593"/>
      <c r="T111" s="612"/>
      <c r="U111" s="593"/>
      <c r="V111" s="593"/>
      <c r="W111" s="593"/>
      <c r="X111" s="612"/>
      <c r="Y111" s="593"/>
      <c r="Z111" s="593"/>
      <c r="AA111" s="593"/>
      <c r="AB111" s="612"/>
      <c r="AC111" s="593"/>
      <c r="AD111" s="593"/>
      <c r="AE111" s="593"/>
      <c r="AF111" s="612"/>
      <c r="AG111" s="593"/>
      <c r="AH111" s="593"/>
      <c r="AI111" s="593"/>
      <c r="AJ111" s="612"/>
      <c r="AK111" s="593"/>
      <c r="AL111" s="593"/>
      <c r="AM111" s="593"/>
      <c r="AN111" s="612"/>
      <c r="AO111" s="593"/>
      <c r="AP111" s="593"/>
      <c r="AQ111" s="593"/>
      <c r="AR111" s="612"/>
      <c r="AS111" s="593"/>
      <c r="AT111" s="593"/>
      <c r="AU111" s="593"/>
      <c r="AV111" s="612"/>
      <c r="AW111" s="593"/>
      <c r="AX111" s="593"/>
      <c r="AY111" s="594"/>
      <c r="AZ111" s="612"/>
      <c r="BA111" s="593"/>
      <c r="BB111" s="593"/>
      <c r="BC111" s="594"/>
      <c r="BD111" s="612"/>
      <c r="BE111" s="593"/>
      <c r="BF111" s="593"/>
      <c r="BG111" s="594"/>
      <c r="BH111" s="612"/>
      <c r="BI111" s="1406"/>
      <c r="BJ111" s="1406"/>
      <c r="BK111" s="1407"/>
      <c r="BL111" s="1417"/>
      <c r="BM111" s="1406"/>
      <c r="BN111" s="1406"/>
      <c r="BO111" s="1407"/>
      <c r="BP111" s="1417"/>
      <c r="BQ111" s="1406"/>
      <c r="BR111" s="1406"/>
      <c r="BS111" s="1407"/>
      <c r="BT111" s="1417"/>
      <c r="BU111" s="1406"/>
      <c r="BV111" s="1406"/>
      <c r="BW111" s="1407"/>
      <c r="BX111" s="211"/>
      <c r="BY111" s="595"/>
      <c r="BZ111" s="595"/>
      <c r="CA111" s="595"/>
      <c r="CB111" s="595"/>
      <c r="CC111" s="595"/>
      <c r="CD111" s="595"/>
      <c r="CE111" s="1408"/>
      <c r="CF111" s="1408"/>
      <c r="CG111" s="1408"/>
      <c r="CH111" s="1408"/>
      <c r="CI111" s="1408"/>
      <c r="CJ111" s="1408"/>
      <c r="CK111" s="1408"/>
      <c r="CL111" s="1408"/>
      <c r="CM111" s="1408"/>
      <c r="CN111" s="1408"/>
      <c r="CO111" s="1408"/>
      <c r="CP111" s="1409"/>
      <c r="CQ111" s="22"/>
    </row>
    <row r="112" spans="1:95" ht="14.25" hidden="1" customHeight="1" outlineLevel="1">
      <c r="A112" s="9"/>
      <c r="B112" s="574" t="s">
        <v>516</v>
      </c>
      <c r="C112" s="33"/>
      <c r="D112" s="593">
        <v>-2.2000000000000002</v>
      </c>
      <c r="E112" s="593">
        <v>-2.2000000000000002</v>
      </c>
      <c r="F112" s="593">
        <v>-2.2999999999999998</v>
      </c>
      <c r="G112" s="593">
        <f>-0.5-2.5</f>
        <v>-3</v>
      </c>
      <c r="H112" s="612">
        <f>-1.8-2.4</f>
        <v>-4.2</v>
      </c>
      <c r="I112" s="593">
        <f>0.1-2.4</f>
        <v>-2.2999999999999998</v>
      </c>
      <c r="J112" s="593">
        <f>0.1-2.5-2</f>
        <v>-4.4000000000000004</v>
      </c>
      <c r="K112" s="593">
        <f>0.1-2.6+2</f>
        <v>-0.5</v>
      </c>
      <c r="L112" s="612">
        <f>0.1-2.6-1.9+0.4</f>
        <v>-4</v>
      </c>
      <c r="M112" s="593">
        <f>0.1-2.6-2.5+0.4</f>
        <v>-4.5999999999999996</v>
      </c>
      <c r="N112" s="593">
        <f>0.1-2.7-3.3+0.4</f>
        <v>-5.5</v>
      </c>
      <c r="O112" s="593">
        <f>0.7-1.3-20.4-2</f>
        <v>-23</v>
      </c>
      <c r="P112" s="612">
        <v>0.4</v>
      </c>
      <c r="Q112" s="593">
        <v>0.3</v>
      </c>
      <c r="R112" s="593">
        <v>0.1</v>
      </c>
      <c r="S112" s="641">
        <f>0.8-P112-Q112-R112</f>
        <v>0</v>
      </c>
      <c r="T112" s="612">
        <v>0</v>
      </c>
      <c r="U112" s="593">
        <v>0</v>
      </c>
      <c r="V112" s="593">
        <v>0</v>
      </c>
      <c r="W112" s="593">
        <v>0</v>
      </c>
      <c r="X112" s="612">
        <v>0</v>
      </c>
      <c r="Y112" s="593">
        <v>0</v>
      </c>
      <c r="Z112" s="593">
        <v>0</v>
      </c>
      <c r="AA112" s="593">
        <v>0</v>
      </c>
      <c r="AB112" s="612">
        <v>0</v>
      </c>
      <c r="AC112" s="593">
        <v>0</v>
      </c>
      <c r="AD112" s="593">
        <v>0</v>
      </c>
      <c r="AE112" s="593">
        <v>0</v>
      </c>
      <c r="AF112" s="612">
        <v>0</v>
      </c>
      <c r="AG112" s="593">
        <v>0</v>
      </c>
      <c r="AH112" s="593">
        <v>0</v>
      </c>
      <c r="AI112" s="593">
        <v>0</v>
      </c>
      <c r="AJ112" s="612">
        <v>0</v>
      </c>
      <c r="AK112" s="593">
        <v>0</v>
      </c>
      <c r="AL112" s="593">
        <v>0</v>
      </c>
      <c r="AM112" s="593">
        <v>0</v>
      </c>
      <c r="AN112" s="612">
        <v>0</v>
      </c>
      <c r="AO112" s="593">
        <v>0</v>
      </c>
      <c r="AP112" s="593">
        <v>0</v>
      </c>
      <c r="AQ112" s="593">
        <v>0</v>
      </c>
      <c r="AR112" s="612">
        <v>0</v>
      </c>
      <c r="AS112" s="593">
        <v>0</v>
      </c>
      <c r="AT112" s="593">
        <v>0</v>
      </c>
      <c r="AU112" s="593">
        <v>0</v>
      </c>
      <c r="AV112" s="612">
        <v>0</v>
      </c>
      <c r="AW112" s="593">
        <v>0</v>
      </c>
      <c r="AX112" s="593">
        <v>0</v>
      </c>
      <c r="AY112" s="594">
        <v>0</v>
      </c>
      <c r="AZ112" s="612">
        <v>0</v>
      </c>
      <c r="BA112" s="593">
        <v>0</v>
      </c>
      <c r="BB112" s="593">
        <v>0</v>
      </c>
      <c r="BC112" s="594">
        <v>0</v>
      </c>
      <c r="BD112" s="612">
        <v>0</v>
      </c>
      <c r="BE112" s="593">
        <v>0</v>
      </c>
      <c r="BF112" s="593">
        <v>0</v>
      </c>
      <c r="BG112" s="594">
        <v>0</v>
      </c>
      <c r="BH112" s="612">
        <v>0</v>
      </c>
      <c r="BI112" s="1406">
        <v>0</v>
      </c>
      <c r="BJ112" s="1406">
        <v>0</v>
      </c>
      <c r="BK112" s="1407">
        <v>0</v>
      </c>
      <c r="BL112" s="1417">
        <v>0</v>
      </c>
      <c r="BM112" s="1406">
        <v>0</v>
      </c>
      <c r="BN112" s="1406">
        <v>0</v>
      </c>
      <c r="BO112" s="1407">
        <v>0</v>
      </c>
      <c r="BP112" s="1417">
        <v>0</v>
      </c>
      <c r="BQ112" s="1406">
        <v>0</v>
      </c>
      <c r="BR112" s="1406">
        <v>0</v>
      </c>
      <c r="BS112" s="1407">
        <v>0</v>
      </c>
      <c r="BT112" s="1417">
        <v>0</v>
      </c>
      <c r="BU112" s="1406">
        <v>0</v>
      </c>
      <c r="BV112" s="1406">
        <v>0</v>
      </c>
      <c r="BW112" s="1407">
        <v>0</v>
      </c>
      <c r="BX112" s="211"/>
      <c r="BY112" s="595">
        <f>SUM(D112:G112)</f>
        <v>-9.6999999999999993</v>
      </c>
      <c r="BZ112" s="595">
        <f>SUM(H112:K112)</f>
        <v>-11.4</v>
      </c>
      <c r="CA112" s="595">
        <f>SUM(L112:O112)</f>
        <v>-37.1</v>
      </c>
      <c r="CB112" s="595">
        <f>SUM(P112:S112)</f>
        <v>0.79999999999999993</v>
      </c>
      <c r="CC112" s="595">
        <f>SUM(T112:W112)</f>
        <v>0</v>
      </c>
      <c r="CD112" s="595">
        <f>SUM(X112:AA112)</f>
        <v>0</v>
      </c>
      <c r="CE112" s="1408">
        <f>SUM(AB112:AE112)</f>
        <v>0</v>
      </c>
      <c r="CF112" s="1408">
        <f>SUM(AF112:AI112)</f>
        <v>0</v>
      </c>
      <c r="CG112" s="1408">
        <f>SUM(AJ112:AM112)</f>
        <v>0</v>
      </c>
      <c r="CH112" s="1408">
        <f>SUM(AN112:AQ112)</f>
        <v>0</v>
      </c>
      <c r="CI112" s="1408">
        <f>SUM(AR112:AU112)</f>
        <v>0</v>
      </c>
      <c r="CJ112" s="1408">
        <f>SUM(AV112:AY112)</f>
        <v>0</v>
      </c>
      <c r="CK112" s="1408">
        <f>SUM(AZ112:BC112)</f>
        <v>0</v>
      </c>
      <c r="CL112" s="1408">
        <f>SUM(BD112:BG112)</f>
        <v>0</v>
      </c>
      <c r="CM112" s="1408">
        <f>SUM(BH112:BK112)</f>
        <v>0</v>
      </c>
      <c r="CN112" s="1408">
        <f>SUM(BL112:BO112)</f>
        <v>0</v>
      </c>
      <c r="CO112" s="1408">
        <f>SUM(BP112:BS112)</f>
        <v>0</v>
      </c>
      <c r="CP112" s="1409">
        <f>SUM(BT112:BW112)</f>
        <v>0</v>
      </c>
      <c r="CQ112" s="22"/>
    </row>
    <row r="113" spans="1:105" ht="14.25" hidden="1" customHeight="1" outlineLevel="1">
      <c r="A113" s="432"/>
      <c r="B113" s="461" t="s">
        <v>510</v>
      </c>
      <c r="C113" s="437"/>
      <c r="D113" s="600">
        <f>D97+D104+D112+D108</f>
        <v>-52.699999999999989</v>
      </c>
      <c r="E113" s="600">
        <f t="shared" ref="E113:AV113" si="372">E97+E104+E112+E108</f>
        <v>-59.700000000000024</v>
      </c>
      <c r="F113" s="600">
        <f t="shared" si="372"/>
        <v>-18.599999999999984</v>
      </c>
      <c r="G113" s="600">
        <f t="shared" si="372"/>
        <v>-45.399999999999949</v>
      </c>
      <c r="H113" s="628">
        <f t="shared" si="372"/>
        <v>-51.800000000000011</v>
      </c>
      <c r="I113" s="600">
        <f t="shared" si="372"/>
        <v>-5.7999999999999856</v>
      </c>
      <c r="J113" s="600">
        <f t="shared" si="372"/>
        <v>11.299999999999972</v>
      </c>
      <c r="K113" s="600">
        <f t="shared" si="372"/>
        <v>-88.799999999999983</v>
      </c>
      <c r="L113" s="628">
        <f t="shared" si="372"/>
        <v>10.799999999999983</v>
      </c>
      <c r="M113" s="600">
        <f t="shared" si="372"/>
        <v>13.900000000000004</v>
      </c>
      <c r="N113" s="600">
        <f t="shared" si="372"/>
        <v>18.000000000000014</v>
      </c>
      <c r="O113" s="600">
        <f t="shared" si="372"/>
        <v>20.800000000000011</v>
      </c>
      <c r="P113" s="628">
        <f t="shared" si="372"/>
        <v>40.79999999999999</v>
      </c>
      <c r="Q113" s="600">
        <f t="shared" si="372"/>
        <v>67.800000000000011</v>
      </c>
      <c r="R113" s="600">
        <f t="shared" si="372"/>
        <v>76.899999999999977</v>
      </c>
      <c r="S113" s="600">
        <f t="shared" si="372"/>
        <v>87.40000000000002</v>
      </c>
      <c r="T113" s="628">
        <f t="shared" si="372"/>
        <v>53.999999999999986</v>
      </c>
      <c r="U113" s="600">
        <f t="shared" si="372"/>
        <v>63.300000000000004</v>
      </c>
      <c r="V113" s="600">
        <f t="shared" si="372"/>
        <v>63.799999999999955</v>
      </c>
      <c r="W113" s="600">
        <f t="shared" si="372"/>
        <v>61.099999999999994</v>
      </c>
      <c r="X113" s="628">
        <f t="shared" si="372"/>
        <v>10.99999999999997</v>
      </c>
      <c r="Y113" s="600">
        <f t="shared" si="372"/>
        <v>34.20000000000001</v>
      </c>
      <c r="Z113" s="600">
        <f t="shared" si="372"/>
        <v>50.600000000000023</v>
      </c>
      <c r="AA113" s="600">
        <f t="shared" si="372"/>
        <v>-524.70000000000005</v>
      </c>
      <c r="AB113" s="628">
        <f t="shared" si="372"/>
        <v>-33.899999999999963</v>
      </c>
      <c r="AC113" s="600">
        <f t="shared" si="372"/>
        <v>-3.0000000000000098</v>
      </c>
      <c r="AD113" s="600">
        <f t="shared" si="372"/>
        <v>29.899999999999945</v>
      </c>
      <c r="AE113" s="600">
        <f t="shared" si="372"/>
        <v>68.000000000000014</v>
      </c>
      <c r="AF113" s="628">
        <f t="shared" si="372"/>
        <v>63.000000000000021</v>
      </c>
      <c r="AG113" s="600">
        <f t="shared" si="372"/>
        <v>78.69999999999996</v>
      </c>
      <c r="AH113" s="600">
        <f t="shared" si="372"/>
        <v>87.800000000000054</v>
      </c>
      <c r="AI113" s="600">
        <f t="shared" si="372"/>
        <v>61.000000000000021</v>
      </c>
      <c r="AJ113" s="628">
        <f t="shared" si="372"/>
        <v>35.499999999999986</v>
      </c>
      <c r="AK113" s="600">
        <f t="shared" si="372"/>
        <v>34.299999999999919</v>
      </c>
      <c r="AL113" s="600">
        <f t="shared" si="372"/>
        <v>-49.399999999999984</v>
      </c>
      <c r="AM113" s="600">
        <f t="shared" si="372"/>
        <v>-8.8000000000000824</v>
      </c>
      <c r="AN113" s="628">
        <f t="shared" si="372"/>
        <v>28.199999999999992</v>
      </c>
      <c r="AO113" s="600">
        <f t="shared" si="372"/>
        <v>6.8999999999999213</v>
      </c>
      <c r="AP113" s="600">
        <f t="shared" si="372"/>
        <v>12.499999999999966</v>
      </c>
      <c r="AQ113" s="601">
        <f t="shared" si="372"/>
        <v>-138.19999999999999</v>
      </c>
      <c r="AR113" s="628">
        <f t="shared" si="372"/>
        <v>22.600000000000019</v>
      </c>
      <c r="AS113" s="600">
        <f t="shared" si="372"/>
        <v>47.699999999999953</v>
      </c>
      <c r="AT113" s="600">
        <f t="shared" si="372"/>
        <v>51.800000000000011</v>
      </c>
      <c r="AU113" s="600">
        <f t="shared" si="372"/>
        <v>28.699999999999978</v>
      </c>
      <c r="AV113" s="628">
        <f t="shared" si="372"/>
        <v>58.400000000000006</v>
      </c>
      <c r="AW113" s="600">
        <f t="shared" ref="AW113:BB113" si="373">AW97+AW104+AW112+AW108</f>
        <v>87.999999999999986</v>
      </c>
      <c r="AX113" s="600">
        <f t="shared" si="373"/>
        <v>41.60000000000003</v>
      </c>
      <c r="AY113" s="601">
        <f t="shared" si="373"/>
        <v>4.9000000000000812</v>
      </c>
      <c r="AZ113" s="628">
        <f t="shared" si="373"/>
        <v>55.100000000000009</v>
      </c>
      <c r="BA113" s="600">
        <f t="shared" si="373"/>
        <v>50.699999999999946</v>
      </c>
      <c r="BB113" s="600">
        <f t="shared" si="373"/>
        <v>46.300000000000004</v>
      </c>
      <c r="BC113" s="601">
        <f t="shared" ref="BC113:BK113" si="374">BC97+BC104+BC112+BC108</f>
        <v>54.099999999999973</v>
      </c>
      <c r="BD113" s="628">
        <f t="shared" si="374"/>
        <v>36.000000000000007</v>
      </c>
      <c r="BE113" s="600">
        <f t="shared" si="374"/>
        <v>25.099999999999984</v>
      </c>
      <c r="BF113" s="600">
        <f t="shared" si="374"/>
        <v>10.100000000000037</v>
      </c>
      <c r="BG113" s="601">
        <f t="shared" ref="BG113:BI113" si="375">BG97+BG104+BG112+BG108</f>
        <v>110.89999999999999</v>
      </c>
      <c r="BH113" s="628">
        <f t="shared" si="375"/>
        <v>78.200000000000102</v>
      </c>
      <c r="BI113" s="1410">
        <f t="shared" si="375"/>
        <v>93.899999999999991</v>
      </c>
      <c r="BJ113" s="1410">
        <f t="shared" si="374"/>
        <v>108.70000000000006</v>
      </c>
      <c r="BK113" s="1411">
        <f t="shared" si="374"/>
        <v>529.9</v>
      </c>
      <c r="BL113" s="1419">
        <f t="shared" ref="BL113:BS113" si="376">BL97+BL104+BL112+BL108</f>
        <v>139.46389460453702</v>
      </c>
      <c r="BM113" s="1410">
        <f t="shared" si="376"/>
        <v>185.21582511018468</v>
      </c>
      <c r="BN113" s="1410">
        <f t="shared" si="376"/>
        <v>195.31131671690611</v>
      </c>
      <c r="BO113" s="1411">
        <f t="shared" si="376"/>
        <v>186.83928116585403</v>
      </c>
      <c r="BP113" s="1419">
        <f t="shared" si="376"/>
        <v>184.53643690068847</v>
      </c>
      <c r="BQ113" s="1410">
        <f t="shared" si="376"/>
        <v>204.43252266361816</v>
      </c>
      <c r="BR113" s="1410">
        <f t="shared" si="376"/>
        <v>222.01962024148892</v>
      </c>
      <c r="BS113" s="1411">
        <f t="shared" si="376"/>
        <v>215.42577256924505</v>
      </c>
      <c r="BT113" s="1419">
        <f t="shared" ref="BT113:BW113" si="377">BT97+BT104+BT112+BT108</f>
        <v>205.96409561152163</v>
      </c>
      <c r="BU113" s="1410">
        <f t="shared" si="377"/>
        <v>226.86674705491814</v>
      </c>
      <c r="BV113" s="1410">
        <f t="shared" si="377"/>
        <v>245.12299455172584</v>
      </c>
      <c r="BW113" s="1411">
        <f t="shared" si="377"/>
        <v>238.22847855305614</v>
      </c>
      <c r="BX113" s="1236"/>
      <c r="BY113" s="600">
        <f t="shared" ref="BY113:CL113" si="378">BY97+BY104+BY112+BY108</f>
        <v>-176.40000000000015</v>
      </c>
      <c r="BZ113" s="600">
        <f t="shared" si="378"/>
        <v>-135.09999999999988</v>
      </c>
      <c r="CA113" s="600">
        <f t="shared" si="378"/>
        <v>63.500000000000121</v>
      </c>
      <c r="CB113" s="600">
        <f t="shared" si="378"/>
        <v>272.89999999999981</v>
      </c>
      <c r="CC113" s="600">
        <f t="shared" si="378"/>
        <v>242.19999999999987</v>
      </c>
      <c r="CD113" s="600">
        <f t="shared" si="378"/>
        <v>-428.9000000000006</v>
      </c>
      <c r="CE113" s="1410">
        <f t="shared" si="378"/>
        <v>61.000000000000014</v>
      </c>
      <c r="CF113" s="1410">
        <f t="shared" si="378"/>
        <v>290.50000000000006</v>
      </c>
      <c r="CG113" s="1410">
        <f t="shared" si="378"/>
        <v>11.600000000000179</v>
      </c>
      <c r="CH113" s="1410">
        <f t="shared" si="378"/>
        <v>-90.600000000000406</v>
      </c>
      <c r="CI113" s="1410">
        <f t="shared" si="378"/>
        <v>150.79999999999959</v>
      </c>
      <c r="CJ113" s="1410">
        <f t="shared" si="378"/>
        <v>192.90000000000038</v>
      </c>
      <c r="CK113" s="1410">
        <f t="shared" si="378"/>
        <v>206.20000000000036</v>
      </c>
      <c r="CL113" s="1410">
        <f t="shared" si="378"/>
        <v>182.09999999999991</v>
      </c>
      <c r="CM113" s="1410">
        <f>CM97+CM104+CM112+CM108</f>
        <v>810.70000000000039</v>
      </c>
      <c r="CN113" s="1410">
        <f>CN97+CN104+CN112+CN108</f>
        <v>706.83031759748189</v>
      </c>
      <c r="CO113" s="1410">
        <f>CO97+CO104+CO112+CO108</f>
        <v>826.41435237504061</v>
      </c>
      <c r="CP113" s="1411">
        <f>CP97+CP104+CP112+CP108</f>
        <v>916.18231577122083</v>
      </c>
      <c r="CQ113" s="1468"/>
    </row>
    <row r="114" spans="1:105" ht="14.25" hidden="1" customHeight="1" outlineLevel="1">
      <c r="A114" s="9"/>
      <c r="B114" s="459"/>
      <c r="C114" s="33"/>
      <c r="D114" s="609"/>
      <c r="E114" s="609"/>
      <c r="F114" s="609"/>
      <c r="G114" s="624"/>
      <c r="H114" s="637"/>
      <c r="I114" s="609"/>
      <c r="J114" s="609"/>
      <c r="K114" s="624"/>
      <c r="L114" s="637"/>
      <c r="M114" s="609"/>
      <c r="N114" s="609"/>
      <c r="O114" s="624"/>
      <c r="P114" s="637"/>
      <c r="Q114" s="609"/>
      <c r="R114" s="609"/>
      <c r="S114" s="624"/>
      <c r="T114" s="637"/>
      <c r="U114" s="609"/>
      <c r="V114" s="609"/>
      <c r="W114" s="624"/>
      <c r="X114" s="637"/>
      <c r="Y114" s="609"/>
      <c r="Z114" s="609"/>
      <c r="AA114" s="624"/>
      <c r="AB114" s="637"/>
      <c r="AC114" s="609"/>
      <c r="AD114" s="609"/>
      <c r="AE114" s="624"/>
      <c r="AF114" s="637"/>
      <c r="AG114" s="609"/>
      <c r="AH114" s="609"/>
      <c r="AI114" s="624"/>
      <c r="AJ114" s="637"/>
      <c r="AK114" s="609"/>
      <c r="AL114" s="609"/>
      <c r="AM114" s="624"/>
      <c r="AN114" s="637"/>
      <c r="AO114" s="609"/>
      <c r="AP114" s="609"/>
      <c r="AQ114" s="610"/>
      <c r="AR114" s="637"/>
      <c r="AS114" s="609"/>
      <c r="AT114" s="609"/>
      <c r="AU114" s="624"/>
      <c r="AV114" s="637"/>
      <c r="AW114" s="609"/>
      <c r="AX114" s="609"/>
      <c r="AY114" s="610"/>
      <c r="AZ114" s="637"/>
      <c r="BA114" s="609"/>
      <c r="BB114" s="609"/>
      <c r="BC114" s="610"/>
      <c r="BD114" s="637"/>
      <c r="BE114" s="609"/>
      <c r="BF114" s="609"/>
      <c r="BG114" s="610"/>
      <c r="BH114" s="637"/>
      <c r="BI114" s="1414"/>
      <c r="BJ114" s="1414"/>
      <c r="BK114" s="1415"/>
      <c r="BL114" s="1420"/>
      <c r="BM114" s="1414"/>
      <c r="BN114" s="1414"/>
      <c r="BO114" s="1415"/>
      <c r="BP114" s="1420"/>
      <c r="BQ114" s="1414"/>
      <c r="BR114" s="1414"/>
      <c r="BS114" s="1415"/>
      <c r="BT114" s="1420"/>
      <c r="BU114" s="1414"/>
      <c r="BV114" s="1414"/>
      <c r="BW114" s="1415"/>
      <c r="BX114" s="211"/>
      <c r="BY114" s="597"/>
      <c r="BZ114" s="597"/>
      <c r="CA114" s="597"/>
      <c r="CB114" s="597"/>
      <c r="CC114" s="597"/>
      <c r="CD114" s="597"/>
      <c r="CE114" s="597"/>
      <c r="CF114" s="597"/>
      <c r="CG114" s="597"/>
      <c r="CH114" s="597"/>
      <c r="CI114" s="597"/>
      <c r="CJ114" s="597"/>
      <c r="CK114" s="597"/>
      <c r="CL114" s="597"/>
      <c r="CM114" s="597"/>
      <c r="CN114" s="597"/>
      <c r="CO114" s="597"/>
      <c r="CP114" s="929"/>
      <c r="CQ114" s="22"/>
    </row>
    <row r="115" spans="1:105" ht="14.25" hidden="1" customHeight="1" outlineLevel="1">
      <c r="A115" s="9"/>
      <c r="B115" s="459"/>
      <c r="C115" s="33"/>
      <c r="D115" s="37"/>
      <c r="E115" s="37"/>
      <c r="F115" s="37"/>
      <c r="G115" s="625"/>
      <c r="H115" s="38"/>
      <c r="I115" s="37"/>
      <c r="J115" s="37"/>
      <c r="K115" s="625"/>
      <c r="L115" s="38"/>
      <c r="M115" s="37"/>
      <c r="N115" s="37"/>
      <c r="O115" s="625"/>
      <c r="P115" s="38"/>
      <c r="Q115" s="37"/>
      <c r="R115" s="37"/>
      <c r="S115" s="625"/>
      <c r="T115" s="38"/>
      <c r="U115" s="37"/>
      <c r="V115" s="37"/>
      <c r="W115" s="625"/>
      <c r="X115" s="38"/>
      <c r="Y115" s="37"/>
      <c r="Z115" s="37"/>
      <c r="AA115" s="625"/>
      <c r="AB115" s="38"/>
      <c r="AC115" s="37"/>
      <c r="AD115" s="37"/>
      <c r="AE115" s="625"/>
      <c r="AF115" s="38"/>
      <c r="AG115" s="37"/>
      <c r="AH115" s="37"/>
      <c r="AI115" s="625"/>
      <c r="AJ115" s="38"/>
      <c r="AK115" s="37"/>
      <c r="AL115" s="37"/>
      <c r="AM115" s="625"/>
      <c r="AN115" s="38"/>
      <c r="AO115" s="37"/>
      <c r="AP115" s="37"/>
      <c r="AQ115" s="575"/>
      <c r="AR115" s="38"/>
      <c r="AS115" s="37"/>
      <c r="AT115" s="37"/>
      <c r="AU115" s="625"/>
      <c r="AV115" s="38"/>
      <c r="AW115" s="37"/>
      <c r="AX115" s="37"/>
      <c r="AY115" s="575"/>
      <c r="AZ115" s="38"/>
      <c r="BA115" s="37"/>
      <c r="BB115" s="37"/>
      <c r="BC115" s="575"/>
      <c r="BD115" s="38"/>
      <c r="BE115" s="37"/>
      <c r="BF115" s="37"/>
      <c r="BG115" s="575"/>
      <c r="BH115" s="38"/>
      <c r="BI115" s="1396"/>
      <c r="BJ115" s="1396"/>
      <c r="BK115" s="1403"/>
      <c r="BL115" s="1397"/>
      <c r="BM115" s="1396"/>
      <c r="BN115" s="1396"/>
      <c r="BO115" s="1403"/>
      <c r="BP115" s="1397"/>
      <c r="BQ115" s="1396"/>
      <c r="BR115" s="1396"/>
      <c r="BS115" s="1403"/>
      <c r="BT115" s="1397"/>
      <c r="BU115" s="1396"/>
      <c r="BV115" s="1396"/>
      <c r="BW115" s="1403"/>
      <c r="BX115" s="211"/>
      <c r="BY115" s="34"/>
      <c r="BZ115" s="34"/>
      <c r="CA115" s="34"/>
      <c r="CB115" s="34"/>
      <c r="CC115" s="34"/>
      <c r="CD115" s="34"/>
      <c r="CE115" s="1393"/>
      <c r="CF115" s="1393"/>
      <c r="CG115" s="1393"/>
      <c r="CH115" s="1393"/>
      <c r="CI115" s="1393"/>
      <c r="CJ115" s="1393"/>
      <c r="CK115" s="1393"/>
      <c r="CL115" s="1393"/>
      <c r="CM115" s="1393"/>
      <c r="CN115" s="1393"/>
      <c r="CO115" s="1393"/>
      <c r="CP115" s="1394"/>
      <c r="CQ115" s="22"/>
    </row>
    <row r="116" spans="1:105" ht="14.25" customHeight="1" collapsed="1">
      <c r="A116" s="9"/>
      <c r="B116" s="453" t="s">
        <v>91</v>
      </c>
      <c r="C116" s="24"/>
      <c r="D116" s="52">
        <f t="shared" ref="D116:AQ116" si="379">D113/D124</f>
        <v>-0.29875283446712009</v>
      </c>
      <c r="E116" s="52">
        <f t="shared" si="379"/>
        <v>-0.33766968325791868</v>
      </c>
      <c r="F116" s="52">
        <f t="shared" si="379"/>
        <v>-0.10362116991643446</v>
      </c>
      <c r="G116" s="52">
        <f t="shared" si="379"/>
        <v>-0.2093130474873211</v>
      </c>
      <c r="H116" s="51">
        <f t="shared" si="379"/>
        <v>-0.22570806100217869</v>
      </c>
      <c r="I116" s="52">
        <f t="shared" si="379"/>
        <v>-2.289774970390835E-2</v>
      </c>
      <c r="J116" s="52">
        <f t="shared" si="379"/>
        <v>3.9524309199020544E-2</v>
      </c>
      <c r="K116" s="52">
        <f t="shared" si="379"/>
        <v>-0.3489194499017681</v>
      </c>
      <c r="L116" s="51">
        <f t="shared" si="379"/>
        <v>3.7526059763724751E-2</v>
      </c>
      <c r="M116" s="52">
        <f t="shared" si="379"/>
        <v>4.8297428769979167E-2</v>
      </c>
      <c r="N116" s="52">
        <f t="shared" si="379"/>
        <v>6.1919504643962897E-2</v>
      </c>
      <c r="O116" s="52">
        <f t="shared" si="379"/>
        <v>6.485812285625199E-2</v>
      </c>
      <c r="P116" s="51">
        <f t="shared" si="379"/>
        <v>0.11778290993071591</v>
      </c>
      <c r="Q116" s="52">
        <f t="shared" si="379"/>
        <v>0.19061006466123143</v>
      </c>
      <c r="R116" s="52">
        <f t="shared" si="379"/>
        <v>0.22846108140225779</v>
      </c>
      <c r="S116" s="52">
        <f t="shared" si="379"/>
        <v>0.26719657597065122</v>
      </c>
      <c r="T116" s="51">
        <f t="shared" si="379"/>
        <v>0.1796407185628742</v>
      </c>
      <c r="U116" s="52">
        <f t="shared" si="379"/>
        <v>0.20652528548123983</v>
      </c>
      <c r="V116" s="52">
        <f t="shared" si="379"/>
        <v>0.2007551919446191</v>
      </c>
      <c r="W116" s="52">
        <f t="shared" si="379"/>
        <v>0.20278791901759041</v>
      </c>
      <c r="X116" s="51">
        <f t="shared" si="379"/>
        <v>3.5564177174264369E-2</v>
      </c>
      <c r="Y116" s="52">
        <f t="shared" si="379"/>
        <v>8.4277969443075432E-2</v>
      </c>
      <c r="Z116" s="52">
        <f t="shared" si="379"/>
        <v>0.12500000000000006</v>
      </c>
      <c r="AA116" s="52">
        <f t="shared" si="379"/>
        <v>-1.2825714984111465</v>
      </c>
      <c r="AB116" s="51">
        <f t="shared" si="379"/>
        <v>-8.1963249516440906E-2</v>
      </c>
      <c r="AC116" s="52">
        <f t="shared" si="379"/>
        <v>-7.1309721892084859E-3</v>
      </c>
      <c r="AD116" s="52">
        <f t="shared" si="379"/>
        <v>6.8093828285128541E-2</v>
      </c>
      <c r="AE116" s="52">
        <f t="shared" si="379"/>
        <v>0.15353352901332132</v>
      </c>
      <c r="AF116" s="51">
        <f t="shared" si="379"/>
        <v>0.14288954411431168</v>
      </c>
      <c r="AG116" s="52">
        <f t="shared" si="379"/>
        <v>0.17902638762511364</v>
      </c>
      <c r="AH116" s="52">
        <f t="shared" si="379"/>
        <v>0.1996361982719419</v>
      </c>
      <c r="AI116" s="52">
        <f t="shared" si="379"/>
        <v>0.13631284916201122</v>
      </c>
      <c r="AJ116" s="51">
        <f t="shared" si="379"/>
        <v>7.7850877192982421E-2</v>
      </c>
      <c r="AK116" s="52">
        <f t="shared" si="379"/>
        <v>7.4322860238353022E-2</v>
      </c>
      <c r="AL116" s="52">
        <f t="shared" si="379"/>
        <v>-0.1100713012477718</v>
      </c>
      <c r="AM116" s="52">
        <f t="shared" si="379"/>
        <v>-1.9538188277087219E-2</v>
      </c>
      <c r="AN116" s="51">
        <f t="shared" si="379"/>
        <v>6.1224489795918345E-2</v>
      </c>
      <c r="AO116" s="52">
        <f t="shared" si="379"/>
        <v>1.5081967213114581E-2</v>
      </c>
      <c r="AP116" s="52">
        <f t="shared" si="379"/>
        <v>2.7400263042525134E-2</v>
      </c>
      <c r="AQ116" s="53">
        <f t="shared" si="379"/>
        <v>-0.3080695497102095</v>
      </c>
      <c r="AR116" s="51">
        <f t="shared" ref="AR116:AW116" si="380">AR113/AR124</f>
        <v>4.9944751381215513E-2</v>
      </c>
      <c r="AS116" s="52">
        <f t="shared" si="380"/>
        <v>0.10522832561217726</v>
      </c>
      <c r="AT116" s="52">
        <f t="shared" si="380"/>
        <v>0.11457642114576423</v>
      </c>
      <c r="AU116" s="52">
        <f t="shared" si="380"/>
        <v>6.4465408805031404E-2</v>
      </c>
      <c r="AV116" s="51">
        <f t="shared" si="380"/>
        <v>0.13138357705286841</v>
      </c>
      <c r="AW116" s="52">
        <f t="shared" si="380"/>
        <v>0.19797525309336331</v>
      </c>
      <c r="AX116" s="52">
        <f t="shared" ref="AX116:BK116" si="381">AX113/AX124</f>
        <v>9.350415823780632E-2</v>
      </c>
      <c r="AY116" s="53">
        <f t="shared" si="381"/>
        <v>1.1131303952748936E-2</v>
      </c>
      <c r="AZ116" s="51">
        <f t="shared" si="381"/>
        <v>0.12525573994089567</v>
      </c>
      <c r="BA116" s="52">
        <f t="shared" si="381"/>
        <v>0.11620444648177847</v>
      </c>
      <c r="BB116" s="52">
        <f t="shared" si="381"/>
        <v>0.11089820359281438</v>
      </c>
      <c r="BC116" s="53">
        <f t="shared" si="381"/>
        <v>0.12976733029503473</v>
      </c>
      <c r="BD116" s="51">
        <f t="shared" si="381"/>
        <v>8.6642599277978363E-2</v>
      </c>
      <c r="BE116" s="52">
        <f>BE113/BE124</f>
        <v>6.0105363984674288E-2</v>
      </c>
      <c r="BF116" s="52">
        <f t="shared" si="381"/>
        <v>2.40590757503574E-2</v>
      </c>
      <c r="BG116" s="53">
        <f t="shared" ref="BG116:BH116" si="382">BG113/BG124</f>
        <v>0.25977980791754507</v>
      </c>
      <c r="BH116" s="51">
        <f t="shared" si="382"/>
        <v>0.18365429779239104</v>
      </c>
      <c r="BI116" s="52">
        <f>BI113/BI124</f>
        <v>0.22047428973937544</v>
      </c>
      <c r="BJ116" s="52">
        <f t="shared" si="381"/>
        <v>0.25426900584795337</v>
      </c>
      <c r="BK116" s="53">
        <f t="shared" si="381"/>
        <v>1.2229402261712439</v>
      </c>
      <c r="BL116" s="51">
        <f t="shared" ref="BL116:BS116" si="383">BL113/BL124</f>
        <v>0.31269931525680944</v>
      </c>
      <c r="BM116" s="52">
        <f t="shared" si="383"/>
        <v>0.41435307630913798</v>
      </c>
      <c r="BN116" s="52">
        <f t="shared" si="383"/>
        <v>0.43596276052880828</v>
      </c>
      <c r="BO116" s="53">
        <f t="shared" si="383"/>
        <v>0.41612312063664597</v>
      </c>
      <c r="BP116" s="51">
        <f t="shared" si="383"/>
        <v>0.41008097089041884</v>
      </c>
      <c r="BQ116" s="52">
        <f t="shared" si="383"/>
        <v>0.45328718994150369</v>
      </c>
      <c r="BR116" s="52">
        <f t="shared" si="383"/>
        <v>0.49119385009178967</v>
      </c>
      <c r="BS116" s="53">
        <f t="shared" si="383"/>
        <v>0.47555358183056301</v>
      </c>
      <c r="BT116" s="51">
        <f t="shared" ref="BT116:BW116" si="384">BT113/BT124</f>
        <v>0.45366540883595075</v>
      </c>
      <c r="BU116" s="52">
        <f t="shared" si="384"/>
        <v>0.49860823528553438</v>
      </c>
      <c r="BV116" s="52">
        <f t="shared" si="384"/>
        <v>0.5375504266485216</v>
      </c>
      <c r="BW116" s="53">
        <f t="shared" si="384"/>
        <v>0.52128769924082308</v>
      </c>
      <c r="BX116" s="211"/>
      <c r="BY116" s="52">
        <f t="shared" ref="BY116:CJ116" si="385">BY113/BY124</f>
        <v>-0.9413020277481331</v>
      </c>
      <c r="BZ116" s="52">
        <f t="shared" si="385"/>
        <v>-0.54519774011299382</v>
      </c>
      <c r="CA116" s="52">
        <f t="shared" si="385"/>
        <v>0.21394878706199502</v>
      </c>
      <c r="CB116" s="52">
        <f t="shared" si="385"/>
        <v>0.79771996492253661</v>
      </c>
      <c r="CC116" s="52">
        <f t="shared" si="385"/>
        <v>0.80411686586985354</v>
      </c>
      <c r="CD116" s="52">
        <f t="shared" si="385"/>
        <v>-1.1316622691292892</v>
      </c>
      <c r="CE116" s="52">
        <f t="shared" si="385"/>
        <v>0.14117102522564223</v>
      </c>
      <c r="CF116" s="52">
        <f t="shared" si="385"/>
        <v>0.65369036903690381</v>
      </c>
      <c r="CG116" s="52">
        <f t="shared" si="385"/>
        <v>2.5371828521435213E-2</v>
      </c>
      <c r="CH116" s="52">
        <f t="shared" si="385"/>
        <v>-0.20017675651789749</v>
      </c>
      <c r="CI116" s="52">
        <f t="shared" si="385"/>
        <v>0.33453496755587503</v>
      </c>
      <c r="CJ116" s="52">
        <f t="shared" si="385"/>
        <v>0.43492475057775853</v>
      </c>
      <c r="CK116" s="52">
        <f t="shared" ref="CK116:CP116" si="386">CK113/CK124</f>
        <v>0.48216999883082046</v>
      </c>
      <c r="CL116" s="52">
        <f t="shared" si="386"/>
        <v>0.4336230503631382</v>
      </c>
      <c r="CM116" s="52">
        <f t="shared" si="386"/>
        <v>1.8936058394160593</v>
      </c>
      <c r="CN116" s="52">
        <f t="shared" si="386"/>
        <v>1.5795090896033115</v>
      </c>
      <c r="CO116" s="52">
        <f t="shared" si="386"/>
        <v>1.8303750883168119</v>
      </c>
      <c r="CP116" s="53">
        <f t="shared" si="386"/>
        <v>2.0113772025712859</v>
      </c>
      <c r="CQ116" s="22"/>
    </row>
    <row r="117" spans="1:105" ht="14.25" customHeight="1">
      <c r="A117" s="9"/>
      <c r="B117" s="453" t="s">
        <v>515</v>
      </c>
      <c r="C117" s="24"/>
      <c r="D117" s="52">
        <f t="shared" ref="D117:AQ117" si="387">D106/D125</f>
        <v>-0.14369047619047615</v>
      </c>
      <c r="E117" s="52">
        <f t="shared" si="387"/>
        <v>-0.2060237556561087</v>
      </c>
      <c r="F117" s="52">
        <f t="shared" si="387"/>
        <v>-9.2060167130919121E-2</v>
      </c>
      <c r="G117" s="52">
        <f t="shared" si="387"/>
        <v>-0.11464084831719669</v>
      </c>
      <c r="H117" s="51">
        <f t="shared" si="387"/>
        <v>-7.724270152505458E-2</v>
      </c>
      <c r="I117" s="52">
        <f t="shared" si="387"/>
        <v>5.8580339518357706E-2</v>
      </c>
      <c r="J117" s="52">
        <f t="shared" si="387"/>
        <v>6.1713885974116749E-2</v>
      </c>
      <c r="K117" s="52">
        <f t="shared" si="387"/>
        <v>-8.7500196463654131E-2</v>
      </c>
      <c r="L117" s="51">
        <f t="shared" si="387"/>
        <v>5.3912786657400916E-2</v>
      </c>
      <c r="M117" s="52">
        <f t="shared" si="387"/>
        <v>7.0614315496872831E-2</v>
      </c>
      <c r="N117" s="52">
        <f t="shared" si="387"/>
        <v>8.1287237702098447E-2</v>
      </c>
      <c r="O117" s="52">
        <f t="shared" si="387"/>
        <v>0.14399501091362649</v>
      </c>
      <c r="P117" s="51">
        <f t="shared" si="387"/>
        <v>0.12384526558891455</v>
      </c>
      <c r="Q117" s="52">
        <f t="shared" si="387"/>
        <v>0.20775934776497051</v>
      </c>
      <c r="R117" s="52">
        <f t="shared" si="387"/>
        <v>0.23885918003565049</v>
      </c>
      <c r="S117" s="52">
        <f t="shared" si="387"/>
        <v>0.24763069397737705</v>
      </c>
      <c r="T117" s="51">
        <f t="shared" si="387"/>
        <v>0.19083499667332002</v>
      </c>
      <c r="U117" s="52">
        <f t="shared" si="387"/>
        <v>0.21794453507340944</v>
      </c>
      <c r="V117" s="52">
        <f t="shared" si="387"/>
        <v>0.21774701069855243</v>
      </c>
      <c r="W117" s="52">
        <f t="shared" si="387"/>
        <v>0.24538665781613009</v>
      </c>
      <c r="X117" s="51">
        <f t="shared" si="387"/>
        <v>0.21144519883608143</v>
      </c>
      <c r="Y117" s="52">
        <f t="shared" si="387"/>
        <v>0.23435189748644661</v>
      </c>
      <c r="Z117" s="52">
        <f t="shared" si="387"/>
        <v>0.24802371541501977</v>
      </c>
      <c r="AA117" s="52">
        <f t="shared" si="387"/>
        <v>0.11648832684824906</v>
      </c>
      <c r="AB117" s="51">
        <f t="shared" si="387"/>
        <v>2.3998080153589557E-3</v>
      </c>
      <c r="AC117" s="52">
        <f t="shared" si="387"/>
        <v>5.2157858296792016E-2</v>
      </c>
      <c r="AD117" s="52">
        <f t="shared" si="387"/>
        <v>0.13072193122295592</v>
      </c>
      <c r="AE117" s="52">
        <f t="shared" si="387"/>
        <v>0.19169112666516153</v>
      </c>
      <c r="AF117" s="51">
        <f t="shared" si="387"/>
        <v>0.19346790655477447</v>
      </c>
      <c r="AG117" s="52">
        <f t="shared" si="387"/>
        <v>0.23521383075523203</v>
      </c>
      <c r="AH117" s="52">
        <f t="shared" si="387"/>
        <v>0.24511141427921801</v>
      </c>
      <c r="AI117" s="52">
        <f t="shared" si="387"/>
        <v>0.22167597765363142</v>
      </c>
      <c r="AJ117" s="51">
        <f t="shared" si="387"/>
        <v>0.26074561403508761</v>
      </c>
      <c r="AK117" s="52">
        <f t="shared" si="387"/>
        <v>0.23336944745395433</v>
      </c>
      <c r="AL117" s="52">
        <f t="shared" si="387"/>
        <v>0.24296394019349166</v>
      </c>
      <c r="AM117" s="52">
        <f t="shared" si="387"/>
        <v>0.12798597413982005</v>
      </c>
      <c r="AN117" s="51">
        <f t="shared" si="387"/>
        <v>0.12483716891011722</v>
      </c>
      <c r="AO117" s="52">
        <f t="shared" si="387"/>
        <v>0.14207650273224032</v>
      </c>
      <c r="AP117" s="52">
        <f t="shared" si="387"/>
        <v>0.1172731258220079</v>
      </c>
      <c r="AQ117" s="53">
        <f t="shared" si="387"/>
        <v>8.2222222222222252E-2</v>
      </c>
      <c r="AR117" s="51">
        <f t="shared" ref="AR117:AW117" si="388">AR106/AR125</f>
        <v>9.8784530386740371E-2</v>
      </c>
      <c r="AS117" s="52">
        <f t="shared" si="388"/>
        <v>0.12618574895212875</v>
      </c>
      <c r="AT117" s="52">
        <f t="shared" si="388"/>
        <v>0.16677726166777262</v>
      </c>
      <c r="AU117" s="52">
        <f t="shared" si="388"/>
        <v>0.16689128481581314</v>
      </c>
      <c r="AV117" s="51">
        <f t="shared" si="388"/>
        <v>0.16917885264341961</v>
      </c>
      <c r="AW117" s="52">
        <f t="shared" si="388"/>
        <v>0.20179977502812146</v>
      </c>
      <c r="AX117" s="52">
        <f t="shared" ref="AX117:BK117" si="389">AX106/AX125</f>
        <v>0.20948527759046975</v>
      </c>
      <c r="AY117" s="53">
        <f t="shared" si="389"/>
        <v>0.17333030440708794</v>
      </c>
      <c r="AZ117" s="51">
        <f t="shared" si="389"/>
        <v>0.19799954535121619</v>
      </c>
      <c r="BA117" s="52">
        <f t="shared" si="389"/>
        <v>0.21865688746275488</v>
      </c>
      <c r="BB117" s="52">
        <f t="shared" si="389"/>
        <v>0.22874251497005985</v>
      </c>
      <c r="BC117" s="53">
        <f t="shared" si="389"/>
        <v>0.18925401775005998</v>
      </c>
      <c r="BD117" s="51">
        <f t="shared" si="389"/>
        <v>0.16919374247894103</v>
      </c>
      <c r="BE117" s="52">
        <f>BE106/BE125</f>
        <v>0.2119252873563218</v>
      </c>
      <c r="BF117" s="52">
        <f t="shared" si="389"/>
        <v>0.23892329680800381</v>
      </c>
      <c r="BG117" s="53">
        <f t="shared" ref="BG117:BH117" si="390">BG106/BG125</f>
        <v>0.28812368236120861</v>
      </c>
      <c r="BH117" s="51">
        <f t="shared" si="390"/>
        <v>0.26843588539220298</v>
      </c>
      <c r="BI117" s="52">
        <f>BI106/BI125</f>
        <v>0.36041324254519835</v>
      </c>
      <c r="BJ117" s="52">
        <f t="shared" si="389"/>
        <v>0.44304093567251479</v>
      </c>
      <c r="BK117" s="53">
        <f t="shared" si="389"/>
        <v>0.38916026983019331</v>
      </c>
      <c r="BL117" s="51">
        <f t="shared" ref="BL117:BS117" si="391">BL106/BL125</f>
        <v>0.39551827454753941</v>
      </c>
      <c r="BM117" s="52">
        <f t="shared" si="391"/>
        <v>0.42775017346462973</v>
      </c>
      <c r="BN117" s="52">
        <f t="shared" si="391"/>
        <v>0.45002607538457629</v>
      </c>
      <c r="BO117" s="53">
        <f t="shared" si="391"/>
        <v>0.42951558888702074</v>
      </c>
      <c r="BP117" s="51">
        <f t="shared" si="391"/>
        <v>0.42324870848781759</v>
      </c>
      <c r="BQ117" s="52">
        <f t="shared" si="391"/>
        <v>0.46780897634695229</v>
      </c>
      <c r="BR117" s="52">
        <f t="shared" si="391"/>
        <v>0.50689411014038566</v>
      </c>
      <c r="BS117" s="53">
        <f t="shared" si="391"/>
        <v>0.49071929970215272</v>
      </c>
      <c r="BT117" s="51">
        <f t="shared" ref="BT117:BW117" si="392">BT106/BT125</f>
        <v>0.46810021729891277</v>
      </c>
      <c r="BU117" s="52">
        <f t="shared" si="392"/>
        <v>0.51443706815174184</v>
      </c>
      <c r="BV117" s="52">
        <f t="shared" si="392"/>
        <v>0.55457691075051097</v>
      </c>
      <c r="BW117" s="53">
        <f t="shared" si="392"/>
        <v>0.53776180260283557</v>
      </c>
      <c r="BX117" s="211"/>
      <c r="BY117" s="52">
        <f t="shared" ref="BY117:CJ117" si="393">BY106/BY125</f>
        <v>-0.55049306296691658</v>
      </c>
      <c r="BZ117" s="52">
        <f t="shared" si="393"/>
        <v>-3.0321226795802604E-2</v>
      </c>
      <c r="CA117" s="52">
        <f t="shared" si="393"/>
        <v>0.35595788409703544</v>
      </c>
      <c r="CB117" s="52">
        <f t="shared" si="393"/>
        <v>0.81321251096170666</v>
      </c>
      <c r="CC117" s="52">
        <f t="shared" si="393"/>
        <v>0.88745019920318691</v>
      </c>
      <c r="CD117" s="52">
        <f t="shared" si="393"/>
        <v>0.80647688691564301</v>
      </c>
      <c r="CE117" s="52">
        <f t="shared" si="393"/>
        <v>0.38393890303170541</v>
      </c>
      <c r="CF117" s="52">
        <f t="shared" si="393"/>
        <v>0.89041404140414071</v>
      </c>
      <c r="CG117" s="52">
        <f>CG106/CG125</f>
        <v>0.86504811898512779</v>
      </c>
      <c r="CH117" s="52">
        <f t="shared" si="393"/>
        <v>0.46700285025213667</v>
      </c>
      <c r="CI117" s="52">
        <f t="shared" si="393"/>
        <v>0.5581498530308906</v>
      </c>
      <c r="CJ117" s="52">
        <f t="shared" si="393"/>
        <v>0.75395975424158823</v>
      </c>
      <c r="CK117" s="52">
        <f t="shared" ref="CK117:CP117" si="394">CK106/CK125</f>
        <v>0.83456097275809682</v>
      </c>
      <c r="CL117" s="52">
        <f t="shared" si="394"/>
        <v>0.90987022264555251</v>
      </c>
      <c r="CM117" s="52">
        <f t="shared" si="394"/>
        <v>1.4615879702767545</v>
      </c>
      <c r="CN117" s="52">
        <f t="shared" si="394"/>
        <v>1.6844990025316768</v>
      </c>
      <c r="CO117" s="52">
        <f t="shared" si="394"/>
        <v>1.88894709114295</v>
      </c>
      <c r="CP117" s="53">
        <f t="shared" si="394"/>
        <v>2.075158133117148</v>
      </c>
      <c r="CQ117" s="22"/>
    </row>
    <row r="118" spans="1:105" ht="14.25" hidden="1" customHeight="1" outlineLevel="1">
      <c r="A118" s="402"/>
      <c r="B118" s="464" t="s">
        <v>368</v>
      </c>
      <c r="C118" s="404"/>
      <c r="D118" s="577"/>
      <c r="E118" s="577"/>
      <c r="F118" s="577"/>
      <c r="G118" s="577"/>
      <c r="H118" s="638"/>
      <c r="I118" s="577"/>
      <c r="J118" s="577"/>
      <c r="K118" s="577"/>
      <c r="L118" s="638"/>
      <c r="M118" s="577"/>
      <c r="N118" s="577"/>
      <c r="O118" s="577"/>
      <c r="P118" s="638"/>
      <c r="Q118" s="577"/>
      <c r="R118" s="577"/>
      <c r="S118" s="577"/>
      <c r="T118" s="638"/>
      <c r="U118" s="577"/>
      <c r="V118" s="577"/>
      <c r="W118" s="577"/>
      <c r="X118" s="638"/>
      <c r="Y118" s="577"/>
      <c r="Z118" s="577"/>
      <c r="AA118" s="577"/>
      <c r="AB118" s="638"/>
      <c r="AC118" s="577"/>
      <c r="AD118" s="577"/>
      <c r="AE118" s="577"/>
      <c r="AF118" s="638"/>
      <c r="AG118" s="577"/>
      <c r="AH118" s="577"/>
      <c r="AI118" s="577"/>
      <c r="AJ118" s="638"/>
      <c r="AK118" s="577"/>
      <c r="AL118" s="577"/>
      <c r="AM118" s="577"/>
      <c r="AN118" s="638"/>
      <c r="AO118" s="577"/>
      <c r="AP118" s="577"/>
      <c r="AQ118" s="576"/>
      <c r="AR118" s="638"/>
      <c r="AS118" s="577"/>
      <c r="AT118" s="577"/>
      <c r="AU118" s="577"/>
      <c r="AV118" s="638"/>
      <c r="AW118" s="577"/>
      <c r="AX118" s="577"/>
      <c r="AY118" s="576"/>
      <c r="AZ118" s="638"/>
      <c r="BA118" s="577"/>
      <c r="BB118" s="577"/>
      <c r="BC118" s="576"/>
      <c r="BD118" s="638"/>
      <c r="BE118" s="617"/>
      <c r="BF118" s="617"/>
      <c r="BG118" s="576"/>
      <c r="BH118" s="638"/>
      <c r="BI118" s="1405"/>
      <c r="BJ118" s="1405"/>
      <c r="BK118" s="576"/>
      <c r="BL118" s="1421"/>
      <c r="BM118" s="1405"/>
      <c r="BN118" s="1405"/>
      <c r="BO118" s="1404"/>
      <c r="BP118" s="1421"/>
      <c r="BQ118" s="1405"/>
      <c r="BR118" s="1405"/>
      <c r="BS118" s="1404"/>
      <c r="BT118" s="1421"/>
      <c r="BU118" s="1405"/>
      <c r="BV118" s="1405"/>
      <c r="BW118" s="1404"/>
      <c r="BX118" s="483"/>
      <c r="BY118" s="617"/>
      <c r="BZ118" s="617"/>
      <c r="CA118" s="617"/>
      <c r="CB118" s="617"/>
      <c r="CC118" s="617"/>
      <c r="CD118" s="617"/>
      <c r="CE118" s="1405"/>
      <c r="CF118" s="1405"/>
      <c r="CG118" s="1405"/>
      <c r="CH118" s="1405"/>
      <c r="CI118" s="1405"/>
      <c r="CJ118" s="1405"/>
      <c r="CK118" s="1405"/>
      <c r="CL118" s="1405"/>
      <c r="CM118" s="1405"/>
      <c r="CN118" s="1405"/>
      <c r="CO118" s="1405"/>
      <c r="CP118" s="1404"/>
      <c r="CQ118" s="301"/>
    </row>
    <row r="119" spans="1:105" ht="14.25" customHeight="1" collapsed="1">
      <c r="A119" s="91"/>
      <c r="B119" s="477" t="s">
        <v>92</v>
      </c>
      <c r="C119" s="478"/>
      <c r="D119" s="479">
        <f t="shared" ref="D119:AQ119" si="395">D106/D124</f>
        <v>-0.14369047619047615</v>
      </c>
      <c r="E119" s="479">
        <f t="shared" si="395"/>
        <v>-0.2060237556561087</v>
      </c>
      <c r="F119" s="479">
        <f t="shared" si="395"/>
        <v>-9.2060167130919121E-2</v>
      </c>
      <c r="G119" s="479">
        <f t="shared" si="395"/>
        <v>-0.11464084831719669</v>
      </c>
      <c r="H119" s="481">
        <f t="shared" si="395"/>
        <v>-7.724270152505458E-2</v>
      </c>
      <c r="I119" s="479">
        <f t="shared" si="395"/>
        <v>5.8580339518357706E-2</v>
      </c>
      <c r="J119" s="479">
        <f t="shared" si="395"/>
        <v>6.1713885974116749E-2</v>
      </c>
      <c r="K119" s="479">
        <f t="shared" si="395"/>
        <v>-8.7500196463654131E-2</v>
      </c>
      <c r="L119" s="481">
        <f t="shared" si="395"/>
        <v>5.3912786657400916E-2</v>
      </c>
      <c r="M119" s="479">
        <f t="shared" si="395"/>
        <v>7.0614315496872831E-2</v>
      </c>
      <c r="N119" s="479">
        <f t="shared" si="395"/>
        <v>8.1287237702098447E-2</v>
      </c>
      <c r="O119" s="479">
        <f t="shared" si="395"/>
        <v>0.14399501091362649</v>
      </c>
      <c r="P119" s="481">
        <f t="shared" si="395"/>
        <v>0.12384526558891455</v>
      </c>
      <c r="Q119" s="479">
        <f t="shared" si="395"/>
        <v>0.20775934776497051</v>
      </c>
      <c r="R119" s="479">
        <f t="shared" si="395"/>
        <v>0.23885918003565049</v>
      </c>
      <c r="S119" s="479">
        <f t="shared" si="395"/>
        <v>0.24763069397737705</v>
      </c>
      <c r="T119" s="481">
        <f t="shared" si="395"/>
        <v>0.19083499667332002</v>
      </c>
      <c r="U119" s="479">
        <f t="shared" si="395"/>
        <v>0.21794453507340944</v>
      </c>
      <c r="V119" s="479">
        <f t="shared" si="395"/>
        <v>0.21774701069855243</v>
      </c>
      <c r="W119" s="479">
        <f t="shared" si="395"/>
        <v>0.24538665781613009</v>
      </c>
      <c r="X119" s="481">
        <f t="shared" si="395"/>
        <v>0.21144519883608143</v>
      </c>
      <c r="Y119" s="479">
        <f t="shared" si="395"/>
        <v>0.23435189748644661</v>
      </c>
      <c r="Z119" s="479">
        <f t="shared" si="395"/>
        <v>0.24802371541501977</v>
      </c>
      <c r="AA119" s="479">
        <f t="shared" si="395"/>
        <v>0.11708628697140067</v>
      </c>
      <c r="AB119" s="481">
        <f t="shared" si="395"/>
        <v>2.4177949709866461E-3</v>
      </c>
      <c r="AC119" s="479">
        <f t="shared" si="395"/>
        <v>5.3719990492037038E-2</v>
      </c>
      <c r="AD119" s="479">
        <f t="shared" si="395"/>
        <v>0.13072193122295592</v>
      </c>
      <c r="AE119" s="479">
        <f t="shared" si="395"/>
        <v>0.19169112666516153</v>
      </c>
      <c r="AF119" s="481">
        <f t="shared" si="395"/>
        <v>0.19346790655477447</v>
      </c>
      <c r="AG119" s="479">
        <f t="shared" si="395"/>
        <v>0.23521383075523203</v>
      </c>
      <c r="AH119" s="479">
        <f t="shared" si="395"/>
        <v>0.24511141427921801</v>
      </c>
      <c r="AI119" s="479">
        <f t="shared" si="395"/>
        <v>0.22167597765363142</v>
      </c>
      <c r="AJ119" s="481">
        <f t="shared" si="395"/>
        <v>0.26074561403508761</v>
      </c>
      <c r="AK119" s="479">
        <f t="shared" si="395"/>
        <v>0.23336944745395433</v>
      </c>
      <c r="AL119" s="479">
        <f t="shared" si="395"/>
        <v>0.24621212121212124</v>
      </c>
      <c r="AM119" s="479">
        <f t="shared" si="395"/>
        <v>0.12966252220248642</v>
      </c>
      <c r="AN119" s="481">
        <f t="shared" si="395"/>
        <v>0.12483716891011722</v>
      </c>
      <c r="AO119" s="479">
        <f t="shared" si="395"/>
        <v>0.14207650273224032</v>
      </c>
      <c r="AP119" s="479">
        <f t="shared" si="395"/>
        <v>0.1172731258220079</v>
      </c>
      <c r="AQ119" s="480">
        <f t="shared" si="395"/>
        <v>8.2478823004904167E-2</v>
      </c>
      <c r="AR119" s="481">
        <f t="shared" ref="AR119:AW119" si="396">AR106/AR124</f>
        <v>9.8784530386740371E-2</v>
      </c>
      <c r="AS119" s="479">
        <f t="shared" si="396"/>
        <v>0.12618574895212875</v>
      </c>
      <c r="AT119" s="479">
        <f t="shared" si="396"/>
        <v>0.16677726166777262</v>
      </c>
      <c r="AU119" s="479">
        <f t="shared" si="396"/>
        <v>0.16689128481581314</v>
      </c>
      <c r="AV119" s="481">
        <f t="shared" si="396"/>
        <v>0.16917885264341961</v>
      </c>
      <c r="AW119" s="479">
        <f t="shared" si="396"/>
        <v>0.20179977502812146</v>
      </c>
      <c r="AX119" s="479">
        <f t="shared" ref="AX119:BK119" si="397">AX106/AX124</f>
        <v>0.20948527759046975</v>
      </c>
      <c r="AY119" s="480">
        <f t="shared" si="397"/>
        <v>0.17333030440708794</v>
      </c>
      <c r="AZ119" s="481">
        <f t="shared" si="397"/>
        <v>0.19799954535121619</v>
      </c>
      <c r="BA119" s="479">
        <f t="shared" si="397"/>
        <v>0.21865688746275488</v>
      </c>
      <c r="BB119" s="479">
        <f t="shared" si="397"/>
        <v>0.22874251497005985</v>
      </c>
      <c r="BC119" s="480">
        <f t="shared" si="397"/>
        <v>0.18925401775005998</v>
      </c>
      <c r="BD119" s="481">
        <f t="shared" si="397"/>
        <v>0.16919374247894103</v>
      </c>
      <c r="BE119" s="620">
        <f>BE106/BE124</f>
        <v>0.2119252873563218</v>
      </c>
      <c r="BF119" s="620">
        <f t="shared" si="397"/>
        <v>0.23892329680800381</v>
      </c>
      <c r="BG119" s="480">
        <f t="shared" ref="BG119:BH119" si="398">BG106/BG124</f>
        <v>0.28812368236120861</v>
      </c>
      <c r="BH119" s="481">
        <f t="shared" si="398"/>
        <v>0.26843588539220298</v>
      </c>
      <c r="BI119" s="620">
        <f>BI106/BI124</f>
        <v>0.36041324254519835</v>
      </c>
      <c r="BJ119" s="620">
        <f t="shared" si="397"/>
        <v>0.44304093567251479</v>
      </c>
      <c r="BK119" s="480">
        <f t="shared" si="397"/>
        <v>0.38610662358642994</v>
      </c>
      <c r="BL119" s="1033">
        <f t="shared" ref="BL119:BS119" si="399">BL106/BL124</f>
        <v>0.38310290270075564</v>
      </c>
      <c r="BM119" s="620">
        <f t="shared" si="399"/>
        <v>0.41435307630913798</v>
      </c>
      <c r="BN119" s="620">
        <f t="shared" si="399"/>
        <v>0.43596276052880828</v>
      </c>
      <c r="BO119" s="927">
        <f t="shared" si="399"/>
        <v>0.41612312063664597</v>
      </c>
      <c r="BP119" s="1033">
        <f t="shared" si="399"/>
        <v>0.41008097089041884</v>
      </c>
      <c r="BQ119" s="620">
        <f t="shared" si="399"/>
        <v>0.45328718994150369</v>
      </c>
      <c r="BR119" s="620">
        <f t="shared" si="399"/>
        <v>0.49119385009178967</v>
      </c>
      <c r="BS119" s="927">
        <f t="shared" si="399"/>
        <v>0.47555358183056301</v>
      </c>
      <c r="BT119" s="1033">
        <f t="shared" ref="BT119:BW119" si="400">BT106/BT124</f>
        <v>0.45366540883595075</v>
      </c>
      <c r="BU119" s="620">
        <f t="shared" si="400"/>
        <v>0.49860823528553438</v>
      </c>
      <c r="BV119" s="620">
        <f t="shared" si="400"/>
        <v>0.5375504266485216</v>
      </c>
      <c r="BW119" s="927">
        <f t="shared" si="400"/>
        <v>0.52128769924082308</v>
      </c>
      <c r="BX119" s="287"/>
      <c r="BY119" s="620">
        <f t="shared" ref="BY119:CJ119" si="401">BY106/BY124</f>
        <v>-0.55049306296691658</v>
      </c>
      <c r="BZ119" s="620">
        <f t="shared" si="401"/>
        <v>-3.0321226795802604E-2</v>
      </c>
      <c r="CA119" s="620">
        <f t="shared" si="401"/>
        <v>0.35595788409703544</v>
      </c>
      <c r="CB119" s="620">
        <f t="shared" si="401"/>
        <v>0.81321251096170666</v>
      </c>
      <c r="CC119" s="620">
        <f t="shared" si="401"/>
        <v>0.88745019920318691</v>
      </c>
      <c r="CD119" s="620">
        <f t="shared" si="401"/>
        <v>0.81477572559366662</v>
      </c>
      <c r="CE119" s="620">
        <f t="shared" si="401"/>
        <v>0.38393890303170541</v>
      </c>
      <c r="CF119" s="620">
        <f t="shared" si="401"/>
        <v>0.89041404140414071</v>
      </c>
      <c r="CG119" s="620">
        <f t="shared" si="401"/>
        <v>0.86504811898512779</v>
      </c>
      <c r="CH119" s="620">
        <f t="shared" si="401"/>
        <v>0.47061422889968962</v>
      </c>
      <c r="CI119" s="620">
        <f>CI106/CI124</f>
        <v>0.5581498530308906</v>
      </c>
      <c r="CJ119" s="620">
        <f t="shared" si="401"/>
        <v>0.75395975424158823</v>
      </c>
      <c r="CK119" s="620">
        <f t="shared" ref="CK119:CP119" si="402">CK106/CK124</f>
        <v>0.83456097275809682</v>
      </c>
      <c r="CL119" s="620">
        <f t="shared" si="402"/>
        <v>0.90987022264555251</v>
      </c>
      <c r="CM119" s="620">
        <f t="shared" si="402"/>
        <v>1.4586861313868618</v>
      </c>
      <c r="CN119" s="620">
        <f t="shared" si="402"/>
        <v>1.6317995923966075</v>
      </c>
      <c r="CO119" s="620">
        <f t="shared" si="402"/>
        <v>1.8303750883168119</v>
      </c>
      <c r="CP119" s="927">
        <f t="shared" si="402"/>
        <v>2.0113772025712859</v>
      </c>
      <c r="CQ119" s="1473"/>
    </row>
    <row r="120" spans="1:105" ht="14.25" customHeight="1">
      <c r="A120" s="9"/>
      <c r="B120" s="501"/>
      <c r="C120" s="57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312"/>
      <c r="AK120" s="312"/>
      <c r="AL120" s="312"/>
      <c r="AM120" s="312"/>
      <c r="AN120" s="312"/>
      <c r="AO120" s="312"/>
      <c r="AP120" s="312"/>
      <c r="AQ120" s="312"/>
      <c r="AR120" s="312"/>
      <c r="AS120" s="312"/>
      <c r="AT120" s="312"/>
      <c r="AU120" s="312"/>
      <c r="AV120" s="312"/>
      <c r="AW120" s="312"/>
      <c r="AX120" s="312"/>
      <c r="AY120" s="312"/>
      <c r="AZ120" s="312"/>
      <c r="BA120" s="312"/>
      <c r="BB120" s="312"/>
      <c r="BC120" s="312"/>
      <c r="BE120" s="312"/>
      <c r="BF120" s="1198"/>
      <c r="BG120" s="1198"/>
      <c r="BH120" s="1198"/>
      <c r="BI120" s="1198"/>
      <c r="BJ120" s="1456"/>
      <c r="BK120" s="1424"/>
      <c r="BL120" s="1198"/>
      <c r="BM120" s="1198"/>
      <c r="BN120" s="1198"/>
      <c r="BO120" s="1198"/>
      <c r="BP120" s="1402"/>
      <c r="BQ120" s="1402"/>
      <c r="BR120" s="1402"/>
      <c r="BS120" s="1402"/>
      <c r="BT120" s="1402"/>
      <c r="BU120" s="1402"/>
      <c r="BV120" s="1402"/>
      <c r="BW120" s="1402"/>
      <c r="BX120" s="1402"/>
      <c r="BY120" s="1402"/>
      <c r="BZ120" s="1402"/>
      <c r="CA120" s="1402"/>
      <c r="CB120" s="1402"/>
      <c r="CC120" s="1402"/>
      <c r="CD120" s="1402"/>
      <c r="CE120" s="1402"/>
      <c r="CF120" s="1402"/>
      <c r="CG120" s="1402"/>
      <c r="CH120" s="1402"/>
      <c r="CI120" s="1402"/>
      <c r="CJ120" s="1402"/>
      <c r="CK120" s="1402"/>
      <c r="CL120" s="1402"/>
      <c r="CM120" s="1402"/>
      <c r="CN120" s="1402"/>
      <c r="CO120" s="1402"/>
      <c r="CP120" s="1402"/>
      <c r="CQ120" s="1402"/>
      <c r="CX120" s="1402"/>
      <c r="CY120" s="1402"/>
      <c r="CZ120" s="959"/>
      <c r="DA120" s="959"/>
    </row>
    <row r="121" spans="1:105" ht="14.25" customHeight="1">
      <c r="A121" s="9"/>
      <c r="B121" s="466"/>
      <c r="C121" s="57"/>
      <c r="D121" s="42"/>
      <c r="E121" s="42"/>
      <c r="F121" s="59"/>
      <c r="G121" s="59"/>
      <c r="H121" s="42"/>
      <c r="I121" s="42"/>
      <c r="J121" s="59"/>
      <c r="K121" s="59"/>
      <c r="L121" s="42"/>
      <c r="M121" s="42"/>
      <c r="N121" s="59"/>
      <c r="O121" s="59"/>
      <c r="P121" s="42"/>
      <c r="Q121" s="42"/>
      <c r="R121" s="59"/>
      <c r="S121" s="59"/>
      <c r="T121" s="42"/>
      <c r="U121" s="42"/>
      <c r="V121" s="59"/>
      <c r="W121" s="59"/>
      <c r="X121" s="42"/>
      <c r="Y121" s="42"/>
      <c r="Z121" s="59"/>
      <c r="AA121" s="59"/>
      <c r="AB121" s="42"/>
      <c r="AC121" s="42"/>
      <c r="AD121" s="59"/>
      <c r="AE121" s="59"/>
      <c r="AF121" s="42"/>
      <c r="AG121" s="42"/>
      <c r="AH121" s="59"/>
      <c r="AI121" s="59"/>
      <c r="AJ121" s="42"/>
      <c r="AK121" s="312"/>
      <c r="AL121" s="312"/>
      <c r="AM121" s="312"/>
      <c r="AN121" s="42"/>
      <c r="AO121" s="312"/>
      <c r="AP121" s="312"/>
      <c r="AQ121" s="312"/>
      <c r="AR121" s="42"/>
      <c r="AS121" s="312"/>
      <c r="AT121" s="312"/>
      <c r="AU121" s="31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312"/>
      <c r="BG121" s="42"/>
      <c r="BH121" s="42"/>
      <c r="BI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9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311"/>
      <c r="CL121" s="311"/>
      <c r="CM121" s="311"/>
      <c r="CN121" s="311"/>
      <c r="CO121" s="311"/>
      <c r="CP121" s="311"/>
      <c r="CQ121" s="15"/>
    </row>
    <row r="122" spans="1:105" ht="14.25" customHeight="1">
      <c r="A122" s="9"/>
      <c r="B122" s="550" t="s">
        <v>491</v>
      </c>
      <c r="C122" s="524"/>
      <c r="D122" s="553" t="str">
        <f t="shared" ref="D122:AI122" si="403">+D$7</f>
        <v>F1Q03A</v>
      </c>
      <c r="E122" s="551" t="str">
        <f t="shared" si="403"/>
        <v>F2Q03A</v>
      </c>
      <c r="F122" s="551" t="str">
        <f t="shared" si="403"/>
        <v>F3Q03A</v>
      </c>
      <c r="G122" s="552" t="str">
        <f t="shared" si="403"/>
        <v>F4Q03A</v>
      </c>
      <c r="H122" s="553" t="str">
        <f t="shared" si="403"/>
        <v>F1Q04A</v>
      </c>
      <c r="I122" s="551" t="str">
        <f t="shared" si="403"/>
        <v>F2Q04A</v>
      </c>
      <c r="J122" s="551" t="str">
        <f t="shared" si="403"/>
        <v>F3Q04A</v>
      </c>
      <c r="K122" s="552" t="str">
        <f t="shared" si="403"/>
        <v>F4Q04A</v>
      </c>
      <c r="L122" s="553" t="str">
        <f t="shared" si="403"/>
        <v>F1Q05A</v>
      </c>
      <c r="M122" s="551" t="str">
        <f t="shared" si="403"/>
        <v>F2Q05A</v>
      </c>
      <c r="N122" s="551" t="str">
        <f t="shared" si="403"/>
        <v>F3Q05A</v>
      </c>
      <c r="O122" s="552" t="str">
        <f t="shared" si="403"/>
        <v>F4Q05A</v>
      </c>
      <c r="P122" s="553" t="str">
        <f t="shared" si="403"/>
        <v>F1Q06A</v>
      </c>
      <c r="Q122" s="551" t="str">
        <f t="shared" si="403"/>
        <v>F2Q06A</v>
      </c>
      <c r="R122" s="551" t="str">
        <f t="shared" si="403"/>
        <v>F3Q06A</v>
      </c>
      <c r="S122" s="552" t="str">
        <f t="shared" si="403"/>
        <v>F4Q06A</v>
      </c>
      <c r="T122" s="553" t="str">
        <f t="shared" si="403"/>
        <v>F1Q07A</v>
      </c>
      <c r="U122" s="551" t="str">
        <f t="shared" si="403"/>
        <v>F2Q07A</v>
      </c>
      <c r="V122" s="551" t="str">
        <f t="shared" si="403"/>
        <v>F3Q07A</v>
      </c>
      <c r="W122" s="552" t="str">
        <f t="shared" si="403"/>
        <v>F4Q07A</v>
      </c>
      <c r="X122" s="553" t="str">
        <f t="shared" si="403"/>
        <v>F1Q08A</v>
      </c>
      <c r="Y122" s="551" t="str">
        <f t="shared" si="403"/>
        <v>F2Q08A</v>
      </c>
      <c r="Z122" s="551" t="str">
        <f t="shared" si="403"/>
        <v>F3Q08A</v>
      </c>
      <c r="AA122" s="552" t="str">
        <f t="shared" si="403"/>
        <v>F4Q08A</v>
      </c>
      <c r="AB122" s="553" t="str">
        <f t="shared" si="403"/>
        <v>F1Q09A</v>
      </c>
      <c r="AC122" s="551" t="str">
        <f t="shared" si="403"/>
        <v>F2Q09A</v>
      </c>
      <c r="AD122" s="551" t="str">
        <f t="shared" si="403"/>
        <v>F3Q09A</v>
      </c>
      <c r="AE122" s="552" t="str">
        <f t="shared" si="403"/>
        <v>F4Q09A</v>
      </c>
      <c r="AF122" s="553" t="str">
        <f t="shared" si="403"/>
        <v>F1Q10A</v>
      </c>
      <c r="AG122" s="551" t="str">
        <f t="shared" si="403"/>
        <v>F2Q10A</v>
      </c>
      <c r="AH122" s="551" t="str">
        <f t="shared" si="403"/>
        <v>F3Q10A</v>
      </c>
      <c r="AI122" s="552" t="str">
        <f t="shared" si="403"/>
        <v>F4Q10A</v>
      </c>
      <c r="AJ122" s="551" t="str">
        <f t="shared" ref="AJ122:CP122" si="404">+AJ$7</f>
        <v>F1Q11A</v>
      </c>
      <c r="AK122" s="551" t="str">
        <f t="shared" si="404"/>
        <v>F2Q11A</v>
      </c>
      <c r="AL122" s="551" t="str">
        <f t="shared" si="404"/>
        <v>F3Q11A</v>
      </c>
      <c r="AM122" s="551" t="str">
        <f t="shared" si="404"/>
        <v>F4Q11A</v>
      </c>
      <c r="AN122" s="553" t="str">
        <f t="shared" si="404"/>
        <v>F1Q12A</v>
      </c>
      <c r="AO122" s="551" t="str">
        <f t="shared" si="404"/>
        <v>F2Q12A</v>
      </c>
      <c r="AP122" s="551" t="str">
        <f t="shared" si="404"/>
        <v>F3Q12A</v>
      </c>
      <c r="AQ122" s="552" t="str">
        <f t="shared" si="404"/>
        <v>F4Q12A</v>
      </c>
      <c r="AR122" s="551" t="str">
        <f t="shared" si="404"/>
        <v>F1Q13A</v>
      </c>
      <c r="AS122" s="551" t="str">
        <f t="shared" si="404"/>
        <v>F2Q13A</v>
      </c>
      <c r="AT122" s="551" t="str">
        <f t="shared" si="404"/>
        <v>F3Q13A</v>
      </c>
      <c r="AU122" s="551" t="str">
        <f t="shared" si="404"/>
        <v>F4Q13A</v>
      </c>
      <c r="AV122" s="553" t="str">
        <f t="shared" si="404"/>
        <v>F1Q14A</v>
      </c>
      <c r="AW122" s="551" t="str">
        <f t="shared" si="404"/>
        <v>F2Q14A</v>
      </c>
      <c r="AX122" s="551" t="str">
        <f t="shared" si="404"/>
        <v>F3Q14A</v>
      </c>
      <c r="AY122" s="552" t="str">
        <f t="shared" si="404"/>
        <v>F4Q14A</v>
      </c>
      <c r="AZ122" s="553" t="str">
        <f t="shared" si="404"/>
        <v>F1Q15A</v>
      </c>
      <c r="BA122" s="551" t="str">
        <f>+BA$7</f>
        <v>F2Q15A</v>
      </c>
      <c r="BB122" s="551" t="str">
        <f t="shared" si="404"/>
        <v>F3Q15A</v>
      </c>
      <c r="BC122" s="552" t="str">
        <f t="shared" si="404"/>
        <v>F4Q15A</v>
      </c>
      <c r="BD122" s="553" t="str">
        <f t="shared" si="404"/>
        <v>F1Q16A</v>
      </c>
      <c r="BE122" s="1200" t="str">
        <f t="shared" si="404"/>
        <v>F2Q16A</v>
      </c>
      <c r="BF122" s="1200" t="str">
        <f t="shared" si="404"/>
        <v>F3Q16A</v>
      </c>
      <c r="BG122" s="1200" t="str">
        <f t="shared" si="404"/>
        <v>F4Q16A</v>
      </c>
      <c r="BH122" s="1199" t="str">
        <f t="shared" si="404"/>
        <v>F1Q17A</v>
      </c>
      <c r="BI122" s="1200" t="str">
        <f t="shared" si="404"/>
        <v>F2Q17A</v>
      </c>
      <c r="BJ122" s="1200" t="str">
        <f t="shared" si="404"/>
        <v>F3Q17A</v>
      </c>
      <c r="BK122" s="1201" t="str">
        <f t="shared" si="404"/>
        <v>F4Q17A</v>
      </c>
      <c r="BL122" s="1199" t="str">
        <f t="shared" si="404"/>
        <v>F1Q18E</v>
      </c>
      <c r="BM122" s="1200" t="str">
        <f t="shared" si="404"/>
        <v>F2Q18E</v>
      </c>
      <c r="BN122" s="1200" t="str">
        <f t="shared" si="404"/>
        <v>F3Q18E</v>
      </c>
      <c r="BO122" s="1201" t="str">
        <f t="shared" si="404"/>
        <v>F4Q18E</v>
      </c>
      <c r="BP122" s="1199" t="str">
        <f t="shared" si="404"/>
        <v>F1Q19E</v>
      </c>
      <c r="BQ122" s="1200" t="str">
        <f t="shared" si="404"/>
        <v>F2Q19E</v>
      </c>
      <c r="BR122" s="1200" t="str">
        <f t="shared" si="404"/>
        <v>F3Q19E</v>
      </c>
      <c r="BS122" s="1201" t="str">
        <f t="shared" si="404"/>
        <v>F4Q19E</v>
      </c>
      <c r="BT122" s="1199" t="str">
        <f t="shared" si="404"/>
        <v>F1Q20E</v>
      </c>
      <c r="BU122" s="1200" t="str">
        <f t="shared" si="404"/>
        <v>F2Q20E</v>
      </c>
      <c r="BV122" s="1200" t="str">
        <f t="shared" si="404"/>
        <v>F3Q20E</v>
      </c>
      <c r="BW122" s="1201" t="str">
        <f t="shared" si="404"/>
        <v>F4Q20E</v>
      </c>
      <c r="BX122" s="21"/>
      <c r="BY122" s="553" t="str">
        <f t="shared" si="404"/>
        <v>FY2003A</v>
      </c>
      <c r="BZ122" s="551" t="str">
        <f t="shared" si="404"/>
        <v>FY2004A</v>
      </c>
      <c r="CA122" s="551" t="str">
        <f t="shared" si="404"/>
        <v>FY2005A</v>
      </c>
      <c r="CB122" s="551" t="str">
        <f t="shared" si="404"/>
        <v>FY2006A</v>
      </c>
      <c r="CC122" s="551" t="str">
        <f t="shared" si="404"/>
        <v>FY2007A</v>
      </c>
      <c r="CD122" s="551" t="str">
        <f t="shared" si="404"/>
        <v>FY2008A</v>
      </c>
      <c r="CE122" s="551" t="str">
        <f t="shared" si="404"/>
        <v>FY2009A</v>
      </c>
      <c r="CF122" s="551" t="str">
        <f t="shared" si="404"/>
        <v>FY2010A</v>
      </c>
      <c r="CG122" s="551" t="str">
        <f t="shared" si="404"/>
        <v>FY2011A</v>
      </c>
      <c r="CH122" s="551" t="str">
        <f t="shared" si="404"/>
        <v>FY2012A</v>
      </c>
      <c r="CI122" s="551" t="str">
        <f t="shared" si="404"/>
        <v>FY2013A</v>
      </c>
      <c r="CJ122" s="551" t="str">
        <f t="shared" si="404"/>
        <v>FY2014A</v>
      </c>
      <c r="CK122" s="1200" t="str">
        <f t="shared" si="404"/>
        <v>FY2015A</v>
      </c>
      <c r="CL122" s="1200" t="str">
        <f t="shared" si="404"/>
        <v>FY2016</v>
      </c>
      <c r="CM122" s="1200" t="str">
        <f t="shared" si="404"/>
        <v>FY2017A</v>
      </c>
      <c r="CN122" s="1200" t="str">
        <f t="shared" si="404"/>
        <v>FY2018E</v>
      </c>
      <c r="CO122" s="1200" t="str">
        <f t="shared" si="404"/>
        <v>FY2019E</v>
      </c>
      <c r="CP122" s="1201" t="str">
        <f t="shared" si="404"/>
        <v>FY2020E</v>
      </c>
      <c r="CQ122" s="22"/>
    </row>
    <row r="123" spans="1:105" ht="14.25" customHeight="1">
      <c r="A123" s="438"/>
      <c r="B123" s="453" t="s">
        <v>93</v>
      </c>
      <c r="C123" s="440"/>
      <c r="D123" s="74">
        <v>176.4</v>
      </c>
      <c r="E123" s="72">
        <v>176.8</v>
      </c>
      <c r="F123" s="72">
        <v>179.5</v>
      </c>
      <c r="G123" s="73">
        <v>216.9</v>
      </c>
      <c r="H123" s="74">
        <v>229.5</v>
      </c>
      <c r="I123" s="72">
        <v>253.3</v>
      </c>
      <c r="J123" s="72">
        <v>253.9</v>
      </c>
      <c r="K123" s="73">
        <v>254.5</v>
      </c>
      <c r="L123" s="74">
        <v>255</v>
      </c>
      <c r="M123" s="72">
        <v>255.3</v>
      </c>
      <c r="N123" s="72">
        <v>256.10000000000002</v>
      </c>
      <c r="O123" s="73">
        <v>286.60000000000002</v>
      </c>
      <c r="P123" s="74">
        <v>311.8</v>
      </c>
      <c r="Q123" s="72">
        <v>322.8</v>
      </c>
      <c r="R123" s="72">
        <v>324.89999999999998</v>
      </c>
      <c r="S123" s="73">
        <v>319.8</v>
      </c>
      <c r="T123" s="74">
        <v>289.5</v>
      </c>
      <c r="U123" s="72">
        <v>290.89999999999998</v>
      </c>
      <c r="V123" s="72">
        <v>290.60000000000002</v>
      </c>
      <c r="W123" s="73">
        <v>292.3</v>
      </c>
      <c r="X123" s="74">
        <v>306.8</v>
      </c>
      <c r="Y123" s="72">
        <v>397.2</v>
      </c>
      <c r="Z123" s="72">
        <v>398.9</v>
      </c>
      <c r="AA123" s="73">
        <v>409.1</v>
      </c>
      <c r="AB123" s="69">
        <v>413.6</v>
      </c>
      <c r="AC123" s="70">
        <v>420.7</v>
      </c>
      <c r="AD123" s="70">
        <v>423.3</v>
      </c>
      <c r="AE123" s="70">
        <v>426</v>
      </c>
      <c r="AF123" s="69">
        <v>428.1</v>
      </c>
      <c r="AG123" s="70">
        <v>430.3</v>
      </c>
      <c r="AH123" s="70">
        <v>431.6</v>
      </c>
      <c r="AI123" s="70">
        <v>434.2</v>
      </c>
      <c r="AJ123" s="63">
        <v>441.4</v>
      </c>
      <c r="AK123" s="70">
        <v>446.2</v>
      </c>
      <c r="AL123" s="70">
        <v>448.8</v>
      </c>
      <c r="AM123" s="70">
        <v>450.4</v>
      </c>
      <c r="AN123" s="63">
        <v>452.5</v>
      </c>
      <c r="AO123" s="70">
        <v>454.5</v>
      </c>
      <c r="AP123" s="70">
        <v>454.6</v>
      </c>
      <c r="AQ123" s="71">
        <v>448.6</v>
      </c>
      <c r="AR123" s="64">
        <v>449.5</v>
      </c>
      <c r="AS123" s="70">
        <v>450.7</v>
      </c>
      <c r="AT123" s="70">
        <v>449.3</v>
      </c>
      <c r="AU123" s="70">
        <v>442.5</v>
      </c>
      <c r="AV123" s="63">
        <v>440.4</v>
      </c>
      <c r="AW123" s="70">
        <v>441.1</v>
      </c>
      <c r="AX123" s="70">
        <v>440.7</v>
      </c>
      <c r="AY123" s="70">
        <v>435.9</v>
      </c>
      <c r="AZ123" s="63">
        <v>431.4</v>
      </c>
      <c r="BA123" s="824">
        <v>426.9</v>
      </c>
      <c r="BB123" s="70">
        <v>413.7</v>
      </c>
      <c r="BC123" s="70">
        <v>412.5</v>
      </c>
      <c r="BD123" s="69">
        <v>412.6</v>
      </c>
      <c r="BE123" s="70">
        <v>414.9</v>
      </c>
      <c r="BF123" s="70">
        <v>415.8</v>
      </c>
      <c r="BG123" s="70">
        <v>417.3</v>
      </c>
      <c r="BH123" s="69">
        <v>419.8</v>
      </c>
      <c r="BI123" s="70">
        <v>420.8</v>
      </c>
      <c r="BJ123" s="70">
        <v>422.2</v>
      </c>
      <c r="BK123" s="70">
        <v>424.3</v>
      </c>
      <c r="BL123" s="830">
        <f t="shared" ref="BL123:BO123" si="405">BK123+(BL124-BK124)</f>
        <v>437</v>
      </c>
      <c r="BM123" s="824">
        <f t="shared" si="405"/>
        <v>438</v>
      </c>
      <c r="BN123" s="824">
        <f t="shared" si="405"/>
        <v>439</v>
      </c>
      <c r="BO123" s="829">
        <f t="shared" si="405"/>
        <v>440</v>
      </c>
      <c r="BP123" s="830">
        <f t="shared" ref="BP123:BP124" si="406">BO123+(BP124-BO124)</f>
        <v>441</v>
      </c>
      <c r="BQ123" s="824">
        <f t="shared" ref="BQ123:BQ124" si="407">BP123+(BQ124-BP124)</f>
        <v>442</v>
      </c>
      <c r="BR123" s="824">
        <f t="shared" ref="BR123:BR124" si="408">BQ123+(BR124-BQ124)</f>
        <v>443</v>
      </c>
      <c r="BS123" s="829">
        <f t="shared" ref="BS123:BS124" si="409">BR123+(BS124-BR124)</f>
        <v>444</v>
      </c>
      <c r="BT123" s="830">
        <f t="shared" ref="BT123:BT124" si="410">BS123+(BT124-BS124)</f>
        <v>445</v>
      </c>
      <c r="BU123" s="824">
        <f t="shared" ref="BU123:BU124" si="411">BT123+(BU124-BT124)</f>
        <v>446</v>
      </c>
      <c r="BV123" s="824">
        <f t="shared" ref="BV123:BV124" si="412">BU123+(BV124-BU124)</f>
        <v>447</v>
      </c>
      <c r="BW123" s="829">
        <f t="shared" ref="BW123:BW124" si="413">BV123+(BW124-BV124)</f>
        <v>448</v>
      </c>
      <c r="BX123" s="439"/>
      <c r="BY123" s="70">
        <v>187.4</v>
      </c>
      <c r="BZ123" s="70">
        <v>247.8</v>
      </c>
      <c r="CA123" s="70">
        <v>263.3</v>
      </c>
      <c r="CB123" s="70">
        <v>319.8</v>
      </c>
      <c r="CC123" s="70">
        <v>290.8</v>
      </c>
      <c r="CD123" s="70">
        <v>379</v>
      </c>
      <c r="CE123" s="70">
        <v>420.8</v>
      </c>
      <c r="CF123" s="70">
        <v>431</v>
      </c>
      <c r="CG123" s="70">
        <v>446.7</v>
      </c>
      <c r="CH123" s="70">
        <v>452.6</v>
      </c>
      <c r="CI123" s="70">
        <f>AVERAGE(AR123:AU123)</f>
        <v>448</v>
      </c>
      <c r="CJ123" s="70">
        <f>AVERAGE(AV123:AY123)</f>
        <v>439.52499999999998</v>
      </c>
      <c r="CK123" s="823">
        <f>AVERAGE(AZ123:BC123)</f>
        <v>421.125</v>
      </c>
      <c r="CL123" s="823">
        <f>AVERAGE(BD123:BG123)</f>
        <v>415.15</v>
      </c>
      <c r="CM123" s="823">
        <f>AVERAGE(BH123:BK123)</f>
        <v>421.77499999999998</v>
      </c>
      <c r="CN123" s="823">
        <f>AVERAGE(BL123:BO123)</f>
        <v>438.5</v>
      </c>
      <c r="CO123" s="823">
        <f>AVERAGE(BP123:BS123)</f>
        <v>442.5</v>
      </c>
      <c r="CP123" s="208">
        <f>AVERAGE(BT123:BW123)</f>
        <v>446.5</v>
      </c>
      <c r="CQ123" s="1474"/>
    </row>
    <row r="124" spans="1:105" ht="14.25" customHeight="1">
      <c r="A124" s="438"/>
      <c r="B124" s="453" t="s">
        <v>94</v>
      </c>
      <c r="C124" s="440"/>
      <c r="D124" s="72">
        <v>176.4</v>
      </c>
      <c r="E124" s="72">
        <v>176.8</v>
      </c>
      <c r="F124" s="72">
        <v>179.5</v>
      </c>
      <c r="G124" s="780">
        <v>216.9</v>
      </c>
      <c r="H124" s="72">
        <v>229.5</v>
      </c>
      <c r="I124" s="72">
        <v>253.3</v>
      </c>
      <c r="J124" s="72">
        <v>285.89999999999998</v>
      </c>
      <c r="K124" s="780">
        <v>254.5</v>
      </c>
      <c r="L124" s="72">
        <v>287.8</v>
      </c>
      <c r="M124" s="72">
        <v>287.8</v>
      </c>
      <c r="N124" s="72">
        <v>290.7</v>
      </c>
      <c r="O124" s="780">
        <v>320.7</v>
      </c>
      <c r="P124" s="72">
        <v>346.4</v>
      </c>
      <c r="Q124" s="72">
        <v>355.7</v>
      </c>
      <c r="R124" s="72">
        <v>336.6</v>
      </c>
      <c r="S124" s="780">
        <v>327.10000000000002</v>
      </c>
      <c r="T124" s="72">
        <v>300.60000000000002</v>
      </c>
      <c r="U124" s="72">
        <v>306.5</v>
      </c>
      <c r="V124" s="72">
        <v>317.8</v>
      </c>
      <c r="W124" s="780">
        <v>301.3</v>
      </c>
      <c r="X124" s="72">
        <v>309.3</v>
      </c>
      <c r="Y124" s="72">
        <v>405.8</v>
      </c>
      <c r="Z124" s="72">
        <v>404.8</v>
      </c>
      <c r="AA124" s="73">
        <v>409.1</v>
      </c>
      <c r="AB124" s="70">
        <v>413.6</v>
      </c>
      <c r="AC124" s="70">
        <v>420.7</v>
      </c>
      <c r="AD124" s="70">
        <v>439.1</v>
      </c>
      <c r="AE124" s="70">
        <v>442.9</v>
      </c>
      <c r="AF124" s="69">
        <v>440.9</v>
      </c>
      <c r="AG124" s="70">
        <v>439.6</v>
      </c>
      <c r="AH124" s="70">
        <v>439.8</v>
      </c>
      <c r="AI124" s="70">
        <v>447.5</v>
      </c>
      <c r="AJ124" s="69">
        <v>456</v>
      </c>
      <c r="AK124" s="70">
        <v>461.5</v>
      </c>
      <c r="AL124" s="70">
        <v>448.8</v>
      </c>
      <c r="AM124" s="70">
        <v>450.4</v>
      </c>
      <c r="AN124" s="69">
        <v>460.6</v>
      </c>
      <c r="AO124" s="70">
        <v>457.5</v>
      </c>
      <c r="AP124" s="70">
        <v>456.2</v>
      </c>
      <c r="AQ124" s="71">
        <v>448.6</v>
      </c>
      <c r="AR124" s="70">
        <v>452.5</v>
      </c>
      <c r="AS124" s="70">
        <v>453.3</v>
      </c>
      <c r="AT124" s="70">
        <v>452.1</v>
      </c>
      <c r="AU124" s="70">
        <v>445.2</v>
      </c>
      <c r="AV124" s="69">
        <v>444.5</v>
      </c>
      <c r="AW124" s="70">
        <v>444.5</v>
      </c>
      <c r="AX124" s="70">
        <v>444.9</v>
      </c>
      <c r="AY124" s="70">
        <v>440.2</v>
      </c>
      <c r="AZ124" s="69">
        <v>439.9</v>
      </c>
      <c r="BA124" s="824">
        <v>436.3</v>
      </c>
      <c r="BB124" s="70">
        <v>417.5</v>
      </c>
      <c r="BC124" s="70">
        <v>416.9</v>
      </c>
      <c r="BD124" s="69">
        <v>415.5</v>
      </c>
      <c r="BE124" s="70">
        <v>417.6</v>
      </c>
      <c r="BF124" s="70">
        <v>419.8</v>
      </c>
      <c r="BG124" s="70">
        <v>426.9</v>
      </c>
      <c r="BH124" s="69">
        <v>425.8</v>
      </c>
      <c r="BI124" s="70">
        <v>425.9</v>
      </c>
      <c r="BJ124" s="70">
        <v>427.5</v>
      </c>
      <c r="BK124" s="70">
        <v>433.3</v>
      </c>
      <c r="BL124" s="830">
        <v>446</v>
      </c>
      <c r="BM124" s="824">
        <f t="shared" ref="BM124:BO124" si="414">BL124+(BM125-BL125)</f>
        <v>447</v>
      </c>
      <c r="BN124" s="824">
        <f t="shared" si="414"/>
        <v>448</v>
      </c>
      <c r="BO124" s="829">
        <f t="shared" si="414"/>
        <v>449</v>
      </c>
      <c r="BP124" s="830">
        <f t="shared" si="406"/>
        <v>450</v>
      </c>
      <c r="BQ124" s="824">
        <f t="shared" si="407"/>
        <v>451</v>
      </c>
      <c r="BR124" s="824">
        <f t="shared" si="408"/>
        <v>452</v>
      </c>
      <c r="BS124" s="829">
        <f t="shared" si="409"/>
        <v>453</v>
      </c>
      <c r="BT124" s="830">
        <f t="shared" si="410"/>
        <v>454</v>
      </c>
      <c r="BU124" s="824">
        <f t="shared" si="411"/>
        <v>455</v>
      </c>
      <c r="BV124" s="824">
        <f t="shared" si="412"/>
        <v>456</v>
      </c>
      <c r="BW124" s="829">
        <f t="shared" si="413"/>
        <v>457</v>
      </c>
      <c r="BX124" s="439"/>
      <c r="BY124" s="70">
        <v>187.4</v>
      </c>
      <c r="BZ124" s="70">
        <v>247.8</v>
      </c>
      <c r="CA124" s="70">
        <v>296.8</v>
      </c>
      <c r="CB124" s="70">
        <v>342.1</v>
      </c>
      <c r="CC124" s="70">
        <v>301.2</v>
      </c>
      <c r="CD124" s="70">
        <v>379</v>
      </c>
      <c r="CE124" s="70">
        <v>432.1</v>
      </c>
      <c r="CF124" s="70">
        <v>444.4</v>
      </c>
      <c r="CG124" s="70">
        <v>457.2</v>
      </c>
      <c r="CH124" s="70">
        <v>452.6</v>
      </c>
      <c r="CI124" s="70">
        <f>AVERAGE(AR124:AU124)</f>
        <v>450.77500000000003</v>
      </c>
      <c r="CJ124" s="70">
        <f>AVERAGE(AV124:AY124)</f>
        <v>443.52500000000003</v>
      </c>
      <c r="CK124" s="824">
        <f>AVERAGE(AZ124:BC124)</f>
        <v>427.65</v>
      </c>
      <c r="CL124" s="824">
        <f>AVERAGE(BD124:BG124)</f>
        <v>419.95000000000005</v>
      </c>
      <c r="CM124" s="824">
        <f>AVERAGE(BH124:BK124)</f>
        <v>428.125</v>
      </c>
      <c r="CN124" s="824">
        <f>AVERAGE(BL124:BO124)</f>
        <v>447.5</v>
      </c>
      <c r="CO124" s="824">
        <f>AVERAGE(BP124:BS124)</f>
        <v>451.5</v>
      </c>
      <c r="CP124" s="829">
        <f>AVERAGE(BT124:BW124)</f>
        <v>455.5</v>
      </c>
      <c r="CQ124" s="1474"/>
    </row>
    <row r="125" spans="1:105" ht="14.25" customHeight="1">
      <c r="A125" s="438"/>
      <c r="B125" s="453" t="s">
        <v>514</v>
      </c>
      <c r="C125" s="440"/>
      <c r="D125" s="824">
        <f t="shared" ref="D125:Z125" si="415">D124</f>
        <v>176.4</v>
      </c>
      <c r="E125" s="824">
        <f t="shared" si="415"/>
        <v>176.8</v>
      </c>
      <c r="F125" s="824">
        <f t="shared" si="415"/>
        <v>179.5</v>
      </c>
      <c r="G125" s="824">
        <f t="shared" si="415"/>
        <v>216.9</v>
      </c>
      <c r="H125" s="830">
        <f t="shared" si="415"/>
        <v>229.5</v>
      </c>
      <c r="I125" s="824">
        <f t="shared" si="415"/>
        <v>253.3</v>
      </c>
      <c r="J125" s="824">
        <f t="shared" si="415"/>
        <v>285.89999999999998</v>
      </c>
      <c r="K125" s="824">
        <f t="shared" si="415"/>
        <v>254.5</v>
      </c>
      <c r="L125" s="830">
        <f t="shared" si="415"/>
        <v>287.8</v>
      </c>
      <c r="M125" s="824">
        <f t="shared" si="415"/>
        <v>287.8</v>
      </c>
      <c r="N125" s="824">
        <f t="shared" si="415"/>
        <v>290.7</v>
      </c>
      <c r="O125" s="824">
        <f t="shared" si="415"/>
        <v>320.7</v>
      </c>
      <c r="P125" s="830">
        <f t="shared" si="415"/>
        <v>346.4</v>
      </c>
      <c r="Q125" s="824">
        <f t="shared" si="415"/>
        <v>355.7</v>
      </c>
      <c r="R125" s="824">
        <f t="shared" si="415"/>
        <v>336.6</v>
      </c>
      <c r="S125" s="824">
        <f t="shared" si="415"/>
        <v>327.10000000000002</v>
      </c>
      <c r="T125" s="830">
        <f t="shared" si="415"/>
        <v>300.60000000000002</v>
      </c>
      <c r="U125" s="824">
        <f t="shared" si="415"/>
        <v>306.5</v>
      </c>
      <c r="V125" s="824">
        <f t="shared" si="415"/>
        <v>317.8</v>
      </c>
      <c r="W125" s="824">
        <f t="shared" si="415"/>
        <v>301.3</v>
      </c>
      <c r="X125" s="830">
        <f t="shared" si="415"/>
        <v>309.3</v>
      </c>
      <c r="Y125" s="824">
        <f t="shared" si="415"/>
        <v>405.8</v>
      </c>
      <c r="Z125" s="824">
        <f t="shared" si="415"/>
        <v>404.8</v>
      </c>
      <c r="AA125" s="73">
        <v>411.2</v>
      </c>
      <c r="AB125" s="70">
        <v>416.7</v>
      </c>
      <c r="AC125" s="70">
        <v>433.3</v>
      </c>
      <c r="AD125" s="824">
        <f t="shared" ref="AD125:AK125" si="416">AD124</f>
        <v>439.1</v>
      </c>
      <c r="AE125" s="824">
        <f t="shared" si="416"/>
        <v>442.9</v>
      </c>
      <c r="AF125" s="830">
        <f t="shared" si="416"/>
        <v>440.9</v>
      </c>
      <c r="AG125" s="824">
        <f t="shared" si="416"/>
        <v>439.6</v>
      </c>
      <c r="AH125" s="824">
        <f t="shared" si="416"/>
        <v>439.8</v>
      </c>
      <c r="AI125" s="824">
        <f t="shared" si="416"/>
        <v>447.5</v>
      </c>
      <c r="AJ125" s="830">
        <f t="shared" si="416"/>
        <v>456</v>
      </c>
      <c r="AK125" s="824">
        <f t="shared" si="416"/>
        <v>461.5</v>
      </c>
      <c r="AL125" s="70">
        <v>454.8</v>
      </c>
      <c r="AM125" s="70">
        <v>456.3</v>
      </c>
      <c r="AN125" s="830">
        <f>AN124</f>
        <v>460.6</v>
      </c>
      <c r="AO125" s="824">
        <f>AO124</f>
        <v>457.5</v>
      </c>
      <c r="AP125" s="824">
        <f>AP124</f>
        <v>456.2</v>
      </c>
      <c r="AQ125" s="71">
        <v>450</v>
      </c>
      <c r="AR125" s="824">
        <f t="shared" ref="AR125:AW125" si="417">AR124</f>
        <v>452.5</v>
      </c>
      <c r="AS125" s="824">
        <f t="shared" si="417"/>
        <v>453.3</v>
      </c>
      <c r="AT125" s="824">
        <f t="shared" si="417"/>
        <v>452.1</v>
      </c>
      <c r="AU125" s="67">
        <f t="shared" si="417"/>
        <v>445.2</v>
      </c>
      <c r="AV125" s="830">
        <f t="shared" si="417"/>
        <v>444.5</v>
      </c>
      <c r="AW125" s="824">
        <f t="shared" si="417"/>
        <v>444.5</v>
      </c>
      <c r="AX125" s="824">
        <f>AX124</f>
        <v>444.9</v>
      </c>
      <c r="AY125" s="67">
        <f>AY124</f>
        <v>440.2</v>
      </c>
      <c r="AZ125" s="830">
        <f>AZ124</f>
        <v>439.9</v>
      </c>
      <c r="BA125" s="824">
        <v>436.3</v>
      </c>
      <c r="BB125" s="824">
        <f t="shared" ref="BB125:BH125" si="418">BB124</f>
        <v>417.5</v>
      </c>
      <c r="BC125" s="67">
        <f t="shared" si="418"/>
        <v>416.9</v>
      </c>
      <c r="BD125" s="830">
        <f t="shared" si="418"/>
        <v>415.5</v>
      </c>
      <c r="BE125" s="824">
        <f t="shared" si="418"/>
        <v>417.6</v>
      </c>
      <c r="BF125" s="824">
        <f t="shared" si="418"/>
        <v>419.8</v>
      </c>
      <c r="BG125" s="67">
        <f t="shared" si="418"/>
        <v>426.9</v>
      </c>
      <c r="BH125" s="830">
        <f t="shared" si="418"/>
        <v>425.8</v>
      </c>
      <c r="BI125" s="824">
        <f>BI124</f>
        <v>425.9</v>
      </c>
      <c r="BJ125" s="824">
        <f>BJ124</f>
        <v>427.5</v>
      </c>
      <c r="BK125" s="70">
        <v>429.9</v>
      </c>
      <c r="BL125" s="830">
        <v>432</v>
      </c>
      <c r="BM125" s="824">
        <f t="shared" ref="BM125:BO125" si="419">BL125+1</f>
        <v>433</v>
      </c>
      <c r="BN125" s="824">
        <f t="shared" si="419"/>
        <v>434</v>
      </c>
      <c r="BO125" s="829">
        <f t="shared" si="419"/>
        <v>435</v>
      </c>
      <c r="BP125" s="830">
        <f t="shared" ref="BP125" si="420">BO125+1</f>
        <v>436</v>
      </c>
      <c r="BQ125" s="824">
        <f t="shared" ref="BQ125" si="421">BP125+1</f>
        <v>437</v>
      </c>
      <c r="BR125" s="824">
        <f t="shared" ref="BR125" si="422">BQ125+1</f>
        <v>438</v>
      </c>
      <c r="BS125" s="829">
        <f t="shared" ref="BS125" si="423">BR125+1</f>
        <v>439</v>
      </c>
      <c r="BT125" s="830">
        <f t="shared" ref="BT125" si="424">BS125+1</f>
        <v>440</v>
      </c>
      <c r="BU125" s="824">
        <f t="shared" ref="BU125" si="425">BT125+1</f>
        <v>441</v>
      </c>
      <c r="BV125" s="824">
        <f t="shared" ref="BV125" si="426">BU125+1</f>
        <v>442</v>
      </c>
      <c r="BW125" s="829">
        <f t="shared" ref="BW125" si="427">BV125+1</f>
        <v>443</v>
      </c>
      <c r="BX125" s="439"/>
      <c r="BY125" s="824">
        <f>BY124</f>
        <v>187.4</v>
      </c>
      <c r="BZ125" s="824">
        <f>BZ124</f>
        <v>247.8</v>
      </c>
      <c r="CA125" s="824">
        <f>CA124</f>
        <v>296.8</v>
      </c>
      <c r="CB125" s="824">
        <f>CB124</f>
        <v>342.1</v>
      </c>
      <c r="CC125" s="824">
        <f>CC124</f>
        <v>301.2</v>
      </c>
      <c r="CD125" s="70">
        <v>382.9</v>
      </c>
      <c r="CE125" s="70">
        <f>CE124</f>
        <v>432.1</v>
      </c>
      <c r="CF125" s="70">
        <f>CF124</f>
        <v>444.4</v>
      </c>
      <c r="CG125" s="70">
        <f>CG124</f>
        <v>457.2</v>
      </c>
      <c r="CH125" s="70">
        <v>456.1</v>
      </c>
      <c r="CI125" s="70">
        <f>AVERAGE(AR125:AU125)</f>
        <v>450.77500000000003</v>
      </c>
      <c r="CJ125" s="70">
        <f>AVERAGE(AV125:AY125)</f>
        <v>443.52500000000003</v>
      </c>
      <c r="CK125" s="824">
        <f>AVERAGE(AZ125:BC125)</f>
        <v>427.65</v>
      </c>
      <c r="CL125" s="824">
        <f>AVERAGE(BD125:BG125)</f>
        <v>419.95000000000005</v>
      </c>
      <c r="CM125" s="824">
        <f>AVERAGE(BH125:BK125)</f>
        <v>427.27499999999998</v>
      </c>
      <c r="CN125" s="824">
        <f>AVERAGE(BL125:BO125)</f>
        <v>433.5</v>
      </c>
      <c r="CO125" s="824">
        <f>AVERAGE(BP125:BS125)</f>
        <v>437.5</v>
      </c>
      <c r="CP125" s="829">
        <f>AVERAGE(BT125:BW125)</f>
        <v>441.5</v>
      </c>
      <c r="CQ125" s="1474"/>
    </row>
    <row r="126" spans="1:105" ht="14.25" customHeight="1">
      <c r="A126" s="438"/>
      <c r="B126" s="453"/>
      <c r="C126" s="440"/>
      <c r="D126" s="444"/>
      <c r="E126" s="444"/>
      <c r="F126" s="444"/>
      <c r="G126" s="441"/>
      <c r="H126" s="444"/>
      <c r="I126" s="444"/>
      <c r="J126" s="444"/>
      <c r="K126" s="441"/>
      <c r="L126" s="444"/>
      <c r="M126" s="444"/>
      <c r="N126" s="444"/>
      <c r="O126" s="441"/>
      <c r="P126" s="444"/>
      <c r="Q126" s="444"/>
      <c r="R126" s="444"/>
      <c r="S126" s="441"/>
      <c r="T126" s="444"/>
      <c r="U126" s="444"/>
      <c r="V126" s="444"/>
      <c r="W126" s="441"/>
      <c r="X126" s="444"/>
      <c r="Y126" s="444"/>
      <c r="Z126" s="444"/>
      <c r="AA126" s="441"/>
      <c r="AB126" s="444"/>
      <c r="AC126" s="444"/>
      <c r="AD126" s="444"/>
      <c r="AE126" s="441"/>
      <c r="AF126" s="444"/>
      <c r="AG126" s="444"/>
      <c r="AH126" s="444"/>
      <c r="AI126" s="441"/>
      <c r="AJ126" s="444"/>
      <c r="AK126" s="444"/>
      <c r="AL126" s="444"/>
      <c r="AM126" s="441"/>
      <c r="AN126" s="444"/>
      <c r="AO126" s="444"/>
      <c r="AP126" s="444"/>
      <c r="AQ126" s="445"/>
      <c r="AR126" s="444"/>
      <c r="AS126" s="444"/>
      <c r="AT126" s="444"/>
      <c r="AU126" s="444"/>
      <c r="AV126" s="549"/>
      <c r="AW126" s="444"/>
      <c r="AX126" s="444"/>
      <c r="AY126" s="444"/>
      <c r="AZ126" s="549"/>
      <c r="BA126" s="444"/>
      <c r="BB126" s="444"/>
      <c r="BC126" s="444"/>
      <c r="BD126" s="549"/>
      <c r="BE126" s="444"/>
      <c r="BF126" s="444"/>
      <c r="BG126" s="444"/>
      <c r="BH126" s="549"/>
      <c r="BI126" s="444"/>
      <c r="BJ126" s="444"/>
      <c r="BK126" s="444"/>
      <c r="BL126" s="549"/>
      <c r="BM126" s="444"/>
      <c r="BN126" s="444"/>
      <c r="BO126" s="445"/>
      <c r="BP126" s="549"/>
      <c r="BQ126" s="444"/>
      <c r="BR126" s="444"/>
      <c r="BS126" s="445"/>
      <c r="BT126" s="549"/>
      <c r="BU126" s="444"/>
      <c r="BV126" s="444"/>
      <c r="BW126" s="445"/>
      <c r="BX126" s="439"/>
      <c r="BY126" s="443"/>
      <c r="BZ126" s="442"/>
      <c r="CA126" s="442"/>
      <c r="CB126" s="442"/>
      <c r="CC126" s="442"/>
      <c r="CD126" s="442"/>
      <c r="CE126" s="442"/>
      <c r="CF126" s="442"/>
      <c r="CG126" s="442"/>
      <c r="CH126" s="442"/>
      <c r="CI126" s="442"/>
      <c r="CJ126" s="442"/>
      <c r="CK126" s="442"/>
      <c r="CL126" s="442"/>
      <c r="CM126" s="443"/>
      <c r="CN126" s="442"/>
      <c r="CO126" s="442"/>
      <c r="CP126" s="930"/>
      <c r="CQ126" s="1474"/>
    </row>
    <row r="127" spans="1:105" ht="14.25" hidden="1" customHeight="1" outlineLevel="1">
      <c r="A127" s="432"/>
      <c r="B127" s="453" t="s">
        <v>95</v>
      </c>
      <c r="C127" s="433"/>
      <c r="D127" s="69">
        <v>176.66309000000001</v>
      </c>
      <c r="E127" s="70">
        <v>177.11632399999999</v>
      </c>
      <c r="F127" s="70">
        <v>216.32381599999999</v>
      </c>
      <c r="G127" s="70">
        <v>217.299893</v>
      </c>
      <c r="H127" s="69">
        <v>253.166766</v>
      </c>
      <c r="I127" s="70">
        <v>253.655587</v>
      </c>
      <c r="J127" s="70">
        <v>254.21855199999999</v>
      </c>
      <c r="K127" s="70">
        <v>254.79057800000001</v>
      </c>
      <c r="L127" s="69">
        <v>255.20918499999999</v>
      </c>
      <c r="M127" s="70">
        <v>255.59139400000001</v>
      </c>
      <c r="N127" s="70">
        <v>256.592625</v>
      </c>
      <c r="O127" s="70">
        <v>310.63749899999999</v>
      </c>
      <c r="P127" s="69">
        <v>312.488158</v>
      </c>
      <c r="Q127" s="70">
        <v>324.75676700000002</v>
      </c>
      <c r="R127" s="70">
        <v>325.349086</v>
      </c>
      <c r="S127" s="70">
        <v>286.34943199999998</v>
      </c>
      <c r="T127" s="69">
        <v>292.09478200000001</v>
      </c>
      <c r="U127" s="70">
        <v>289.62384100000003</v>
      </c>
      <c r="V127" s="70">
        <v>292.12948799999998</v>
      </c>
      <c r="W127" s="70">
        <v>292.61575099999999</v>
      </c>
      <c r="X127" s="69">
        <v>396.33551899999998</v>
      </c>
      <c r="Y127" s="70">
        <v>397.96887099999998</v>
      </c>
      <c r="Z127" s="70">
        <v>399.47617500000001</v>
      </c>
      <c r="AA127" s="70">
        <v>411.67528900000002</v>
      </c>
      <c r="AB127" s="69">
        <v>420.24389600000001</v>
      </c>
      <c r="AC127" s="70">
        <v>421.60297700000001</v>
      </c>
      <c r="AD127" s="70">
        <v>425.10125499999998</v>
      </c>
      <c r="AE127" s="70">
        <v>427.25409999999999</v>
      </c>
      <c r="AF127" s="69">
        <v>429.39470899999998</v>
      </c>
      <c r="AG127" s="70">
        <v>431.046132</v>
      </c>
      <c r="AH127" s="70">
        <v>432.43617699999999</v>
      </c>
      <c r="AI127" s="70">
        <v>436.77417700000001</v>
      </c>
      <c r="AJ127" s="69">
        <v>444.43741499999999</v>
      </c>
      <c r="AK127" s="70">
        <v>448.106855</v>
      </c>
      <c r="AL127" s="70">
        <v>449.60233899999997</v>
      </c>
      <c r="AM127" s="70">
        <v>451.28422</v>
      </c>
      <c r="AN127" s="69">
        <v>453.66408699999999</v>
      </c>
      <c r="AO127" s="70">
        <v>455.11527000000001</v>
      </c>
      <c r="AP127" s="70">
        <v>451.67838899999998</v>
      </c>
      <c r="AQ127" s="71">
        <v>448.82434499999999</v>
      </c>
      <c r="AR127" s="67">
        <f t="shared" ref="AR127:AW127" si="428">AR124</f>
        <v>452.5</v>
      </c>
      <c r="AS127" s="29">
        <f t="shared" si="428"/>
        <v>453.3</v>
      </c>
      <c r="AT127" s="29">
        <f t="shared" si="428"/>
        <v>452.1</v>
      </c>
      <c r="AU127" s="29">
        <f t="shared" si="428"/>
        <v>445.2</v>
      </c>
      <c r="AV127" s="66">
        <f t="shared" si="428"/>
        <v>444.5</v>
      </c>
      <c r="AW127" s="29">
        <f t="shared" si="428"/>
        <v>444.5</v>
      </c>
      <c r="AX127" s="29">
        <f t="shared" ref="AX127:BD127" si="429">AX124</f>
        <v>444.9</v>
      </c>
      <c r="AY127" s="29">
        <f t="shared" si="429"/>
        <v>440.2</v>
      </c>
      <c r="AZ127" s="66">
        <f t="shared" si="429"/>
        <v>439.9</v>
      </c>
      <c r="BA127" s="29">
        <f t="shared" si="429"/>
        <v>436.3</v>
      </c>
      <c r="BB127" s="29">
        <f t="shared" si="429"/>
        <v>417.5</v>
      </c>
      <c r="BC127" s="29">
        <f t="shared" si="429"/>
        <v>416.9</v>
      </c>
      <c r="BD127" s="66">
        <f t="shared" si="429"/>
        <v>415.5</v>
      </c>
      <c r="BE127" s="67">
        <f>BE124</f>
        <v>417.6</v>
      </c>
      <c r="BF127" s="29">
        <f t="shared" ref="BF127:BH127" si="430">BF124</f>
        <v>419.8</v>
      </c>
      <c r="BG127" s="29">
        <f t="shared" si="430"/>
        <v>426.9</v>
      </c>
      <c r="BH127" s="66">
        <f t="shared" si="430"/>
        <v>425.8</v>
      </c>
      <c r="BI127" s="67">
        <f>BI124</f>
        <v>425.9</v>
      </c>
      <c r="BJ127" s="67" t="e">
        <f>BI127+(CFS!BJ52+CFS!BJ54+CFS!BJ56+CFS!BJ53)/BJ128</f>
        <v>#VALUE!</v>
      </c>
      <c r="BK127" s="29">
        <f t="shared" ref="BK127" si="431">BK124</f>
        <v>433.3</v>
      </c>
      <c r="BL127" s="1087">
        <f>BK127+(CFS!BL52+CFS!BL54+CFS!BL56+CFS!BL53)/BL128</f>
        <v>433.3</v>
      </c>
      <c r="BM127" s="535">
        <f>BL127+(CFS!BM52+CFS!BM54+CFS!BM56+CFS!BM53)/BM128</f>
        <v>433.3</v>
      </c>
      <c r="BN127" s="821">
        <f>BM127+(CFS!BN52+CFS!BN54+CFS!BN56+CFS!BN53)/BN128</f>
        <v>433.3</v>
      </c>
      <c r="BO127" s="822">
        <f>BN127+(CFS!BO52+CFS!BO54+CFS!BO56+CFS!BO53)/BO128</f>
        <v>433.3</v>
      </c>
      <c r="BP127" s="1087">
        <f>BO127+(CFS!BX52+CFS!BX54+CFS!BX56+CFS!BX53)/BP128</f>
        <v>433.3</v>
      </c>
      <c r="BQ127" s="535">
        <f>BP127+(CFS!BY52+CFS!BY54+CFS!BY56+CFS!BY53)/BQ128</f>
        <v>446.15266457680252</v>
      </c>
      <c r="BR127" s="821">
        <f>BQ127+(CFS!BZ52+CFS!BZ54+CFS!BZ56+CFS!BZ53)/BR128</f>
        <v>464.64796238244514</v>
      </c>
      <c r="BS127" s="822">
        <f>BR127+(CFS!CA52+CFS!CA54+CFS!CA56+CFS!CA53)/BS128</f>
        <v>465.14169278996866</v>
      </c>
      <c r="BT127" s="1087">
        <f>BS127+(CFS!CB52+CFS!CB54+CFS!CB56+CFS!CB53)/BT128</f>
        <v>448.96614420062696</v>
      </c>
      <c r="BU127" s="535">
        <f>BT127+(CFS!CC52+CFS!CC54+CFS!CC56+CFS!CC53)/BU128</f>
        <v>448.3078369905956</v>
      </c>
      <c r="BV127" s="1422">
        <f>BU127+(CFS!CD52+CFS!CD54+CFS!CD56+CFS!CD53)/BV128</f>
        <v>449.67931034482757</v>
      </c>
      <c r="BW127" s="1423">
        <f>BV127+(CFS!CE52+CFS!CE54+CFS!CE56+CFS!CE53)/BW128</f>
        <v>450.8078369905956</v>
      </c>
      <c r="BX127" s="436"/>
      <c r="BY127" s="67">
        <f>G127</f>
        <v>217.299893</v>
      </c>
      <c r="BZ127" s="67">
        <f>K127</f>
        <v>254.79057800000001</v>
      </c>
      <c r="CA127" s="67">
        <f>O127</f>
        <v>310.63749899999999</v>
      </c>
      <c r="CB127" s="67">
        <f>S127</f>
        <v>286.34943199999998</v>
      </c>
      <c r="CC127" s="67">
        <f>W127</f>
        <v>292.61575099999999</v>
      </c>
      <c r="CD127" s="67">
        <f>AA127</f>
        <v>411.67528900000002</v>
      </c>
      <c r="CE127" s="67">
        <f>AE127</f>
        <v>427.25409999999999</v>
      </c>
      <c r="CF127" s="67">
        <f>AI127</f>
        <v>436.77417700000001</v>
      </c>
      <c r="CG127" s="67">
        <f>AM127</f>
        <v>451.28422</v>
      </c>
      <c r="CH127" s="67">
        <f>AQ127</f>
        <v>448.82434499999999</v>
      </c>
      <c r="CI127" s="67">
        <f>AU127</f>
        <v>445.2</v>
      </c>
      <c r="CJ127" s="67">
        <f>AY127</f>
        <v>440.2</v>
      </c>
      <c r="CK127" s="67">
        <f>BC127</f>
        <v>416.9</v>
      </c>
      <c r="CL127" s="67">
        <f>BG127</f>
        <v>426.9</v>
      </c>
      <c r="CM127" s="66">
        <f>BK127</f>
        <v>433.3</v>
      </c>
      <c r="CN127" s="67">
        <f>BO127</f>
        <v>433.3</v>
      </c>
      <c r="CO127" s="67">
        <f>BS127</f>
        <v>465.14169278996866</v>
      </c>
      <c r="CP127" s="68">
        <f>BW127</f>
        <v>450.8078369905956</v>
      </c>
      <c r="CQ127" s="1468"/>
    </row>
    <row r="128" spans="1:105" s="1353" customFormat="1" ht="14.25" hidden="1" customHeight="1" outlineLevel="1">
      <c r="A128" s="1344"/>
      <c r="B128" s="1354" t="s">
        <v>511</v>
      </c>
      <c r="C128" s="1346"/>
      <c r="D128" s="1347"/>
      <c r="E128" s="1347"/>
      <c r="F128" s="1347"/>
      <c r="G128" s="1347"/>
      <c r="H128" s="1348"/>
      <c r="I128" s="1347"/>
      <c r="J128" s="1347"/>
      <c r="K128" s="1347"/>
      <c r="L128" s="1348"/>
      <c r="M128" s="1347"/>
      <c r="N128" s="1347"/>
      <c r="O128" s="1347"/>
      <c r="P128" s="1348"/>
      <c r="Q128" s="1347"/>
      <c r="R128" s="1347"/>
      <c r="S128" s="1347"/>
      <c r="T128" s="1348"/>
      <c r="U128" s="1347"/>
      <c r="V128" s="1347"/>
      <c r="W128" s="1347"/>
      <c r="X128" s="1348"/>
      <c r="Y128" s="1347"/>
      <c r="Z128" s="1347"/>
      <c r="AA128" s="1347"/>
      <c r="AB128" s="1348"/>
      <c r="AC128" s="1347"/>
      <c r="AD128" s="1347"/>
      <c r="AE128" s="1347"/>
      <c r="AF128" s="1348"/>
      <c r="AG128" s="1347"/>
      <c r="AH128" s="1347"/>
      <c r="AI128" s="1347"/>
      <c r="AJ128" s="1348"/>
      <c r="AK128" s="1347"/>
      <c r="AL128" s="1347"/>
      <c r="AM128" s="1347"/>
      <c r="AN128" s="1348"/>
      <c r="AO128" s="1347"/>
      <c r="AP128" s="1347"/>
      <c r="AQ128" s="1346"/>
      <c r="AR128" s="1349"/>
      <c r="AS128" s="1349"/>
      <c r="AT128" s="1349"/>
      <c r="AU128" s="1349" t="str">
        <f>_xll.ThomsonONEAddinShim.SpreadsheetFormulas.TF($B$3,"TF.PR.PriceClose(sdate=20140331)")</f>
        <v>Manual Calculation</v>
      </c>
      <c r="AV128" s="1350" t="str">
        <f>_xll.ThomsonONEAddinShim.SpreadsheetFormulas.TF($B$3,"TF.PR.PriceClose(sdate=20140331)")</f>
        <v>Manual Calculation</v>
      </c>
      <c r="AW128" s="1351" t="str">
        <f>_xll.ThomsonONEAddinShim.SpreadsheetFormulas.TF($B$3,"TF.PR.PriceClose(sdate=20140731)")</f>
        <v>Manual Calculation</v>
      </c>
      <c r="AX128" s="1351" t="str">
        <f>_xll.ThomsonONEAddinShim.SpreadsheetFormulas.TF($B$3,"TF.PR.PriceClose(sdate=20140930)")</f>
        <v>Manual Calculation</v>
      </c>
      <c r="AY128" s="1351" t="str">
        <f>_xll.ThomsonONEAddinShim.SpreadsheetFormulas.TF($B$3,"TF.PR.PriceClose(sdate=20141231)")</f>
        <v>Manual Calculation</v>
      </c>
      <c r="AZ128" s="1350">
        <v>12.11</v>
      </c>
      <c r="BA128" s="1349">
        <v>12.11</v>
      </c>
      <c r="BB128" s="1351">
        <v>9.3999997000000004</v>
      </c>
      <c r="BC128" s="1351">
        <v>9.8000001999999995</v>
      </c>
      <c r="BD128" s="1350" t="str">
        <f>_xll.ThomsonONEAddinShim.SpreadsheetFormulas.TF($B$3,"TF.PR.PriceClose(sdate=20160331)")</f>
        <v>Manual Calculation</v>
      </c>
      <c r="BE128" s="1351" t="str">
        <f>_xll.ThomsonONEAddinShim.SpreadsheetFormulas.TF($B$3,"TF.PR.PriceClose(sdate=20160630)")</f>
        <v>Manual Calculation</v>
      </c>
      <c r="BF128" s="1351" t="str">
        <f>_xll.ThomsonONEAddinShim.SpreadsheetFormulas.TF($B$3,"TF.PR.PriceClose(sdate=20160930)")</f>
        <v>Manual Calculation</v>
      </c>
      <c r="BG128" s="1351" t="str">
        <f>_xll.ThomsonONEAddinShim.SpreadsheetFormulas.TF($B$3,"TF.PR.PriceClose(sdate=20161231)")</f>
        <v>Manual Calculation</v>
      </c>
      <c r="BH128" s="1350" t="str">
        <f t="shared" ref="BH128:BJ128" si="432">BG128</f>
        <v>Manual Calculation</v>
      </c>
      <c r="BI128" s="1349" t="str">
        <f t="shared" si="432"/>
        <v>Manual Calculation</v>
      </c>
      <c r="BJ128" s="1351" t="str">
        <f t="shared" si="432"/>
        <v>Manual Calculation</v>
      </c>
      <c r="BK128" s="1351" t="str">
        <f>_xll.ThomsonONEAddinShim.SpreadsheetFormulas.TF($B$3,"TF.PR.PriceClose(sdate=20161231)")</f>
        <v xml:space="preserve"> $     12.76 </v>
      </c>
      <c r="BL128" s="1345" t="str">
        <f t="shared" ref="BL128:BS128" si="433">BK128</f>
        <v xml:space="preserve"> $     12.76 </v>
      </c>
      <c r="BM128" s="1349" t="str">
        <f t="shared" si="433"/>
        <v xml:space="preserve"> $     12.76 </v>
      </c>
      <c r="BN128" s="1349" t="str">
        <f t="shared" si="433"/>
        <v xml:space="preserve"> $     12.76 </v>
      </c>
      <c r="BO128" s="1346" t="str">
        <f t="shared" si="433"/>
        <v xml:space="preserve"> $     12.76 </v>
      </c>
      <c r="BP128" s="1345" t="str">
        <f t="shared" si="433"/>
        <v xml:space="preserve"> $     12.76 </v>
      </c>
      <c r="BQ128" s="1349" t="str">
        <f t="shared" si="433"/>
        <v xml:space="preserve"> $     12.76 </v>
      </c>
      <c r="BR128" s="1349" t="str">
        <f t="shared" si="433"/>
        <v xml:space="preserve"> $     12.76 </v>
      </c>
      <c r="BS128" s="1346" t="str">
        <f t="shared" si="433"/>
        <v xml:space="preserve"> $     12.76 </v>
      </c>
      <c r="BT128" s="1345" t="str">
        <f t="shared" ref="BT128" si="434">BS128</f>
        <v xml:space="preserve"> $     12.76 </v>
      </c>
      <c r="BU128" s="1349" t="str">
        <f t="shared" ref="BU128" si="435">BT128</f>
        <v xml:space="preserve"> $     12.76 </v>
      </c>
      <c r="BV128" s="1349" t="str">
        <f t="shared" ref="BV128" si="436">BU128</f>
        <v xml:space="preserve"> $     12.76 </v>
      </c>
      <c r="BW128" s="1346" t="str">
        <f t="shared" ref="BW128" si="437">BV128</f>
        <v xml:space="preserve"> $     12.76 </v>
      </c>
      <c r="BX128" s="1352"/>
      <c r="BY128" s="1349"/>
      <c r="BZ128" s="1349"/>
      <c r="CA128" s="1349"/>
      <c r="CB128" s="1349"/>
      <c r="CC128" s="1349"/>
      <c r="CD128" s="1349"/>
      <c r="CE128" s="1349"/>
      <c r="CF128" s="1349"/>
      <c r="CG128" s="1349"/>
      <c r="CH128" s="1349">
        <f>+AQ128</f>
        <v>0</v>
      </c>
      <c r="CI128" s="1349" t="str">
        <f>+AU128</f>
        <v>Manual Calculation</v>
      </c>
      <c r="CJ128" s="1349" t="str">
        <f>+AY128</f>
        <v>Manual Calculation</v>
      </c>
      <c r="CK128" s="1349">
        <f>BC128</f>
        <v>9.8000001999999995</v>
      </c>
      <c r="CL128" s="1349" t="str">
        <f>BG128</f>
        <v>Manual Calculation</v>
      </c>
      <c r="CM128" s="1345" t="str">
        <f>BK128</f>
        <v xml:space="preserve"> $     12.76 </v>
      </c>
      <c r="CN128" s="1349" t="str">
        <f>BO128</f>
        <v xml:space="preserve"> $     12.76 </v>
      </c>
      <c r="CO128" s="1349" t="str">
        <f>BS128</f>
        <v xml:space="preserve"> $     12.76 </v>
      </c>
      <c r="CP128" s="1346" t="str">
        <f>BT128</f>
        <v xml:space="preserve"> $     12.76 </v>
      </c>
      <c r="CQ128" s="1345"/>
      <c r="CR128"/>
      <c r="CS128"/>
      <c r="CT128"/>
      <c r="CU128"/>
      <c r="CV128"/>
      <c r="CW128"/>
    </row>
    <row r="129" spans="1:95" ht="14.25" hidden="1" customHeight="1" outlineLevel="1">
      <c r="A129" s="9"/>
      <c r="B129" s="453"/>
      <c r="C129" s="24"/>
      <c r="D129" s="70"/>
      <c r="E129" s="72"/>
      <c r="F129" s="72"/>
      <c r="G129" s="73"/>
      <c r="H129" s="70"/>
      <c r="I129" s="72"/>
      <c r="J129" s="72"/>
      <c r="K129" s="73"/>
      <c r="L129" s="70"/>
      <c r="M129" s="72"/>
      <c r="N129" s="72"/>
      <c r="O129" s="73"/>
      <c r="P129" s="70"/>
      <c r="Q129" s="72"/>
      <c r="R129" s="72"/>
      <c r="S129" s="73"/>
      <c r="T129" s="70"/>
      <c r="U129" s="72"/>
      <c r="V129" s="72"/>
      <c r="W129" s="73"/>
      <c r="X129" s="70"/>
      <c r="Y129" s="72"/>
      <c r="Z129" s="72"/>
      <c r="AA129" s="73"/>
      <c r="AB129" s="70"/>
      <c r="AC129" s="70"/>
      <c r="AD129" s="72"/>
      <c r="AE129" s="73"/>
      <c r="AF129" s="70"/>
      <c r="AG129" s="72"/>
      <c r="AH129" s="72"/>
      <c r="AI129" s="73"/>
      <c r="AJ129" s="70"/>
      <c r="AK129" s="72"/>
      <c r="AL129" s="70"/>
      <c r="AM129" s="73"/>
      <c r="AN129" s="74"/>
      <c r="AO129" s="72"/>
      <c r="AP129" s="72"/>
      <c r="AQ129" s="73"/>
      <c r="AR129" s="72"/>
      <c r="AS129" s="72"/>
      <c r="AT129" s="72"/>
      <c r="AU129" s="72"/>
      <c r="AV129" s="74"/>
      <c r="AW129" s="72"/>
      <c r="AX129" s="72"/>
      <c r="AY129" s="72"/>
      <c r="AZ129" s="74"/>
      <c r="BA129" s="72"/>
      <c r="BB129" s="72"/>
      <c r="BC129" s="72"/>
      <c r="BD129" s="74"/>
      <c r="BE129" s="72"/>
      <c r="BF129" s="72"/>
      <c r="BG129" s="72"/>
      <c r="BH129" s="74"/>
      <c r="BI129" s="72"/>
      <c r="BJ129" s="72"/>
      <c r="BK129" s="72"/>
      <c r="BL129" s="74"/>
      <c r="BM129" s="72"/>
      <c r="BN129" s="72"/>
      <c r="BO129" s="73"/>
      <c r="BP129" s="74"/>
      <c r="BQ129" s="72"/>
      <c r="BR129" s="72"/>
      <c r="BS129" s="73"/>
      <c r="BT129" s="74"/>
      <c r="BU129" s="72"/>
      <c r="BV129" s="72"/>
      <c r="BW129" s="73"/>
      <c r="BX129" s="21"/>
      <c r="BY129" s="50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50"/>
      <c r="CN129" s="42"/>
      <c r="CO129" s="42"/>
      <c r="CP129" s="43"/>
      <c r="CQ129" s="22"/>
    </row>
    <row r="130" spans="1:95" ht="14.25" customHeight="1" collapsed="1">
      <c r="A130" s="525"/>
      <c r="B130" s="544" t="s">
        <v>487</v>
      </c>
      <c r="C130" s="526"/>
      <c r="D130" s="529">
        <v>0</v>
      </c>
      <c r="E130" s="527">
        <v>0</v>
      </c>
      <c r="F130" s="527">
        <v>0</v>
      </c>
      <c r="G130" s="527">
        <v>0</v>
      </c>
      <c r="H130" s="529">
        <v>0</v>
      </c>
      <c r="I130" s="527">
        <v>0</v>
      </c>
      <c r="J130" s="527">
        <v>0</v>
      </c>
      <c r="K130" s="527">
        <v>0</v>
      </c>
      <c r="L130" s="529">
        <v>0</v>
      </c>
      <c r="M130" s="527">
        <v>0</v>
      </c>
      <c r="N130" s="527">
        <v>0</v>
      </c>
      <c r="O130" s="527">
        <v>0</v>
      </c>
      <c r="P130" s="529">
        <v>0</v>
      </c>
      <c r="Q130" s="527">
        <v>0</v>
      </c>
      <c r="R130" s="527">
        <v>0</v>
      </c>
      <c r="S130" s="527">
        <v>0</v>
      </c>
      <c r="T130" s="529">
        <v>0</v>
      </c>
      <c r="U130" s="527">
        <v>0</v>
      </c>
      <c r="V130" s="527">
        <v>0</v>
      </c>
      <c r="W130" s="527">
        <v>0</v>
      </c>
      <c r="X130" s="529">
        <v>0</v>
      </c>
      <c r="Y130" s="527">
        <v>0</v>
      </c>
      <c r="Z130" s="527">
        <v>0</v>
      </c>
      <c r="AA130" s="527">
        <v>0</v>
      </c>
      <c r="AB130" s="529">
        <v>0</v>
      </c>
      <c r="AC130" s="527">
        <v>0</v>
      </c>
      <c r="AD130" s="527">
        <v>0</v>
      </c>
      <c r="AE130" s="527">
        <v>0</v>
      </c>
      <c r="AF130" s="529">
        <v>0</v>
      </c>
      <c r="AG130" s="527">
        <v>0</v>
      </c>
      <c r="AH130" s="527">
        <v>0</v>
      </c>
      <c r="AI130" s="527">
        <v>0</v>
      </c>
      <c r="AJ130" s="529">
        <v>0</v>
      </c>
      <c r="AK130" s="527">
        <v>0</v>
      </c>
      <c r="AL130" s="527">
        <v>0</v>
      </c>
      <c r="AM130" s="527">
        <v>0</v>
      </c>
      <c r="AN130" s="529">
        <v>0</v>
      </c>
      <c r="AO130" s="527">
        <v>0</v>
      </c>
      <c r="AP130" s="527">
        <v>0</v>
      </c>
      <c r="AQ130" s="528">
        <v>0</v>
      </c>
      <c r="AR130" s="527">
        <v>0</v>
      </c>
      <c r="AS130" s="527">
        <v>0</v>
      </c>
      <c r="AT130" s="527">
        <v>0</v>
      </c>
      <c r="AU130" s="527">
        <v>0</v>
      </c>
      <c r="AV130" s="529">
        <v>0</v>
      </c>
      <c r="AW130" s="527">
        <v>0</v>
      </c>
      <c r="AX130" s="527">
        <v>0</v>
      </c>
      <c r="AY130" s="527">
        <v>0</v>
      </c>
      <c r="AZ130" s="529">
        <v>0</v>
      </c>
      <c r="BA130" s="527">
        <v>0</v>
      </c>
      <c r="BB130" s="527">
        <v>0</v>
      </c>
      <c r="BC130" s="527">
        <v>0</v>
      </c>
      <c r="BD130" s="529">
        <v>0</v>
      </c>
      <c r="BE130" s="527">
        <v>0</v>
      </c>
      <c r="BF130" s="527">
        <v>0</v>
      </c>
      <c r="BG130" s="527">
        <v>0</v>
      </c>
      <c r="BH130" s="529">
        <v>0</v>
      </c>
      <c r="BI130" s="527">
        <v>0</v>
      </c>
      <c r="BJ130" s="1402">
        <v>0</v>
      </c>
      <c r="BK130" s="1402">
        <v>0</v>
      </c>
      <c r="BL130" s="529">
        <v>0</v>
      </c>
      <c r="BM130" s="527">
        <v>0</v>
      </c>
      <c r="BN130" s="527">
        <v>0</v>
      </c>
      <c r="BO130" s="528">
        <v>0</v>
      </c>
      <c r="BP130" s="529">
        <v>0</v>
      </c>
      <c r="BQ130" s="527">
        <v>0</v>
      </c>
      <c r="BR130" s="527">
        <v>0</v>
      </c>
      <c r="BS130" s="528">
        <v>0</v>
      </c>
      <c r="BT130" s="529">
        <v>0</v>
      </c>
      <c r="BU130" s="1402">
        <v>0</v>
      </c>
      <c r="BV130" s="1402">
        <v>0</v>
      </c>
      <c r="BW130" s="528">
        <v>0</v>
      </c>
      <c r="BX130" s="530"/>
      <c r="BY130" s="533">
        <f>SUM(D130:G130)</f>
        <v>0</v>
      </c>
      <c r="BZ130" s="533">
        <f>SUM(H130:K130)</f>
        <v>0</v>
      </c>
      <c r="CA130" s="533">
        <f>SUM(L130:O130)</f>
        <v>0</v>
      </c>
      <c r="CB130" s="533">
        <f>SUM(P130:S130)</f>
        <v>0</v>
      </c>
      <c r="CC130" s="533">
        <f>SUM(T130:W130)</f>
        <v>0</v>
      </c>
      <c r="CD130" s="533">
        <f>SUM(X130:AA130)</f>
        <v>0</v>
      </c>
      <c r="CE130" s="533">
        <f>SUM(AB130:AE130)</f>
        <v>0</v>
      </c>
      <c r="CF130" s="533">
        <f>SUM(AF130:AI130)</f>
        <v>0</v>
      </c>
      <c r="CG130" s="533">
        <f>SUM(AJ130:AM130)</f>
        <v>0</v>
      </c>
      <c r="CH130" s="533">
        <f>SUM(AN130:AQ130)</f>
        <v>0</v>
      </c>
      <c r="CI130" s="533">
        <f>SUM(AR130:AU130)</f>
        <v>0</v>
      </c>
      <c r="CJ130" s="533">
        <f>SUM(AV130:AY130)</f>
        <v>0</v>
      </c>
      <c r="CK130" s="533">
        <f>SUM(AZ130:BC130)</f>
        <v>0</v>
      </c>
      <c r="CL130" s="533">
        <f>SUM(BD130:BG130)</f>
        <v>0</v>
      </c>
      <c r="CM130" s="533">
        <f>SUM(BH130:BK130)</f>
        <v>0</v>
      </c>
      <c r="CN130" s="533">
        <f>SUM(BL130:BO130)</f>
        <v>0</v>
      </c>
      <c r="CO130" s="533">
        <f>SUM(BP130:BS130)</f>
        <v>0</v>
      </c>
      <c r="CP130" s="526">
        <f>SUM(BT130:BW130)</f>
        <v>0</v>
      </c>
      <c r="CQ130" s="1475"/>
    </row>
    <row r="131" spans="1:95" ht="14.25" customHeight="1">
      <c r="A131" s="9"/>
      <c r="B131" s="453"/>
      <c r="C131" s="24"/>
      <c r="D131" s="75"/>
      <c r="E131" s="75"/>
      <c r="F131" s="76"/>
      <c r="G131" s="77"/>
      <c r="H131" s="75"/>
      <c r="I131" s="75"/>
      <c r="J131" s="76"/>
      <c r="K131" s="77"/>
      <c r="L131" s="75"/>
      <c r="M131" s="75"/>
      <c r="N131" s="76"/>
      <c r="O131" s="77"/>
      <c r="P131" s="75"/>
      <c r="Q131" s="75"/>
      <c r="R131" s="76"/>
      <c r="S131" s="77"/>
      <c r="T131" s="75"/>
      <c r="U131" s="75"/>
      <c r="V131" s="76"/>
      <c r="W131" s="77"/>
      <c r="X131" s="75"/>
      <c r="Y131" s="75"/>
      <c r="Z131" s="76"/>
      <c r="AA131" s="77"/>
      <c r="AB131" s="75"/>
      <c r="AC131" s="75"/>
      <c r="AD131" s="76"/>
      <c r="AE131" s="77"/>
      <c r="AF131" s="75"/>
      <c r="AG131" s="75"/>
      <c r="AH131" s="76"/>
      <c r="AI131" s="77"/>
      <c r="AJ131" s="75"/>
      <c r="AK131" s="298"/>
      <c r="AL131" s="298"/>
      <c r="AM131" s="77"/>
      <c r="AN131" s="76"/>
      <c r="AO131" s="29"/>
      <c r="AP131" s="29"/>
      <c r="AQ131" s="30"/>
      <c r="AR131" s="76"/>
      <c r="AS131" s="29"/>
      <c r="AT131" s="29"/>
      <c r="AU131" s="29"/>
      <c r="AV131" s="31"/>
      <c r="AW131" s="29"/>
      <c r="AX131" s="29"/>
      <c r="AY131" s="29"/>
      <c r="AZ131" s="31"/>
      <c r="BA131" s="29"/>
      <c r="BB131" s="29"/>
      <c r="BC131" s="29"/>
      <c r="BD131" s="31"/>
      <c r="BE131" s="29"/>
      <c r="BF131" s="29"/>
      <c r="BG131" s="29"/>
      <c r="BH131" s="31"/>
      <c r="BI131" s="29"/>
      <c r="BJ131" s="29"/>
      <c r="BK131" s="29"/>
      <c r="BL131" s="31"/>
      <c r="BM131" s="29"/>
      <c r="BN131" s="29"/>
      <c r="BO131" s="30"/>
      <c r="BP131" s="31"/>
      <c r="BQ131" s="29"/>
      <c r="BR131" s="29"/>
      <c r="BS131" s="30"/>
      <c r="BT131" s="31"/>
      <c r="BU131" s="29"/>
      <c r="BV131" s="29"/>
      <c r="BW131" s="30"/>
      <c r="BX131" s="21"/>
      <c r="BY131" s="66"/>
      <c r="BZ131" s="67"/>
      <c r="CA131" s="67"/>
      <c r="CB131" s="67"/>
      <c r="CC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8"/>
      <c r="CQ131" s="22"/>
    </row>
    <row r="132" spans="1:95" ht="14.25" customHeight="1">
      <c r="A132" s="9"/>
      <c r="B132" s="465" t="s">
        <v>96</v>
      </c>
      <c r="C132" s="55"/>
      <c r="D132" s="318">
        <f>$BY$132</f>
        <v>0.43799999999999994</v>
      </c>
      <c r="E132" s="221">
        <f>$BY$132</f>
        <v>0.43799999999999994</v>
      </c>
      <c r="F132" s="221">
        <f>$BY$132</f>
        <v>0.43799999999999994</v>
      </c>
      <c r="G132" s="614">
        <f>$BY$132</f>
        <v>0.43799999999999994</v>
      </c>
      <c r="H132" s="318">
        <f>$BZ$132</f>
        <v>0.35200000000000004</v>
      </c>
      <c r="I132" s="221">
        <f>$BZ$132</f>
        <v>0.35200000000000004</v>
      </c>
      <c r="J132" s="221">
        <f>$BZ$132</f>
        <v>0.35200000000000004</v>
      </c>
      <c r="K132" s="614">
        <f>$BZ$132</f>
        <v>0.35200000000000004</v>
      </c>
      <c r="L132" s="318">
        <f>$CA$132</f>
        <v>0.34899999999999998</v>
      </c>
      <c r="M132" s="221">
        <f>$CA$132</f>
        <v>0.34899999999999998</v>
      </c>
      <c r="N132" s="221">
        <f>$CA$132</f>
        <v>0.34899999999999998</v>
      </c>
      <c r="O132" s="614">
        <f>$CA$132</f>
        <v>0.34899999999999998</v>
      </c>
      <c r="P132" s="318">
        <f>$CB$132</f>
        <v>0.35</v>
      </c>
      <c r="Q132" s="221">
        <f>$CB$132</f>
        <v>0.35</v>
      </c>
      <c r="R132" s="221">
        <f>$CB$132</f>
        <v>0.35</v>
      </c>
      <c r="S132" s="614">
        <f>$CB$132</f>
        <v>0.35</v>
      </c>
      <c r="T132" s="318">
        <f>$CC$132</f>
        <v>0.35</v>
      </c>
      <c r="U132" s="221">
        <f>$CC$132</f>
        <v>0.35</v>
      </c>
      <c r="V132" s="221">
        <f>$CC$132</f>
        <v>0.35</v>
      </c>
      <c r="W132" s="614">
        <f>$CC$132</f>
        <v>0.35</v>
      </c>
      <c r="X132" s="318">
        <f>$CD$132</f>
        <v>0.34899999999999998</v>
      </c>
      <c r="Y132" s="221">
        <f>$CD$132</f>
        <v>0.34899999999999998</v>
      </c>
      <c r="Z132" s="221">
        <f>$CD$132</f>
        <v>0.34899999999999998</v>
      </c>
      <c r="AA132" s="614">
        <f>$CD$132</f>
        <v>0.34899999999999998</v>
      </c>
      <c r="AB132" s="318">
        <f>$CE$132</f>
        <v>0.35399999999999998</v>
      </c>
      <c r="AC132" s="221">
        <f>$CE$132</f>
        <v>0.35399999999999998</v>
      </c>
      <c r="AD132" s="221">
        <f>$CE$132</f>
        <v>0.35399999999999998</v>
      </c>
      <c r="AE132" s="614">
        <f>$CE$132</f>
        <v>0.35399999999999998</v>
      </c>
      <c r="AF132" s="318">
        <f>$CF$132</f>
        <v>0.35100000000000003</v>
      </c>
      <c r="AG132" s="221">
        <f>$CF$132</f>
        <v>0.35100000000000003</v>
      </c>
      <c r="AH132" s="221">
        <f>$CF$132</f>
        <v>0.35100000000000003</v>
      </c>
      <c r="AI132" s="614">
        <f>$CF$132</f>
        <v>0.35100000000000003</v>
      </c>
      <c r="AJ132" s="318">
        <f>$CG$132</f>
        <v>0.35700000000000004</v>
      </c>
      <c r="AK132" s="221">
        <f>$CG$132</f>
        <v>0.35700000000000004</v>
      </c>
      <c r="AL132" s="221">
        <f>$CG$132</f>
        <v>0.35700000000000004</v>
      </c>
      <c r="AM132" s="614">
        <f>$CG$132</f>
        <v>0.35700000000000004</v>
      </c>
      <c r="AN132" s="318">
        <f t="shared" ref="AN132:AU132" si="438">$CH$132</f>
        <v>0.35100000000000003</v>
      </c>
      <c r="AO132" s="221">
        <f t="shared" si="438"/>
        <v>0.35100000000000003</v>
      </c>
      <c r="AP132" s="221">
        <f t="shared" si="438"/>
        <v>0.35100000000000003</v>
      </c>
      <c r="AQ132" s="614">
        <f t="shared" si="438"/>
        <v>0.35100000000000003</v>
      </c>
      <c r="AR132" s="221">
        <f t="shared" si="438"/>
        <v>0.35100000000000003</v>
      </c>
      <c r="AS132" s="221">
        <f t="shared" si="438"/>
        <v>0.35100000000000003</v>
      </c>
      <c r="AT132" s="221">
        <f t="shared" si="438"/>
        <v>0.35100000000000003</v>
      </c>
      <c r="AU132" s="221">
        <f t="shared" si="438"/>
        <v>0.35100000000000003</v>
      </c>
      <c r="AV132" s="318">
        <f>$CJ$132</f>
        <v>0.35</v>
      </c>
      <c r="AW132" s="221">
        <f>$CJ$132</f>
        <v>0.35</v>
      </c>
      <c r="AX132" s="221">
        <f>$CJ$132</f>
        <v>0.35</v>
      </c>
      <c r="AY132" s="221">
        <f>$CJ$132</f>
        <v>0.35</v>
      </c>
      <c r="AZ132" s="318">
        <f t="shared" ref="AZ132:BG132" si="439">$CK$132</f>
        <v>0.35</v>
      </c>
      <c r="BA132" s="221">
        <f t="shared" si="439"/>
        <v>0.35</v>
      </c>
      <c r="BB132" s="221">
        <f t="shared" si="439"/>
        <v>0.35</v>
      </c>
      <c r="BC132" s="221">
        <f t="shared" si="439"/>
        <v>0.35</v>
      </c>
      <c r="BD132" s="318">
        <f t="shared" si="439"/>
        <v>0.35</v>
      </c>
      <c r="BE132" s="221">
        <f t="shared" si="439"/>
        <v>0.35</v>
      </c>
      <c r="BF132" s="221">
        <f t="shared" si="439"/>
        <v>0.35</v>
      </c>
      <c r="BG132" s="221">
        <f t="shared" si="439"/>
        <v>0.35</v>
      </c>
      <c r="BH132" s="318">
        <v>0.35</v>
      </c>
      <c r="BI132" s="221">
        <v>0.35</v>
      </c>
      <c r="BJ132" s="221">
        <v>0.35</v>
      </c>
      <c r="BK132" s="221">
        <f t="shared" ref="BK132" si="440">$CK$132</f>
        <v>0.35</v>
      </c>
      <c r="BL132" s="1231">
        <v>0.21</v>
      </c>
      <c r="BM132" s="1216">
        <f>BL132</f>
        <v>0.21</v>
      </c>
      <c r="BN132" s="1216">
        <f t="shared" ref="BN132:BW132" si="441">BM132</f>
        <v>0.21</v>
      </c>
      <c r="BO132" s="1217">
        <f t="shared" si="441"/>
        <v>0.21</v>
      </c>
      <c r="BP132" s="1231">
        <f t="shared" si="441"/>
        <v>0.21</v>
      </c>
      <c r="BQ132" s="1216">
        <f t="shared" si="441"/>
        <v>0.21</v>
      </c>
      <c r="BR132" s="1216">
        <f t="shared" si="441"/>
        <v>0.21</v>
      </c>
      <c r="BS132" s="1217">
        <f t="shared" si="441"/>
        <v>0.21</v>
      </c>
      <c r="BT132" s="1231">
        <f t="shared" si="441"/>
        <v>0.21</v>
      </c>
      <c r="BU132" s="1216">
        <f t="shared" si="441"/>
        <v>0.21</v>
      </c>
      <c r="BV132" s="1216">
        <f t="shared" si="441"/>
        <v>0.21</v>
      </c>
      <c r="BW132" s="1217">
        <f t="shared" si="441"/>
        <v>0.21</v>
      </c>
      <c r="BX132" s="21"/>
      <c r="BY132" s="291">
        <f>(35+8.8)%</f>
        <v>0.43799999999999994</v>
      </c>
      <c r="BZ132" s="291">
        <f>(35+0.2)%</f>
        <v>0.35200000000000004</v>
      </c>
      <c r="CA132" s="291">
        <f>(35-0.1)%</f>
        <v>0.34899999999999998</v>
      </c>
      <c r="CB132" s="291">
        <v>0.35</v>
      </c>
      <c r="CC132" s="291">
        <v>0.35</v>
      </c>
      <c r="CD132" s="291">
        <f>(35-0.1)%</f>
        <v>0.34899999999999998</v>
      </c>
      <c r="CE132" s="291">
        <f>(35+0.4)%</f>
        <v>0.35399999999999998</v>
      </c>
      <c r="CF132" s="291">
        <f>(35+0.1)%</f>
        <v>0.35100000000000003</v>
      </c>
      <c r="CG132" s="291">
        <f>(35+0.7)%</f>
        <v>0.35700000000000004</v>
      </c>
      <c r="CH132" s="291">
        <f>(35+0.1)%</f>
        <v>0.35100000000000003</v>
      </c>
      <c r="CI132" s="291">
        <v>0.18</v>
      </c>
      <c r="CJ132" s="291">
        <v>0.35</v>
      </c>
      <c r="CK132" s="291">
        <v>0.35</v>
      </c>
      <c r="CL132" s="291">
        <v>0.35</v>
      </c>
      <c r="CM132" s="291">
        <v>0.35</v>
      </c>
      <c r="CN132" s="291">
        <v>0.21</v>
      </c>
      <c r="CO132" s="291">
        <v>0.21</v>
      </c>
      <c r="CP132" s="897">
        <v>0.35</v>
      </c>
      <c r="CQ132" s="22"/>
    </row>
    <row r="133" spans="1:95" ht="14.25" customHeight="1">
      <c r="A133" s="9"/>
      <c r="B133" s="468"/>
      <c r="C133" s="9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9"/>
      <c r="AL133" s="9"/>
      <c r="AM133" s="12"/>
      <c r="AN133" s="15"/>
      <c r="AO133" s="9"/>
      <c r="AP133" s="15"/>
      <c r="AQ133" s="9"/>
      <c r="AR133" s="15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12"/>
      <c r="BZ133" s="9"/>
      <c r="CA133" s="12"/>
      <c r="CB133" s="9"/>
      <c r="CC133" s="9"/>
      <c r="CD133" s="9"/>
      <c r="CE133" s="9"/>
      <c r="CF133" s="9"/>
      <c r="CG133" s="9"/>
      <c r="CH133" s="9"/>
      <c r="CI133" s="9"/>
      <c r="CJ133" s="9"/>
      <c r="CK133" s="382"/>
      <c r="CL133" s="382"/>
      <c r="CM133" s="382"/>
      <c r="CN133" s="382"/>
      <c r="CO133" s="382"/>
      <c r="CP133" s="382"/>
      <c r="CQ133" s="15"/>
    </row>
    <row r="134" spans="1:95" ht="14.25" customHeight="1">
      <c r="A134" s="9"/>
      <c r="B134" s="468"/>
      <c r="C134" s="9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9"/>
      <c r="AL134" s="9"/>
      <c r="AM134" s="12"/>
      <c r="AN134" s="15"/>
      <c r="AO134" s="9"/>
      <c r="AP134" s="15"/>
      <c r="AQ134" s="9"/>
      <c r="AR134" s="15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12"/>
      <c r="BZ134" s="9"/>
      <c r="CA134" s="12"/>
      <c r="CB134" s="9"/>
      <c r="CC134" s="9"/>
      <c r="CD134" s="9"/>
      <c r="CE134" s="9"/>
      <c r="CF134" s="9"/>
      <c r="CG134" s="9"/>
      <c r="CH134" s="9"/>
      <c r="CI134" s="9"/>
      <c r="CJ134" s="9"/>
      <c r="CK134" s="15"/>
      <c r="CL134" s="15"/>
      <c r="CM134" s="15"/>
      <c r="CN134" s="15"/>
      <c r="CO134" s="15"/>
      <c r="CP134" s="15"/>
      <c r="CQ134" s="15"/>
    </row>
    <row r="135" spans="1:95" ht="14.25" customHeight="1">
      <c r="A135" s="9"/>
      <c r="B135" s="550" t="s">
        <v>573</v>
      </c>
      <c r="C135" s="524"/>
      <c r="D135" s="18" t="str">
        <f t="shared" ref="D135:CI135" si="442">+D$7</f>
        <v>F1Q03A</v>
      </c>
      <c r="E135" s="19" t="str">
        <f t="shared" si="442"/>
        <v>F2Q03A</v>
      </c>
      <c r="F135" s="19" t="str">
        <f t="shared" si="442"/>
        <v>F3Q03A</v>
      </c>
      <c r="G135" s="19" t="str">
        <f t="shared" si="442"/>
        <v>F4Q03A</v>
      </c>
      <c r="H135" s="18" t="str">
        <f t="shared" si="442"/>
        <v>F1Q04A</v>
      </c>
      <c r="I135" s="19" t="str">
        <f t="shared" si="442"/>
        <v>F2Q04A</v>
      </c>
      <c r="J135" s="19" t="str">
        <f t="shared" si="442"/>
        <v>F3Q04A</v>
      </c>
      <c r="K135" s="19" t="str">
        <f t="shared" si="442"/>
        <v>F4Q04A</v>
      </c>
      <c r="L135" s="18" t="str">
        <f t="shared" si="442"/>
        <v>F1Q05A</v>
      </c>
      <c r="M135" s="19" t="str">
        <f t="shared" si="442"/>
        <v>F2Q05A</v>
      </c>
      <c r="N135" s="19" t="str">
        <f t="shared" si="442"/>
        <v>F3Q05A</v>
      </c>
      <c r="O135" s="19" t="str">
        <f t="shared" si="442"/>
        <v>F4Q05A</v>
      </c>
      <c r="P135" s="18" t="str">
        <f t="shared" si="442"/>
        <v>F1Q06A</v>
      </c>
      <c r="Q135" s="19" t="str">
        <f t="shared" si="442"/>
        <v>F2Q06A</v>
      </c>
      <c r="R135" s="19" t="str">
        <f t="shared" si="442"/>
        <v>F3Q06A</v>
      </c>
      <c r="S135" s="19" t="str">
        <f t="shared" si="442"/>
        <v>F4Q06A</v>
      </c>
      <c r="T135" s="18" t="str">
        <f t="shared" si="442"/>
        <v>F1Q07A</v>
      </c>
      <c r="U135" s="19" t="str">
        <f t="shared" si="442"/>
        <v>F2Q07A</v>
      </c>
      <c r="V135" s="19" t="str">
        <f t="shared" si="442"/>
        <v>F3Q07A</v>
      </c>
      <c r="W135" s="19" t="str">
        <f t="shared" si="442"/>
        <v>F4Q07A</v>
      </c>
      <c r="X135" s="18" t="str">
        <f t="shared" si="442"/>
        <v>F1Q08A</v>
      </c>
      <c r="Y135" s="19" t="str">
        <f t="shared" si="442"/>
        <v>F2Q08A</v>
      </c>
      <c r="Z135" s="19" t="str">
        <f t="shared" si="442"/>
        <v>F3Q08A</v>
      </c>
      <c r="AA135" s="19" t="str">
        <f t="shared" si="442"/>
        <v>F4Q08A</v>
      </c>
      <c r="AB135" s="18" t="str">
        <f t="shared" si="442"/>
        <v>F1Q09A</v>
      </c>
      <c r="AC135" s="19" t="str">
        <f t="shared" si="442"/>
        <v>F2Q09A</v>
      </c>
      <c r="AD135" s="19" t="str">
        <f t="shared" si="442"/>
        <v>F3Q09A</v>
      </c>
      <c r="AE135" s="19" t="str">
        <f t="shared" si="442"/>
        <v>F4Q09A</v>
      </c>
      <c r="AF135" s="18" t="str">
        <f t="shared" si="442"/>
        <v>F1Q10A</v>
      </c>
      <c r="AG135" s="19" t="str">
        <f t="shared" si="442"/>
        <v>F2Q10A</v>
      </c>
      <c r="AH135" s="19" t="str">
        <f t="shared" si="442"/>
        <v>F3Q10A</v>
      </c>
      <c r="AI135" s="19" t="str">
        <f t="shared" si="442"/>
        <v>F4Q10A</v>
      </c>
      <c r="AJ135" s="18" t="str">
        <f t="shared" si="442"/>
        <v>F1Q11A</v>
      </c>
      <c r="AK135" s="19" t="str">
        <f t="shared" si="442"/>
        <v>F2Q11A</v>
      </c>
      <c r="AL135" s="19" t="str">
        <f t="shared" si="442"/>
        <v>F3Q11A</v>
      </c>
      <c r="AM135" s="19" t="str">
        <f t="shared" si="442"/>
        <v>F4Q11A</v>
      </c>
      <c r="AN135" s="18" t="str">
        <f t="shared" si="442"/>
        <v>F1Q12A</v>
      </c>
      <c r="AO135" s="19" t="str">
        <f t="shared" si="442"/>
        <v>F2Q12A</v>
      </c>
      <c r="AP135" s="19" t="str">
        <f t="shared" si="442"/>
        <v>F3Q12A</v>
      </c>
      <c r="AQ135" s="19" t="str">
        <f t="shared" si="442"/>
        <v>F4Q12A</v>
      </c>
      <c r="AR135" s="18" t="str">
        <f t="shared" si="442"/>
        <v>F1Q13A</v>
      </c>
      <c r="AS135" s="19" t="str">
        <f t="shared" si="442"/>
        <v>F2Q13A</v>
      </c>
      <c r="AT135" s="19" t="str">
        <f t="shared" si="442"/>
        <v>F3Q13A</v>
      </c>
      <c r="AU135" s="19" t="str">
        <f t="shared" si="442"/>
        <v>F4Q13A</v>
      </c>
      <c r="AV135" s="18" t="str">
        <f t="shared" si="442"/>
        <v>F1Q14A</v>
      </c>
      <c r="AW135" s="19" t="str">
        <f t="shared" si="442"/>
        <v>F2Q14A</v>
      </c>
      <c r="AX135" s="19" t="str">
        <f t="shared" si="442"/>
        <v>F3Q14A</v>
      </c>
      <c r="AY135" s="19" t="str">
        <f t="shared" si="442"/>
        <v>F4Q14A</v>
      </c>
      <c r="AZ135" s="18" t="str">
        <f t="shared" si="442"/>
        <v>F1Q15A</v>
      </c>
      <c r="BA135" s="19" t="str">
        <f t="shared" si="442"/>
        <v>F2Q15A</v>
      </c>
      <c r="BB135" s="19" t="str">
        <f t="shared" si="442"/>
        <v>F3Q15A</v>
      </c>
      <c r="BC135" s="19" t="str">
        <f t="shared" si="442"/>
        <v>F4Q15A</v>
      </c>
      <c r="BD135" s="18" t="str">
        <f t="shared" si="442"/>
        <v>F1Q16A</v>
      </c>
      <c r="BE135" s="1247" t="str">
        <f t="shared" si="442"/>
        <v>F2Q16A</v>
      </c>
      <c r="BF135" s="1247" t="str">
        <f t="shared" si="442"/>
        <v>F3Q16A</v>
      </c>
      <c r="BG135" s="1300" t="str">
        <f t="shared" si="442"/>
        <v>F4Q16A</v>
      </c>
      <c r="BH135" s="1246" t="str">
        <f t="shared" si="442"/>
        <v>F1Q17A</v>
      </c>
      <c r="BI135" s="1247" t="str">
        <f t="shared" si="442"/>
        <v>F2Q17A</v>
      </c>
      <c r="BJ135" s="1391" t="str">
        <f t="shared" si="442"/>
        <v>F3Q17A</v>
      </c>
      <c r="BK135" s="1247" t="str">
        <f t="shared" si="442"/>
        <v>F4Q17A</v>
      </c>
      <c r="BL135" s="1246" t="str">
        <f t="shared" si="442"/>
        <v>F1Q18E</v>
      </c>
      <c r="BM135" s="1247" t="str">
        <f t="shared" si="442"/>
        <v>F2Q18E</v>
      </c>
      <c r="BN135" s="1247" t="str">
        <f t="shared" si="442"/>
        <v>F3Q18E</v>
      </c>
      <c r="BO135" s="1247" t="str">
        <f t="shared" si="442"/>
        <v>F4Q18E</v>
      </c>
      <c r="BP135" s="1299" t="str">
        <f t="shared" si="442"/>
        <v>F1Q19E</v>
      </c>
      <c r="BQ135" s="1300" t="str">
        <f t="shared" si="442"/>
        <v>F2Q19E</v>
      </c>
      <c r="BR135" s="1300" t="str">
        <f t="shared" si="442"/>
        <v>F3Q19E</v>
      </c>
      <c r="BS135" s="1300" t="str">
        <f t="shared" si="442"/>
        <v>F4Q19E</v>
      </c>
      <c r="BT135" s="1390" t="str">
        <f t="shared" si="442"/>
        <v>F1Q20E</v>
      </c>
      <c r="BU135" s="1391" t="str">
        <f t="shared" si="442"/>
        <v>F2Q20E</v>
      </c>
      <c r="BV135" s="1391" t="str">
        <f t="shared" si="442"/>
        <v>F3Q20E</v>
      </c>
      <c r="BW135" s="1391" t="str">
        <f t="shared" si="442"/>
        <v>F4Q20E</v>
      </c>
      <c r="BX135" s="211"/>
      <c r="BY135" s="551" t="str">
        <f t="shared" si="442"/>
        <v>FY2003A</v>
      </c>
      <c r="BZ135" s="551" t="str">
        <f t="shared" si="442"/>
        <v>FY2004A</v>
      </c>
      <c r="CA135" s="551" t="str">
        <f t="shared" si="442"/>
        <v>FY2005A</v>
      </c>
      <c r="CB135" s="551" t="str">
        <f t="shared" si="442"/>
        <v>FY2006A</v>
      </c>
      <c r="CC135" s="551" t="str">
        <f t="shared" si="442"/>
        <v>FY2007A</v>
      </c>
      <c r="CD135" s="551" t="str">
        <f t="shared" si="442"/>
        <v>FY2008A</v>
      </c>
      <c r="CE135" s="551" t="str">
        <f t="shared" si="442"/>
        <v>FY2009A</v>
      </c>
      <c r="CF135" s="551" t="str">
        <f t="shared" si="442"/>
        <v>FY2010A</v>
      </c>
      <c r="CG135" s="551" t="str">
        <f t="shared" si="442"/>
        <v>FY2011A</v>
      </c>
      <c r="CH135" s="551" t="str">
        <f t="shared" si="442"/>
        <v>FY2012A</v>
      </c>
      <c r="CI135" s="551" t="str">
        <f t="shared" si="442"/>
        <v>FY2013A</v>
      </c>
      <c r="CJ135" s="551" t="str">
        <f t="shared" ref="CJ135:CP135" si="443">+CJ$7</f>
        <v>FY2014A</v>
      </c>
      <c r="CK135" s="1200" t="str">
        <f t="shared" si="443"/>
        <v>FY2015A</v>
      </c>
      <c r="CL135" s="1200" t="str">
        <f t="shared" si="443"/>
        <v>FY2016</v>
      </c>
      <c r="CM135" s="1200" t="str">
        <f t="shared" si="443"/>
        <v>FY2017A</v>
      </c>
      <c r="CN135" s="1200" t="str">
        <f t="shared" si="443"/>
        <v>FY2018E</v>
      </c>
      <c r="CO135" s="1200" t="str">
        <f t="shared" si="443"/>
        <v>FY2019E</v>
      </c>
      <c r="CP135" s="1201" t="str">
        <f t="shared" si="443"/>
        <v>FY2020E</v>
      </c>
      <c r="CQ135" s="22"/>
    </row>
    <row r="136" spans="1:95" ht="14.25" customHeight="1">
      <c r="A136" s="9"/>
      <c r="B136" s="1004"/>
      <c r="C136" s="15"/>
      <c r="D136" s="57"/>
      <c r="E136" s="57"/>
      <c r="F136" s="57"/>
      <c r="G136" s="62"/>
      <c r="H136" s="57"/>
      <c r="I136" s="57"/>
      <c r="J136" s="57"/>
      <c r="K136" s="62"/>
      <c r="L136" s="57"/>
      <c r="M136" s="57"/>
      <c r="N136" s="57"/>
      <c r="O136" s="62"/>
      <c r="P136" s="57"/>
      <c r="Q136" s="57"/>
      <c r="R136" s="57"/>
      <c r="S136" s="62"/>
      <c r="T136" s="57"/>
      <c r="U136" s="57"/>
      <c r="V136" s="57"/>
      <c r="W136" s="62"/>
      <c r="X136" s="57"/>
      <c r="Y136" s="57"/>
      <c r="Z136" s="57"/>
      <c r="AA136" s="62"/>
      <c r="AB136" s="57"/>
      <c r="AC136" s="57"/>
      <c r="AD136" s="57"/>
      <c r="AE136" s="62"/>
      <c r="AF136" s="57"/>
      <c r="AG136" s="57"/>
      <c r="AH136" s="57"/>
      <c r="AI136" s="62"/>
      <c r="AJ136" s="57"/>
      <c r="AK136" s="15"/>
      <c r="AL136" s="15"/>
      <c r="AM136" s="62"/>
      <c r="AN136" s="15"/>
      <c r="AO136" s="15"/>
      <c r="AP136" s="15"/>
      <c r="AQ136" s="206"/>
      <c r="AR136" s="15"/>
      <c r="AS136" s="15"/>
      <c r="AT136" s="15"/>
      <c r="AU136" s="206"/>
      <c r="AV136" s="15"/>
      <c r="AW136" s="15"/>
      <c r="AX136" s="15"/>
      <c r="AY136" s="206"/>
      <c r="AZ136" s="15"/>
      <c r="BA136" s="15"/>
      <c r="BB136" s="15"/>
      <c r="BC136" s="206"/>
      <c r="BD136" s="15"/>
      <c r="BE136" s="15"/>
      <c r="BF136" s="15"/>
      <c r="BG136" s="206"/>
      <c r="BH136" s="15"/>
      <c r="BI136" s="15"/>
      <c r="BJ136" s="15"/>
      <c r="BK136" s="211"/>
      <c r="BL136" s="15"/>
      <c r="BM136" s="15"/>
      <c r="BN136" s="15"/>
      <c r="BO136" s="211"/>
      <c r="BP136" s="15"/>
      <c r="BQ136" s="15"/>
      <c r="BR136" s="15"/>
      <c r="BS136" s="211"/>
      <c r="BT136" s="15"/>
      <c r="BU136" s="15"/>
      <c r="BV136" s="15"/>
      <c r="BW136" s="211"/>
      <c r="BX136" s="211"/>
      <c r="BY136" s="57"/>
      <c r="BZ136" s="15"/>
      <c r="CA136" s="57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211"/>
      <c r="CQ136" s="22"/>
    </row>
    <row r="137" spans="1:95" ht="14.25" customHeight="1">
      <c r="A137" s="9"/>
      <c r="B137" s="1004" t="s">
        <v>574</v>
      </c>
      <c r="C137" s="15"/>
      <c r="D137" s="1005">
        <f t="shared" ref="D137:AI137" si="444">+D72</f>
        <v>18.000000000000007</v>
      </c>
      <c r="E137" s="1005">
        <f t="shared" si="444"/>
        <v>19.199999999999974</v>
      </c>
      <c r="F137" s="1005">
        <f t="shared" si="444"/>
        <v>23.200000000000024</v>
      </c>
      <c r="G137" s="1006">
        <f t="shared" si="444"/>
        <v>22.600000000000037</v>
      </c>
      <c r="H137" s="1005">
        <f t="shared" si="444"/>
        <v>36.799999999999983</v>
      </c>
      <c r="I137" s="1005">
        <f t="shared" si="444"/>
        <v>49.000000000000007</v>
      </c>
      <c r="J137" s="1005">
        <f t="shared" si="444"/>
        <v>43.499999999999972</v>
      </c>
      <c r="K137" s="1006">
        <f t="shared" si="444"/>
        <v>40.200000000000024</v>
      </c>
      <c r="L137" s="1005">
        <f t="shared" si="444"/>
        <v>33.399999999999984</v>
      </c>
      <c r="M137" s="1005">
        <f t="shared" si="444"/>
        <v>39.1</v>
      </c>
      <c r="N137" s="1005">
        <f t="shared" si="444"/>
        <v>42.40000000000002</v>
      </c>
      <c r="O137" s="1006">
        <f t="shared" si="444"/>
        <v>56.000000000000021</v>
      </c>
      <c r="P137" s="1005">
        <f t="shared" si="444"/>
        <v>54.8</v>
      </c>
      <c r="Q137" s="1005">
        <f t="shared" si="444"/>
        <v>86.4</v>
      </c>
      <c r="R137" s="1005">
        <f t="shared" si="444"/>
        <v>91.099999999999966</v>
      </c>
      <c r="S137" s="1006">
        <f t="shared" si="444"/>
        <v>88.000000000000028</v>
      </c>
      <c r="T137" s="1005">
        <f t="shared" si="444"/>
        <v>66</v>
      </c>
      <c r="U137" s="1005">
        <f t="shared" si="444"/>
        <v>75</v>
      </c>
      <c r="V137" s="1005">
        <f t="shared" si="444"/>
        <v>79.299999999999955</v>
      </c>
      <c r="W137" s="1006">
        <f t="shared" si="444"/>
        <v>78.8</v>
      </c>
      <c r="X137" s="1005">
        <f t="shared" si="444"/>
        <v>73.899999999999991</v>
      </c>
      <c r="Y137" s="1005">
        <f t="shared" si="444"/>
        <v>101.40000000000003</v>
      </c>
      <c r="Z137" s="1005">
        <f t="shared" si="444"/>
        <v>110.20000000000002</v>
      </c>
      <c r="AA137" s="1006">
        <f t="shared" si="444"/>
        <v>61.500000000000014</v>
      </c>
      <c r="AB137" s="1005">
        <f t="shared" si="444"/>
        <v>15.900000000000077</v>
      </c>
      <c r="AC137" s="1005">
        <f t="shared" si="444"/>
        <v>32.299999999999983</v>
      </c>
      <c r="AD137" s="1005">
        <f t="shared" si="444"/>
        <v>67.899999999999949</v>
      </c>
      <c r="AE137" s="1006">
        <f t="shared" si="444"/>
        <v>94.200000000000045</v>
      </c>
      <c r="AF137" s="1005">
        <f t="shared" si="444"/>
        <v>99.500000000000057</v>
      </c>
      <c r="AG137" s="1005">
        <f t="shared" si="444"/>
        <v>115.80000000000001</v>
      </c>
      <c r="AH137" s="1005">
        <f t="shared" si="444"/>
        <v>118.10000000000008</v>
      </c>
      <c r="AI137" s="1006">
        <f t="shared" si="444"/>
        <v>109.50000000000006</v>
      </c>
      <c r="AJ137" s="1005">
        <f t="shared" ref="AJ137:BO137" si="445">+AJ72</f>
        <v>125.69999999999996</v>
      </c>
      <c r="AK137" s="1005">
        <f t="shared" si="445"/>
        <v>126.39999999999992</v>
      </c>
      <c r="AL137" s="1005">
        <f t="shared" si="445"/>
        <v>127.10000000000002</v>
      </c>
      <c r="AM137" s="1006">
        <f t="shared" si="445"/>
        <v>74.099999999999881</v>
      </c>
      <c r="AN137" s="1005">
        <f t="shared" si="445"/>
        <v>66.199999999999989</v>
      </c>
      <c r="AO137" s="1005">
        <f t="shared" si="445"/>
        <v>80.899999999999949</v>
      </c>
      <c r="AP137" s="1005">
        <f t="shared" si="445"/>
        <v>70</v>
      </c>
      <c r="AQ137" s="1006">
        <f t="shared" si="445"/>
        <v>45.400000000000006</v>
      </c>
      <c r="AR137" s="1005">
        <f t="shared" si="445"/>
        <v>53.700000000000017</v>
      </c>
      <c r="AS137" s="1005">
        <f t="shared" si="445"/>
        <v>65.19999999999996</v>
      </c>
      <c r="AT137" s="1005">
        <f t="shared" si="445"/>
        <v>86.5</v>
      </c>
      <c r="AU137" s="1006">
        <f t="shared" si="445"/>
        <v>85.300000000000011</v>
      </c>
      <c r="AV137" s="1005">
        <f t="shared" si="445"/>
        <v>87.600000000000023</v>
      </c>
      <c r="AW137" s="1005">
        <f t="shared" si="445"/>
        <v>101.19999999999999</v>
      </c>
      <c r="AX137" s="1005">
        <f t="shared" si="445"/>
        <v>108</v>
      </c>
      <c r="AY137" s="1006">
        <f t="shared" si="445"/>
        <v>88.700000000000102</v>
      </c>
      <c r="AZ137" s="1005">
        <f t="shared" si="445"/>
        <v>100</v>
      </c>
      <c r="BA137" s="1005">
        <f t="shared" si="445"/>
        <v>108.59999999999997</v>
      </c>
      <c r="BB137" s="1005">
        <f t="shared" si="445"/>
        <v>106.6</v>
      </c>
      <c r="BC137" s="1006">
        <f t="shared" si="445"/>
        <v>93.200000000000017</v>
      </c>
      <c r="BD137" s="1005">
        <f t="shared" si="445"/>
        <v>86.300000000000011</v>
      </c>
      <c r="BE137" s="1005">
        <f t="shared" si="445"/>
        <v>108.19999999999999</v>
      </c>
      <c r="BF137" s="1005">
        <f t="shared" si="445"/>
        <v>122.9</v>
      </c>
      <c r="BG137" s="1006">
        <f t="shared" si="445"/>
        <v>162.19999999999993</v>
      </c>
      <c r="BH137" s="1005">
        <f t="shared" si="445"/>
        <v>169.20000000000005</v>
      </c>
      <c r="BI137" s="1005">
        <f t="shared" si="445"/>
        <v>196.59999999999997</v>
      </c>
      <c r="BJ137" s="1005">
        <f t="shared" si="445"/>
        <v>231.00000000000006</v>
      </c>
      <c r="BK137" s="1006">
        <f t="shared" si="445"/>
        <v>211.50000000000006</v>
      </c>
      <c r="BL137" s="1005">
        <f t="shared" si="445"/>
        <v>216.18210511615223</v>
      </c>
      <c r="BM137" s="1005">
        <f t="shared" si="445"/>
        <v>236.20913112368061</v>
      </c>
      <c r="BN137" s="1005">
        <f t="shared" si="445"/>
        <v>246.57535071078769</v>
      </c>
      <c r="BO137" s="1006">
        <f t="shared" si="445"/>
        <v>236.31030375307745</v>
      </c>
      <c r="BP137" s="1005">
        <f t="shared" ref="BP137:BS137" si="446">+BP72</f>
        <v>233.11112687518317</v>
      </c>
      <c r="BQ137" s="1005">
        <f t="shared" si="446"/>
        <v>254.58653623642681</v>
      </c>
      <c r="BR137" s="1005">
        <f t="shared" si="446"/>
        <v>273.52669741313429</v>
      </c>
      <c r="BS137" s="1006">
        <f t="shared" si="446"/>
        <v>265.57681913520321</v>
      </c>
      <c r="BT137" s="1005">
        <f t="shared" ref="BT137:BW137" si="447">+BT72</f>
        <v>254.4124236815901</v>
      </c>
      <c r="BU137" s="1005">
        <f t="shared" si="447"/>
        <v>277.00340065184201</v>
      </c>
      <c r="BV137" s="1005">
        <f t="shared" si="447"/>
        <v>296.67248998062723</v>
      </c>
      <c r="BW137" s="1006">
        <f t="shared" si="447"/>
        <v>288.37227877434469</v>
      </c>
      <c r="BX137" s="211"/>
      <c r="BY137" s="225">
        <f>SUM(D137:G137)</f>
        <v>83.000000000000043</v>
      </c>
      <c r="BZ137" s="209">
        <f>SUM(H137:K137)</f>
        <v>169.49999999999997</v>
      </c>
      <c r="CA137" s="225">
        <f>SUM(L137:O137)</f>
        <v>170.90000000000003</v>
      </c>
      <c r="CB137" s="209">
        <f>SUM(P137:S137)</f>
        <v>320.29999999999995</v>
      </c>
      <c r="CC137" s="209">
        <f>SUM(T137:W137)</f>
        <v>299.09999999999997</v>
      </c>
      <c r="CD137" s="209">
        <f>SUM(X137:AA137)</f>
        <v>347</v>
      </c>
      <c r="CE137" s="209">
        <f>SUM(AB137:AE137)</f>
        <v>210.30000000000007</v>
      </c>
      <c r="CF137" s="209">
        <f>SUM(AF137:AI137)</f>
        <v>442.9000000000002</v>
      </c>
      <c r="CG137" s="209">
        <f>SUM(AJ137:AM137)</f>
        <v>453.29999999999984</v>
      </c>
      <c r="CH137" s="209">
        <f>SUM(AN137:AQ137)</f>
        <v>262.49999999999994</v>
      </c>
      <c r="CI137" s="209">
        <f>SUM(AR137:AU137)</f>
        <v>290.7</v>
      </c>
      <c r="CJ137" s="209">
        <f>SUM(AV137:AY137)</f>
        <v>385.50000000000011</v>
      </c>
      <c r="CK137" s="209">
        <f>SUM(AZ137:BC137)</f>
        <v>408.4</v>
      </c>
      <c r="CL137" s="209">
        <f>SUM(BD137:BG137)</f>
        <v>479.59999999999991</v>
      </c>
      <c r="CM137" s="209">
        <f>SUM(BH137:BK137)</f>
        <v>808.30000000000018</v>
      </c>
      <c r="CN137" s="209">
        <f>SUM(BL137:BO137)</f>
        <v>935.27689070369797</v>
      </c>
      <c r="CO137" s="209">
        <f>SUM(BP137:BS137)</f>
        <v>1026.8011796599476</v>
      </c>
      <c r="CP137" s="210">
        <f>SUM(BT137:BW137)</f>
        <v>1116.460593088404</v>
      </c>
      <c r="CQ137" s="22"/>
    </row>
    <row r="138" spans="1:95" ht="14.25" customHeight="1">
      <c r="A138" s="409"/>
      <c r="B138" s="1007" t="s">
        <v>624</v>
      </c>
      <c r="C138" s="408"/>
      <c r="D138" s="1130">
        <f>+CFS!D11+CFS!D12</f>
        <v>36</v>
      </c>
      <c r="E138" s="1130">
        <f>+CFS!E11+CFS!E12</f>
        <v>36.599999999999987</v>
      </c>
      <c r="F138" s="1131">
        <f>+CFS!F11+CFS!F12</f>
        <v>28</v>
      </c>
      <c r="G138" s="1132">
        <f>+CFS!G11+CFS!G12</f>
        <v>27.200000000000003</v>
      </c>
      <c r="H138" s="1130">
        <f>+CFS!H11+CFS!H12</f>
        <v>26.3</v>
      </c>
      <c r="I138" s="1130">
        <f>+CFS!I11+CFS!I12</f>
        <v>24.8</v>
      </c>
      <c r="J138" s="1131">
        <f>+CFS!J11+CFS!J12</f>
        <v>25.499999999999996</v>
      </c>
      <c r="K138" s="1132">
        <f>+CFS!K11+CFS!K12</f>
        <v>25.500000000000004</v>
      </c>
      <c r="L138" s="1130">
        <f>+CFS!L11+CFS!L12</f>
        <v>25.1</v>
      </c>
      <c r="M138" s="1130">
        <f>+CFS!M11+CFS!M12</f>
        <v>24.799999999999997</v>
      </c>
      <c r="N138" s="1131">
        <f>+CFS!N11+CFS!N12</f>
        <v>25.000000000000007</v>
      </c>
      <c r="O138" s="1132">
        <f>+CFS!O11+CFS!O12</f>
        <v>24.1</v>
      </c>
      <c r="P138" s="1130">
        <f>+CFS!P11+CFS!P12</f>
        <v>23.5</v>
      </c>
      <c r="Q138" s="1130">
        <f>+CFS!Q11+CFS!Q12</f>
        <v>17.200000000000006</v>
      </c>
      <c r="R138" s="1131">
        <f>+CFS!R11+CFS!R12</f>
        <v>19.29999999999999</v>
      </c>
      <c r="S138" s="1132">
        <f>+CFS!S11+CFS!S12</f>
        <v>21.400000000000009</v>
      </c>
      <c r="T138" s="1130">
        <f>+CFS!T11+CFS!T12</f>
        <v>22.1</v>
      </c>
      <c r="U138" s="1130">
        <f>+CFS!U11+CFS!U12</f>
        <v>22.699999999999996</v>
      </c>
      <c r="V138" s="1131">
        <f>+CFS!V11+CFS!V12</f>
        <v>22.799999999999997</v>
      </c>
      <c r="W138" s="1132">
        <f>+CFS!W11+CFS!W12</f>
        <v>25.2</v>
      </c>
      <c r="X138" s="1130">
        <f>+CFS!X11+CFS!X12</f>
        <v>27.9</v>
      </c>
      <c r="Y138" s="1130">
        <f>+CFS!Y11+CFS!Y12</f>
        <v>37.700000000000003</v>
      </c>
      <c r="Z138" s="1131">
        <f>+CFS!Z11+CFS!Z12</f>
        <v>37.999999999999993</v>
      </c>
      <c r="AA138" s="1132">
        <f>+CFS!AA11+CFS!AA12</f>
        <v>38.499999999999986</v>
      </c>
      <c r="AB138" s="1130">
        <f>+CFS!AB11+CFS!AB12</f>
        <v>39.700000000000003</v>
      </c>
      <c r="AC138" s="1130">
        <f>+CFS!AC11+CFS!AC12</f>
        <v>39</v>
      </c>
      <c r="AD138" s="1131">
        <f>+CFS!AD11+CFS!AD12</f>
        <v>38.899999999999991</v>
      </c>
      <c r="AE138" s="1132">
        <f>+CFS!AE11+CFS!AE12</f>
        <v>38</v>
      </c>
      <c r="AF138" s="1130">
        <f>+CFS!AF11+CFS!AF12</f>
        <v>39.700000000000003</v>
      </c>
      <c r="AG138" s="1130">
        <f>+CFS!AG11+CFS!AG12</f>
        <v>40.299999999999997</v>
      </c>
      <c r="AH138" s="1131">
        <f>+CFS!AH11+CFS!AH12</f>
        <v>42.400000000000006</v>
      </c>
      <c r="AI138" s="1132">
        <f>+CFS!AI11+CFS!AI12</f>
        <v>44.5</v>
      </c>
      <c r="AJ138" s="1130">
        <f>+CFS!AJ11+CFS!AJ12</f>
        <v>52.8</v>
      </c>
      <c r="AK138" s="1130">
        <f>+CFS!AK11+CFS!AK12</f>
        <v>57.1</v>
      </c>
      <c r="AL138" s="1131">
        <f>+CFS!AL11+CFS!AL12</f>
        <v>56.899999999999991</v>
      </c>
      <c r="AM138" s="1132">
        <f>+CFS!AM11+CFS!AM12</f>
        <v>62.600000000000023</v>
      </c>
      <c r="AN138" s="1130">
        <f>+CFS!AN11+CFS!AN12</f>
        <v>61.1</v>
      </c>
      <c r="AO138" s="1130">
        <f>+CFS!AO11+CFS!AO12</f>
        <v>60.300000000000004</v>
      </c>
      <c r="AP138" s="1131">
        <f>+CFS!AP11+CFS!AP12</f>
        <v>61.299999999999969</v>
      </c>
      <c r="AQ138" s="1132">
        <f>+CFS!AQ11+CFS!AQ12</f>
        <v>60.900000000000013</v>
      </c>
      <c r="AR138" s="1130">
        <f>+CFS!AR11+CFS!AR12</f>
        <v>51.3</v>
      </c>
      <c r="AS138" s="1130">
        <f>+CFS!AS11+CFS!AS12</f>
        <v>52.300000000000004</v>
      </c>
      <c r="AT138" s="1131">
        <f>+CFS!AT11+CFS!AT12</f>
        <v>52.899999999999991</v>
      </c>
      <c r="AU138" s="1132">
        <f>+CFS!AU11+CFS!AU12</f>
        <v>55.300000000000026</v>
      </c>
      <c r="AV138" s="1130">
        <f>+CFS!AV11+CFS!AV12</f>
        <v>52.4</v>
      </c>
      <c r="AW138" s="1130">
        <f>+CFS!AW11+CFS!AW12</f>
        <v>57.899999999999991</v>
      </c>
      <c r="AX138" s="1131">
        <f>+CFS!AX11+CFS!AX12</f>
        <v>74.500000000000014</v>
      </c>
      <c r="AY138" s="1132">
        <f>+CFS!AY11+CFS!AY12</f>
        <v>84</v>
      </c>
      <c r="AZ138" s="1130">
        <f>+CFS!AZ11+CFS!AZ12</f>
        <v>90.2</v>
      </c>
      <c r="BA138" s="1130">
        <f>+CFS!BA11+CFS!BA12</f>
        <v>88.399999999999991</v>
      </c>
      <c r="BB138" s="1131">
        <f>+CFS!BB11+CFS!BB12</f>
        <v>89.200000000000031</v>
      </c>
      <c r="BC138" s="1132">
        <f>+CFS!BC11+CFS!BC12</f>
        <v>89.800000000000026</v>
      </c>
      <c r="BD138" s="1130">
        <f>+CFS!BD11+CFS!BD12</f>
        <v>80.7</v>
      </c>
      <c r="BE138" s="1130">
        <f>+CFS!BE11+CFS!BE12</f>
        <v>79.600000000000009</v>
      </c>
      <c r="BF138" s="1131">
        <f>+CFS!BF11+CFS!BF12</f>
        <v>83.799999999999969</v>
      </c>
      <c r="BG138" s="1132">
        <f>+CFS!BG11+CFS!BG12</f>
        <v>120.00000000000004</v>
      </c>
      <c r="BH138" s="1130">
        <f>+CFS!BH11+CFS!BH12</f>
        <v>114.3</v>
      </c>
      <c r="BI138" s="1130">
        <f>+CFS!BI11+CFS!BI12</f>
        <v>116.50000000000001</v>
      </c>
      <c r="BJ138" s="1130">
        <f>+CFS!BJ11+CFS!BJ12</f>
        <v>127.69999999999997</v>
      </c>
      <c r="BK138" s="1132">
        <f>+CFS!BK11+CFS!BK12</f>
        <v>123.39999999999999</v>
      </c>
      <c r="BL138" s="1130">
        <f>+CFS!BL11+CFS!BL12</f>
        <v>155.88960506570896</v>
      </c>
      <c r="BM138" s="1130">
        <f>+CFS!BM11+CFS!BM12</f>
        <v>128.48558092442789</v>
      </c>
      <c r="BN138" s="1131">
        <f>+CFS!BN11+CFS!BN12</f>
        <v>131.14286826213046</v>
      </c>
      <c r="BO138" s="1132">
        <f>+CFS!BO11+CFS!BO12</f>
        <v>133.75307507213395</v>
      </c>
      <c r="BP138" s="1130">
        <f>+CFS!BX11+CFS!BX12</f>
        <v>0</v>
      </c>
      <c r="BQ138" s="1130">
        <f>+CFS!BY11+CFS!BY12</f>
        <v>127.8</v>
      </c>
      <c r="BR138" s="1131">
        <f>+CFS!BZ11+CFS!BZ12</f>
        <v>102.1</v>
      </c>
      <c r="BS138" s="1132">
        <f>+CFS!CA11+CFS!CA12</f>
        <v>99</v>
      </c>
      <c r="BT138" s="1130">
        <f>+CFS!CB11+CFS!CB12</f>
        <v>81.400000000000006</v>
      </c>
      <c r="BU138" s="1130">
        <f>+CFS!CC11+CFS!CC12</f>
        <v>92.8</v>
      </c>
      <c r="BV138" s="1131">
        <f>+CFS!CD11+CFS!CD12</f>
        <v>142.1</v>
      </c>
      <c r="BW138" s="1132">
        <f>+CFS!CE11+CFS!CE12</f>
        <v>155.6</v>
      </c>
      <c r="BX138" s="411"/>
      <c r="BY138" s="1012">
        <f>SUM(D138:G138)</f>
        <v>127.8</v>
      </c>
      <c r="BZ138" s="1011">
        <f>SUM(H138:K138)</f>
        <v>102.1</v>
      </c>
      <c r="CA138" s="1012">
        <f>SUM(L138:O138)</f>
        <v>99</v>
      </c>
      <c r="CB138" s="1011">
        <f>SUM(P138:S138)</f>
        <v>81.400000000000006</v>
      </c>
      <c r="CC138" s="1011">
        <f>SUM(T138:W138)</f>
        <v>92.8</v>
      </c>
      <c r="CD138" s="1011">
        <f>SUM(X138:AA138)</f>
        <v>142.09999999999997</v>
      </c>
      <c r="CE138" s="1011">
        <f>SUM(AB138:AE138)</f>
        <v>155.6</v>
      </c>
      <c r="CF138" s="1011">
        <f>SUM(AF138:AI138)</f>
        <v>166.9</v>
      </c>
      <c r="CG138" s="1011">
        <f>SUM(AJ138:AM138)</f>
        <v>229.40000000000003</v>
      </c>
      <c r="CH138" s="1011">
        <f>SUM(AN138:AQ138)</f>
        <v>243.6</v>
      </c>
      <c r="CI138" s="1011">
        <f>SUM(AR138:AU138)</f>
        <v>211.8</v>
      </c>
      <c r="CJ138" s="1011">
        <f>SUM(AV138:AY138)</f>
        <v>268.8</v>
      </c>
      <c r="CK138" s="1011">
        <f>SUM(AZ138:BC138)</f>
        <v>357.6</v>
      </c>
      <c r="CL138" s="1011">
        <f>SUM(BD138:BG138)</f>
        <v>364.1</v>
      </c>
      <c r="CM138" s="1011">
        <f>SUM(BH138:BK138)</f>
        <v>481.9</v>
      </c>
      <c r="CN138" s="1011">
        <f>SUM(BL138:BO138)</f>
        <v>549.27112932440127</v>
      </c>
      <c r="CO138" s="1011">
        <f>SUM(BP138:BS138)</f>
        <v>328.9</v>
      </c>
      <c r="CP138" s="1013">
        <f>SUM(BT138:BW138)</f>
        <v>471.9</v>
      </c>
      <c r="CQ138" s="410"/>
    </row>
    <row r="139" spans="1:95" ht="14.25" customHeight="1">
      <c r="A139" s="91"/>
      <c r="B139" s="1008" t="s">
        <v>573</v>
      </c>
      <c r="C139" s="482"/>
      <c r="D139" s="1009">
        <f>+SUM(D137:D138)</f>
        <v>54.000000000000007</v>
      </c>
      <c r="E139" s="1009">
        <f t="shared" ref="E139:BA139" si="448">+SUM(E137:E138)</f>
        <v>55.799999999999962</v>
      </c>
      <c r="F139" s="1009">
        <f t="shared" si="448"/>
        <v>51.200000000000024</v>
      </c>
      <c r="G139" s="1010">
        <f t="shared" si="448"/>
        <v>49.80000000000004</v>
      </c>
      <c r="H139" s="1009">
        <f t="shared" si="448"/>
        <v>63.09999999999998</v>
      </c>
      <c r="I139" s="1009">
        <f t="shared" si="448"/>
        <v>73.800000000000011</v>
      </c>
      <c r="J139" s="1009">
        <f t="shared" si="448"/>
        <v>68.999999999999972</v>
      </c>
      <c r="K139" s="1010">
        <f t="shared" si="448"/>
        <v>65.700000000000031</v>
      </c>
      <c r="L139" s="1009">
        <f t="shared" si="448"/>
        <v>58.499999999999986</v>
      </c>
      <c r="M139" s="1009">
        <f t="shared" si="448"/>
        <v>63.9</v>
      </c>
      <c r="N139" s="1009">
        <f t="shared" si="448"/>
        <v>67.400000000000034</v>
      </c>
      <c r="O139" s="1010">
        <f t="shared" si="448"/>
        <v>80.100000000000023</v>
      </c>
      <c r="P139" s="1009">
        <f t="shared" si="448"/>
        <v>78.3</v>
      </c>
      <c r="Q139" s="1009">
        <f t="shared" si="448"/>
        <v>103.60000000000001</v>
      </c>
      <c r="R139" s="1009">
        <f t="shared" si="448"/>
        <v>110.39999999999995</v>
      </c>
      <c r="S139" s="1010">
        <f t="shared" si="448"/>
        <v>109.40000000000003</v>
      </c>
      <c r="T139" s="1009">
        <f t="shared" si="448"/>
        <v>88.1</v>
      </c>
      <c r="U139" s="1009">
        <f t="shared" si="448"/>
        <v>97.699999999999989</v>
      </c>
      <c r="V139" s="1009">
        <f t="shared" si="448"/>
        <v>102.09999999999995</v>
      </c>
      <c r="W139" s="1010">
        <f t="shared" si="448"/>
        <v>104</v>
      </c>
      <c r="X139" s="1009">
        <f t="shared" si="448"/>
        <v>101.79999999999998</v>
      </c>
      <c r="Y139" s="1009">
        <f t="shared" si="448"/>
        <v>139.10000000000002</v>
      </c>
      <c r="Z139" s="1009">
        <f t="shared" si="448"/>
        <v>148.20000000000002</v>
      </c>
      <c r="AA139" s="1010">
        <f t="shared" si="448"/>
        <v>100</v>
      </c>
      <c r="AB139" s="1009">
        <f t="shared" si="448"/>
        <v>55.60000000000008</v>
      </c>
      <c r="AC139" s="1009">
        <f t="shared" si="448"/>
        <v>71.299999999999983</v>
      </c>
      <c r="AD139" s="1009">
        <f t="shared" si="448"/>
        <v>106.79999999999994</v>
      </c>
      <c r="AE139" s="1010">
        <f t="shared" si="448"/>
        <v>132.20000000000005</v>
      </c>
      <c r="AF139" s="1009">
        <f t="shared" si="448"/>
        <v>139.20000000000005</v>
      </c>
      <c r="AG139" s="1009">
        <f t="shared" si="448"/>
        <v>156.10000000000002</v>
      </c>
      <c r="AH139" s="1009">
        <f t="shared" si="448"/>
        <v>160.50000000000009</v>
      </c>
      <c r="AI139" s="1010">
        <f t="shared" si="448"/>
        <v>154.00000000000006</v>
      </c>
      <c r="AJ139" s="1009">
        <f t="shared" si="448"/>
        <v>178.49999999999994</v>
      </c>
      <c r="AK139" s="1009">
        <f t="shared" si="448"/>
        <v>183.49999999999991</v>
      </c>
      <c r="AL139" s="1009">
        <f t="shared" si="448"/>
        <v>184</v>
      </c>
      <c r="AM139" s="1010">
        <f t="shared" si="448"/>
        <v>136.6999999999999</v>
      </c>
      <c r="AN139" s="1009">
        <f t="shared" si="448"/>
        <v>127.29999999999998</v>
      </c>
      <c r="AO139" s="1009">
        <f t="shared" si="448"/>
        <v>141.19999999999996</v>
      </c>
      <c r="AP139" s="1009">
        <f t="shared" si="448"/>
        <v>131.29999999999995</v>
      </c>
      <c r="AQ139" s="1010">
        <f t="shared" si="448"/>
        <v>106.30000000000001</v>
      </c>
      <c r="AR139" s="1009">
        <f t="shared" si="448"/>
        <v>105.00000000000001</v>
      </c>
      <c r="AS139" s="1009">
        <f t="shared" si="448"/>
        <v>117.49999999999997</v>
      </c>
      <c r="AT139" s="1009">
        <f t="shared" si="448"/>
        <v>139.39999999999998</v>
      </c>
      <c r="AU139" s="1010">
        <f t="shared" si="448"/>
        <v>140.60000000000002</v>
      </c>
      <c r="AV139" s="1009">
        <f t="shared" si="448"/>
        <v>140.00000000000003</v>
      </c>
      <c r="AW139" s="1009">
        <f>+SUM(AW137:AW138)</f>
        <v>159.09999999999997</v>
      </c>
      <c r="AX139" s="1009">
        <f t="shared" si="448"/>
        <v>182.5</v>
      </c>
      <c r="AY139" s="1010">
        <f t="shared" si="448"/>
        <v>172.7000000000001</v>
      </c>
      <c r="AZ139" s="1009">
        <f>+SUM(AZ137:AZ138)</f>
        <v>190.2</v>
      </c>
      <c r="BA139" s="1009">
        <f t="shared" si="448"/>
        <v>196.99999999999994</v>
      </c>
      <c r="BB139" s="1009">
        <f>+SUM(BB137:BB138)</f>
        <v>195.8</v>
      </c>
      <c r="BC139" s="1010">
        <f>+SUM(BC137:BC138)</f>
        <v>183.00000000000006</v>
      </c>
      <c r="BD139" s="1009">
        <f t="shared" ref="BD139:BK139" si="449">+SUM(BD137:BD138)</f>
        <v>167</v>
      </c>
      <c r="BE139" s="1239">
        <f>+SUM(BE137:BE138)</f>
        <v>187.8</v>
      </c>
      <c r="BF139" s="1009">
        <f>+SUM(BF137:BF138)</f>
        <v>206.7</v>
      </c>
      <c r="BG139" s="1010">
        <f>+SUM(BG137:BG138)</f>
        <v>282.2</v>
      </c>
      <c r="BH139" s="1239">
        <f t="shared" si="449"/>
        <v>283.50000000000006</v>
      </c>
      <c r="BI139" s="1239">
        <f t="shared" si="449"/>
        <v>313.09999999999997</v>
      </c>
      <c r="BJ139" s="1239">
        <f t="shared" si="449"/>
        <v>358.70000000000005</v>
      </c>
      <c r="BK139" s="1240">
        <f t="shared" si="449"/>
        <v>334.90000000000003</v>
      </c>
      <c r="BL139" s="1239">
        <f t="shared" ref="BL139:BS139" si="450">+SUM(BL137:BL138)</f>
        <v>372.07171018186119</v>
      </c>
      <c r="BM139" s="1239">
        <f t="shared" si="450"/>
        <v>364.6947120481085</v>
      </c>
      <c r="BN139" s="1239">
        <f t="shared" si="450"/>
        <v>377.71821897291818</v>
      </c>
      <c r="BO139" s="1240">
        <f t="shared" si="450"/>
        <v>370.06337882521143</v>
      </c>
      <c r="BP139" s="1239">
        <f t="shared" si="450"/>
        <v>233.11112687518317</v>
      </c>
      <c r="BQ139" s="1239">
        <f t="shared" si="450"/>
        <v>382.38653623642682</v>
      </c>
      <c r="BR139" s="1239">
        <f t="shared" si="450"/>
        <v>375.62669741313425</v>
      </c>
      <c r="BS139" s="1240">
        <f t="shared" si="450"/>
        <v>364.57681913520321</v>
      </c>
      <c r="BT139" s="1239">
        <f t="shared" ref="BT139:BW139" si="451">+SUM(BT137:BT138)</f>
        <v>335.81242368159008</v>
      </c>
      <c r="BU139" s="1239">
        <f t="shared" si="451"/>
        <v>369.80340065184203</v>
      </c>
      <c r="BV139" s="1239">
        <f t="shared" si="451"/>
        <v>438.77248998062726</v>
      </c>
      <c r="BW139" s="1240">
        <f t="shared" si="451"/>
        <v>443.97227877434466</v>
      </c>
      <c r="BX139" s="287"/>
      <c r="BY139" s="1015">
        <f t="shared" ref="BY139:CL139" si="452">+SUM(BY137:BY138)</f>
        <v>210.80000000000004</v>
      </c>
      <c r="BZ139" s="1014">
        <f t="shared" si="452"/>
        <v>271.59999999999997</v>
      </c>
      <c r="CA139" s="1015">
        <f t="shared" si="452"/>
        <v>269.90000000000003</v>
      </c>
      <c r="CB139" s="1014">
        <f t="shared" si="452"/>
        <v>401.69999999999993</v>
      </c>
      <c r="CC139" s="1014">
        <f t="shared" si="452"/>
        <v>391.9</v>
      </c>
      <c r="CD139" s="1014">
        <f t="shared" si="452"/>
        <v>489.09999999999997</v>
      </c>
      <c r="CE139" s="1014">
        <f t="shared" si="452"/>
        <v>365.90000000000009</v>
      </c>
      <c r="CF139" s="1014">
        <f t="shared" si="452"/>
        <v>609.80000000000018</v>
      </c>
      <c r="CG139" s="1014">
        <f t="shared" si="452"/>
        <v>682.69999999999982</v>
      </c>
      <c r="CH139" s="1014">
        <f t="shared" si="452"/>
        <v>506.09999999999991</v>
      </c>
      <c r="CI139" s="1014">
        <f t="shared" si="452"/>
        <v>502.5</v>
      </c>
      <c r="CJ139" s="1014">
        <f t="shared" si="452"/>
        <v>654.30000000000018</v>
      </c>
      <c r="CK139" s="1202">
        <f t="shared" si="452"/>
        <v>766</v>
      </c>
      <c r="CL139" s="1202">
        <f t="shared" si="452"/>
        <v>843.69999999999993</v>
      </c>
      <c r="CM139" s="1202">
        <f>+SUM(CM137:CM138)</f>
        <v>1290.2000000000003</v>
      </c>
      <c r="CN139" s="1202">
        <f>+SUM(CN137:CN138)</f>
        <v>1484.5480200280992</v>
      </c>
      <c r="CO139" s="1202">
        <f>+SUM(CO137:CO138)</f>
        <v>1355.7011796599477</v>
      </c>
      <c r="CP139" s="1203">
        <f>+SUM(CP137:CP138)</f>
        <v>1588.3605930884041</v>
      </c>
      <c r="CQ139" s="286"/>
    </row>
    <row r="140" spans="1:95" ht="14.25" customHeight="1">
      <c r="A140" s="91"/>
      <c r="B140" s="1052"/>
      <c r="C140" s="284"/>
      <c r="D140" s="1046"/>
      <c r="E140" s="1046"/>
      <c r="F140" s="1046"/>
      <c r="G140" s="1046"/>
      <c r="H140" s="1046"/>
      <c r="I140" s="1046"/>
      <c r="J140" s="1046"/>
      <c r="K140" s="1046"/>
      <c r="L140" s="1046"/>
      <c r="M140" s="1046"/>
      <c r="N140" s="1046"/>
      <c r="O140" s="1046"/>
      <c r="P140" s="1046"/>
      <c r="Q140" s="1046"/>
      <c r="R140" s="1046"/>
      <c r="S140" s="1046"/>
      <c r="T140" s="1046"/>
      <c r="U140" s="1046"/>
      <c r="V140" s="1046"/>
      <c r="W140" s="1046"/>
      <c r="X140" s="1046"/>
      <c r="Y140" s="1046"/>
      <c r="Z140" s="1046"/>
      <c r="AA140" s="1046"/>
      <c r="AB140" s="1046"/>
      <c r="AC140" s="1046"/>
      <c r="AD140" s="1046"/>
      <c r="AE140" s="1046"/>
      <c r="AF140" s="1046"/>
      <c r="AG140" s="1046"/>
      <c r="AH140" s="1046"/>
      <c r="AI140" s="1046"/>
      <c r="AJ140" s="1046"/>
      <c r="AK140" s="1046"/>
      <c r="AL140" s="1046"/>
      <c r="AM140" s="1046"/>
      <c r="AN140" s="1046"/>
      <c r="AO140" s="1046"/>
      <c r="AP140" s="1046"/>
      <c r="AQ140" s="1046"/>
      <c r="AR140" s="1046"/>
      <c r="AS140" s="1046"/>
      <c r="AT140" s="1046"/>
      <c r="AU140" s="1046"/>
      <c r="AV140" s="1046"/>
      <c r="AW140" s="1046"/>
      <c r="AX140" s="1046"/>
      <c r="AY140" s="1046"/>
      <c r="AZ140" s="1046"/>
      <c r="BA140" s="1046"/>
      <c r="BB140" s="1046"/>
      <c r="BC140" s="1046"/>
      <c r="BD140" s="1046"/>
      <c r="BE140" s="1241"/>
      <c r="BF140" s="1241"/>
      <c r="BG140" s="1241"/>
      <c r="BH140" s="1241"/>
      <c r="BI140" s="1241"/>
      <c r="BJ140" s="1241"/>
      <c r="BK140" s="1241"/>
      <c r="BL140" s="1241"/>
      <c r="BM140" s="1241"/>
      <c r="BN140" s="1241"/>
      <c r="BO140" s="1241"/>
      <c r="BP140" s="1241"/>
      <c r="BQ140" s="1241"/>
      <c r="BR140" s="1241"/>
      <c r="BS140" s="1241"/>
      <c r="BT140" s="1241"/>
      <c r="BU140" s="1241"/>
      <c r="BV140" s="1241"/>
      <c r="BW140" s="1241"/>
      <c r="BX140" s="284"/>
      <c r="BY140" s="1050"/>
      <c r="BZ140" s="900"/>
      <c r="CA140" s="1050"/>
      <c r="CB140" s="900"/>
      <c r="CC140" s="900"/>
      <c r="CD140" s="900"/>
      <c r="CE140" s="900"/>
      <c r="CF140" s="900"/>
      <c r="CG140" s="900"/>
      <c r="CH140" s="900"/>
      <c r="CI140" s="900"/>
      <c r="CJ140" s="900"/>
      <c r="CK140" s="407"/>
      <c r="CL140" s="407"/>
      <c r="CM140" s="407"/>
      <c r="CN140" s="407"/>
      <c r="CO140" s="407"/>
      <c r="CP140" s="407"/>
      <c r="CQ140" s="284"/>
    </row>
    <row r="141" spans="1:95" ht="14.25" customHeight="1">
      <c r="A141" s="9"/>
      <c r="B141" s="468"/>
      <c r="C141" s="9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9"/>
      <c r="AL141" s="9"/>
      <c r="AM141" s="12"/>
      <c r="AN141" s="15"/>
      <c r="AO141" s="9"/>
      <c r="AP141" s="15"/>
      <c r="AQ141" s="9"/>
      <c r="AR141" s="15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12"/>
      <c r="BZ141" s="9"/>
      <c r="CA141" s="12"/>
      <c r="CB141" s="9"/>
      <c r="CC141" s="9"/>
      <c r="CD141" s="9"/>
      <c r="CE141" s="9"/>
      <c r="CF141" s="9"/>
      <c r="CG141" s="9"/>
      <c r="CH141" s="9"/>
      <c r="CI141" s="9"/>
      <c r="CJ141" s="9"/>
      <c r="CK141" s="15"/>
      <c r="CL141" s="15"/>
      <c r="CM141" s="15"/>
      <c r="CN141" s="15"/>
      <c r="CO141" s="15"/>
      <c r="CP141" s="15"/>
      <c r="CQ141" s="15"/>
    </row>
    <row r="142" spans="1:95" ht="14.25" customHeight="1">
      <c r="A142" s="1053"/>
      <c r="B142" s="1054"/>
      <c r="C142" s="1055"/>
      <c r="D142" s="1058">
        <v>37711</v>
      </c>
      <c r="E142" s="1056">
        <v>37802</v>
      </c>
      <c r="F142" s="1056">
        <v>37894</v>
      </c>
      <c r="G142" s="1057">
        <v>37986</v>
      </c>
      <c r="H142" s="1058">
        <v>38077</v>
      </c>
      <c r="I142" s="1056">
        <v>38168</v>
      </c>
      <c r="J142" s="1056">
        <v>38260</v>
      </c>
      <c r="K142" s="1057">
        <v>38352</v>
      </c>
      <c r="L142" s="1058">
        <v>38442</v>
      </c>
      <c r="M142" s="1056">
        <v>38533</v>
      </c>
      <c r="N142" s="1056">
        <v>38625</v>
      </c>
      <c r="O142" s="1057">
        <v>38717</v>
      </c>
      <c r="P142" s="1058">
        <v>38807</v>
      </c>
      <c r="Q142" s="1056">
        <v>38898</v>
      </c>
      <c r="R142" s="1056">
        <v>38990</v>
      </c>
      <c r="S142" s="1057">
        <v>39082</v>
      </c>
      <c r="T142" s="1058">
        <v>39172</v>
      </c>
      <c r="U142" s="1056">
        <v>39263</v>
      </c>
      <c r="V142" s="1056">
        <v>39355</v>
      </c>
      <c r="W142" s="1057">
        <v>39447</v>
      </c>
      <c r="X142" s="1058">
        <v>39538</v>
      </c>
      <c r="Y142" s="1056">
        <v>39629</v>
      </c>
      <c r="Z142" s="1056">
        <v>39721</v>
      </c>
      <c r="AA142" s="1057">
        <v>39813</v>
      </c>
      <c r="AB142" s="1058">
        <v>39903</v>
      </c>
      <c r="AC142" s="1056">
        <v>39994</v>
      </c>
      <c r="AD142" s="1056">
        <v>40086</v>
      </c>
      <c r="AE142" s="1057">
        <v>40178</v>
      </c>
      <c r="AF142" s="1058">
        <v>40268</v>
      </c>
      <c r="AG142" s="1056">
        <v>40359</v>
      </c>
      <c r="AH142" s="1056">
        <v>40451</v>
      </c>
      <c r="AI142" s="1057">
        <v>40543</v>
      </c>
      <c r="AJ142" s="1058">
        <v>40633</v>
      </c>
      <c r="AK142" s="1056">
        <v>40724</v>
      </c>
      <c r="AL142" s="1056">
        <v>40816</v>
      </c>
      <c r="AM142" s="1057">
        <v>40908</v>
      </c>
      <c r="AN142" s="1058">
        <v>40999</v>
      </c>
      <c r="AO142" s="1056">
        <v>41090</v>
      </c>
      <c r="AP142" s="1056">
        <v>41182</v>
      </c>
      <c r="AQ142" s="1057">
        <v>41274</v>
      </c>
      <c r="AR142" s="1058">
        <v>41364</v>
      </c>
      <c r="AS142" s="1056">
        <v>41455</v>
      </c>
      <c r="AT142" s="1056">
        <v>41547</v>
      </c>
      <c r="AU142" s="1057">
        <v>41639</v>
      </c>
      <c r="AV142" s="1058">
        <v>41729</v>
      </c>
      <c r="AW142" s="1056">
        <v>41820</v>
      </c>
      <c r="AX142" s="1056">
        <v>41912</v>
      </c>
      <c r="AY142" s="1057">
        <v>42004</v>
      </c>
      <c r="AZ142" s="1058">
        <v>42094</v>
      </c>
      <c r="BA142" s="1056">
        <v>42185</v>
      </c>
      <c r="BB142" s="1056">
        <v>41912</v>
      </c>
      <c r="BC142" s="1057">
        <v>42369</v>
      </c>
      <c r="BD142" s="1058">
        <v>42460</v>
      </c>
      <c r="BE142" s="1204">
        <v>42551</v>
      </c>
      <c r="BF142" s="1204">
        <v>42643</v>
      </c>
      <c r="BG142" s="1205">
        <v>42735</v>
      </c>
      <c r="BH142" s="1218">
        <f>BH6</f>
        <v>42825</v>
      </c>
      <c r="BI142" s="1204">
        <f t="shared" ref="BI142:BS142" si="453">BI6</f>
        <v>42916</v>
      </c>
      <c r="BJ142" s="1204">
        <f t="shared" si="453"/>
        <v>43008</v>
      </c>
      <c r="BK142" s="1205">
        <f t="shared" si="453"/>
        <v>43100</v>
      </c>
      <c r="BL142" s="1218">
        <f t="shared" si="453"/>
        <v>43190</v>
      </c>
      <c r="BM142" s="1204">
        <f t="shared" si="453"/>
        <v>43281</v>
      </c>
      <c r="BN142" s="1204">
        <f t="shared" si="453"/>
        <v>43373</v>
      </c>
      <c r="BO142" s="1205">
        <f t="shared" si="453"/>
        <v>43465</v>
      </c>
      <c r="BP142" s="1218">
        <f t="shared" si="453"/>
        <v>43555</v>
      </c>
      <c r="BQ142" s="1204">
        <f t="shared" si="453"/>
        <v>43646</v>
      </c>
      <c r="BR142" s="1204">
        <f t="shared" si="453"/>
        <v>43738</v>
      </c>
      <c r="BS142" s="1205">
        <f t="shared" si="453"/>
        <v>43830</v>
      </c>
      <c r="BT142" s="1218">
        <f t="shared" ref="BT142:BW142" si="454">BT6</f>
        <v>43921</v>
      </c>
      <c r="BU142" s="1204">
        <f t="shared" si="454"/>
        <v>44012</v>
      </c>
      <c r="BV142" s="1204">
        <f t="shared" si="454"/>
        <v>44104</v>
      </c>
      <c r="BW142" s="1205">
        <f t="shared" si="454"/>
        <v>44196</v>
      </c>
      <c r="BX142" s="1059"/>
      <c r="BY142" s="1058"/>
      <c r="BZ142" s="1056"/>
      <c r="CA142" s="1056"/>
      <c r="CB142" s="1056"/>
      <c r="CC142" s="1056"/>
      <c r="CD142" s="1056"/>
      <c r="CE142" s="1056"/>
      <c r="CF142" s="1056"/>
      <c r="CG142" s="1056"/>
      <c r="CH142" s="1056"/>
      <c r="CI142" s="1056"/>
      <c r="CJ142" s="1056"/>
      <c r="CK142" s="1225"/>
      <c r="CL142" s="1225"/>
      <c r="CM142" s="1225"/>
      <c r="CN142" s="1225"/>
      <c r="CO142" s="1225"/>
      <c r="CP142" s="1224"/>
      <c r="CQ142" s="1476"/>
    </row>
    <row r="143" spans="1:95" ht="14.25" customHeight="1">
      <c r="A143" s="9"/>
      <c r="B143" s="550" t="s">
        <v>581</v>
      </c>
      <c r="C143" s="524"/>
      <c r="D143" s="18" t="str">
        <f t="shared" ref="D143:CI143" si="455">+D$7</f>
        <v>F1Q03A</v>
      </c>
      <c r="E143" s="19" t="str">
        <f t="shared" si="455"/>
        <v>F2Q03A</v>
      </c>
      <c r="F143" s="19" t="str">
        <f t="shared" si="455"/>
        <v>F3Q03A</v>
      </c>
      <c r="G143" s="19" t="str">
        <f t="shared" si="455"/>
        <v>F4Q03A</v>
      </c>
      <c r="H143" s="18" t="str">
        <f t="shared" si="455"/>
        <v>F1Q04A</v>
      </c>
      <c r="I143" s="19" t="str">
        <f t="shared" si="455"/>
        <v>F2Q04A</v>
      </c>
      <c r="J143" s="19" t="str">
        <f t="shared" si="455"/>
        <v>F3Q04A</v>
      </c>
      <c r="K143" s="19" t="str">
        <f t="shared" si="455"/>
        <v>F4Q04A</v>
      </c>
      <c r="L143" s="18" t="str">
        <f t="shared" si="455"/>
        <v>F1Q05A</v>
      </c>
      <c r="M143" s="19" t="str">
        <f t="shared" si="455"/>
        <v>F2Q05A</v>
      </c>
      <c r="N143" s="19" t="str">
        <f t="shared" si="455"/>
        <v>F3Q05A</v>
      </c>
      <c r="O143" s="19" t="str">
        <f t="shared" si="455"/>
        <v>F4Q05A</v>
      </c>
      <c r="P143" s="18" t="str">
        <f t="shared" si="455"/>
        <v>F1Q06A</v>
      </c>
      <c r="Q143" s="19" t="str">
        <f t="shared" si="455"/>
        <v>F2Q06A</v>
      </c>
      <c r="R143" s="19" t="str">
        <f t="shared" si="455"/>
        <v>F3Q06A</v>
      </c>
      <c r="S143" s="19" t="str">
        <f t="shared" si="455"/>
        <v>F4Q06A</v>
      </c>
      <c r="T143" s="18" t="str">
        <f t="shared" si="455"/>
        <v>F1Q07A</v>
      </c>
      <c r="U143" s="19" t="str">
        <f t="shared" si="455"/>
        <v>F2Q07A</v>
      </c>
      <c r="V143" s="19" t="str">
        <f t="shared" si="455"/>
        <v>F3Q07A</v>
      </c>
      <c r="W143" s="19" t="str">
        <f t="shared" si="455"/>
        <v>F4Q07A</v>
      </c>
      <c r="X143" s="18" t="str">
        <f t="shared" si="455"/>
        <v>F1Q08A</v>
      </c>
      <c r="Y143" s="19" t="str">
        <f t="shared" si="455"/>
        <v>F2Q08A</v>
      </c>
      <c r="Z143" s="19" t="str">
        <f t="shared" si="455"/>
        <v>F3Q08A</v>
      </c>
      <c r="AA143" s="19" t="str">
        <f t="shared" si="455"/>
        <v>F4Q08A</v>
      </c>
      <c r="AB143" s="18" t="str">
        <f t="shared" si="455"/>
        <v>F1Q09A</v>
      </c>
      <c r="AC143" s="19" t="str">
        <f t="shared" si="455"/>
        <v>F2Q09A</v>
      </c>
      <c r="AD143" s="19" t="str">
        <f t="shared" si="455"/>
        <v>F3Q09A</v>
      </c>
      <c r="AE143" s="19" t="str">
        <f t="shared" si="455"/>
        <v>F4Q09A</v>
      </c>
      <c r="AF143" s="18" t="str">
        <f t="shared" si="455"/>
        <v>F1Q10A</v>
      </c>
      <c r="AG143" s="19" t="str">
        <f t="shared" si="455"/>
        <v>F2Q10A</v>
      </c>
      <c r="AH143" s="19" t="str">
        <f t="shared" si="455"/>
        <v>F3Q10A</v>
      </c>
      <c r="AI143" s="19" t="str">
        <f t="shared" si="455"/>
        <v>F4Q10A</v>
      </c>
      <c r="AJ143" s="18" t="str">
        <f t="shared" si="455"/>
        <v>F1Q11A</v>
      </c>
      <c r="AK143" s="19" t="str">
        <f t="shared" si="455"/>
        <v>F2Q11A</v>
      </c>
      <c r="AL143" s="19" t="str">
        <f t="shared" si="455"/>
        <v>F3Q11A</v>
      </c>
      <c r="AM143" s="19" t="str">
        <f t="shared" si="455"/>
        <v>F4Q11A</v>
      </c>
      <c r="AN143" s="18" t="str">
        <f t="shared" si="455"/>
        <v>F1Q12A</v>
      </c>
      <c r="AO143" s="19" t="str">
        <f t="shared" si="455"/>
        <v>F2Q12A</v>
      </c>
      <c r="AP143" s="19" t="str">
        <f t="shared" si="455"/>
        <v>F3Q12A</v>
      </c>
      <c r="AQ143" s="19" t="str">
        <f t="shared" si="455"/>
        <v>F4Q12A</v>
      </c>
      <c r="AR143" s="18" t="str">
        <f t="shared" si="455"/>
        <v>F1Q13A</v>
      </c>
      <c r="AS143" s="19" t="str">
        <f t="shared" si="455"/>
        <v>F2Q13A</v>
      </c>
      <c r="AT143" s="19" t="str">
        <f t="shared" si="455"/>
        <v>F3Q13A</v>
      </c>
      <c r="AU143" s="19" t="str">
        <f t="shared" si="455"/>
        <v>F4Q13A</v>
      </c>
      <c r="AV143" s="18" t="str">
        <f t="shared" si="455"/>
        <v>F1Q14A</v>
      </c>
      <c r="AW143" s="19" t="str">
        <f t="shared" si="455"/>
        <v>F2Q14A</v>
      </c>
      <c r="AX143" s="19" t="str">
        <f t="shared" si="455"/>
        <v>F3Q14A</v>
      </c>
      <c r="AY143" s="19" t="str">
        <f t="shared" si="455"/>
        <v>F4Q14A</v>
      </c>
      <c r="AZ143" s="18" t="str">
        <f t="shared" si="455"/>
        <v>F1Q15A</v>
      </c>
      <c r="BA143" s="19" t="str">
        <f t="shared" si="455"/>
        <v>F2Q15A</v>
      </c>
      <c r="BB143" s="19" t="str">
        <f t="shared" si="455"/>
        <v>F3Q15A</v>
      </c>
      <c r="BC143" s="19" t="str">
        <f t="shared" si="455"/>
        <v>F4Q15A</v>
      </c>
      <c r="BD143" s="18" t="str">
        <f t="shared" si="455"/>
        <v>F1Q16A</v>
      </c>
      <c r="BE143" s="1247" t="str">
        <f t="shared" si="455"/>
        <v>F2Q16A</v>
      </c>
      <c r="BF143" s="1247" t="str">
        <f t="shared" si="455"/>
        <v>F3Q16A</v>
      </c>
      <c r="BG143" s="1247" t="str">
        <f t="shared" si="455"/>
        <v>F4Q16A</v>
      </c>
      <c r="BH143" s="1246" t="str">
        <f t="shared" si="455"/>
        <v>F1Q17A</v>
      </c>
      <c r="BI143" s="1247" t="str">
        <f t="shared" si="455"/>
        <v>F2Q17A</v>
      </c>
      <c r="BJ143" s="1391" t="str">
        <f t="shared" si="455"/>
        <v>F3Q17A</v>
      </c>
      <c r="BK143" s="1247" t="str">
        <f t="shared" si="455"/>
        <v>F4Q17A</v>
      </c>
      <c r="BL143" s="1246" t="str">
        <f t="shared" si="455"/>
        <v>F1Q18E</v>
      </c>
      <c r="BM143" s="1247" t="str">
        <f t="shared" si="455"/>
        <v>F2Q18E</v>
      </c>
      <c r="BN143" s="1247" t="str">
        <f t="shared" si="455"/>
        <v>F3Q18E</v>
      </c>
      <c r="BO143" s="1248" t="str">
        <f t="shared" si="455"/>
        <v>F4Q18E</v>
      </c>
      <c r="BP143" s="1299" t="str">
        <f t="shared" si="455"/>
        <v>F1Q19E</v>
      </c>
      <c r="BQ143" s="1300" t="str">
        <f t="shared" si="455"/>
        <v>F2Q19E</v>
      </c>
      <c r="BR143" s="1300" t="str">
        <f t="shared" si="455"/>
        <v>F3Q19E</v>
      </c>
      <c r="BS143" s="1301" t="str">
        <f t="shared" si="455"/>
        <v>F4Q19E</v>
      </c>
      <c r="BT143" s="1390" t="str">
        <f t="shared" si="455"/>
        <v>F1Q20E</v>
      </c>
      <c r="BU143" s="1391" t="str">
        <f t="shared" si="455"/>
        <v>F2Q20E</v>
      </c>
      <c r="BV143" s="1391" t="str">
        <f t="shared" si="455"/>
        <v>F3Q20E</v>
      </c>
      <c r="BW143" s="1392" t="str">
        <f t="shared" si="455"/>
        <v>F4Q20E</v>
      </c>
      <c r="BX143" s="211"/>
      <c r="BY143" s="553" t="str">
        <f t="shared" si="455"/>
        <v>FY2003A</v>
      </c>
      <c r="BZ143" s="551" t="str">
        <f t="shared" si="455"/>
        <v>FY2004A</v>
      </c>
      <c r="CA143" s="551" t="str">
        <f t="shared" si="455"/>
        <v>FY2005A</v>
      </c>
      <c r="CB143" s="551" t="str">
        <f t="shared" si="455"/>
        <v>FY2006A</v>
      </c>
      <c r="CC143" s="551" t="str">
        <f t="shared" si="455"/>
        <v>FY2007A</v>
      </c>
      <c r="CD143" s="551" t="str">
        <f t="shared" si="455"/>
        <v>FY2008A</v>
      </c>
      <c r="CE143" s="551" t="str">
        <f t="shared" si="455"/>
        <v>FY2009A</v>
      </c>
      <c r="CF143" s="551" t="str">
        <f t="shared" si="455"/>
        <v>FY2010A</v>
      </c>
      <c r="CG143" s="551" t="str">
        <f t="shared" si="455"/>
        <v>FY2011A</v>
      </c>
      <c r="CH143" s="551" t="str">
        <f t="shared" si="455"/>
        <v>FY2012A</v>
      </c>
      <c r="CI143" s="551" t="str">
        <f t="shared" si="455"/>
        <v>FY2013A</v>
      </c>
      <c r="CJ143" s="551" t="str">
        <f t="shared" ref="CJ143:CP143" si="456">+CJ$7</f>
        <v>FY2014A</v>
      </c>
      <c r="CK143" s="1200" t="str">
        <f t="shared" si="456"/>
        <v>FY2015A</v>
      </c>
      <c r="CL143" s="1200" t="str">
        <f t="shared" si="456"/>
        <v>FY2016</v>
      </c>
      <c r="CM143" s="1200" t="str">
        <f t="shared" si="456"/>
        <v>FY2017A</v>
      </c>
      <c r="CN143" s="1200" t="str">
        <f t="shared" si="456"/>
        <v>FY2018E</v>
      </c>
      <c r="CO143" s="1200" t="str">
        <f t="shared" si="456"/>
        <v>FY2019E</v>
      </c>
      <c r="CP143" s="1201" t="str">
        <f t="shared" si="456"/>
        <v>FY2020E</v>
      </c>
      <c r="CQ143" s="22"/>
    </row>
    <row r="144" spans="1:95" ht="14.25" customHeight="1">
      <c r="A144" s="9"/>
      <c r="B144" s="1028" t="s">
        <v>564</v>
      </c>
      <c r="C144" s="9"/>
      <c r="D144" s="207"/>
      <c r="E144" s="207"/>
      <c r="F144" s="207"/>
      <c r="G144" s="208"/>
      <c r="H144" s="207"/>
      <c r="I144" s="207"/>
      <c r="J144" s="207"/>
      <c r="K144" s="208"/>
      <c r="L144" s="207"/>
      <c r="M144" s="207"/>
      <c r="N144" s="207"/>
      <c r="O144" s="208"/>
      <c r="P144" s="212">
        <v>0.4</v>
      </c>
      <c r="Q144" s="212">
        <v>0.6</v>
      </c>
      <c r="R144" s="212">
        <v>0.7</v>
      </c>
      <c r="S144" s="208">
        <f>CB144-P144-Q144-R144</f>
        <v>0.8</v>
      </c>
      <c r="T144" s="212">
        <v>1</v>
      </c>
      <c r="U144" s="212">
        <v>1.1000000000000001</v>
      </c>
      <c r="V144" s="212">
        <v>1.2</v>
      </c>
      <c r="W144" s="208">
        <f>CC144-T144-U144-V144</f>
        <v>1.4000000000000001</v>
      </c>
      <c r="X144" s="212">
        <v>1.4</v>
      </c>
      <c r="Y144" s="212">
        <v>2.2999999999999998</v>
      </c>
      <c r="Z144" s="212">
        <v>3.6</v>
      </c>
      <c r="AA144" s="208">
        <f>CD144-X144-Y144-Z144</f>
        <v>1.5000000000000004</v>
      </c>
      <c r="AB144" s="212">
        <v>2.9</v>
      </c>
      <c r="AC144" s="212">
        <v>4.2</v>
      </c>
      <c r="AD144" s="212">
        <v>3.5</v>
      </c>
      <c r="AE144" s="208">
        <f>CE144-AB144-AC144-AD144</f>
        <v>3.0999999999999988</v>
      </c>
      <c r="AF144" s="212">
        <v>3.3</v>
      </c>
      <c r="AG144" s="212">
        <v>3.3</v>
      </c>
      <c r="AH144" s="212">
        <v>4.5</v>
      </c>
      <c r="AI144" s="208">
        <f>CF144-AF144-AG144-AH144</f>
        <v>3.0000000000000009</v>
      </c>
      <c r="AJ144" s="212">
        <v>1.9</v>
      </c>
      <c r="AK144" s="1036">
        <v>1.7</v>
      </c>
      <c r="AL144" s="1036">
        <v>1.3</v>
      </c>
      <c r="AM144" s="208">
        <f>CG144-AJ144-AK144-AL144</f>
        <v>1.4000000000000001</v>
      </c>
      <c r="AN144" s="213">
        <v>1.4</v>
      </c>
      <c r="AO144" s="1036">
        <v>0.7</v>
      </c>
      <c r="AP144" s="213">
        <v>0.5</v>
      </c>
      <c r="AQ144" s="210">
        <f>CH144-AN144-AO144-AP144</f>
        <v>1.1000000000000003</v>
      </c>
      <c r="AR144" s="213">
        <v>1.1000000000000001</v>
      </c>
      <c r="AS144" s="1036">
        <v>1.4</v>
      </c>
      <c r="AT144" s="213">
        <v>1.3</v>
      </c>
      <c r="AU144" s="210">
        <v>1.5</v>
      </c>
      <c r="AV144" s="213">
        <v>1.4</v>
      </c>
      <c r="AW144" s="1036">
        <v>1.7</v>
      </c>
      <c r="AX144" s="213">
        <v>1.7</v>
      </c>
      <c r="AY144" s="214">
        <v>2</v>
      </c>
      <c r="AZ144" s="213">
        <v>1.9</v>
      </c>
      <c r="BA144" s="1036">
        <v>1.9</v>
      </c>
      <c r="BB144" s="213">
        <v>2</v>
      </c>
      <c r="BC144" s="214">
        <v>1.9</v>
      </c>
      <c r="BD144" s="213">
        <v>1.9</v>
      </c>
      <c r="BE144" s="1036">
        <v>2.1</v>
      </c>
      <c r="BF144" s="213">
        <v>2</v>
      </c>
      <c r="BG144" s="214">
        <v>2</v>
      </c>
      <c r="BH144" s="213">
        <v>1.5</v>
      </c>
      <c r="BI144" s="1036">
        <v>1.5</v>
      </c>
      <c r="BJ144" s="1036">
        <v>1.4</v>
      </c>
      <c r="BK144" s="214">
        <v>1.6</v>
      </c>
      <c r="BL144" s="321">
        <v>0</v>
      </c>
      <c r="BM144" s="213">
        <v>0</v>
      </c>
      <c r="BN144" s="213">
        <v>0</v>
      </c>
      <c r="BO144" s="214">
        <v>0</v>
      </c>
      <c r="BP144" s="321">
        <v>0</v>
      </c>
      <c r="BQ144" s="213">
        <v>0</v>
      </c>
      <c r="BR144" s="213">
        <v>0</v>
      </c>
      <c r="BS144" s="214">
        <v>0</v>
      </c>
      <c r="BT144" s="321">
        <v>0</v>
      </c>
      <c r="BU144" s="213">
        <v>0</v>
      </c>
      <c r="BV144" s="213">
        <v>0</v>
      </c>
      <c r="BW144" s="214">
        <v>0</v>
      </c>
      <c r="BX144" s="210"/>
      <c r="BY144" s="1048"/>
      <c r="BZ144" s="209"/>
      <c r="CA144" s="225"/>
      <c r="CB144" s="213">
        <v>2.5</v>
      </c>
      <c r="CC144" s="213">
        <v>4.7</v>
      </c>
      <c r="CD144" s="213">
        <v>8.8000000000000007</v>
      </c>
      <c r="CE144" s="213">
        <v>13.7</v>
      </c>
      <c r="CF144" s="213">
        <v>14.1</v>
      </c>
      <c r="CG144" s="213">
        <v>6.3</v>
      </c>
      <c r="CH144" s="213">
        <v>3.7</v>
      </c>
      <c r="CI144" s="213">
        <f t="shared" ref="CI144:CI150" si="457">SUM(AR144:AU144)</f>
        <v>5.3</v>
      </c>
      <c r="CJ144" s="213">
        <f t="shared" ref="CJ144:CJ150" si="458">SUM(AV144:AY144)</f>
        <v>6.8</v>
      </c>
      <c r="CK144" s="209">
        <f t="shared" ref="CK144:CK150" si="459">SUM(AZ144:BC144)</f>
        <v>7.6999999999999993</v>
      </c>
      <c r="CL144" s="209">
        <f t="shared" ref="CL144:CL150" si="460">SUM(BD144:BG144)</f>
        <v>8</v>
      </c>
      <c r="CM144" s="209">
        <f t="shared" ref="CM144:CM150" si="461">SUM(BH144:BK144)</f>
        <v>6</v>
      </c>
      <c r="CN144" s="209">
        <f t="shared" ref="CN144:CN150" si="462">SUM(BL144:BO144)</f>
        <v>0</v>
      </c>
      <c r="CO144" s="209">
        <f>SUM(BP144:BS144)</f>
        <v>0</v>
      </c>
      <c r="CP144" s="214">
        <f>SUM(BT144:BW144)</f>
        <v>0</v>
      </c>
      <c r="CQ144" s="22"/>
    </row>
    <row r="145" spans="1:95" ht="14.25" customHeight="1">
      <c r="A145" s="9"/>
      <c r="B145" s="1028" t="s">
        <v>305</v>
      </c>
      <c r="C145" s="9"/>
      <c r="D145" s="207"/>
      <c r="E145" s="207"/>
      <c r="F145" s="207"/>
      <c r="G145" s="208"/>
      <c r="H145" s="207"/>
      <c r="I145" s="207"/>
      <c r="J145" s="207"/>
      <c r="K145" s="208"/>
      <c r="L145" s="207"/>
      <c r="M145" s="207"/>
      <c r="N145" s="207"/>
      <c r="O145" s="208"/>
      <c r="P145" s="212">
        <v>0.3</v>
      </c>
      <c r="Q145" s="212">
        <v>0.4</v>
      </c>
      <c r="R145" s="212">
        <v>0.5</v>
      </c>
      <c r="S145" s="208">
        <f>CB145-P145-Q145-R145</f>
        <v>0.49999999999999989</v>
      </c>
      <c r="T145" s="212">
        <v>0.6</v>
      </c>
      <c r="U145" s="212">
        <v>0.6</v>
      </c>
      <c r="V145" s="212">
        <v>0.8</v>
      </c>
      <c r="W145" s="208">
        <f>CC145-T145-U145-V145</f>
        <v>0.59999999999999987</v>
      </c>
      <c r="X145" s="212">
        <v>0.9</v>
      </c>
      <c r="Y145" s="212">
        <v>1.3</v>
      </c>
      <c r="Z145" s="212">
        <v>2</v>
      </c>
      <c r="AA145" s="208">
        <f>CD145-X145-Y145-Z145</f>
        <v>1.5</v>
      </c>
      <c r="AB145" s="212">
        <v>2</v>
      </c>
      <c r="AC145" s="212">
        <v>3.1</v>
      </c>
      <c r="AD145" s="212">
        <v>2.7</v>
      </c>
      <c r="AE145" s="208">
        <f>CE145-AB145-AC145-AD145</f>
        <v>2.8999999999999995</v>
      </c>
      <c r="AF145" s="212">
        <v>2.5</v>
      </c>
      <c r="AG145" s="212">
        <v>2.7</v>
      </c>
      <c r="AH145" s="212">
        <v>2.8</v>
      </c>
      <c r="AI145" s="208">
        <f>CF145-AF145-AG145-AH145</f>
        <v>2.5</v>
      </c>
      <c r="AJ145" s="212">
        <v>2</v>
      </c>
      <c r="AK145" s="1036">
        <v>1.9</v>
      </c>
      <c r="AL145" s="1036">
        <v>1.6</v>
      </c>
      <c r="AM145" s="208">
        <f>CG145-AJ145-AK145-AL145</f>
        <v>1.4000000000000004</v>
      </c>
      <c r="AN145" s="213">
        <v>1.6</v>
      </c>
      <c r="AO145" s="1036">
        <v>0.9</v>
      </c>
      <c r="AP145" s="213">
        <v>0.6</v>
      </c>
      <c r="AQ145" s="210">
        <f>CH145-AN145-AO145-AP145</f>
        <v>1.4</v>
      </c>
      <c r="AR145" s="213">
        <v>1.4</v>
      </c>
      <c r="AS145" s="1036">
        <v>1.7</v>
      </c>
      <c r="AT145" s="213">
        <v>1.5</v>
      </c>
      <c r="AU145" s="210">
        <v>1.7</v>
      </c>
      <c r="AV145" s="213">
        <v>1.8</v>
      </c>
      <c r="AW145" s="1036">
        <v>2.2000000000000002</v>
      </c>
      <c r="AX145" s="213">
        <v>2.2000000000000002</v>
      </c>
      <c r="AY145" s="214">
        <v>2.5</v>
      </c>
      <c r="AZ145" s="213">
        <v>2.2999999999999998</v>
      </c>
      <c r="BA145" s="1036">
        <v>2.5</v>
      </c>
      <c r="BB145" s="213">
        <v>2.2000000000000002</v>
      </c>
      <c r="BC145" s="214">
        <v>2.2000000000000002</v>
      </c>
      <c r="BD145" s="213">
        <v>2.5</v>
      </c>
      <c r="BE145" s="1036">
        <v>2.9</v>
      </c>
      <c r="BF145" s="213">
        <v>2.9</v>
      </c>
      <c r="BG145" s="214">
        <v>2.8</v>
      </c>
      <c r="BH145" s="213">
        <v>2.9</v>
      </c>
      <c r="BI145" s="1036">
        <v>3.5</v>
      </c>
      <c r="BJ145" s="1036">
        <v>3.2</v>
      </c>
      <c r="BK145" s="214">
        <v>2.9</v>
      </c>
      <c r="BL145" s="321">
        <v>0</v>
      </c>
      <c r="BM145" s="213">
        <v>0</v>
      </c>
      <c r="BN145" s="213">
        <v>0</v>
      </c>
      <c r="BO145" s="214">
        <v>0</v>
      </c>
      <c r="BP145" s="321">
        <v>0</v>
      </c>
      <c r="BQ145" s="213">
        <v>0</v>
      </c>
      <c r="BR145" s="213">
        <v>0</v>
      </c>
      <c r="BS145" s="214">
        <v>0</v>
      </c>
      <c r="BT145" s="321">
        <v>0</v>
      </c>
      <c r="BU145" s="213">
        <v>0</v>
      </c>
      <c r="BV145" s="213">
        <v>0</v>
      </c>
      <c r="BW145" s="214">
        <v>0</v>
      </c>
      <c r="BX145" s="210"/>
      <c r="BY145" s="1048"/>
      <c r="BZ145" s="209"/>
      <c r="CA145" s="225"/>
      <c r="CB145" s="213">
        <v>1.7</v>
      </c>
      <c r="CC145" s="213">
        <v>2.6</v>
      </c>
      <c r="CD145" s="213">
        <v>5.7</v>
      </c>
      <c r="CE145" s="213">
        <v>10.7</v>
      </c>
      <c r="CF145" s="213">
        <v>10.5</v>
      </c>
      <c r="CG145" s="213">
        <v>6.9</v>
      </c>
      <c r="CH145" s="213">
        <v>4.5</v>
      </c>
      <c r="CI145" s="213">
        <f t="shared" si="457"/>
        <v>6.3</v>
      </c>
      <c r="CJ145" s="213">
        <f t="shared" si="458"/>
        <v>8.6999999999999993</v>
      </c>
      <c r="CK145" s="209">
        <f t="shared" si="459"/>
        <v>9.1999999999999993</v>
      </c>
      <c r="CL145" s="209">
        <f t="shared" si="460"/>
        <v>11.100000000000001</v>
      </c>
      <c r="CM145" s="209">
        <f t="shared" si="461"/>
        <v>12.500000000000002</v>
      </c>
      <c r="CN145" s="209">
        <f t="shared" si="462"/>
        <v>0</v>
      </c>
      <c r="CO145" s="209">
        <f t="shared" ref="CO145:CO150" si="463">SUM(BP145:BS145)</f>
        <v>0</v>
      </c>
      <c r="CP145" s="214">
        <f t="shared" ref="CP145:CP150" si="464">SUM(BT145:BW145)</f>
        <v>0</v>
      </c>
      <c r="CQ145" s="22"/>
    </row>
    <row r="146" spans="1:95" ht="14.25" customHeight="1">
      <c r="A146" s="9"/>
      <c r="B146" s="1028" t="s">
        <v>583</v>
      </c>
      <c r="C146" s="9"/>
      <c r="D146" s="207"/>
      <c r="E146" s="207"/>
      <c r="F146" s="207"/>
      <c r="G146" s="208"/>
      <c r="H146" s="207"/>
      <c r="I146" s="207"/>
      <c r="J146" s="207"/>
      <c r="K146" s="208"/>
      <c r="L146" s="207"/>
      <c r="M146" s="207"/>
      <c r="N146" s="207"/>
      <c r="O146" s="208"/>
      <c r="P146" s="212">
        <v>0.5</v>
      </c>
      <c r="Q146" s="212">
        <v>0.5</v>
      </c>
      <c r="R146" s="212">
        <v>0.6</v>
      </c>
      <c r="S146" s="208">
        <f>CB146-P146-Q146-R146</f>
        <v>0.50000000000000011</v>
      </c>
      <c r="T146" s="212">
        <v>0.5</v>
      </c>
      <c r="U146" s="212">
        <v>0.7</v>
      </c>
      <c r="V146" s="212">
        <v>0.7</v>
      </c>
      <c r="W146" s="208">
        <f>CC146-T146-U146-V146</f>
        <v>1</v>
      </c>
      <c r="X146" s="212">
        <v>0.9</v>
      </c>
      <c r="Y146" s="212">
        <v>1.3</v>
      </c>
      <c r="Z146" s="212">
        <v>2</v>
      </c>
      <c r="AA146" s="208">
        <f>CD146-X146-Y146-Z146</f>
        <v>1.0999999999999996</v>
      </c>
      <c r="AB146" s="212">
        <v>2.4</v>
      </c>
      <c r="AC146" s="212">
        <v>2.8</v>
      </c>
      <c r="AD146" s="212">
        <v>2.1</v>
      </c>
      <c r="AE146" s="208">
        <f>CE146-AB146-AC146-AD146</f>
        <v>1.5000000000000004</v>
      </c>
      <c r="AF146" s="212">
        <v>2.6</v>
      </c>
      <c r="AG146" s="212">
        <v>2</v>
      </c>
      <c r="AH146" s="212">
        <v>2.9</v>
      </c>
      <c r="AI146" s="208">
        <f>CF146-AF146-AG146-AH146</f>
        <v>2.1999999999999997</v>
      </c>
      <c r="AJ146" s="212">
        <v>1.9</v>
      </c>
      <c r="AK146" s="1036">
        <v>1.7</v>
      </c>
      <c r="AL146" s="1036">
        <v>1.3</v>
      </c>
      <c r="AM146" s="208">
        <f>CG146-AJ146-AK146-AL146</f>
        <v>1.4999999999999998</v>
      </c>
      <c r="AN146" s="213">
        <v>1.6</v>
      </c>
      <c r="AO146" s="1036">
        <v>0.8</v>
      </c>
      <c r="AP146" s="213">
        <v>0.7</v>
      </c>
      <c r="AQ146" s="210">
        <f>CH146-AN146-AO146-AP146</f>
        <v>1.1999999999999997</v>
      </c>
      <c r="AR146" s="213">
        <v>1.1000000000000001</v>
      </c>
      <c r="AS146" s="1036">
        <v>1.6</v>
      </c>
      <c r="AT146" s="213">
        <v>1.4</v>
      </c>
      <c r="AU146" s="210">
        <v>1.6</v>
      </c>
      <c r="AV146" s="213">
        <v>1.5</v>
      </c>
      <c r="AW146" s="1036">
        <v>2.2000000000000002</v>
      </c>
      <c r="AX146" s="213">
        <v>2.1</v>
      </c>
      <c r="AY146" s="214">
        <v>2.2999999999999998</v>
      </c>
      <c r="AZ146" s="213">
        <v>2.2000000000000002</v>
      </c>
      <c r="BA146" s="1036">
        <v>2.2999999999999998</v>
      </c>
      <c r="BB146" s="213">
        <v>2.2000000000000002</v>
      </c>
      <c r="BC146" s="214">
        <v>1.8</v>
      </c>
      <c r="BD146" s="213">
        <v>2.1</v>
      </c>
      <c r="BE146" s="1036">
        <v>2.5</v>
      </c>
      <c r="BF146" s="213">
        <v>2.6</v>
      </c>
      <c r="BG146" s="214">
        <v>2.6</v>
      </c>
      <c r="BH146" s="213">
        <v>2.8</v>
      </c>
      <c r="BI146" s="1036">
        <v>3.2</v>
      </c>
      <c r="BJ146" s="1036">
        <v>2.8</v>
      </c>
      <c r="BK146" s="214">
        <v>2.9</v>
      </c>
      <c r="BL146" s="321">
        <v>0</v>
      </c>
      <c r="BM146" s="213">
        <v>0</v>
      </c>
      <c r="BN146" s="213">
        <v>0</v>
      </c>
      <c r="BO146" s="214">
        <v>0</v>
      </c>
      <c r="BP146" s="321">
        <v>0</v>
      </c>
      <c r="BQ146" s="213">
        <v>0</v>
      </c>
      <c r="BR146" s="213">
        <v>0</v>
      </c>
      <c r="BS146" s="214">
        <v>0</v>
      </c>
      <c r="BT146" s="321">
        <v>0</v>
      </c>
      <c r="BU146" s="213">
        <v>0</v>
      </c>
      <c r="BV146" s="213">
        <v>0</v>
      </c>
      <c r="BW146" s="214">
        <v>0</v>
      </c>
      <c r="BX146" s="210"/>
      <c r="BY146" s="1048"/>
      <c r="BZ146" s="209"/>
      <c r="CA146" s="225"/>
      <c r="CB146" s="213">
        <v>2.1</v>
      </c>
      <c r="CC146" s="213">
        <v>2.9</v>
      </c>
      <c r="CD146" s="213">
        <v>5.3</v>
      </c>
      <c r="CE146" s="213">
        <v>8.8000000000000007</v>
      </c>
      <c r="CF146" s="213">
        <v>9.6999999999999993</v>
      </c>
      <c r="CG146" s="213">
        <v>6.4</v>
      </c>
      <c r="CH146" s="213">
        <v>4.3</v>
      </c>
      <c r="CI146" s="213">
        <f t="shared" si="457"/>
        <v>5.6999999999999993</v>
      </c>
      <c r="CJ146" s="213">
        <f t="shared" si="458"/>
        <v>8.1000000000000014</v>
      </c>
      <c r="CK146" s="209">
        <f t="shared" si="459"/>
        <v>8.5</v>
      </c>
      <c r="CL146" s="209">
        <f t="shared" si="460"/>
        <v>9.7999999999999989</v>
      </c>
      <c r="CM146" s="209">
        <f t="shared" si="461"/>
        <v>11.700000000000001</v>
      </c>
      <c r="CN146" s="209">
        <f t="shared" si="462"/>
        <v>0</v>
      </c>
      <c r="CO146" s="209">
        <f t="shared" si="463"/>
        <v>0</v>
      </c>
      <c r="CP146" s="214">
        <f t="shared" si="464"/>
        <v>0</v>
      </c>
      <c r="CQ146" s="22"/>
    </row>
    <row r="147" spans="1:95" ht="14.25" customHeight="1">
      <c r="A147" s="9"/>
      <c r="B147" s="1028" t="s">
        <v>341</v>
      </c>
      <c r="C147" s="9"/>
      <c r="D147" s="207"/>
      <c r="E147" s="207"/>
      <c r="F147" s="207"/>
      <c r="G147" s="208"/>
      <c r="H147" s="207"/>
      <c r="I147" s="207"/>
      <c r="J147" s="207"/>
      <c r="K147" s="208"/>
      <c r="L147" s="207"/>
      <c r="M147" s="207"/>
      <c r="N147" s="207"/>
      <c r="O147" s="208"/>
      <c r="P147" s="212">
        <v>0.7</v>
      </c>
      <c r="Q147" s="212">
        <v>0.9</v>
      </c>
      <c r="R147" s="212">
        <v>1.1000000000000001</v>
      </c>
      <c r="S147" s="208">
        <f>CB147-P147-Q147-R147</f>
        <v>1.2000000000000002</v>
      </c>
      <c r="T147" s="212">
        <v>1.2</v>
      </c>
      <c r="U147" s="212">
        <v>1.1000000000000001</v>
      </c>
      <c r="V147" s="212">
        <v>1.4</v>
      </c>
      <c r="W147" s="208">
        <f>CC147-T147-U147-V147</f>
        <v>2.5999999999999996</v>
      </c>
      <c r="X147" s="212">
        <v>3.5</v>
      </c>
      <c r="Y147" s="212">
        <v>3.4</v>
      </c>
      <c r="Z147" s="212">
        <v>3.8</v>
      </c>
      <c r="AA147" s="208">
        <f>CD147-X147-Y147-Z147</f>
        <v>2.7</v>
      </c>
      <c r="AB147" s="212">
        <v>5.4</v>
      </c>
      <c r="AC147" s="212">
        <v>6</v>
      </c>
      <c r="AD147" s="212">
        <v>5.2</v>
      </c>
      <c r="AE147" s="208">
        <f>CE147-AB147-AC147-AD147</f>
        <v>4.3999999999999995</v>
      </c>
      <c r="AF147" s="212">
        <v>5.3</v>
      </c>
      <c r="AG147" s="212">
        <v>7</v>
      </c>
      <c r="AH147" s="212">
        <v>2</v>
      </c>
      <c r="AI147" s="208">
        <f>CF147-AF147-AG147-AH147</f>
        <v>3.5999999999999979</v>
      </c>
      <c r="AJ147" s="212">
        <v>4.5999999999999996</v>
      </c>
      <c r="AK147" s="1036">
        <v>5.2</v>
      </c>
      <c r="AL147" s="1036">
        <v>1.8</v>
      </c>
      <c r="AM147" s="208">
        <f>CG147-AJ147-AK147-AL147</f>
        <v>2.3000000000000007</v>
      </c>
      <c r="AN147" s="213">
        <v>2.8</v>
      </c>
      <c r="AO147" s="1036">
        <v>2.8</v>
      </c>
      <c r="AP147" s="213">
        <v>0.3</v>
      </c>
      <c r="AQ147" s="210">
        <f>CH147-AN147-AO147-AP147</f>
        <v>2.1000000000000005</v>
      </c>
      <c r="AR147" s="213">
        <v>2.2000000000000002</v>
      </c>
      <c r="AS147" s="1036">
        <v>5.9</v>
      </c>
      <c r="AT147" s="213">
        <v>2.8</v>
      </c>
      <c r="AU147" s="210">
        <v>4.0999999999999996</v>
      </c>
      <c r="AV147" s="213">
        <v>3.8</v>
      </c>
      <c r="AW147" s="1036">
        <v>7.3</v>
      </c>
      <c r="AX147" s="213">
        <v>5.0999999999999996</v>
      </c>
      <c r="AY147" s="214">
        <v>6</v>
      </c>
      <c r="AZ147" s="213">
        <v>4.9000000000000004</v>
      </c>
      <c r="BA147" s="1036">
        <v>7.4</v>
      </c>
      <c r="BB147" s="213">
        <v>4.5</v>
      </c>
      <c r="BC147" s="214">
        <v>4.7</v>
      </c>
      <c r="BD147" s="213">
        <v>5.0999999999999996</v>
      </c>
      <c r="BE147" s="1036">
        <v>8.6</v>
      </c>
      <c r="BF147" s="213">
        <v>6.7</v>
      </c>
      <c r="BG147" s="214">
        <v>6.8</v>
      </c>
      <c r="BH147" s="213">
        <v>7.9</v>
      </c>
      <c r="BI147" s="1036">
        <v>12.6</v>
      </c>
      <c r="BJ147" s="1036">
        <v>9.4</v>
      </c>
      <c r="BK147" s="214">
        <v>9.6999999999999993</v>
      </c>
      <c r="BL147" s="321">
        <v>0</v>
      </c>
      <c r="BM147" s="213">
        <v>0</v>
      </c>
      <c r="BN147" s="213">
        <v>0</v>
      </c>
      <c r="BO147" s="214">
        <v>0</v>
      </c>
      <c r="BP147" s="321">
        <v>0</v>
      </c>
      <c r="BQ147" s="213">
        <v>0</v>
      </c>
      <c r="BR147" s="213">
        <v>0</v>
      </c>
      <c r="BS147" s="214">
        <v>0</v>
      </c>
      <c r="BT147" s="321">
        <v>0</v>
      </c>
      <c r="BU147" s="213">
        <v>0</v>
      </c>
      <c r="BV147" s="213">
        <v>0</v>
      </c>
      <c r="BW147" s="214">
        <v>0</v>
      </c>
      <c r="BX147" s="210"/>
      <c r="BY147" s="1048"/>
      <c r="BZ147" s="209"/>
      <c r="CA147" s="225"/>
      <c r="CB147" s="213">
        <v>3.9</v>
      </c>
      <c r="CC147" s="213">
        <v>6.3</v>
      </c>
      <c r="CD147" s="213">
        <v>13.4</v>
      </c>
      <c r="CE147" s="213">
        <v>21</v>
      </c>
      <c r="CF147" s="213">
        <v>17.899999999999999</v>
      </c>
      <c r="CG147" s="213">
        <v>13.9</v>
      </c>
      <c r="CH147" s="213">
        <v>8</v>
      </c>
      <c r="CI147" s="213">
        <f t="shared" si="457"/>
        <v>15.000000000000002</v>
      </c>
      <c r="CJ147" s="213">
        <f t="shared" si="458"/>
        <v>22.2</v>
      </c>
      <c r="CK147" s="209">
        <f t="shared" si="459"/>
        <v>21.5</v>
      </c>
      <c r="CL147" s="209">
        <f t="shared" si="460"/>
        <v>27.2</v>
      </c>
      <c r="CM147" s="209">
        <f t="shared" si="461"/>
        <v>39.599999999999994</v>
      </c>
      <c r="CN147" s="209">
        <f t="shared" si="462"/>
        <v>0</v>
      </c>
      <c r="CO147" s="209">
        <f t="shared" si="463"/>
        <v>0</v>
      </c>
      <c r="CP147" s="214">
        <f t="shared" si="464"/>
        <v>0</v>
      </c>
      <c r="CQ147" s="22"/>
    </row>
    <row r="148" spans="1:95" ht="14.25" customHeight="1">
      <c r="A148" s="9"/>
      <c r="B148" s="1029" t="s">
        <v>351</v>
      </c>
      <c r="C148" s="9"/>
      <c r="D148" s="207"/>
      <c r="E148" s="207"/>
      <c r="F148" s="207"/>
      <c r="G148" s="208"/>
      <c r="H148" s="207"/>
      <c r="I148" s="207"/>
      <c r="J148" s="207"/>
      <c r="K148" s="208"/>
      <c r="L148" s="207"/>
      <c r="M148" s="207"/>
      <c r="N148" s="207"/>
      <c r="O148" s="208"/>
      <c r="P148" s="212">
        <v>0</v>
      </c>
      <c r="Q148" s="212">
        <v>0</v>
      </c>
      <c r="R148" s="212">
        <v>0</v>
      </c>
      <c r="S148" s="208">
        <f>CB148-P148-Q148-R148</f>
        <v>0</v>
      </c>
      <c r="T148" s="212">
        <v>0</v>
      </c>
      <c r="U148" s="212">
        <v>0</v>
      </c>
      <c r="V148" s="212">
        <v>0</v>
      </c>
      <c r="W148" s="208">
        <f>CC148-T148-U148-V148</f>
        <v>0</v>
      </c>
      <c r="X148" s="212">
        <v>0</v>
      </c>
      <c r="Y148" s="212">
        <v>0</v>
      </c>
      <c r="Z148" s="212">
        <v>0</v>
      </c>
      <c r="AA148" s="208">
        <f>CD148-X148-Y148-Z148</f>
        <v>0</v>
      </c>
      <c r="AB148" s="212">
        <v>0</v>
      </c>
      <c r="AC148" s="212">
        <v>0</v>
      </c>
      <c r="AD148" s="212">
        <v>0</v>
      </c>
      <c r="AE148" s="208">
        <f>CE148-AB148-AC148-AD148</f>
        <v>0</v>
      </c>
      <c r="AF148" s="212">
        <v>0</v>
      </c>
      <c r="AG148" s="212">
        <v>0.4</v>
      </c>
      <c r="AH148" s="212">
        <v>0.1</v>
      </c>
      <c r="AI148" s="208">
        <f>CF148-AF148-AG148-AH148</f>
        <v>0</v>
      </c>
      <c r="AJ148" s="212">
        <v>0</v>
      </c>
      <c r="AK148" s="1036">
        <v>0</v>
      </c>
      <c r="AL148" s="1036">
        <v>0</v>
      </c>
      <c r="AM148" s="208">
        <f>CG148-AJ148-AK148-AL148</f>
        <v>0</v>
      </c>
      <c r="AN148" s="213">
        <v>0</v>
      </c>
      <c r="AO148" s="1036">
        <v>0</v>
      </c>
      <c r="AP148" s="213">
        <v>0</v>
      </c>
      <c r="AQ148" s="210">
        <f>CH148-AN148-AO148-AP148</f>
        <v>0</v>
      </c>
      <c r="AR148" s="213">
        <v>0</v>
      </c>
      <c r="AS148" s="1036">
        <v>0</v>
      </c>
      <c r="AT148" s="213">
        <v>0</v>
      </c>
      <c r="AU148" s="210">
        <v>0</v>
      </c>
      <c r="AV148" s="213">
        <v>0</v>
      </c>
      <c r="AW148" s="1036">
        <v>0</v>
      </c>
      <c r="AX148" s="213">
        <v>0</v>
      </c>
      <c r="AY148" s="214">
        <v>0</v>
      </c>
      <c r="AZ148" s="213">
        <v>0</v>
      </c>
      <c r="BA148" s="1036">
        <v>0</v>
      </c>
      <c r="BB148" s="213">
        <v>0</v>
      </c>
      <c r="BC148" s="214">
        <v>0</v>
      </c>
      <c r="BD148" s="213">
        <v>0</v>
      </c>
      <c r="BE148" s="1036">
        <v>0</v>
      </c>
      <c r="BF148" s="213">
        <v>0</v>
      </c>
      <c r="BG148" s="214">
        <v>0</v>
      </c>
      <c r="BH148" s="213">
        <v>0</v>
      </c>
      <c r="BI148" s="1036">
        <v>0</v>
      </c>
      <c r="BJ148" s="1036">
        <v>0</v>
      </c>
      <c r="BK148" s="214">
        <v>0</v>
      </c>
      <c r="BL148" s="321">
        <v>0</v>
      </c>
      <c r="BM148" s="213">
        <v>0</v>
      </c>
      <c r="BN148" s="213">
        <v>0</v>
      </c>
      <c r="BO148" s="214">
        <v>0</v>
      </c>
      <c r="BP148" s="321">
        <v>0</v>
      </c>
      <c r="BQ148" s="213">
        <v>0</v>
      </c>
      <c r="BR148" s="213">
        <v>0</v>
      </c>
      <c r="BS148" s="214">
        <v>0</v>
      </c>
      <c r="BT148" s="321">
        <v>0</v>
      </c>
      <c r="BU148" s="213">
        <v>0</v>
      </c>
      <c r="BV148" s="213">
        <v>0</v>
      </c>
      <c r="BW148" s="214">
        <v>0</v>
      </c>
      <c r="BX148" s="210"/>
      <c r="BY148" s="1048"/>
      <c r="BZ148" s="209"/>
      <c r="CA148" s="225"/>
      <c r="CB148" s="213">
        <v>0</v>
      </c>
      <c r="CC148" s="213">
        <v>0</v>
      </c>
      <c r="CD148" s="213">
        <v>0</v>
      </c>
      <c r="CE148" s="213">
        <v>0</v>
      </c>
      <c r="CF148" s="213">
        <v>0.5</v>
      </c>
      <c r="CG148" s="213">
        <v>0</v>
      </c>
      <c r="CH148" s="213">
        <v>0</v>
      </c>
      <c r="CI148" s="213">
        <f t="shared" si="457"/>
        <v>0</v>
      </c>
      <c r="CJ148" s="213">
        <f t="shared" si="458"/>
        <v>0</v>
      </c>
      <c r="CK148" s="209">
        <f t="shared" si="459"/>
        <v>0</v>
      </c>
      <c r="CL148" s="209">
        <f t="shared" si="460"/>
        <v>0</v>
      </c>
      <c r="CM148" s="209">
        <f t="shared" si="461"/>
        <v>0</v>
      </c>
      <c r="CN148" s="209">
        <f t="shared" si="462"/>
        <v>0</v>
      </c>
      <c r="CO148" s="209">
        <f t="shared" si="463"/>
        <v>0</v>
      </c>
      <c r="CP148" s="214">
        <f t="shared" si="464"/>
        <v>0</v>
      </c>
      <c r="CQ148" s="22"/>
    </row>
    <row r="149" spans="1:95" ht="14.25" customHeight="1">
      <c r="A149" s="9"/>
      <c r="B149" s="1028" t="s">
        <v>402</v>
      </c>
      <c r="C149" s="9"/>
      <c r="D149" s="207"/>
      <c r="E149" s="207"/>
      <c r="F149" s="207"/>
      <c r="G149" s="208"/>
      <c r="H149" s="207"/>
      <c r="I149" s="207"/>
      <c r="J149" s="207"/>
      <c r="K149" s="208"/>
      <c r="L149" s="207"/>
      <c r="M149" s="207"/>
      <c r="N149" s="207"/>
      <c r="O149" s="208"/>
      <c r="P149" s="207">
        <f>SUM(P144:P148)</f>
        <v>1.9</v>
      </c>
      <c r="Q149" s="207">
        <f>SUM(Q144:Q148)</f>
        <v>2.4</v>
      </c>
      <c r="R149" s="207">
        <f>SUM(R144:R148)</f>
        <v>2.9</v>
      </c>
      <c r="S149" s="208">
        <f>SUM(S144:S148)</f>
        <v>3</v>
      </c>
      <c r="T149" s="207">
        <f>SUM(T144:T148)</f>
        <v>3.3</v>
      </c>
      <c r="U149" s="207">
        <f t="shared" ref="U149:AU149" si="465">SUM(U144:U148)</f>
        <v>3.5000000000000004</v>
      </c>
      <c r="V149" s="207">
        <f t="shared" si="465"/>
        <v>4.0999999999999996</v>
      </c>
      <c r="W149" s="208">
        <f t="shared" si="465"/>
        <v>5.6</v>
      </c>
      <c r="X149" s="207">
        <f t="shared" si="465"/>
        <v>6.6999999999999993</v>
      </c>
      <c r="Y149" s="207">
        <f t="shared" si="465"/>
        <v>8.2999999999999989</v>
      </c>
      <c r="Z149" s="207">
        <f t="shared" si="465"/>
        <v>11.399999999999999</v>
      </c>
      <c r="AA149" s="208">
        <f t="shared" si="465"/>
        <v>6.8</v>
      </c>
      <c r="AB149" s="207">
        <f t="shared" si="465"/>
        <v>12.700000000000001</v>
      </c>
      <c r="AC149" s="207">
        <f t="shared" si="465"/>
        <v>16.100000000000001</v>
      </c>
      <c r="AD149" s="207">
        <f t="shared" si="465"/>
        <v>13.5</v>
      </c>
      <c r="AE149" s="208">
        <f t="shared" si="465"/>
        <v>11.899999999999999</v>
      </c>
      <c r="AF149" s="207">
        <f t="shared" si="465"/>
        <v>13.7</v>
      </c>
      <c r="AG149" s="207">
        <f t="shared" si="465"/>
        <v>15.4</v>
      </c>
      <c r="AH149" s="207">
        <f t="shared" si="465"/>
        <v>12.299999999999999</v>
      </c>
      <c r="AI149" s="208">
        <f t="shared" si="465"/>
        <v>11.299999999999999</v>
      </c>
      <c r="AJ149" s="207">
        <f t="shared" si="465"/>
        <v>10.399999999999999</v>
      </c>
      <c r="AK149" s="207">
        <f t="shared" si="465"/>
        <v>10.5</v>
      </c>
      <c r="AL149" s="207">
        <f t="shared" si="465"/>
        <v>6</v>
      </c>
      <c r="AM149" s="208">
        <f t="shared" si="465"/>
        <v>6.6000000000000014</v>
      </c>
      <c r="AN149" s="207">
        <f t="shared" si="465"/>
        <v>7.3999999999999995</v>
      </c>
      <c r="AO149" s="207">
        <f t="shared" si="465"/>
        <v>5.2</v>
      </c>
      <c r="AP149" s="207">
        <f t="shared" si="465"/>
        <v>2.1</v>
      </c>
      <c r="AQ149" s="208">
        <f t="shared" si="465"/>
        <v>5.8000000000000007</v>
      </c>
      <c r="AR149" s="207">
        <f t="shared" si="465"/>
        <v>5.8000000000000007</v>
      </c>
      <c r="AS149" s="207">
        <f t="shared" si="465"/>
        <v>10.6</v>
      </c>
      <c r="AT149" s="207">
        <f t="shared" si="465"/>
        <v>6.9999999999999991</v>
      </c>
      <c r="AU149" s="208">
        <f t="shared" si="465"/>
        <v>8.9</v>
      </c>
      <c r="AV149" s="207">
        <f t="shared" ref="AV149:BE149" si="466">SUM(AV144:AV148)</f>
        <v>8.5</v>
      </c>
      <c r="AW149" s="207">
        <f t="shared" si="466"/>
        <v>13.4</v>
      </c>
      <c r="AX149" s="207">
        <f t="shared" si="466"/>
        <v>11.1</v>
      </c>
      <c r="AY149" s="210">
        <f t="shared" si="466"/>
        <v>12.8</v>
      </c>
      <c r="AZ149" s="207">
        <f t="shared" si="466"/>
        <v>11.3</v>
      </c>
      <c r="BA149" s="207">
        <f t="shared" si="466"/>
        <v>14.100000000000001</v>
      </c>
      <c r="BB149" s="207">
        <f t="shared" si="466"/>
        <v>10.9</v>
      </c>
      <c r="BC149" s="210">
        <f t="shared" si="466"/>
        <v>10.6</v>
      </c>
      <c r="BD149" s="207">
        <f t="shared" si="466"/>
        <v>11.6</v>
      </c>
      <c r="BE149" s="207">
        <f t="shared" si="466"/>
        <v>16.100000000000001</v>
      </c>
      <c r="BF149" s="207">
        <f t="shared" ref="BF149:BJ149" si="467">SUM(BF144:BF148)</f>
        <v>14.2</v>
      </c>
      <c r="BG149" s="210">
        <f t="shared" si="467"/>
        <v>14.2</v>
      </c>
      <c r="BH149" s="207">
        <f t="shared" si="467"/>
        <v>15.100000000000001</v>
      </c>
      <c r="BI149" s="1030">
        <f t="shared" si="467"/>
        <v>20.799999999999997</v>
      </c>
      <c r="BJ149" s="207">
        <f t="shared" si="467"/>
        <v>16.8</v>
      </c>
      <c r="BK149" s="210">
        <f>SUM(BK144:BK148)</f>
        <v>17.100000000000001</v>
      </c>
      <c r="BL149" s="1223">
        <f t="shared" ref="BL149:BS149" si="468">BK149</f>
        <v>17.100000000000001</v>
      </c>
      <c r="BM149" s="209">
        <f t="shared" si="468"/>
        <v>17.100000000000001</v>
      </c>
      <c r="BN149" s="209">
        <f t="shared" si="468"/>
        <v>17.100000000000001</v>
      </c>
      <c r="BO149" s="210">
        <f t="shared" si="468"/>
        <v>17.100000000000001</v>
      </c>
      <c r="BP149" s="1223">
        <f t="shared" si="468"/>
        <v>17.100000000000001</v>
      </c>
      <c r="BQ149" s="209">
        <f t="shared" si="468"/>
        <v>17.100000000000001</v>
      </c>
      <c r="BR149" s="209">
        <f t="shared" si="468"/>
        <v>17.100000000000001</v>
      </c>
      <c r="BS149" s="210">
        <f t="shared" si="468"/>
        <v>17.100000000000001</v>
      </c>
      <c r="BT149" s="1223">
        <f t="shared" ref="BT149" si="469">BS149</f>
        <v>17.100000000000001</v>
      </c>
      <c r="BU149" s="209">
        <f t="shared" ref="BU149" si="470">BT149</f>
        <v>17.100000000000001</v>
      </c>
      <c r="BV149" s="209">
        <f t="shared" ref="BV149" si="471">BU149</f>
        <v>17.100000000000001</v>
      </c>
      <c r="BW149" s="210">
        <f t="shared" ref="BW149" si="472">BV149</f>
        <v>17.100000000000001</v>
      </c>
      <c r="BX149" s="210"/>
      <c r="BY149" s="1048"/>
      <c r="BZ149" s="209"/>
      <c r="CA149" s="225"/>
      <c r="CB149" s="225">
        <f t="shared" ref="CB149:CH149" si="473">SUM(CB144:CB148)</f>
        <v>10.200000000000001</v>
      </c>
      <c r="CC149" s="225">
        <f t="shared" si="473"/>
        <v>16.5</v>
      </c>
      <c r="CD149" s="225">
        <f t="shared" si="473"/>
        <v>33.200000000000003</v>
      </c>
      <c r="CE149" s="225">
        <f t="shared" si="473"/>
        <v>54.2</v>
      </c>
      <c r="CF149" s="225">
        <f t="shared" si="473"/>
        <v>52.699999999999996</v>
      </c>
      <c r="CG149" s="225">
        <f t="shared" si="473"/>
        <v>33.5</v>
      </c>
      <c r="CH149" s="225">
        <f t="shared" si="473"/>
        <v>20.5</v>
      </c>
      <c r="CI149" s="225">
        <f t="shared" si="457"/>
        <v>32.299999999999997</v>
      </c>
      <c r="CJ149" s="225">
        <f t="shared" si="458"/>
        <v>45.8</v>
      </c>
      <c r="CK149" s="209">
        <f t="shared" si="459"/>
        <v>46.900000000000006</v>
      </c>
      <c r="CL149" s="209">
        <f t="shared" si="460"/>
        <v>56.100000000000009</v>
      </c>
      <c r="CM149" s="209">
        <f t="shared" si="461"/>
        <v>69.800000000000011</v>
      </c>
      <c r="CN149" s="209">
        <f t="shared" si="462"/>
        <v>68.400000000000006</v>
      </c>
      <c r="CO149" s="209">
        <f t="shared" si="463"/>
        <v>68.400000000000006</v>
      </c>
      <c r="CP149" s="210">
        <f t="shared" si="464"/>
        <v>68.400000000000006</v>
      </c>
      <c r="CQ149" s="22"/>
    </row>
    <row r="150" spans="1:95" ht="14.25" customHeight="1">
      <c r="A150" s="9"/>
      <c r="B150" s="1031" t="s">
        <v>582</v>
      </c>
      <c r="C150" s="203"/>
      <c r="D150" s="223"/>
      <c r="E150" s="223"/>
      <c r="F150" s="223"/>
      <c r="G150" s="222"/>
      <c r="H150" s="223"/>
      <c r="I150" s="223"/>
      <c r="J150" s="223"/>
      <c r="K150" s="222"/>
      <c r="L150" s="223"/>
      <c r="M150" s="223"/>
      <c r="N150" s="223"/>
      <c r="O150" s="222"/>
      <c r="P150" s="1034">
        <v>0</v>
      </c>
      <c r="Q150" s="1034">
        <v>0</v>
      </c>
      <c r="R150" s="1034">
        <v>0</v>
      </c>
      <c r="S150" s="1035">
        <v>0</v>
      </c>
      <c r="T150" s="1034">
        <v>0</v>
      </c>
      <c r="U150" s="1034">
        <v>0</v>
      </c>
      <c r="V150" s="1034">
        <v>0</v>
      </c>
      <c r="W150" s="1035">
        <v>0</v>
      </c>
      <c r="X150" s="1034">
        <v>0</v>
      </c>
      <c r="Y150" s="1034">
        <v>0</v>
      </c>
      <c r="Z150" s="1034">
        <v>0</v>
      </c>
      <c r="AA150" s="1035">
        <v>0</v>
      </c>
      <c r="AB150" s="1034">
        <v>0</v>
      </c>
      <c r="AC150" s="1034">
        <v>0</v>
      </c>
      <c r="AD150" s="1034">
        <v>0</v>
      </c>
      <c r="AE150" s="1035">
        <v>0</v>
      </c>
      <c r="AF150" s="1034">
        <v>0</v>
      </c>
      <c r="AG150" s="1034">
        <v>0</v>
      </c>
      <c r="AH150" s="1034">
        <v>0</v>
      </c>
      <c r="AI150" s="1035">
        <v>0</v>
      </c>
      <c r="AJ150" s="1034">
        <v>0</v>
      </c>
      <c r="AK150" s="648">
        <v>0</v>
      </c>
      <c r="AL150" s="648">
        <v>0</v>
      </c>
      <c r="AM150" s="1035">
        <v>0</v>
      </c>
      <c r="AN150" s="648">
        <v>0</v>
      </c>
      <c r="AO150" s="648">
        <v>0</v>
      </c>
      <c r="AP150" s="648">
        <v>0</v>
      </c>
      <c r="AQ150" s="316">
        <v>0</v>
      </c>
      <c r="AR150" s="648">
        <v>0</v>
      </c>
      <c r="AS150" s="648">
        <v>0</v>
      </c>
      <c r="AT150" s="648">
        <v>0</v>
      </c>
      <c r="AU150" s="316">
        <v>0</v>
      </c>
      <c r="AV150" s="648">
        <v>0</v>
      </c>
      <c r="AW150" s="648">
        <v>0</v>
      </c>
      <c r="AX150" s="648">
        <v>0</v>
      </c>
      <c r="AY150" s="316">
        <v>0</v>
      </c>
      <c r="AZ150" s="648">
        <v>0</v>
      </c>
      <c r="BA150" s="648">
        <v>0</v>
      </c>
      <c r="BB150" s="648">
        <v>0</v>
      </c>
      <c r="BC150" s="316">
        <v>0</v>
      </c>
      <c r="BD150" s="648">
        <v>0</v>
      </c>
      <c r="BE150" s="648">
        <v>0</v>
      </c>
      <c r="BF150" s="648">
        <v>0</v>
      </c>
      <c r="BG150" s="316">
        <v>0</v>
      </c>
      <c r="BH150" s="648">
        <v>0</v>
      </c>
      <c r="BI150" s="648">
        <v>0</v>
      </c>
      <c r="BJ150" s="648">
        <v>0</v>
      </c>
      <c r="BK150" s="316">
        <v>0</v>
      </c>
      <c r="BL150" s="1226">
        <v>0</v>
      </c>
      <c r="BM150" s="648">
        <v>0</v>
      </c>
      <c r="BN150" s="648">
        <v>0</v>
      </c>
      <c r="BO150" s="316">
        <v>0</v>
      </c>
      <c r="BP150" s="1226">
        <v>0</v>
      </c>
      <c r="BQ150" s="648">
        <v>0</v>
      </c>
      <c r="BR150" s="648">
        <v>0</v>
      </c>
      <c r="BS150" s="316">
        <v>0</v>
      </c>
      <c r="BT150" s="1226">
        <v>0</v>
      </c>
      <c r="BU150" s="648">
        <v>0</v>
      </c>
      <c r="BV150" s="648">
        <v>0</v>
      </c>
      <c r="BW150" s="316">
        <v>0</v>
      </c>
      <c r="BX150" s="210"/>
      <c r="BY150" s="224"/>
      <c r="BZ150" s="1032"/>
      <c r="CA150" s="223"/>
      <c r="CB150" s="648">
        <v>0</v>
      </c>
      <c r="CC150" s="648">
        <v>0</v>
      </c>
      <c r="CD150" s="648">
        <v>0</v>
      </c>
      <c r="CE150" s="648">
        <v>0</v>
      </c>
      <c r="CF150" s="648">
        <v>0</v>
      </c>
      <c r="CG150" s="648">
        <v>0</v>
      </c>
      <c r="CH150" s="648">
        <v>0</v>
      </c>
      <c r="CI150" s="648">
        <f t="shared" si="457"/>
        <v>0</v>
      </c>
      <c r="CJ150" s="648">
        <f t="shared" si="458"/>
        <v>0</v>
      </c>
      <c r="CK150" s="1032">
        <f t="shared" si="459"/>
        <v>0</v>
      </c>
      <c r="CL150" s="1032">
        <f t="shared" si="460"/>
        <v>0</v>
      </c>
      <c r="CM150" s="1032">
        <f t="shared" si="461"/>
        <v>0</v>
      </c>
      <c r="CN150" s="1032">
        <f t="shared" si="462"/>
        <v>0</v>
      </c>
      <c r="CO150" s="1032">
        <f t="shared" si="463"/>
        <v>0</v>
      </c>
      <c r="CP150" s="316">
        <f t="shared" si="464"/>
        <v>0</v>
      </c>
      <c r="CQ150" s="22"/>
    </row>
    <row r="151" spans="1:95" ht="14.25" customHeight="1">
      <c r="A151" s="9"/>
      <c r="B151" s="468"/>
      <c r="C151" s="9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9"/>
      <c r="AL151" s="9"/>
      <c r="AM151" s="12"/>
      <c r="AN151" s="15"/>
      <c r="AO151" s="9"/>
      <c r="AP151" s="15"/>
      <c r="AQ151" s="9"/>
      <c r="AR151" s="15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15"/>
      <c r="BY151" s="12"/>
      <c r="BZ151" s="9"/>
      <c r="CA151" s="12"/>
      <c r="CB151" s="9"/>
      <c r="CC151" s="9"/>
      <c r="CD151" s="9"/>
      <c r="CE151" s="9"/>
      <c r="CF151" s="9"/>
      <c r="CG151" s="9"/>
      <c r="CH151" s="9"/>
      <c r="CI151" s="9"/>
      <c r="CJ151" s="9"/>
      <c r="CK151" s="15"/>
      <c r="CL151" s="15"/>
      <c r="CM151" s="15"/>
      <c r="CN151" s="15"/>
      <c r="CO151" s="15"/>
      <c r="CP151" s="15"/>
      <c r="CQ151" s="15"/>
    </row>
    <row r="152" spans="1:95" ht="14.25" hidden="1" customHeight="1" outlineLevel="1">
      <c r="A152" s="9"/>
      <c r="B152" s="468"/>
      <c r="C152" s="9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9"/>
      <c r="AL152" s="9"/>
      <c r="AM152" s="12"/>
      <c r="AN152" s="15"/>
      <c r="AO152" s="9"/>
      <c r="AP152" s="15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12"/>
      <c r="BZ152" s="9"/>
      <c r="CA152" s="12"/>
      <c r="CB152" s="9"/>
      <c r="CC152" s="9"/>
      <c r="CD152" s="9"/>
      <c r="CE152" s="9"/>
      <c r="CF152" s="9"/>
      <c r="CG152" s="9"/>
      <c r="CH152" s="9"/>
      <c r="CI152" s="9"/>
      <c r="CJ152" s="9"/>
      <c r="CK152" s="15"/>
      <c r="CL152" s="15"/>
      <c r="CM152" s="15"/>
      <c r="CN152" s="15"/>
      <c r="CO152" s="15"/>
      <c r="CP152" s="15"/>
      <c r="CQ152" s="15"/>
    </row>
    <row r="153" spans="1:95" ht="14.25" hidden="1" customHeight="1" outlineLevel="1"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CE153"/>
      <c r="CF153"/>
      <c r="CG153"/>
      <c r="CH153"/>
      <c r="CI153"/>
      <c r="CJ153"/>
      <c r="CK153"/>
      <c r="CL153"/>
      <c r="CM153"/>
      <c r="CN153"/>
      <c r="CO153"/>
      <c r="CP153"/>
    </row>
    <row r="154" spans="1:95" ht="14.25" hidden="1" customHeight="1" outlineLevel="1">
      <c r="A154" s="9"/>
      <c r="B154" s="468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15"/>
      <c r="AO154" s="9"/>
      <c r="AP154" s="15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57"/>
      <c r="CL154" s="57"/>
      <c r="CM154" s="57"/>
      <c r="CN154" s="57"/>
      <c r="CO154" s="57"/>
      <c r="CP154" s="57"/>
      <c r="CQ154" s="57"/>
    </row>
    <row r="155" spans="1:95" ht="14.25" hidden="1" customHeight="1" outlineLevel="1">
      <c r="A155" s="9"/>
      <c r="B155" s="468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15"/>
      <c r="AO155" s="9"/>
      <c r="AP155" s="15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57"/>
      <c r="CL155" s="57"/>
      <c r="CM155" s="57"/>
      <c r="CN155" s="57"/>
      <c r="CO155" s="57"/>
      <c r="CP155" s="57"/>
      <c r="CQ155" s="57"/>
    </row>
    <row r="156" spans="1:95" ht="14.25" hidden="1" customHeight="1" outlineLevel="1">
      <c r="A156" s="9"/>
      <c r="B156" s="468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15"/>
      <c r="AO156" s="9"/>
      <c r="AP156" s="15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57"/>
      <c r="CL156" s="57"/>
      <c r="CM156" s="57"/>
      <c r="CN156" s="57"/>
      <c r="CO156" s="57"/>
      <c r="CP156" s="57"/>
      <c r="CQ156" s="57"/>
    </row>
    <row r="157" spans="1:95" ht="14.25" hidden="1" customHeight="1" outlineLevel="1">
      <c r="A157" s="9"/>
      <c r="B157" s="468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15"/>
      <c r="AO157" s="9"/>
      <c r="AP157" s="15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57"/>
      <c r="CL157" s="57"/>
      <c r="CM157" s="57"/>
      <c r="CN157" s="57"/>
      <c r="CO157" s="57"/>
      <c r="CP157" s="57"/>
      <c r="CQ157" s="57"/>
    </row>
    <row r="158" spans="1:95" ht="14.25" hidden="1" customHeight="1" outlineLevel="1">
      <c r="A158" s="9"/>
      <c r="B158" s="468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15"/>
      <c r="AO158" s="9"/>
      <c r="AP158" s="15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57"/>
      <c r="CL158" s="57"/>
      <c r="CM158" s="57"/>
      <c r="CN158" s="57"/>
      <c r="CO158" s="57"/>
      <c r="CP158" s="57"/>
      <c r="CQ158" s="57"/>
    </row>
    <row r="159" spans="1:95" ht="14.25" hidden="1" customHeight="1" outlineLevel="1">
      <c r="AN159" s="302"/>
      <c r="AP159" s="302"/>
      <c r="CK159" s="15"/>
      <c r="CL159" s="15"/>
      <c r="CM159" s="15"/>
      <c r="CN159" s="15"/>
      <c r="CO159" s="15"/>
      <c r="CP159" s="15"/>
    </row>
    <row r="160" spans="1:95" ht="14.25" hidden="1" customHeight="1" outlineLevel="2">
      <c r="A160" s="9"/>
      <c r="B160" s="469" t="s">
        <v>139</v>
      </c>
      <c r="C160" s="88"/>
      <c r="D160" s="89" t="s">
        <v>145</v>
      </c>
      <c r="E160" s="89" t="s">
        <v>145</v>
      </c>
      <c r="F160" s="89" t="s">
        <v>145</v>
      </c>
      <c r="G160" s="89" t="s">
        <v>145</v>
      </c>
      <c r="H160" s="89" t="s">
        <v>145</v>
      </c>
      <c r="I160" s="89" t="s">
        <v>145</v>
      </c>
      <c r="J160" s="89" t="s">
        <v>145</v>
      </c>
      <c r="K160" s="89" t="s">
        <v>145</v>
      </c>
      <c r="L160" s="89" t="s">
        <v>145</v>
      </c>
      <c r="M160" s="89" t="s">
        <v>145</v>
      </c>
      <c r="N160" s="89" t="s">
        <v>145</v>
      </c>
      <c r="O160" s="89" t="s">
        <v>145</v>
      </c>
      <c r="P160" s="89" t="s">
        <v>145</v>
      </c>
      <c r="Q160" s="89" t="s">
        <v>145</v>
      </c>
      <c r="R160" s="89" t="s">
        <v>145</v>
      </c>
      <c r="S160" s="89" t="s">
        <v>145</v>
      </c>
      <c r="T160" s="89" t="s">
        <v>145</v>
      </c>
      <c r="U160" s="89" t="s">
        <v>145</v>
      </c>
      <c r="V160" s="89" t="s">
        <v>145</v>
      </c>
      <c r="W160" s="89" t="s">
        <v>145</v>
      </c>
      <c r="X160" s="89" t="s">
        <v>145</v>
      </c>
      <c r="Y160" s="89" t="s">
        <v>145</v>
      </c>
      <c r="Z160" s="89" t="s">
        <v>145</v>
      </c>
      <c r="AA160" s="89" t="s">
        <v>145</v>
      </c>
      <c r="AB160" s="89" t="s">
        <v>145</v>
      </c>
      <c r="AC160" s="89" t="s">
        <v>145</v>
      </c>
      <c r="AD160" s="89" t="s">
        <v>145</v>
      </c>
      <c r="AE160" s="89" t="s">
        <v>145</v>
      </c>
      <c r="AF160" s="89" t="s">
        <v>145</v>
      </c>
      <c r="AG160" s="89" t="s">
        <v>145</v>
      </c>
      <c r="AH160" s="89" t="s">
        <v>145</v>
      </c>
      <c r="AI160" s="89" t="s">
        <v>145</v>
      </c>
      <c r="AJ160" s="89" t="s">
        <v>145</v>
      </c>
      <c r="AK160" s="89" t="s">
        <v>145</v>
      </c>
      <c r="AL160" s="89" t="s">
        <v>145</v>
      </c>
      <c r="AM160" s="89" t="s">
        <v>145</v>
      </c>
      <c r="AN160" s="89" t="s">
        <v>145</v>
      </c>
      <c r="AO160" s="89" t="s">
        <v>145</v>
      </c>
      <c r="AP160" s="89" t="s">
        <v>145</v>
      </c>
      <c r="AQ160" s="89" t="s">
        <v>145</v>
      </c>
      <c r="AR160" s="89" t="s">
        <v>145</v>
      </c>
      <c r="AS160" s="89" t="s">
        <v>145</v>
      </c>
      <c r="AT160" s="89" t="s">
        <v>145</v>
      </c>
      <c r="AU160" s="89" t="s">
        <v>145</v>
      </c>
      <c r="AV160" s="89" t="s">
        <v>145</v>
      </c>
      <c r="AW160" s="89" t="s">
        <v>145</v>
      </c>
      <c r="AX160" s="89" t="s">
        <v>145</v>
      </c>
      <c r="AY160" s="89" t="s">
        <v>145</v>
      </c>
      <c r="AZ160" s="89" t="s">
        <v>145</v>
      </c>
      <c r="BA160" s="89" t="s">
        <v>145</v>
      </c>
      <c r="BB160" s="89" t="s">
        <v>145</v>
      </c>
      <c r="BC160" s="89" t="s">
        <v>145</v>
      </c>
      <c r="BD160" s="89" t="s">
        <v>145</v>
      </c>
      <c r="BE160" s="89" t="s">
        <v>145</v>
      </c>
      <c r="BF160" s="89" t="s">
        <v>145</v>
      </c>
      <c r="BG160" s="89" t="s">
        <v>145</v>
      </c>
      <c r="BH160" s="89" t="s">
        <v>145</v>
      </c>
      <c r="BI160" s="89" t="s">
        <v>145</v>
      </c>
      <c r="BJ160" s="89" t="s">
        <v>145</v>
      </c>
      <c r="BK160" s="89" t="s">
        <v>145</v>
      </c>
      <c r="BL160" s="89" t="s">
        <v>146</v>
      </c>
      <c r="BM160" s="89" t="s">
        <v>146</v>
      </c>
      <c r="BN160" s="89" t="s">
        <v>146</v>
      </c>
      <c r="BO160" s="89" t="s">
        <v>146</v>
      </c>
      <c r="BP160" s="89" t="s">
        <v>146</v>
      </c>
      <c r="BQ160" s="89" t="s">
        <v>146</v>
      </c>
      <c r="BR160" s="89" t="s">
        <v>146</v>
      </c>
      <c r="BS160" s="89" t="s">
        <v>146</v>
      </c>
      <c r="BT160" s="89" t="s">
        <v>146</v>
      </c>
      <c r="BU160" s="89" t="s">
        <v>146</v>
      </c>
      <c r="BV160" s="89" t="s">
        <v>146</v>
      </c>
      <c r="BW160" s="89" t="s">
        <v>146</v>
      </c>
      <c r="BX160" s="9"/>
      <c r="BY160" s="746" t="s">
        <v>145</v>
      </c>
      <c r="BZ160" s="746" t="s">
        <v>145</v>
      </c>
      <c r="CA160" s="746" t="s">
        <v>145</v>
      </c>
      <c r="CB160" s="746" t="s">
        <v>145</v>
      </c>
      <c r="CC160" s="746" t="s">
        <v>145</v>
      </c>
      <c r="CD160" s="746" t="s">
        <v>145</v>
      </c>
      <c r="CE160" s="746" t="s">
        <v>145</v>
      </c>
      <c r="CF160" s="746" t="s">
        <v>145</v>
      </c>
      <c r="CG160" s="746" t="s">
        <v>145</v>
      </c>
      <c r="CH160" s="746" t="s">
        <v>145</v>
      </c>
      <c r="CI160" s="746" t="s">
        <v>145</v>
      </c>
      <c r="CJ160" s="746" t="s">
        <v>145</v>
      </c>
      <c r="CK160" s="746" t="s">
        <v>145</v>
      </c>
      <c r="CL160" s="944" t="s">
        <v>146</v>
      </c>
      <c r="CM160" s="944" t="s">
        <v>145</v>
      </c>
      <c r="CN160" s="944" t="s">
        <v>146</v>
      </c>
      <c r="CO160" s="944" t="s">
        <v>146</v>
      </c>
      <c r="CP160" s="944" t="s">
        <v>146</v>
      </c>
      <c r="CQ160" s="15"/>
    </row>
    <row r="161" spans="1:95" ht="14.25" hidden="1" customHeight="1" outlineLevel="2">
      <c r="A161" s="9"/>
      <c r="B161" s="469" t="s">
        <v>140</v>
      </c>
      <c r="C161" s="88"/>
      <c r="D161" s="9">
        <v>2003</v>
      </c>
      <c r="E161" s="9">
        <v>2003</v>
      </c>
      <c r="F161" s="9">
        <v>2003</v>
      </c>
      <c r="G161" s="9">
        <v>2003</v>
      </c>
      <c r="H161" s="9">
        <v>2004</v>
      </c>
      <c r="I161" s="9">
        <v>2004</v>
      </c>
      <c r="J161" s="9">
        <v>2004</v>
      </c>
      <c r="K161" s="9">
        <v>2004</v>
      </c>
      <c r="L161" s="9">
        <v>2005</v>
      </c>
      <c r="M161" s="9">
        <v>2005</v>
      </c>
      <c r="N161" s="9">
        <v>2005</v>
      </c>
      <c r="O161" s="9">
        <v>2005</v>
      </c>
      <c r="P161" s="9">
        <v>2006</v>
      </c>
      <c r="Q161" s="9">
        <v>2006</v>
      </c>
      <c r="R161" s="9">
        <v>2006</v>
      </c>
      <c r="S161" s="9">
        <v>2006</v>
      </c>
      <c r="T161" s="9">
        <v>2007</v>
      </c>
      <c r="U161" s="9">
        <v>2007</v>
      </c>
      <c r="V161" s="9">
        <v>2007</v>
      </c>
      <c r="W161" s="9">
        <v>2007</v>
      </c>
      <c r="X161" s="9">
        <v>2008</v>
      </c>
      <c r="Y161" s="9">
        <v>2008</v>
      </c>
      <c r="Z161" s="9">
        <v>2008</v>
      </c>
      <c r="AA161" s="9">
        <v>2008</v>
      </c>
      <c r="AB161" s="9">
        <v>2009</v>
      </c>
      <c r="AC161" s="9">
        <v>2009</v>
      </c>
      <c r="AD161" s="9">
        <v>2009</v>
      </c>
      <c r="AE161" s="9">
        <v>2009</v>
      </c>
      <c r="AF161" s="9">
        <v>2010</v>
      </c>
      <c r="AG161" s="9">
        <v>2010</v>
      </c>
      <c r="AH161" s="9">
        <v>2010</v>
      </c>
      <c r="AI161" s="9">
        <v>2010</v>
      </c>
      <c r="AJ161" s="9">
        <v>2011</v>
      </c>
      <c r="AK161" s="9">
        <v>2011</v>
      </c>
      <c r="AL161" s="9">
        <v>2011</v>
      </c>
      <c r="AM161" s="9">
        <v>2011</v>
      </c>
      <c r="AN161" s="15">
        <v>2012</v>
      </c>
      <c r="AO161" s="9">
        <v>2012</v>
      </c>
      <c r="AP161" s="15">
        <v>2012</v>
      </c>
      <c r="AQ161" s="9">
        <v>2012</v>
      </c>
      <c r="AR161" s="9">
        <v>2013</v>
      </c>
      <c r="AS161" s="9">
        <v>2013</v>
      </c>
      <c r="AT161" s="9">
        <v>2013</v>
      </c>
      <c r="AU161" s="9">
        <v>2013</v>
      </c>
      <c r="AV161" s="9">
        <v>2014</v>
      </c>
      <c r="AW161" s="9">
        <v>2014</v>
      </c>
      <c r="AX161" s="9">
        <v>2014</v>
      </c>
      <c r="AY161" s="9">
        <v>2014</v>
      </c>
      <c r="AZ161" s="9">
        <v>2015</v>
      </c>
      <c r="BA161" s="9">
        <v>2015</v>
      </c>
      <c r="BB161" s="9">
        <v>2015</v>
      </c>
      <c r="BC161" s="9">
        <v>2015</v>
      </c>
      <c r="BD161" s="9">
        <v>2016</v>
      </c>
      <c r="BE161" s="9">
        <v>2016</v>
      </c>
      <c r="BF161" s="9">
        <v>2016</v>
      </c>
      <c r="BG161" s="9">
        <v>2016</v>
      </c>
      <c r="BH161" s="9">
        <v>2017</v>
      </c>
      <c r="BI161" s="9">
        <v>2017</v>
      </c>
      <c r="BJ161" s="9">
        <v>2017</v>
      </c>
      <c r="BK161" s="9">
        <v>2017</v>
      </c>
      <c r="BL161" s="9">
        <v>2018</v>
      </c>
      <c r="BM161" s="9">
        <v>2018</v>
      </c>
      <c r="BN161" s="9">
        <v>2018</v>
      </c>
      <c r="BO161" s="9">
        <v>2018</v>
      </c>
      <c r="BP161" s="9">
        <v>2019</v>
      </c>
      <c r="BQ161" s="9">
        <v>2019</v>
      </c>
      <c r="BR161" s="9">
        <v>2019</v>
      </c>
      <c r="BS161" s="9">
        <v>2019</v>
      </c>
      <c r="BT161" s="9">
        <v>2020</v>
      </c>
      <c r="BU161" s="9">
        <v>2020</v>
      </c>
      <c r="BV161" s="9">
        <v>2020</v>
      </c>
      <c r="BW161" s="9">
        <v>2020</v>
      </c>
      <c r="BX161" s="9"/>
      <c r="BY161" s="12"/>
      <c r="BZ161" s="9"/>
      <c r="CA161" s="12"/>
      <c r="CB161" s="9"/>
      <c r="CC161" s="9"/>
      <c r="CD161" s="9"/>
      <c r="CE161" s="9"/>
      <c r="CF161" s="9"/>
      <c r="CG161" s="9"/>
      <c r="CH161" s="9"/>
      <c r="CI161" s="9"/>
      <c r="CJ161" s="9"/>
      <c r="CK161" s="15"/>
      <c r="CL161" s="15"/>
      <c r="CM161" s="15"/>
      <c r="CN161" s="15"/>
      <c r="CO161" s="15"/>
      <c r="CP161" s="15"/>
      <c r="CQ161" s="15"/>
    </row>
    <row r="162" spans="1:95" ht="14.25" hidden="1" customHeight="1" outlineLevel="2">
      <c r="A162" s="9"/>
      <c r="B162" s="469" t="s">
        <v>141</v>
      </c>
      <c r="C162" s="88"/>
      <c r="D162" s="9">
        <v>1</v>
      </c>
      <c r="E162" s="9">
        <v>2</v>
      </c>
      <c r="F162" s="9">
        <v>3</v>
      </c>
      <c r="G162" s="9">
        <v>4</v>
      </c>
      <c r="H162" s="9">
        <v>1</v>
      </c>
      <c r="I162" s="9">
        <v>2</v>
      </c>
      <c r="J162" s="9">
        <v>3</v>
      </c>
      <c r="K162" s="9">
        <v>4</v>
      </c>
      <c r="L162" s="9">
        <v>1</v>
      </c>
      <c r="M162" s="9">
        <v>2</v>
      </c>
      <c r="N162" s="9">
        <v>3</v>
      </c>
      <c r="O162" s="9">
        <v>4</v>
      </c>
      <c r="P162" s="9">
        <v>1</v>
      </c>
      <c r="Q162" s="9">
        <v>2</v>
      </c>
      <c r="R162" s="9">
        <v>3</v>
      </c>
      <c r="S162" s="9">
        <v>4</v>
      </c>
      <c r="T162" s="9">
        <v>1</v>
      </c>
      <c r="U162" s="9">
        <v>2</v>
      </c>
      <c r="V162" s="9">
        <v>3</v>
      </c>
      <c r="W162" s="9">
        <v>4</v>
      </c>
      <c r="X162" s="9">
        <v>1</v>
      </c>
      <c r="Y162" s="9">
        <v>2</v>
      </c>
      <c r="Z162" s="9">
        <v>3</v>
      </c>
      <c r="AA162" s="9">
        <v>4</v>
      </c>
      <c r="AB162" s="9">
        <v>1</v>
      </c>
      <c r="AC162" s="9">
        <v>2</v>
      </c>
      <c r="AD162" s="9">
        <v>3</v>
      </c>
      <c r="AE162" s="9">
        <v>4</v>
      </c>
      <c r="AF162" s="9">
        <v>1</v>
      </c>
      <c r="AG162" s="9">
        <v>2</v>
      </c>
      <c r="AH162" s="9">
        <v>3</v>
      </c>
      <c r="AI162" s="9">
        <v>4</v>
      </c>
      <c r="AJ162" s="9">
        <v>1</v>
      </c>
      <c r="AK162" s="9">
        <v>2</v>
      </c>
      <c r="AL162" s="9">
        <v>3</v>
      </c>
      <c r="AM162" s="9">
        <v>4</v>
      </c>
      <c r="AN162" s="15">
        <v>1</v>
      </c>
      <c r="AO162" s="9">
        <v>2</v>
      </c>
      <c r="AP162" s="15">
        <v>3</v>
      </c>
      <c r="AQ162" s="9">
        <v>4</v>
      </c>
      <c r="AR162" s="9">
        <v>1</v>
      </c>
      <c r="AS162" s="9">
        <v>2</v>
      </c>
      <c r="AT162" s="9">
        <v>3</v>
      </c>
      <c r="AU162" s="9">
        <v>4</v>
      </c>
      <c r="AV162" s="9">
        <v>1</v>
      </c>
      <c r="AW162" s="9">
        <v>2</v>
      </c>
      <c r="AX162" s="9">
        <v>3</v>
      </c>
      <c r="AY162" s="9">
        <v>4</v>
      </c>
      <c r="AZ162" s="9">
        <v>1</v>
      </c>
      <c r="BA162" s="9">
        <v>2</v>
      </c>
      <c r="BB162" s="9">
        <v>3</v>
      </c>
      <c r="BC162" s="9">
        <v>4</v>
      </c>
      <c r="BD162" s="9">
        <v>1</v>
      </c>
      <c r="BE162" s="9">
        <v>2</v>
      </c>
      <c r="BF162" s="9">
        <v>3</v>
      </c>
      <c r="BG162" s="9">
        <v>4</v>
      </c>
      <c r="BH162" s="9">
        <v>1</v>
      </c>
      <c r="BI162" s="9">
        <v>2</v>
      </c>
      <c r="BJ162" s="9">
        <v>3</v>
      </c>
      <c r="BK162" s="9">
        <v>4</v>
      </c>
      <c r="BL162" s="9">
        <v>1</v>
      </c>
      <c r="BM162" s="9">
        <v>2</v>
      </c>
      <c r="BN162" s="9">
        <v>3</v>
      </c>
      <c r="BO162" s="9">
        <v>4</v>
      </c>
      <c r="BP162" s="9">
        <v>1</v>
      </c>
      <c r="BQ162" s="9">
        <v>2</v>
      </c>
      <c r="BR162" s="9">
        <v>3</v>
      </c>
      <c r="BS162" s="9">
        <v>4</v>
      </c>
      <c r="BT162" s="9">
        <v>1</v>
      </c>
      <c r="BU162" s="9">
        <v>2</v>
      </c>
      <c r="BV162" s="9">
        <v>3</v>
      </c>
      <c r="BW162" s="9">
        <v>4</v>
      </c>
      <c r="BX162" s="9"/>
      <c r="BY162" s="12"/>
      <c r="BZ162" s="9"/>
      <c r="CA162" s="12"/>
      <c r="CB162" s="9"/>
      <c r="CC162" s="9"/>
      <c r="CD162" s="9"/>
      <c r="CE162" s="9"/>
      <c r="CF162" s="9"/>
      <c r="CG162" s="9"/>
      <c r="CH162" s="9"/>
      <c r="CI162" s="9"/>
      <c r="CJ162" s="9"/>
      <c r="CK162" s="15"/>
      <c r="CL162" s="15"/>
      <c r="CM162" s="15"/>
      <c r="CN162" s="15"/>
      <c r="CO162" s="15"/>
      <c r="CP162" s="15"/>
      <c r="CQ162" s="15"/>
    </row>
    <row r="163" spans="1:95" ht="14.25" hidden="1" customHeight="1" outlineLevel="2">
      <c r="A163" s="9"/>
      <c r="B163" s="469" t="s">
        <v>142</v>
      </c>
      <c r="C163" s="88"/>
      <c r="D163" s="9">
        <v>2003</v>
      </c>
      <c r="E163" s="9">
        <v>2003</v>
      </c>
      <c r="F163" s="9">
        <v>2003</v>
      </c>
      <c r="G163" s="9">
        <v>2003</v>
      </c>
      <c r="H163" s="9">
        <v>2004</v>
      </c>
      <c r="I163" s="9">
        <v>2004</v>
      </c>
      <c r="J163" s="9">
        <v>2004</v>
      </c>
      <c r="K163" s="9">
        <v>2004</v>
      </c>
      <c r="L163" s="9">
        <v>2005</v>
      </c>
      <c r="M163" s="9">
        <v>2005</v>
      </c>
      <c r="N163" s="9">
        <v>2005</v>
      </c>
      <c r="O163" s="9">
        <v>2005</v>
      </c>
      <c r="P163" s="9">
        <v>2006</v>
      </c>
      <c r="Q163" s="9">
        <v>2006</v>
      </c>
      <c r="R163" s="9">
        <v>2006</v>
      </c>
      <c r="S163" s="9">
        <v>2006</v>
      </c>
      <c r="T163" s="9">
        <v>2007</v>
      </c>
      <c r="U163" s="9">
        <v>2007</v>
      </c>
      <c r="V163" s="9">
        <v>2007</v>
      </c>
      <c r="W163" s="9">
        <v>2007</v>
      </c>
      <c r="X163" s="9">
        <v>2008</v>
      </c>
      <c r="Y163" s="9">
        <v>2008</v>
      </c>
      <c r="Z163" s="9">
        <v>2008</v>
      </c>
      <c r="AA163" s="9">
        <v>2008</v>
      </c>
      <c r="AB163" s="9">
        <v>2009</v>
      </c>
      <c r="AC163" s="9">
        <v>2009</v>
      </c>
      <c r="AD163" s="9">
        <v>2009</v>
      </c>
      <c r="AE163" s="9">
        <v>2009</v>
      </c>
      <c r="AF163" s="9">
        <v>2010</v>
      </c>
      <c r="AG163" s="9">
        <v>2010</v>
      </c>
      <c r="AH163" s="9">
        <v>2010</v>
      </c>
      <c r="AI163" s="9">
        <v>2010</v>
      </c>
      <c r="AJ163" s="9">
        <v>2011</v>
      </c>
      <c r="AK163" s="9">
        <v>2011</v>
      </c>
      <c r="AL163" s="9">
        <v>2011</v>
      </c>
      <c r="AM163" s="9">
        <v>2011</v>
      </c>
      <c r="AN163" s="15">
        <v>2012</v>
      </c>
      <c r="AO163" s="9">
        <v>2012</v>
      </c>
      <c r="AP163" s="15">
        <v>2012</v>
      </c>
      <c r="AQ163" s="9">
        <v>2012</v>
      </c>
      <c r="AR163" s="9">
        <v>2013</v>
      </c>
      <c r="AS163" s="9">
        <v>2013</v>
      </c>
      <c r="AT163" s="9">
        <v>2013</v>
      </c>
      <c r="AU163" s="9">
        <v>2013</v>
      </c>
      <c r="AV163" s="9">
        <v>2014</v>
      </c>
      <c r="AW163" s="9">
        <v>2014</v>
      </c>
      <c r="AX163" s="9">
        <v>2014</v>
      </c>
      <c r="AY163" s="9">
        <v>2014</v>
      </c>
      <c r="AZ163" s="9">
        <v>2015</v>
      </c>
      <c r="BA163" s="9">
        <v>2015</v>
      </c>
      <c r="BB163" s="9">
        <v>2015</v>
      </c>
      <c r="BC163" s="9">
        <v>2015</v>
      </c>
      <c r="BD163" s="9">
        <v>2016</v>
      </c>
      <c r="BE163" s="9">
        <v>2016</v>
      </c>
      <c r="BF163" s="9">
        <v>2016</v>
      </c>
      <c r="BG163" s="9">
        <v>2016</v>
      </c>
      <c r="BH163" s="9">
        <v>2017</v>
      </c>
      <c r="BI163" s="9">
        <v>2017</v>
      </c>
      <c r="BJ163" s="9">
        <v>2017</v>
      </c>
      <c r="BK163" s="9">
        <v>2017</v>
      </c>
      <c r="BL163" s="9">
        <v>2018</v>
      </c>
      <c r="BM163" s="9">
        <v>2018</v>
      </c>
      <c r="BN163" s="9">
        <v>2018</v>
      </c>
      <c r="BO163" s="9">
        <v>2018</v>
      </c>
      <c r="BP163" s="9">
        <v>2019</v>
      </c>
      <c r="BQ163" s="9">
        <v>2019</v>
      </c>
      <c r="BR163" s="9">
        <v>2019</v>
      </c>
      <c r="BS163" s="9">
        <v>2019</v>
      </c>
      <c r="BT163" s="9">
        <v>2020</v>
      </c>
      <c r="BU163" s="9">
        <v>2020</v>
      </c>
      <c r="BV163" s="9">
        <v>2020</v>
      </c>
      <c r="BW163" s="9">
        <v>2020</v>
      </c>
      <c r="BX163" s="9"/>
      <c r="BY163" s="12"/>
      <c r="BZ163" s="9"/>
      <c r="CA163" s="12"/>
      <c r="CB163" s="9"/>
      <c r="CC163" s="9"/>
      <c r="CD163" s="9"/>
      <c r="CE163" s="9"/>
      <c r="CF163" s="9"/>
      <c r="CG163" s="9"/>
      <c r="CH163" s="9"/>
      <c r="CI163" s="9"/>
      <c r="CJ163" s="9"/>
      <c r="CK163" s="15"/>
      <c r="CL163" s="15"/>
      <c r="CM163" s="15"/>
      <c r="CN163" s="15"/>
      <c r="CO163" s="15"/>
      <c r="CP163" s="15"/>
      <c r="CQ163" s="15"/>
    </row>
    <row r="164" spans="1:95" ht="14.25" hidden="1" customHeight="1" outlineLevel="2">
      <c r="A164" s="9"/>
      <c r="B164" s="469" t="s">
        <v>143</v>
      </c>
      <c r="C164" s="88"/>
      <c r="D164" s="9">
        <v>1</v>
      </c>
      <c r="E164" s="9">
        <v>2</v>
      </c>
      <c r="F164" s="9">
        <v>3</v>
      </c>
      <c r="G164" s="9">
        <v>4</v>
      </c>
      <c r="H164" s="9">
        <v>1</v>
      </c>
      <c r="I164" s="9">
        <v>2</v>
      </c>
      <c r="J164" s="9">
        <v>3</v>
      </c>
      <c r="K164" s="9">
        <v>4</v>
      </c>
      <c r="L164" s="9">
        <v>1</v>
      </c>
      <c r="M164" s="9">
        <v>2</v>
      </c>
      <c r="N164" s="9">
        <v>3</v>
      </c>
      <c r="O164" s="9">
        <v>4</v>
      </c>
      <c r="P164" s="9">
        <v>1</v>
      </c>
      <c r="Q164" s="9">
        <v>2</v>
      </c>
      <c r="R164" s="9">
        <v>3</v>
      </c>
      <c r="S164" s="9">
        <v>4</v>
      </c>
      <c r="T164" s="9">
        <v>1</v>
      </c>
      <c r="U164" s="9">
        <v>2</v>
      </c>
      <c r="V164" s="9">
        <v>3</v>
      </c>
      <c r="W164" s="9">
        <v>4</v>
      </c>
      <c r="X164" s="9">
        <v>1</v>
      </c>
      <c r="Y164" s="9">
        <v>2</v>
      </c>
      <c r="Z164" s="9">
        <v>3</v>
      </c>
      <c r="AA164" s="9">
        <v>4</v>
      </c>
      <c r="AB164" s="9">
        <v>1</v>
      </c>
      <c r="AC164" s="9">
        <v>2</v>
      </c>
      <c r="AD164" s="9">
        <v>3</v>
      </c>
      <c r="AE164" s="9">
        <v>4</v>
      </c>
      <c r="AF164" s="9">
        <v>1</v>
      </c>
      <c r="AG164" s="9">
        <v>2</v>
      </c>
      <c r="AH164" s="9">
        <v>3</v>
      </c>
      <c r="AI164" s="9">
        <v>4</v>
      </c>
      <c r="AJ164" s="9">
        <v>1</v>
      </c>
      <c r="AK164" s="9">
        <v>2</v>
      </c>
      <c r="AL164" s="9">
        <v>3</v>
      </c>
      <c r="AM164" s="9">
        <v>4</v>
      </c>
      <c r="AN164" s="15">
        <v>1</v>
      </c>
      <c r="AO164" s="9">
        <v>2</v>
      </c>
      <c r="AP164" s="15">
        <v>3</v>
      </c>
      <c r="AQ164" s="9">
        <v>4</v>
      </c>
      <c r="AR164" s="9">
        <v>1</v>
      </c>
      <c r="AS164" s="9">
        <v>2</v>
      </c>
      <c r="AT164" s="9">
        <v>3</v>
      </c>
      <c r="AU164" s="9">
        <v>4</v>
      </c>
      <c r="AV164" s="9">
        <v>1</v>
      </c>
      <c r="AW164" s="9">
        <v>2</v>
      </c>
      <c r="AX164" s="9">
        <v>3</v>
      </c>
      <c r="AY164" s="9">
        <v>4</v>
      </c>
      <c r="AZ164" s="9">
        <v>1</v>
      </c>
      <c r="BA164" s="9">
        <v>2</v>
      </c>
      <c r="BB164" s="9">
        <v>3</v>
      </c>
      <c r="BC164" s="9">
        <v>4</v>
      </c>
      <c r="BD164" s="9">
        <v>1</v>
      </c>
      <c r="BE164" s="9">
        <v>2</v>
      </c>
      <c r="BF164" s="9">
        <v>3</v>
      </c>
      <c r="BG164" s="9">
        <v>4</v>
      </c>
      <c r="BH164" s="9">
        <v>1</v>
      </c>
      <c r="BI164" s="9">
        <v>2</v>
      </c>
      <c r="BJ164" s="9">
        <v>3</v>
      </c>
      <c r="BK164" s="9">
        <v>4</v>
      </c>
      <c r="BL164" s="9">
        <v>1</v>
      </c>
      <c r="BM164" s="9">
        <v>2</v>
      </c>
      <c r="BN164" s="9">
        <v>3</v>
      </c>
      <c r="BO164" s="9">
        <v>4</v>
      </c>
      <c r="BP164" s="9">
        <v>1</v>
      </c>
      <c r="BQ164" s="9">
        <v>2</v>
      </c>
      <c r="BR164" s="9">
        <v>3</v>
      </c>
      <c r="BS164" s="9">
        <v>4</v>
      </c>
      <c r="BT164" s="9">
        <v>1</v>
      </c>
      <c r="BU164" s="9">
        <v>2</v>
      </c>
      <c r="BV164" s="9">
        <v>3</v>
      </c>
      <c r="BW164" s="9">
        <v>4</v>
      </c>
      <c r="BX164" s="9"/>
      <c r="BY164" s="12"/>
      <c r="BZ164" s="9"/>
      <c r="CA164" s="12"/>
      <c r="CB164" s="9"/>
      <c r="CC164" s="9"/>
      <c r="CD164" s="9"/>
      <c r="CE164" s="9"/>
      <c r="CF164" s="9"/>
      <c r="CG164" s="9"/>
      <c r="CH164" s="9"/>
      <c r="CI164" s="9"/>
      <c r="CJ164" s="9"/>
      <c r="CK164" s="15"/>
      <c r="CL164" s="15"/>
      <c r="CM164" s="15"/>
      <c r="CN164" s="15"/>
      <c r="CO164" s="15"/>
      <c r="CP164" s="15"/>
      <c r="CQ164" s="15"/>
    </row>
    <row r="165" spans="1:95" ht="14.25" hidden="1" customHeight="1" outlineLevel="1">
      <c r="A165" s="2"/>
      <c r="B165" s="454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160"/>
      <c r="AO165" s="2"/>
      <c r="AP165" s="160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2"/>
      <c r="BY165" s="6"/>
      <c r="BZ165" s="2"/>
      <c r="CA165" s="6"/>
      <c r="CB165" s="2"/>
      <c r="CC165" s="2"/>
      <c r="CD165" s="2"/>
      <c r="CE165" s="2"/>
      <c r="CF165" s="2"/>
      <c r="CG165" s="2"/>
      <c r="CH165" s="2"/>
      <c r="CI165" s="2"/>
      <c r="CJ165" s="2"/>
      <c r="CK165" s="15"/>
      <c r="CL165" s="15"/>
      <c r="CM165" s="15"/>
      <c r="CN165" s="15"/>
      <c r="CO165" s="15"/>
      <c r="CP165" s="15"/>
      <c r="CQ165" s="160"/>
    </row>
    <row r="166" spans="1:95" ht="14.25" hidden="1" customHeight="1" outlineLevel="2">
      <c r="A166" s="432"/>
      <c r="B166" s="1459" t="s">
        <v>61</v>
      </c>
      <c r="C166" s="437"/>
      <c r="D166" s="282">
        <f t="shared" ref="D166:CJ166" si="474">D110-D104</f>
        <v>-49.29999999999999</v>
      </c>
      <c r="E166" s="282">
        <f t="shared" si="474"/>
        <v>-58.600000000000023</v>
      </c>
      <c r="F166" s="282">
        <f t="shared" si="474"/>
        <v>-15.499999999999982</v>
      </c>
      <c r="G166" s="282">
        <f t="shared" si="474"/>
        <v>-42.099999999999952</v>
      </c>
      <c r="H166" s="282">
        <f t="shared" si="474"/>
        <v>-46.500000000000007</v>
      </c>
      <c r="I166" s="282">
        <f t="shared" si="474"/>
        <v>-3.0999999999999859</v>
      </c>
      <c r="J166" s="282">
        <f t="shared" si="474"/>
        <v>16.099999999999973</v>
      </c>
      <c r="K166" s="282">
        <f t="shared" si="474"/>
        <v>-86.899999999999977</v>
      </c>
      <c r="L166" s="282">
        <f t="shared" si="474"/>
        <v>15.799999999999983</v>
      </c>
      <c r="M166" s="282">
        <f t="shared" si="474"/>
        <v>19.500000000000004</v>
      </c>
      <c r="N166" s="282">
        <f t="shared" si="474"/>
        <v>24.500000000000014</v>
      </c>
      <c r="O166" s="282">
        <f t="shared" si="474"/>
        <v>44.400000000000013</v>
      </c>
      <c r="P166" s="282">
        <f t="shared" si="474"/>
        <v>40.899999999999991</v>
      </c>
      <c r="Q166" s="282">
        <f t="shared" si="474"/>
        <v>68.40000000000002</v>
      </c>
      <c r="R166" s="282">
        <f t="shared" si="474"/>
        <v>77.299999999999983</v>
      </c>
      <c r="S166" s="282">
        <f t="shared" si="474"/>
        <v>88.700000000000017</v>
      </c>
      <c r="T166" s="282">
        <f t="shared" si="474"/>
        <v>54.599999999999987</v>
      </c>
      <c r="U166" s="282">
        <f t="shared" si="474"/>
        <v>63.6</v>
      </c>
      <c r="V166" s="282">
        <f t="shared" si="474"/>
        <v>64.499999999999957</v>
      </c>
      <c r="W166" s="282">
        <f t="shared" si="474"/>
        <v>60.899999999999991</v>
      </c>
      <c r="X166" s="282">
        <f t="shared" si="474"/>
        <v>10.699999999999969</v>
      </c>
      <c r="Y166" s="282">
        <f t="shared" si="474"/>
        <v>33.500000000000007</v>
      </c>
      <c r="Z166" s="282">
        <f t="shared" si="474"/>
        <v>51.000000000000021</v>
      </c>
      <c r="AA166" s="282">
        <f t="shared" si="474"/>
        <v>-523.80000000000007</v>
      </c>
      <c r="AB166" s="282">
        <f t="shared" si="474"/>
        <v>-33.499999999999964</v>
      </c>
      <c r="AC166" s="282">
        <f t="shared" si="474"/>
        <v>-2.2000000000000099</v>
      </c>
      <c r="AD166" s="282">
        <f t="shared" si="474"/>
        <v>30.599999999999945</v>
      </c>
      <c r="AE166" s="282">
        <f t="shared" si="474"/>
        <v>68.40000000000002</v>
      </c>
      <c r="AF166" s="282">
        <f t="shared" si="474"/>
        <v>63.700000000000024</v>
      </c>
      <c r="AG166" s="282">
        <f t="shared" si="474"/>
        <v>79.599999999999966</v>
      </c>
      <c r="AH166" s="282">
        <f t="shared" si="474"/>
        <v>88.400000000000048</v>
      </c>
      <c r="AI166" s="282">
        <f t="shared" si="474"/>
        <v>61.200000000000024</v>
      </c>
      <c r="AJ166" s="282">
        <f t="shared" si="474"/>
        <v>36.199999999999989</v>
      </c>
      <c r="AK166" s="282">
        <f t="shared" si="474"/>
        <v>35.099999999999916</v>
      </c>
      <c r="AL166" s="282">
        <f t="shared" si="474"/>
        <v>-48.999999999999986</v>
      </c>
      <c r="AM166" s="282">
        <f t="shared" si="474"/>
        <v>-7.4000000000000821</v>
      </c>
      <c r="AN166" s="282">
        <f t="shared" si="474"/>
        <v>28.999999999999993</v>
      </c>
      <c r="AO166" s="282">
        <f t="shared" si="474"/>
        <v>8.1999999999999211</v>
      </c>
      <c r="AP166" s="282">
        <f t="shared" si="474"/>
        <v>13.399999999999967</v>
      </c>
      <c r="AQ166" s="282">
        <f t="shared" si="474"/>
        <v>-136.89999999999998</v>
      </c>
      <c r="AR166" s="282">
        <f t="shared" si="474"/>
        <v>23.300000000000018</v>
      </c>
      <c r="AS166" s="282">
        <f t="shared" si="474"/>
        <v>48.699999999999953</v>
      </c>
      <c r="AT166" s="282">
        <f t="shared" si="474"/>
        <v>52.800000000000011</v>
      </c>
      <c r="AU166" s="282">
        <f t="shared" si="474"/>
        <v>29.199999999999978</v>
      </c>
      <c r="AV166" s="282">
        <f>AV110-AV104</f>
        <v>58.600000000000009</v>
      </c>
      <c r="AW166" s="282">
        <f t="shared" si="474"/>
        <v>88.999999999999986</v>
      </c>
      <c r="AX166" s="282">
        <f t="shared" si="474"/>
        <v>42.000000000000028</v>
      </c>
      <c r="AY166" s="282">
        <f t="shared" si="474"/>
        <v>5.700000000000081</v>
      </c>
      <c r="AZ166" s="282">
        <f t="shared" ref="AZ166:BG166" si="475">AZ110-AZ104</f>
        <v>55.800000000000011</v>
      </c>
      <c r="BA166" s="282">
        <f t="shared" si="475"/>
        <v>51.399999999999949</v>
      </c>
      <c r="BB166" s="282">
        <f t="shared" si="475"/>
        <v>46.800000000000004</v>
      </c>
      <c r="BC166" s="282">
        <f t="shared" si="475"/>
        <v>54.999999999999972</v>
      </c>
      <c r="BD166" s="282">
        <f t="shared" si="475"/>
        <v>36.400000000000006</v>
      </c>
      <c r="BE166" s="883">
        <f t="shared" si="475"/>
        <v>25.799999999999983</v>
      </c>
      <c r="BF166" s="883">
        <f t="shared" si="475"/>
        <v>10.600000000000037</v>
      </c>
      <c r="BG166" s="883">
        <f t="shared" si="475"/>
        <v>111.69999999999999</v>
      </c>
      <c r="BH166" s="883">
        <f t="shared" ref="BH166:BO166" si="476">BH110-BH104</f>
        <v>78.700000000000102</v>
      </c>
      <c r="BI166" s="883">
        <f t="shared" si="476"/>
        <v>94.399999999999991</v>
      </c>
      <c r="BJ166" s="883">
        <f t="shared" si="476"/>
        <v>108.90000000000006</v>
      </c>
      <c r="BK166" s="883">
        <f t="shared" si="476"/>
        <v>531</v>
      </c>
      <c r="BL166" s="883">
        <f t="shared" si="476"/>
        <v>140.56389460453701</v>
      </c>
      <c r="BM166" s="883">
        <f t="shared" si="476"/>
        <v>186.31582511018468</v>
      </c>
      <c r="BN166" s="883">
        <f t="shared" si="476"/>
        <v>196.4113167169061</v>
      </c>
      <c r="BO166" s="883">
        <f t="shared" si="476"/>
        <v>187.93928116585403</v>
      </c>
      <c r="BP166" s="883">
        <f t="shared" ref="BP166:BS166" si="477">BP110-BP104</f>
        <v>185.63643690068847</v>
      </c>
      <c r="BQ166" s="883">
        <f t="shared" si="477"/>
        <v>205.53252266361815</v>
      </c>
      <c r="BR166" s="883">
        <f t="shared" si="477"/>
        <v>223.11962024148892</v>
      </c>
      <c r="BS166" s="883">
        <f t="shared" si="477"/>
        <v>216.52577256924505</v>
      </c>
      <c r="BT166" s="883">
        <f t="shared" ref="BT166:BW166" si="478">BT110-BT104</f>
        <v>207.06409561152162</v>
      </c>
      <c r="BU166" s="883">
        <f t="shared" si="478"/>
        <v>227.96674705491813</v>
      </c>
      <c r="BV166" s="883">
        <f t="shared" si="478"/>
        <v>246.22299455172583</v>
      </c>
      <c r="BW166" s="883">
        <f t="shared" si="478"/>
        <v>239.32847855305613</v>
      </c>
      <c r="BX166" s="282">
        <f t="shared" si="474"/>
        <v>0</v>
      </c>
      <c r="BY166" s="282">
        <f>BY110-BY104</f>
        <v>-165.50000000000017</v>
      </c>
      <c r="BZ166" s="282">
        <f t="shared" si="474"/>
        <v>-120.39999999999989</v>
      </c>
      <c r="CA166" s="282">
        <f t="shared" si="474"/>
        <v>104.2000000000001</v>
      </c>
      <c r="CB166" s="282">
        <f t="shared" si="474"/>
        <v>275.29999999999978</v>
      </c>
      <c r="CC166" s="282">
        <f t="shared" si="474"/>
        <v>243.59999999999988</v>
      </c>
      <c r="CD166" s="282">
        <f t="shared" si="474"/>
        <v>-428.60000000000059</v>
      </c>
      <c r="CE166" s="282">
        <f t="shared" si="474"/>
        <v>63.300000000000011</v>
      </c>
      <c r="CF166" s="282">
        <f t="shared" si="474"/>
        <v>292.90000000000003</v>
      </c>
      <c r="CG166" s="282">
        <f t="shared" si="474"/>
        <v>14.90000000000018</v>
      </c>
      <c r="CH166" s="282">
        <f t="shared" si="474"/>
        <v>-86.300000000000409</v>
      </c>
      <c r="CI166" s="282">
        <f t="shared" si="474"/>
        <v>153.99999999999957</v>
      </c>
      <c r="CJ166" s="282">
        <f t="shared" si="474"/>
        <v>195.30000000000038</v>
      </c>
      <c r="CK166" s="883">
        <f t="shared" ref="CK166:CP166" si="479">CK110-CK104</f>
        <v>209.00000000000037</v>
      </c>
      <c r="CL166" s="883">
        <f t="shared" si="479"/>
        <v>184.49999999999991</v>
      </c>
      <c r="CM166" s="883">
        <f t="shared" si="479"/>
        <v>813.00000000000034</v>
      </c>
      <c r="CN166" s="883">
        <f t="shared" si="479"/>
        <v>711.23031759748187</v>
      </c>
      <c r="CO166" s="883">
        <f t="shared" si="479"/>
        <v>830.81435237504058</v>
      </c>
      <c r="CP166" s="883">
        <f t="shared" si="479"/>
        <v>920.58231577122081</v>
      </c>
      <c r="CQ166" s="532"/>
    </row>
    <row r="167" spans="1:95" ht="14.25" hidden="1" customHeight="1" outlineLevel="1"/>
    <row r="168" spans="1:95" ht="14.25" hidden="1" customHeight="1" outlineLevel="1">
      <c r="A168" s="91"/>
      <c r="B168" s="1234" t="s">
        <v>606</v>
      </c>
      <c r="C168" s="1286"/>
      <c r="D168" s="1287"/>
      <c r="E168" s="1287"/>
      <c r="F168" s="1287"/>
      <c r="G168" s="1287"/>
      <c r="H168" s="1287"/>
      <c r="I168" s="1287"/>
      <c r="J168" s="1287"/>
      <c r="K168" s="1287"/>
      <c r="L168" s="1287"/>
      <c r="M168" s="1287"/>
      <c r="N168" s="1287"/>
      <c r="O168" s="1287"/>
      <c r="P168" s="1287"/>
      <c r="Q168" s="1287"/>
      <c r="R168" s="1287"/>
      <c r="S168" s="1287"/>
      <c r="T168" s="1287"/>
      <c r="U168" s="1287"/>
      <c r="V168" s="1287"/>
      <c r="W168" s="1287"/>
      <c r="X168" s="1287"/>
      <c r="Y168" s="1287"/>
      <c r="Z168" s="1287"/>
      <c r="AA168" s="1287"/>
      <c r="AB168" s="1287"/>
      <c r="AC168" s="1287"/>
      <c r="AD168" s="1287"/>
      <c r="AE168" s="1287"/>
      <c r="AF168" s="1287"/>
      <c r="AG168" s="1287"/>
      <c r="AH168" s="1287"/>
      <c r="AI168" s="1287"/>
      <c r="AJ168" s="1287"/>
      <c r="AK168" s="1287"/>
      <c r="AL168" s="1287"/>
      <c r="AM168" s="1287"/>
      <c r="AN168" s="1287"/>
      <c r="AO168" s="1287"/>
      <c r="AP168" s="1287"/>
      <c r="AQ168" s="1287"/>
      <c r="AR168" s="1287"/>
      <c r="AS168" s="1287"/>
      <c r="AT168" s="1287"/>
      <c r="AU168" s="1287"/>
      <c r="AV168" s="1287"/>
      <c r="AW168" s="1287"/>
      <c r="AX168" s="1287"/>
      <c r="AY168" s="1287"/>
      <c r="AZ168" s="1287"/>
      <c r="BA168" s="1287"/>
      <c r="BB168" s="1287"/>
      <c r="BC168" s="1287"/>
      <c r="BD168" s="1285"/>
      <c r="BE168" s="1275"/>
      <c r="BF168" s="1275"/>
      <c r="BG168" s="1227"/>
      <c r="BH168" s="1275"/>
      <c r="BI168" s="1275"/>
      <c r="BJ168" s="1275"/>
      <c r="BK168" s="1275"/>
      <c r="BL168" s="1275"/>
      <c r="BM168" s="1275"/>
      <c r="BN168" s="1275"/>
      <c r="BO168" s="1227"/>
      <c r="BP168" s="1275"/>
      <c r="BQ168" s="1275"/>
      <c r="BR168" s="1275"/>
      <c r="BS168" s="1227"/>
      <c r="BT168" s="1275"/>
      <c r="BU168" s="1275"/>
      <c r="BV168" s="1275"/>
      <c r="BW168" s="1227"/>
      <c r="BX168" s="284"/>
      <c r="BY168" s="1050"/>
      <c r="BZ168" s="900"/>
      <c r="CA168" s="1050"/>
      <c r="CB168" s="900"/>
      <c r="CC168" s="900"/>
      <c r="CD168" s="900"/>
      <c r="CE168" s="900"/>
      <c r="CF168" s="900"/>
      <c r="CG168" s="900"/>
      <c r="CH168" s="900"/>
      <c r="CI168" s="900"/>
      <c r="CJ168" s="900"/>
      <c r="CK168" s="407"/>
      <c r="CL168" s="407"/>
      <c r="CM168" s="407"/>
      <c r="CN168" s="407"/>
      <c r="CO168" s="407"/>
      <c r="CP168" s="407"/>
      <c r="CQ168" s="284"/>
    </row>
    <row r="169" spans="1:95" ht="14.25" hidden="1" customHeight="1" outlineLevel="1">
      <c r="A169" s="91"/>
      <c r="B169" s="1306" t="s">
        <v>20</v>
      </c>
      <c r="C169" s="248"/>
      <c r="D169" s="1274"/>
      <c r="E169" s="1274"/>
      <c r="F169" s="1274"/>
      <c r="G169" s="1274"/>
      <c r="H169" s="1274"/>
      <c r="I169" s="1274"/>
      <c r="J169" s="1274"/>
      <c r="K169" s="1274"/>
      <c r="L169" s="1274"/>
      <c r="M169" s="1274"/>
      <c r="N169" s="1274"/>
      <c r="O169" s="1274"/>
      <c r="P169" s="1274"/>
      <c r="Q169" s="1274"/>
      <c r="R169" s="1274"/>
      <c r="S169" s="1274"/>
      <c r="T169" s="1274"/>
      <c r="U169" s="1274"/>
      <c r="V169" s="1274"/>
      <c r="W169" s="1274"/>
      <c r="X169" s="1274"/>
      <c r="Y169" s="1274"/>
      <c r="Z169" s="1274"/>
      <c r="AA169" s="1274"/>
      <c r="AB169" s="1274"/>
      <c r="AC169" s="1274"/>
      <c r="AD169" s="1274"/>
      <c r="AE169" s="1274"/>
      <c r="AF169" s="1274"/>
      <c r="AG169" s="1274"/>
      <c r="AH169" s="1274"/>
      <c r="AI169" s="1274"/>
      <c r="AJ169" s="1274"/>
      <c r="AK169" s="1274"/>
      <c r="AL169" s="1274"/>
      <c r="AM169" s="1274"/>
      <c r="AN169" s="1274"/>
      <c r="AO169" s="1274"/>
      <c r="AP169" s="1274"/>
      <c r="AQ169" s="1274"/>
      <c r="AR169" s="1274"/>
      <c r="AS169" s="1274"/>
      <c r="AT169" s="1274"/>
      <c r="AU169" s="1274"/>
      <c r="AV169" s="1274"/>
      <c r="AW169" s="1274"/>
      <c r="AX169" s="1274"/>
      <c r="AY169" s="1274"/>
      <c r="AZ169" s="1274"/>
      <c r="BA169" s="1274"/>
      <c r="BB169" s="1274"/>
      <c r="BC169" s="1274"/>
      <c r="BD169" s="1283"/>
      <c r="BE169" s="1271"/>
      <c r="BF169" s="1271">
        <f>SUM(BF170:BF171)</f>
        <v>49.400000000000006</v>
      </c>
      <c r="BG169" s="1270">
        <f t="shared" ref="BG169:BO169" si="480">SUM(BG170:BG171)</f>
        <v>86.306417999999994</v>
      </c>
      <c r="BH169" s="1295">
        <f t="shared" si="480"/>
        <v>85.363429859999982</v>
      </c>
      <c r="BI169" s="1271">
        <f t="shared" si="480"/>
        <v>87.847960044600001</v>
      </c>
      <c r="BJ169" s="1271">
        <f t="shared" si="480"/>
        <v>89.507704046813984</v>
      </c>
      <c r="BK169" s="1270">
        <f t="shared" si="480"/>
        <v>88.129937249298536</v>
      </c>
      <c r="BL169" s="1295">
        <f t="shared" si="480"/>
        <v>97.189420420123298</v>
      </c>
      <c r="BM169" s="1271">
        <f t="shared" si="480"/>
        <v>100.44517820300636</v>
      </c>
      <c r="BN169" s="1271">
        <f t="shared" si="480"/>
        <v>102.15194688338728</v>
      </c>
      <c r="BO169" s="1270">
        <f t="shared" si="480"/>
        <v>100.65082138822684</v>
      </c>
      <c r="BP169" s="1295">
        <f t="shared" ref="BP169:BS169" si="481">SUM(BP170:BP171)</f>
        <v>97.189420420123298</v>
      </c>
      <c r="BQ169" s="1271">
        <f t="shared" si="481"/>
        <v>100.44517820300636</v>
      </c>
      <c r="BR169" s="1271">
        <f t="shared" si="481"/>
        <v>102.15194688338728</v>
      </c>
      <c r="BS169" s="1270">
        <f t="shared" si="481"/>
        <v>100.65082138822684</v>
      </c>
      <c r="BT169" s="1295">
        <f t="shared" ref="BT169:BW169" si="482">SUM(BT170:BT171)</f>
        <v>97.189420420123298</v>
      </c>
      <c r="BU169" s="1271">
        <f t="shared" si="482"/>
        <v>100.44517820300636</v>
      </c>
      <c r="BV169" s="1271">
        <f t="shared" si="482"/>
        <v>102.15194688338728</v>
      </c>
      <c r="BW169" s="1270">
        <f t="shared" si="482"/>
        <v>100.65082138822684</v>
      </c>
      <c r="BX169" s="283"/>
      <c r="BY169" s="1050"/>
      <c r="BZ169" s="900"/>
      <c r="CA169" s="1050"/>
      <c r="CB169" s="900"/>
      <c r="CC169" s="900"/>
      <c r="CD169" s="900"/>
      <c r="CE169" s="900"/>
      <c r="CF169" s="900"/>
      <c r="CG169" s="900"/>
      <c r="CH169" s="900"/>
      <c r="CI169" s="900"/>
      <c r="CJ169" s="900"/>
      <c r="CK169" s="1291"/>
      <c r="CL169" s="1290">
        <f>SUM(BD169:BG169)</f>
        <v>135.70641799999999</v>
      </c>
      <c r="CM169" s="1290">
        <f>SUM(BH169:BK169)</f>
        <v>350.84903120071249</v>
      </c>
      <c r="CN169" s="1290">
        <f>SUM(BL169:BO169)</f>
        <v>400.43736689474377</v>
      </c>
      <c r="CO169" s="1290">
        <f t="shared" ref="CO169:CO173" si="483">SUM(BP169:BS169)</f>
        <v>400.43736689474377</v>
      </c>
      <c r="CP169" s="1273">
        <f t="shared" ref="CP169:CP171" si="484">SUM(BT169:BW169)</f>
        <v>400.43736689474377</v>
      </c>
      <c r="CQ169" s="286"/>
    </row>
    <row r="170" spans="1:95" ht="14.25" hidden="1" customHeight="1" outlineLevel="1">
      <c r="A170" s="91"/>
      <c r="B170" s="1307" t="s">
        <v>598</v>
      </c>
      <c r="C170" s="248"/>
      <c r="D170" s="1274"/>
      <c r="E170" s="1274"/>
      <c r="F170" s="1274"/>
      <c r="G170" s="1274"/>
      <c r="H170" s="1274"/>
      <c r="I170" s="1274"/>
      <c r="J170" s="1274"/>
      <c r="K170" s="1274"/>
      <c r="L170" s="1274"/>
      <c r="M170" s="1274"/>
      <c r="N170" s="1274"/>
      <c r="O170" s="1274"/>
      <c r="P170" s="1274"/>
      <c r="Q170" s="1274"/>
      <c r="R170" s="1274"/>
      <c r="S170" s="1274"/>
      <c r="T170" s="1274"/>
      <c r="U170" s="1274"/>
      <c r="V170" s="1274"/>
      <c r="W170" s="1274"/>
      <c r="X170" s="1274"/>
      <c r="Y170" s="1274"/>
      <c r="Z170" s="1274"/>
      <c r="AA170" s="1274"/>
      <c r="AB170" s="1274"/>
      <c r="AC170" s="1274"/>
      <c r="AD170" s="1274"/>
      <c r="AE170" s="1274"/>
      <c r="AF170" s="1274"/>
      <c r="AG170" s="1274"/>
      <c r="AH170" s="1274"/>
      <c r="AI170" s="1274"/>
      <c r="AJ170" s="1274"/>
      <c r="AK170" s="1274"/>
      <c r="AL170" s="1274"/>
      <c r="AM170" s="1274"/>
      <c r="AN170" s="1274"/>
      <c r="AO170" s="1274"/>
      <c r="AP170" s="1274"/>
      <c r="AQ170" s="1274"/>
      <c r="AR170" s="1274"/>
      <c r="AS170" s="1274"/>
      <c r="AT170" s="1274"/>
      <c r="AU170" s="1274"/>
      <c r="AV170" s="1274"/>
      <c r="AW170" s="1274"/>
      <c r="AX170" s="1274"/>
      <c r="AY170" s="1274"/>
      <c r="AZ170" s="1274"/>
      <c r="BA170" s="1274"/>
      <c r="BB170" s="1274"/>
      <c r="BC170" s="1274"/>
      <c r="BD170" s="1283"/>
      <c r="BE170" s="1271"/>
      <c r="BF170" s="1297">
        <v>35.900000000000006</v>
      </c>
      <c r="BG170" s="1281">
        <v>72.806417999999994</v>
      </c>
      <c r="BH170" s="1293">
        <v>71.863429859999982</v>
      </c>
      <c r="BI170" s="1297">
        <v>74.347960044600001</v>
      </c>
      <c r="BJ170" s="1271">
        <v>76.007704046813984</v>
      </c>
      <c r="BK170" s="1281">
        <v>74.629937249298536</v>
      </c>
      <c r="BL170" s="1293">
        <v>83.689420420123298</v>
      </c>
      <c r="BM170" s="1297">
        <v>86.945178203006364</v>
      </c>
      <c r="BN170" s="1297">
        <v>88.651946883387282</v>
      </c>
      <c r="BO170" s="1281">
        <v>87.150821388226845</v>
      </c>
      <c r="BP170" s="1293">
        <v>83.689420420123298</v>
      </c>
      <c r="BQ170" s="1297">
        <v>86.945178203006364</v>
      </c>
      <c r="BR170" s="1297">
        <v>88.651946883387282</v>
      </c>
      <c r="BS170" s="1281">
        <v>87.150821388226845</v>
      </c>
      <c r="BT170" s="1293">
        <v>83.689420420123298</v>
      </c>
      <c r="BU170" s="1297">
        <v>86.945178203006364</v>
      </c>
      <c r="BV170" s="1297">
        <v>88.651946883387282</v>
      </c>
      <c r="BW170" s="1281">
        <v>87.150821388226845</v>
      </c>
      <c r="BX170" s="283"/>
      <c r="BY170" s="1050"/>
      <c r="BZ170" s="900"/>
      <c r="CA170" s="1050"/>
      <c r="CB170" s="900"/>
      <c r="CC170" s="900"/>
      <c r="CD170" s="900"/>
      <c r="CE170" s="900"/>
      <c r="CF170" s="900"/>
      <c r="CG170" s="900"/>
      <c r="CH170" s="900"/>
      <c r="CI170" s="900"/>
      <c r="CJ170" s="900"/>
      <c r="CK170" s="1276"/>
      <c r="CL170" s="1277">
        <f t="shared" ref="CL170:CL173" si="485">SUM(BD170:BG170)</f>
        <v>108.706418</v>
      </c>
      <c r="CM170" s="1277">
        <f t="shared" ref="CM170:CM173" si="486">SUM(BH170:BK170)</f>
        <v>296.84903120071249</v>
      </c>
      <c r="CN170" s="1277">
        <f t="shared" ref="CN170:CN173" si="487">SUM(BL170:BO170)</f>
        <v>346.43736689474377</v>
      </c>
      <c r="CO170" s="1277">
        <f t="shared" si="483"/>
        <v>346.43736689474377</v>
      </c>
      <c r="CP170" s="1272">
        <f t="shared" si="484"/>
        <v>346.43736689474377</v>
      </c>
      <c r="CQ170" s="286"/>
    </row>
    <row r="171" spans="1:95" ht="14.25" hidden="1" customHeight="1" outlineLevel="1">
      <c r="A171" s="91"/>
      <c r="B171" s="1305" t="s">
        <v>1</v>
      </c>
      <c r="C171" s="482"/>
      <c r="D171" s="1009"/>
      <c r="E171" s="1009"/>
      <c r="F171" s="1009"/>
      <c r="G171" s="1009"/>
      <c r="H171" s="1009"/>
      <c r="I171" s="1009"/>
      <c r="J171" s="1009"/>
      <c r="K171" s="1009"/>
      <c r="L171" s="1009"/>
      <c r="M171" s="1009"/>
      <c r="N171" s="1009"/>
      <c r="O171" s="1009"/>
      <c r="P171" s="1009"/>
      <c r="Q171" s="1009"/>
      <c r="R171" s="1009"/>
      <c r="S171" s="1009"/>
      <c r="T171" s="1009"/>
      <c r="U171" s="1009"/>
      <c r="V171" s="1009"/>
      <c r="W171" s="1009"/>
      <c r="X171" s="1009"/>
      <c r="Y171" s="1009"/>
      <c r="Z171" s="1009"/>
      <c r="AA171" s="1009"/>
      <c r="AB171" s="1009"/>
      <c r="AC171" s="1009"/>
      <c r="AD171" s="1009"/>
      <c r="AE171" s="1009"/>
      <c r="AF171" s="1009"/>
      <c r="AG171" s="1009"/>
      <c r="AH171" s="1009"/>
      <c r="AI171" s="1009"/>
      <c r="AJ171" s="1009"/>
      <c r="AK171" s="1009"/>
      <c r="AL171" s="1009"/>
      <c r="AM171" s="1009"/>
      <c r="AN171" s="1009"/>
      <c r="AO171" s="1009"/>
      <c r="AP171" s="1009"/>
      <c r="AQ171" s="1009"/>
      <c r="AR171" s="1009"/>
      <c r="AS171" s="1009"/>
      <c r="AT171" s="1009"/>
      <c r="AU171" s="1009"/>
      <c r="AV171" s="1009"/>
      <c r="AW171" s="1009"/>
      <c r="AX171" s="1009"/>
      <c r="AY171" s="1009"/>
      <c r="AZ171" s="1009"/>
      <c r="BA171" s="1009"/>
      <c r="BB171" s="1009"/>
      <c r="BC171" s="1009"/>
      <c r="BD171" s="1284"/>
      <c r="BE171" s="1239"/>
      <c r="BF171" s="223">
        <v>13.5</v>
      </c>
      <c r="BG171" s="222">
        <v>13.5</v>
      </c>
      <c r="BH171" s="224">
        <v>13.5</v>
      </c>
      <c r="BI171" s="223">
        <v>13.5</v>
      </c>
      <c r="BJ171" s="1239">
        <v>13.5</v>
      </c>
      <c r="BK171" s="222">
        <v>13.5</v>
      </c>
      <c r="BL171" s="224">
        <v>13.5</v>
      </c>
      <c r="BM171" s="223">
        <v>13.5</v>
      </c>
      <c r="BN171" s="223">
        <v>13.5</v>
      </c>
      <c r="BO171" s="222">
        <v>13.5</v>
      </c>
      <c r="BP171" s="224">
        <v>13.5</v>
      </c>
      <c r="BQ171" s="223">
        <v>13.5</v>
      </c>
      <c r="BR171" s="223">
        <v>13.5</v>
      </c>
      <c r="BS171" s="222">
        <v>13.5</v>
      </c>
      <c r="BT171" s="224">
        <v>13.5</v>
      </c>
      <c r="BU171" s="223">
        <v>13.5</v>
      </c>
      <c r="BV171" s="223">
        <v>13.5</v>
      </c>
      <c r="BW171" s="222">
        <v>13.5</v>
      </c>
      <c r="BX171" s="283"/>
      <c r="BY171" s="1050"/>
      <c r="BZ171" s="900"/>
      <c r="CA171" s="1050"/>
      <c r="CB171" s="900"/>
      <c r="CC171" s="900"/>
      <c r="CD171" s="900"/>
      <c r="CE171" s="900"/>
      <c r="CF171" s="900"/>
      <c r="CG171" s="900"/>
      <c r="CH171" s="900"/>
      <c r="CI171" s="900"/>
      <c r="CJ171" s="900"/>
      <c r="CK171" s="1229"/>
      <c r="CL171" s="1289">
        <f t="shared" si="485"/>
        <v>27</v>
      </c>
      <c r="CM171" s="1289">
        <f t="shared" si="486"/>
        <v>54</v>
      </c>
      <c r="CN171" s="1289">
        <f t="shared" si="487"/>
        <v>54</v>
      </c>
      <c r="CO171" s="1289">
        <f t="shared" si="483"/>
        <v>54</v>
      </c>
      <c r="CP171" s="1235">
        <f t="shared" si="484"/>
        <v>54</v>
      </c>
      <c r="CQ171" s="286"/>
    </row>
    <row r="172" spans="1:95" ht="14.25" hidden="1" customHeight="1" outlineLevel="1">
      <c r="A172" s="91"/>
      <c r="B172" s="1370" t="s">
        <v>573</v>
      </c>
      <c r="C172" s="284"/>
      <c r="D172" s="1046"/>
      <c r="E172" s="1046"/>
      <c r="F172" s="1046"/>
      <c r="G172" s="1046"/>
      <c r="H172" s="1046"/>
      <c r="I172" s="1046"/>
      <c r="J172" s="1046"/>
      <c r="K172" s="1046"/>
      <c r="L172" s="1046"/>
      <c r="M172" s="1046"/>
      <c r="N172" s="1046"/>
      <c r="O172" s="1046"/>
      <c r="P172" s="1046"/>
      <c r="Q172" s="1046"/>
      <c r="R172" s="1046"/>
      <c r="S172" s="1046"/>
      <c r="T172" s="1046"/>
      <c r="U172" s="1046"/>
      <c r="V172" s="1046"/>
      <c r="W172" s="1046"/>
      <c r="X172" s="1046"/>
      <c r="Y172" s="1046"/>
      <c r="Z172" s="1046"/>
      <c r="AA172" s="1046"/>
      <c r="AB172" s="1046"/>
      <c r="AC172" s="1046"/>
      <c r="AD172" s="1046"/>
      <c r="AE172" s="1046"/>
      <c r="AF172" s="1046"/>
      <c r="AG172" s="1046"/>
      <c r="AH172" s="1046"/>
      <c r="AI172" s="1046"/>
      <c r="AJ172" s="1046"/>
      <c r="AK172" s="1046"/>
      <c r="AL172" s="1046"/>
      <c r="AM172" s="1046"/>
      <c r="AN172" s="1046"/>
      <c r="AO172" s="1046"/>
      <c r="AP172" s="1046"/>
      <c r="AQ172" s="1046"/>
      <c r="AR172" s="1046"/>
      <c r="AS172" s="1046"/>
      <c r="AT172" s="1046"/>
      <c r="AU172" s="1046"/>
      <c r="AV172" s="1046"/>
      <c r="AW172" s="1046"/>
      <c r="AX172" s="1046"/>
      <c r="AY172" s="1046"/>
      <c r="AZ172" s="1046"/>
      <c r="BA172" s="1046"/>
      <c r="BB172" s="1046"/>
      <c r="BC172" s="1046"/>
      <c r="BD172" s="1047"/>
      <c r="BE172" s="1241"/>
      <c r="BF172" s="1241">
        <v>206.7</v>
      </c>
      <c r="BG172" s="487">
        <v>226.22144773219151</v>
      </c>
      <c r="BH172" s="1282">
        <v>226.66508221246829</v>
      </c>
      <c r="BI172" s="1241">
        <v>252.58408410267367</v>
      </c>
      <c r="BJ172" s="1241">
        <v>272.0931617859211</v>
      </c>
      <c r="BK172" s="487">
        <v>275.71878252377326</v>
      </c>
      <c r="BL172" s="1282">
        <v>273.33199137274698</v>
      </c>
      <c r="BM172" s="1241">
        <v>291.34764382917592</v>
      </c>
      <c r="BN172" s="1241">
        <v>303.39492541763684</v>
      </c>
      <c r="BO172" s="487">
        <v>297.07823170840476</v>
      </c>
      <c r="BP172" s="1282">
        <v>273.33199137274698</v>
      </c>
      <c r="BQ172" s="1241">
        <v>291.34764382917592</v>
      </c>
      <c r="BR172" s="1241">
        <v>303.39492541763684</v>
      </c>
      <c r="BS172" s="487">
        <v>297.07823170840476</v>
      </c>
      <c r="BT172" s="1282">
        <v>273.33199137274698</v>
      </c>
      <c r="BU172" s="1241">
        <v>291.34764382917592</v>
      </c>
      <c r="BV172" s="1241">
        <v>303.39492541763684</v>
      </c>
      <c r="BW172" s="487">
        <v>297.07823170840476</v>
      </c>
      <c r="BX172" s="283"/>
      <c r="BY172" s="1050"/>
      <c r="BZ172" s="900"/>
      <c r="CA172" s="1050"/>
      <c r="CB172" s="900"/>
      <c r="CC172" s="900"/>
      <c r="CD172" s="900"/>
      <c r="CE172" s="900"/>
      <c r="CF172" s="900"/>
      <c r="CG172" s="900"/>
      <c r="CH172" s="900"/>
      <c r="CI172" s="900"/>
      <c r="CJ172" s="900"/>
      <c r="CK172" s="1280"/>
      <c r="CL172" s="1298"/>
      <c r="CM172" s="1298"/>
      <c r="CN172" s="1298"/>
      <c r="CO172" s="1298"/>
      <c r="CP172" s="1288"/>
      <c r="CQ172" s="286"/>
    </row>
    <row r="173" spans="1:95" ht="14.25" hidden="1" customHeight="1" outlineLevel="1">
      <c r="A173" s="91"/>
      <c r="B173" s="1306" t="s">
        <v>619</v>
      </c>
      <c r="C173" s="248"/>
      <c r="D173" s="1274"/>
      <c r="E173" s="1274"/>
      <c r="F173" s="1274"/>
      <c r="G173" s="1274"/>
      <c r="H173" s="1274"/>
      <c r="I173" s="1274"/>
      <c r="J173" s="1274"/>
      <c r="K173" s="1274"/>
      <c r="L173" s="1274"/>
      <c r="M173" s="1274"/>
      <c r="N173" s="1274"/>
      <c r="O173" s="1274"/>
      <c r="P173" s="1274"/>
      <c r="Q173" s="1274"/>
      <c r="R173" s="1274"/>
      <c r="S173" s="1274"/>
      <c r="T173" s="1274"/>
      <c r="U173" s="1274"/>
      <c r="V173" s="1274"/>
      <c r="W173" s="1274"/>
      <c r="X173" s="1274"/>
      <c r="Y173" s="1274"/>
      <c r="Z173" s="1274"/>
      <c r="AA173" s="1274"/>
      <c r="AB173" s="1274"/>
      <c r="AC173" s="1274"/>
      <c r="AD173" s="1274"/>
      <c r="AE173" s="1274"/>
      <c r="AF173" s="1274"/>
      <c r="AG173" s="1274"/>
      <c r="AH173" s="1274"/>
      <c r="AI173" s="1274"/>
      <c r="AJ173" s="1274"/>
      <c r="AK173" s="1274"/>
      <c r="AL173" s="1274"/>
      <c r="AM173" s="1274"/>
      <c r="AN173" s="1274"/>
      <c r="AO173" s="1274"/>
      <c r="AP173" s="1274"/>
      <c r="AQ173" s="1274"/>
      <c r="AR173" s="1274"/>
      <c r="AS173" s="1274"/>
      <c r="AT173" s="1274"/>
      <c r="AU173" s="1274"/>
      <c r="AV173" s="1274"/>
      <c r="AW173" s="1274"/>
      <c r="AX173" s="1274"/>
      <c r="AY173" s="1274"/>
      <c r="AZ173" s="1274"/>
      <c r="BA173" s="1274"/>
      <c r="BB173" s="1274"/>
      <c r="BC173" s="1274"/>
      <c r="BD173" s="1283"/>
      <c r="BE173" s="1271"/>
      <c r="BF173" s="1271">
        <f>BF172-BF169-75</f>
        <v>82.299999999999983</v>
      </c>
      <c r="BG173" s="1271">
        <f t="shared" ref="BG173:BO173" si="488">BG172-BG169-75</f>
        <v>64.915029732191499</v>
      </c>
      <c r="BH173" s="1295">
        <f t="shared" si="488"/>
        <v>66.301652352468295</v>
      </c>
      <c r="BI173" s="1271">
        <f t="shared" si="488"/>
        <v>89.736124058073671</v>
      </c>
      <c r="BJ173" s="1271">
        <f t="shared" si="488"/>
        <v>107.58545773910711</v>
      </c>
      <c r="BK173" s="1270">
        <f t="shared" si="488"/>
        <v>112.58884527447472</v>
      </c>
      <c r="BL173" s="1295">
        <f t="shared" si="488"/>
        <v>101.14257095262369</v>
      </c>
      <c r="BM173" s="1271">
        <f t="shared" si="488"/>
        <v>115.90246562616954</v>
      </c>
      <c r="BN173" s="1271">
        <f t="shared" si="488"/>
        <v>126.24297853424957</v>
      </c>
      <c r="BO173" s="1270">
        <f t="shared" si="488"/>
        <v>121.4274103201779</v>
      </c>
      <c r="BP173" s="1295">
        <f t="shared" ref="BP173:BS173" si="489">BP172-BP169-75</f>
        <v>101.14257095262369</v>
      </c>
      <c r="BQ173" s="1271">
        <f t="shared" si="489"/>
        <v>115.90246562616954</v>
      </c>
      <c r="BR173" s="1271">
        <f t="shared" si="489"/>
        <v>126.24297853424957</v>
      </c>
      <c r="BS173" s="1270">
        <f t="shared" si="489"/>
        <v>121.4274103201779</v>
      </c>
      <c r="BT173" s="1295">
        <f t="shared" ref="BT173:BW173" si="490">BT172-BT169-75</f>
        <v>101.14257095262369</v>
      </c>
      <c r="BU173" s="1271">
        <f t="shared" si="490"/>
        <v>115.90246562616954</v>
      </c>
      <c r="BV173" s="1271">
        <f t="shared" si="490"/>
        <v>126.24297853424957</v>
      </c>
      <c r="BW173" s="1270">
        <f t="shared" si="490"/>
        <v>121.4274103201779</v>
      </c>
      <c r="BX173" s="283"/>
      <c r="BY173" s="1050"/>
      <c r="BZ173" s="900"/>
      <c r="CA173" s="1050"/>
      <c r="CB173" s="900"/>
      <c r="CC173" s="900"/>
      <c r="CD173" s="900"/>
      <c r="CE173" s="900"/>
      <c r="CF173" s="900"/>
      <c r="CG173" s="900"/>
      <c r="CH173" s="900"/>
      <c r="CI173" s="900"/>
      <c r="CJ173" s="900"/>
      <c r="CK173" s="1276"/>
      <c r="CL173" s="1277">
        <f t="shared" si="485"/>
        <v>147.21502973219148</v>
      </c>
      <c r="CM173" s="1277">
        <f t="shared" si="486"/>
        <v>376.21207942412377</v>
      </c>
      <c r="CN173" s="1277">
        <f t="shared" si="487"/>
        <v>464.71542543322067</v>
      </c>
      <c r="CO173" s="1277">
        <f t="shared" si="483"/>
        <v>464.71542543322067</v>
      </c>
      <c r="CP173" s="1272">
        <f>SUM(BT173:BW173)</f>
        <v>464.71542543322067</v>
      </c>
      <c r="CQ173" s="286"/>
    </row>
    <row r="174" spans="1:95" ht="14.25" hidden="1" customHeight="1" outlineLevel="1">
      <c r="A174" s="91"/>
      <c r="B174" s="1008"/>
      <c r="C174" s="482"/>
      <c r="D174" s="1009"/>
      <c r="E174" s="1009"/>
      <c r="F174" s="1009"/>
      <c r="G174" s="1009"/>
      <c r="H174" s="1009"/>
      <c r="I174" s="1009"/>
      <c r="J174" s="1009"/>
      <c r="K174" s="1009"/>
      <c r="L174" s="1009"/>
      <c r="M174" s="1009"/>
      <c r="N174" s="1009"/>
      <c r="O174" s="1009"/>
      <c r="P174" s="1009"/>
      <c r="Q174" s="1009"/>
      <c r="R174" s="1009"/>
      <c r="S174" s="1009"/>
      <c r="T174" s="1009"/>
      <c r="U174" s="1009"/>
      <c r="V174" s="1009"/>
      <c r="W174" s="1009"/>
      <c r="X174" s="1009"/>
      <c r="Y174" s="1009"/>
      <c r="Z174" s="1009"/>
      <c r="AA174" s="1009"/>
      <c r="AB174" s="1009"/>
      <c r="AC174" s="1009"/>
      <c r="AD174" s="1009"/>
      <c r="AE174" s="1009"/>
      <c r="AF174" s="1009"/>
      <c r="AG174" s="1009"/>
      <c r="AH174" s="1009"/>
      <c r="AI174" s="1009"/>
      <c r="AJ174" s="1009"/>
      <c r="AK174" s="1009"/>
      <c r="AL174" s="1009"/>
      <c r="AM174" s="1009"/>
      <c r="AN174" s="1009"/>
      <c r="AO174" s="1009"/>
      <c r="AP174" s="1009"/>
      <c r="AQ174" s="1009"/>
      <c r="AR174" s="1009"/>
      <c r="AS174" s="1009"/>
      <c r="AT174" s="1009"/>
      <c r="AU174" s="1009"/>
      <c r="AV174" s="1009"/>
      <c r="AW174" s="1009"/>
      <c r="AX174" s="1009"/>
      <c r="AY174" s="1009"/>
      <c r="AZ174" s="1009"/>
      <c r="BA174" s="1009"/>
      <c r="BB174" s="1009"/>
      <c r="BC174" s="1009"/>
      <c r="BD174" s="1284"/>
      <c r="BE174" s="1239"/>
      <c r="BF174" s="1239"/>
      <c r="BG174" s="1239"/>
      <c r="BH174" s="1233"/>
      <c r="BI174" s="1239"/>
      <c r="BJ174" s="1239"/>
      <c r="BK174" s="1240"/>
      <c r="BL174" s="1233"/>
      <c r="BM174" s="1239"/>
      <c r="BN174" s="1239"/>
      <c r="BO174" s="1240"/>
      <c r="BP174" s="1233"/>
      <c r="BQ174" s="1239"/>
      <c r="BR174" s="1239"/>
      <c r="BS174" s="1240"/>
      <c r="BT174" s="1233"/>
      <c r="BU174" s="1239"/>
      <c r="BV174" s="1239"/>
      <c r="BW174" s="1240"/>
      <c r="BX174" s="283"/>
      <c r="BY174" s="1050"/>
      <c r="BZ174" s="900"/>
      <c r="CA174" s="1050"/>
      <c r="CB174" s="900"/>
      <c r="CC174" s="900"/>
      <c r="CD174" s="900"/>
      <c r="CE174" s="900"/>
      <c r="CF174" s="900"/>
      <c r="CG174" s="900"/>
      <c r="CH174" s="900"/>
      <c r="CI174" s="900"/>
      <c r="CJ174" s="900"/>
      <c r="CK174" s="1280"/>
      <c r="CL174" s="1298"/>
      <c r="CM174" s="1298"/>
      <c r="CN174" s="1298"/>
      <c r="CO174" s="1298"/>
      <c r="CP174" s="1288"/>
      <c r="CQ174" s="286"/>
    </row>
    <row r="175" spans="1:95" ht="14.25" hidden="1" customHeight="1" outlineLevel="1">
      <c r="A175" s="91"/>
      <c r="B175" s="1306" t="s">
        <v>568</v>
      </c>
      <c r="C175" s="248"/>
      <c r="D175" s="1274"/>
      <c r="E175" s="1274"/>
      <c r="F175" s="1274"/>
      <c r="G175" s="1274"/>
      <c r="H175" s="1274"/>
      <c r="I175" s="1274"/>
      <c r="J175" s="1274"/>
      <c r="K175" s="1274"/>
      <c r="L175" s="1274"/>
      <c r="M175" s="1274"/>
      <c r="N175" s="1274"/>
      <c r="O175" s="1274"/>
      <c r="P175" s="1274"/>
      <c r="Q175" s="1274"/>
      <c r="R175" s="1274"/>
      <c r="S175" s="1274"/>
      <c r="T175" s="1274"/>
      <c r="U175" s="1274"/>
      <c r="V175" s="1274"/>
      <c r="W175" s="1274"/>
      <c r="X175" s="1274"/>
      <c r="Y175" s="1274"/>
      <c r="Z175" s="1274"/>
      <c r="AA175" s="1274"/>
      <c r="AB175" s="1274"/>
      <c r="AC175" s="1274"/>
      <c r="AD175" s="1274"/>
      <c r="AE175" s="1274"/>
      <c r="AF175" s="1274"/>
      <c r="AG175" s="1274"/>
      <c r="AH175" s="1274"/>
      <c r="AI175" s="1274"/>
      <c r="AJ175" s="1274"/>
      <c r="AK175" s="1274"/>
      <c r="AL175" s="1274"/>
      <c r="AM175" s="1274"/>
      <c r="AN175" s="1274"/>
      <c r="AO175" s="1274"/>
      <c r="AP175" s="1274"/>
      <c r="AQ175" s="1274"/>
      <c r="AR175" s="1274"/>
      <c r="AS175" s="1274"/>
      <c r="AT175" s="1274"/>
      <c r="AU175" s="1274"/>
      <c r="AV175" s="1274"/>
      <c r="AW175" s="1274"/>
      <c r="AX175" s="1274"/>
      <c r="AY175" s="1274"/>
      <c r="AZ175" s="1274"/>
      <c r="BA175" s="1274"/>
      <c r="BB175" s="1274"/>
      <c r="BC175" s="1274"/>
      <c r="BD175" s="1283"/>
      <c r="BE175" s="1297">
        <v>3471.8</v>
      </c>
      <c r="BF175" s="1297">
        <v>3389.5</v>
      </c>
      <c r="BG175" s="1297">
        <v>3307.2</v>
      </c>
      <c r="BH175" s="1293">
        <v>3242.2849702678081</v>
      </c>
      <c r="BI175" s="1297">
        <v>3170.9833179153397</v>
      </c>
      <c r="BJ175" s="1297">
        <v>3076.2471938572662</v>
      </c>
      <c r="BK175" s="1281">
        <v>2963.6617361181593</v>
      </c>
      <c r="BL175" s="1293">
        <v>2846.0728908436845</v>
      </c>
      <c r="BM175" s="1297">
        <v>2719.9303198910607</v>
      </c>
      <c r="BN175" s="1297">
        <v>2579.0278542648912</v>
      </c>
      <c r="BO175" s="1281">
        <v>2427.7848757306415</v>
      </c>
      <c r="BP175" s="1293">
        <v>2846.0728908436845</v>
      </c>
      <c r="BQ175" s="1297">
        <v>2719.9303198910607</v>
      </c>
      <c r="BR175" s="1297">
        <v>2579.0278542648912</v>
      </c>
      <c r="BS175" s="1281">
        <v>2427.7848757306415</v>
      </c>
      <c r="BT175" s="1293">
        <v>2846.0728908436845</v>
      </c>
      <c r="BU175" s="1297">
        <v>2719.9303198910607</v>
      </c>
      <c r="BV175" s="1297">
        <v>2579.0278542648912</v>
      </c>
      <c r="BW175" s="1281">
        <v>2427.7848757306415</v>
      </c>
      <c r="BX175" s="283"/>
      <c r="BY175" s="1050"/>
      <c r="BZ175" s="900"/>
      <c r="CA175" s="1050"/>
      <c r="CB175" s="900"/>
      <c r="CC175" s="900"/>
      <c r="CD175" s="900"/>
      <c r="CE175" s="900"/>
      <c r="CF175" s="900"/>
      <c r="CG175" s="900"/>
      <c r="CH175" s="900"/>
      <c r="CI175" s="900"/>
      <c r="CJ175" s="900"/>
      <c r="CK175" s="1276"/>
      <c r="CL175" s="1277">
        <f>BG175</f>
        <v>3307.2</v>
      </c>
      <c r="CM175" s="1277">
        <f>BK175</f>
        <v>2963.6617361181593</v>
      </c>
      <c r="CN175" s="1277">
        <f>BO175</f>
        <v>2427.7848757306415</v>
      </c>
      <c r="CO175" s="1277">
        <f>BS175</f>
        <v>2427.7848757306415</v>
      </c>
      <c r="CP175" s="1272">
        <f>BW175</f>
        <v>2427.7848757306415</v>
      </c>
      <c r="CQ175" s="286"/>
    </row>
    <row r="176" spans="1:95" ht="14.25" hidden="1" customHeight="1" outlineLevel="1">
      <c r="A176" s="91"/>
      <c r="B176" s="1269" t="s">
        <v>567</v>
      </c>
      <c r="C176" s="482"/>
      <c r="D176" s="1009"/>
      <c r="E176" s="1009"/>
      <c r="F176" s="1009"/>
      <c r="G176" s="1009"/>
      <c r="H176" s="1009"/>
      <c r="I176" s="1009"/>
      <c r="J176" s="1009"/>
      <c r="K176" s="1009"/>
      <c r="L176" s="1009"/>
      <c r="M176" s="1009"/>
      <c r="N176" s="1009"/>
      <c r="O176" s="1009"/>
      <c r="P176" s="1009"/>
      <c r="Q176" s="1009"/>
      <c r="R176" s="1009"/>
      <c r="S176" s="1009"/>
      <c r="T176" s="1009"/>
      <c r="U176" s="1009"/>
      <c r="V176" s="1009"/>
      <c r="W176" s="1009"/>
      <c r="X176" s="1009"/>
      <c r="Y176" s="1009"/>
      <c r="Z176" s="1009"/>
      <c r="AA176" s="1009"/>
      <c r="AB176" s="1009"/>
      <c r="AC176" s="1009"/>
      <c r="AD176" s="1009"/>
      <c r="AE176" s="1009"/>
      <c r="AF176" s="1009"/>
      <c r="AG176" s="1009"/>
      <c r="AH176" s="1009"/>
      <c r="AI176" s="1009"/>
      <c r="AJ176" s="1009"/>
      <c r="AK176" s="1009"/>
      <c r="AL176" s="1009"/>
      <c r="AM176" s="1009"/>
      <c r="AN176" s="1009"/>
      <c r="AO176" s="1009"/>
      <c r="AP176" s="1009"/>
      <c r="AQ176" s="1009"/>
      <c r="AR176" s="1009"/>
      <c r="AS176" s="1009"/>
      <c r="AT176" s="1009"/>
      <c r="AU176" s="1009"/>
      <c r="AV176" s="1009"/>
      <c r="AW176" s="1009"/>
      <c r="AX176" s="1009"/>
      <c r="AY176" s="1009"/>
      <c r="AZ176" s="1009"/>
      <c r="BA176" s="1009"/>
      <c r="BB176" s="1009"/>
      <c r="BC176" s="1009"/>
      <c r="BD176" s="1284"/>
      <c r="BE176" s="1296">
        <v>588.1</v>
      </c>
      <c r="BF176" s="1296">
        <v>518.1</v>
      </c>
      <c r="BG176" s="1296">
        <v>518.1</v>
      </c>
      <c r="BH176" s="1268">
        <v>518.1</v>
      </c>
      <c r="BI176" s="1296">
        <v>518.1</v>
      </c>
      <c r="BJ176" s="1296">
        <v>518.1</v>
      </c>
      <c r="BK176" s="1245">
        <v>518.1</v>
      </c>
      <c r="BL176" s="1268">
        <v>518.1</v>
      </c>
      <c r="BM176" s="1296">
        <v>518.1</v>
      </c>
      <c r="BN176" s="1296">
        <v>518.1</v>
      </c>
      <c r="BO176" s="1245">
        <v>518.1</v>
      </c>
      <c r="BP176" s="1268">
        <v>518.1</v>
      </c>
      <c r="BQ176" s="1296">
        <v>518.1</v>
      </c>
      <c r="BR176" s="1296">
        <v>518.1</v>
      </c>
      <c r="BS176" s="1245">
        <v>518.1</v>
      </c>
      <c r="BT176" s="1268">
        <v>518.1</v>
      </c>
      <c r="BU176" s="1296">
        <v>518.1</v>
      </c>
      <c r="BV176" s="1296">
        <v>518.1</v>
      </c>
      <c r="BW176" s="1245">
        <v>518.1</v>
      </c>
      <c r="BX176" s="283"/>
      <c r="BY176" s="1050"/>
      <c r="BZ176" s="900"/>
      <c r="CA176" s="1050"/>
      <c r="CB176" s="900"/>
      <c r="CC176" s="900"/>
      <c r="CD176" s="900"/>
      <c r="CE176" s="900"/>
      <c r="CF176" s="900"/>
      <c r="CG176" s="900"/>
      <c r="CH176" s="900"/>
      <c r="CI176" s="900"/>
      <c r="CJ176" s="900"/>
      <c r="CK176" s="1229"/>
      <c r="CL176" s="1289">
        <f>BG176</f>
        <v>518.1</v>
      </c>
      <c r="CM176" s="1289">
        <f>BK176</f>
        <v>518.1</v>
      </c>
      <c r="CN176" s="1289">
        <f>BO176</f>
        <v>518.1</v>
      </c>
      <c r="CO176" s="1289">
        <f>BS176</f>
        <v>518.1</v>
      </c>
      <c r="CP176" s="1235">
        <f>BW176</f>
        <v>518.1</v>
      </c>
      <c r="CQ176" s="286"/>
    </row>
    <row r="177" spans="1:95" ht="14.25" hidden="1" customHeight="1" outlineLevel="1">
      <c r="A177" s="91"/>
      <c r="B177" s="1306" t="s">
        <v>605</v>
      </c>
      <c r="C177" s="248"/>
      <c r="D177" s="1274"/>
      <c r="E177" s="1274"/>
      <c r="F177" s="1274"/>
      <c r="G177" s="1274"/>
      <c r="H177" s="1274"/>
      <c r="I177" s="1274"/>
      <c r="J177" s="1274"/>
      <c r="K177" s="1274"/>
      <c r="L177" s="1274"/>
      <c r="M177" s="1274"/>
      <c r="N177" s="1274"/>
      <c r="O177" s="1274"/>
      <c r="P177" s="1274"/>
      <c r="Q177" s="1274"/>
      <c r="R177" s="1274"/>
      <c r="S177" s="1274"/>
      <c r="T177" s="1274"/>
      <c r="U177" s="1274"/>
      <c r="V177" s="1274"/>
      <c r="W177" s="1274"/>
      <c r="X177" s="1274"/>
      <c r="Y177" s="1274"/>
      <c r="Z177" s="1274"/>
      <c r="AA177" s="1274"/>
      <c r="AB177" s="1274"/>
      <c r="AC177" s="1274"/>
      <c r="AD177" s="1274"/>
      <c r="AE177" s="1274"/>
      <c r="AF177" s="1274"/>
      <c r="AG177" s="1274"/>
      <c r="AH177" s="1274"/>
      <c r="AI177" s="1274"/>
      <c r="AJ177" s="1274"/>
      <c r="AK177" s="1274"/>
      <c r="AL177" s="1274"/>
      <c r="AM177" s="1274"/>
      <c r="AN177" s="1274"/>
      <c r="AO177" s="1274"/>
      <c r="AP177" s="1274"/>
      <c r="AQ177" s="1274"/>
      <c r="AR177" s="1274"/>
      <c r="AS177" s="1274"/>
      <c r="AT177" s="1274"/>
      <c r="AU177" s="1274"/>
      <c r="AV177" s="1274"/>
      <c r="AW177" s="1274"/>
      <c r="AX177" s="1274"/>
      <c r="AY177" s="1274"/>
      <c r="AZ177" s="1274"/>
      <c r="BA177" s="1274"/>
      <c r="BB177" s="1274"/>
      <c r="BC177" s="1274"/>
      <c r="BD177" s="1283"/>
      <c r="BE177" s="1271">
        <f>BE175-BE176</f>
        <v>2883.7000000000003</v>
      </c>
      <c r="BF177" s="1271">
        <f t="shared" ref="BF177:BO177" si="491">BF175-BF176</f>
        <v>2871.4</v>
      </c>
      <c r="BG177" s="1271">
        <f t="shared" si="491"/>
        <v>2789.1</v>
      </c>
      <c r="BH177" s="1295">
        <f t="shared" si="491"/>
        <v>2724.1849702678082</v>
      </c>
      <c r="BI177" s="1271">
        <f t="shared" si="491"/>
        <v>2652.8833179153398</v>
      </c>
      <c r="BJ177" s="1271">
        <f t="shared" si="491"/>
        <v>2558.1471938572663</v>
      </c>
      <c r="BK177" s="1270">
        <f t="shared" si="491"/>
        <v>2445.5617361181594</v>
      </c>
      <c r="BL177" s="1295">
        <f t="shared" si="491"/>
        <v>2327.9728908436846</v>
      </c>
      <c r="BM177" s="1271">
        <f t="shared" si="491"/>
        <v>2201.8303198910608</v>
      </c>
      <c r="BN177" s="1271">
        <f t="shared" si="491"/>
        <v>2060.9278542648913</v>
      </c>
      <c r="BO177" s="1270">
        <f t="shared" si="491"/>
        <v>1909.6848757306416</v>
      </c>
      <c r="BP177" s="1295">
        <f t="shared" ref="BP177:BS177" si="492">BP175-BP176</f>
        <v>2327.9728908436846</v>
      </c>
      <c r="BQ177" s="1271">
        <f t="shared" si="492"/>
        <v>2201.8303198910608</v>
      </c>
      <c r="BR177" s="1271">
        <f t="shared" si="492"/>
        <v>2060.9278542648913</v>
      </c>
      <c r="BS177" s="1270">
        <f t="shared" si="492"/>
        <v>1909.6848757306416</v>
      </c>
      <c r="BT177" s="1295">
        <f t="shared" ref="BT177:BW177" si="493">BT175-BT176</f>
        <v>2327.9728908436846</v>
      </c>
      <c r="BU177" s="1271">
        <f t="shared" si="493"/>
        <v>2201.8303198910608</v>
      </c>
      <c r="BV177" s="1271">
        <f t="shared" si="493"/>
        <v>2060.9278542648913</v>
      </c>
      <c r="BW177" s="1270">
        <f t="shared" si="493"/>
        <v>1909.6848757306416</v>
      </c>
      <c r="BX177" s="283"/>
      <c r="BY177" s="1050"/>
      <c r="BZ177" s="900"/>
      <c r="CA177" s="1050"/>
      <c r="CB177" s="900"/>
      <c r="CC177" s="900"/>
      <c r="CD177" s="900"/>
      <c r="CE177" s="900"/>
      <c r="CF177" s="900"/>
      <c r="CG177" s="900"/>
      <c r="CH177" s="900"/>
      <c r="CI177" s="900"/>
      <c r="CJ177" s="900"/>
      <c r="CK177" s="1276"/>
      <c r="CL177" s="1277">
        <f>CL175-CL176</f>
        <v>2789.1</v>
      </c>
      <c r="CM177" s="1277">
        <f>CM175-CM176</f>
        <v>2445.5617361181594</v>
      </c>
      <c r="CN177" s="1277">
        <f>CN175-CN176</f>
        <v>1909.6848757306416</v>
      </c>
      <c r="CO177" s="1277">
        <f>CO175-CO176</f>
        <v>1909.6848757306416</v>
      </c>
      <c r="CP177" s="1230">
        <f>CP175-CP176</f>
        <v>1909.6848757306416</v>
      </c>
      <c r="CQ177" s="286"/>
    </row>
    <row r="178" spans="1:95" ht="14.25" hidden="1" customHeight="1" outlineLevel="1">
      <c r="A178" s="91"/>
      <c r="B178" s="1008"/>
      <c r="C178" s="482"/>
      <c r="D178" s="1009"/>
      <c r="E178" s="1009"/>
      <c r="F178" s="1009"/>
      <c r="G178" s="1009"/>
      <c r="H178" s="1009"/>
      <c r="I178" s="1009"/>
      <c r="J178" s="1009"/>
      <c r="K178" s="1009"/>
      <c r="L178" s="1009"/>
      <c r="M178" s="1009"/>
      <c r="N178" s="1009"/>
      <c r="O178" s="1009"/>
      <c r="P178" s="1009"/>
      <c r="Q178" s="1009"/>
      <c r="R178" s="1009"/>
      <c r="S178" s="1009"/>
      <c r="T178" s="1009"/>
      <c r="U178" s="1009"/>
      <c r="V178" s="1009"/>
      <c r="W178" s="1009"/>
      <c r="X178" s="1009"/>
      <c r="Y178" s="1009"/>
      <c r="Z178" s="1009"/>
      <c r="AA178" s="1009"/>
      <c r="AB178" s="1009"/>
      <c r="AC178" s="1009"/>
      <c r="AD178" s="1009"/>
      <c r="AE178" s="1009"/>
      <c r="AF178" s="1009"/>
      <c r="AG178" s="1009"/>
      <c r="AH178" s="1009"/>
      <c r="AI178" s="1009"/>
      <c r="AJ178" s="1009"/>
      <c r="AK178" s="1009"/>
      <c r="AL178" s="1009"/>
      <c r="AM178" s="1009"/>
      <c r="AN178" s="1009"/>
      <c r="AO178" s="1009"/>
      <c r="AP178" s="1009"/>
      <c r="AQ178" s="1009"/>
      <c r="AR178" s="1009"/>
      <c r="AS178" s="1009"/>
      <c r="AT178" s="1009"/>
      <c r="AU178" s="1009"/>
      <c r="AV178" s="1009"/>
      <c r="AW178" s="1009"/>
      <c r="AX178" s="1009"/>
      <c r="AY178" s="1009"/>
      <c r="AZ178" s="1009"/>
      <c r="BA178" s="1009"/>
      <c r="BB178" s="1009"/>
      <c r="BC178" s="1009"/>
      <c r="BD178" s="1284"/>
      <c r="BE178" s="1239"/>
      <c r="BF178" s="1239"/>
      <c r="BG178" s="1239"/>
      <c r="BH178" s="1233"/>
      <c r="BI178" s="1239"/>
      <c r="BJ178" s="1239"/>
      <c r="BK178" s="1240"/>
      <c r="BL178" s="1233"/>
      <c r="BM178" s="1239"/>
      <c r="BN178" s="1239"/>
      <c r="BO178" s="1240"/>
      <c r="BP178" s="1233"/>
      <c r="BQ178" s="1239"/>
      <c r="BR178" s="1239"/>
      <c r="BS178" s="1240"/>
      <c r="BT178" s="1233"/>
      <c r="BU178" s="1239"/>
      <c r="BV178" s="1239"/>
      <c r="BW178" s="1240"/>
      <c r="BX178" s="283"/>
      <c r="BY178" s="1050"/>
      <c r="BZ178" s="900"/>
      <c r="CA178" s="1050"/>
      <c r="CB178" s="900"/>
      <c r="CC178" s="900"/>
      <c r="CD178" s="900"/>
      <c r="CE178" s="900"/>
      <c r="CF178" s="900"/>
      <c r="CG178" s="900"/>
      <c r="CH178" s="900"/>
      <c r="CI178" s="900"/>
      <c r="CJ178" s="900"/>
      <c r="CK178" s="1229"/>
      <c r="CL178" s="1289"/>
      <c r="CM178" s="1289"/>
      <c r="CN178" s="1289"/>
      <c r="CO178" s="1289"/>
      <c r="CP178" s="1235"/>
      <c r="CQ178" s="286"/>
    </row>
    <row r="179" spans="1:95" ht="14.25" hidden="1" customHeight="1" outlineLevel="1">
      <c r="A179" s="91"/>
      <c r="B179" s="1292" t="s">
        <v>625</v>
      </c>
      <c r="C179" s="482"/>
      <c r="D179" s="1009"/>
      <c r="E179" s="1009"/>
      <c r="F179" s="1009"/>
      <c r="G179" s="1009"/>
      <c r="H179" s="1009"/>
      <c r="I179" s="1009"/>
      <c r="J179" s="1009"/>
      <c r="K179" s="1009"/>
      <c r="L179" s="1009"/>
      <c r="M179" s="1009"/>
      <c r="N179" s="1009"/>
      <c r="O179" s="1009"/>
      <c r="P179" s="1009"/>
      <c r="Q179" s="1009"/>
      <c r="R179" s="1009"/>
      <c r="S179" s="1009"/>
      <c r="T179" s="1009"/>
      <c r="U179" s="1009"/>
      <c r="V179" s="1009"/>
      <c r="W179" s="1009"/>
      <c r="X179" s="1009"/>
      <c r="Y179" s="1009"/>
      <c r="Z179" s="1009"/>
      <c r="AA179" s="1009"/>
      <c r="AB179" s="1009"/>
      <c r="AC179" s="1009"/>
      <c r="AD179" s="1009"/>
      <c r="AE179" s="1009"/>
      <c r="AF179" s="1009"/>
      <c r="AG179" s="1009"/>
      <c r="AH179" s="1009"/>
      <c r="AI179" s="1009"/>
      <c r="AJ179" s="1009"/>
      <c r="AK179" s="1009"/>
      <c r="AL179" s="1009"/>
      <c r="AM179" s="1009"/>
      <c r="AN179" s="1009"/>
      <c r="AO179" s="1009"/>
      <c r="AP179" s="1009"/>
      <c r="AQ179" s="1009"/>
      <c r="AR179" s="1009"/>
      <c r="AS179" s="1009"/>
      <c r="AT179" s="1009"/>
      <c r="AU179" s="1009"/>
      <c r="AV179" s="1009"/>
      <c r="AW179" s="1009"/>
      <c r="AX179" s="1009"/>
      <c r="AY179" s="1009"/>
      <c r="AZ179" s="1009"/>
      <c r="BA179" s="1009"/>
      <c r="BB179" s="1009"/>
      <c r="BC179" s="1009"/>
      <c r="BD179" s="1284"/>
      <c r="BE179" s="1239"/>
      <c r="BF179" s="1267">
        <f>BF177/(BF172*4)</f>
        <v>3.4729075955491053</v>
      </c>
      <c r="BG179" s="1267">
        <f>BG177/(BG172*4)</f>
        <v>3.0822674286191352</v>
      </c>
      <c r="BH179" s="1294">
        <f>BH177/(BH172*4)</f>
        <v>3.0046367791601973</v>
      </c>
      <c r="BI179" s="1267">
        <f t="shared" ref="BI179:BO179" si="494">BI177/SUM(BF172:BI172)</f>
        <v>2.9083192081187557</v>
      </c>
      <c r="BJ179" s="1239">
        <f t="shared" si="494"/>
        <v>2.6168596434301752</v>
      </c>
      <c r="BK179" s="1266">
        <f t="shared" si="494"/>
        <v>2.381125826709908</v>
      </c>
      <c r="BL179" s="1294">
        <f t="shared" si="494"/>
        <v>2.1681215800902551</v>
      </c>
      <c r="BM179" s="1267">
        <f t="shared" si="494"/>
        <v>1.9791883016837417</v>
      </c>
      <c r="BN179" s="1267">
        <f t="shared" si="494"/>
        <v>1.80183585314557</v>
      </c>
      <c r="BO179" s="1266">
        <f t="shared" si="494"/>
        <v>1.6389995271908577</v>
      </c>
      <c r="BP179" s="1294">
        <f t="shared" ref="BP179" si="495">BP177/SUM(BM172:BP172)</f>
        <v>1.9979979502880616</v>
      </c>
      <c r="BQ179" s="1267">
        <f t="shared" ref="BQ179" si="496">BQ177/SUM(BN172:BQ172)</f>
        <v>1.8897352642410306</v>
      </c>
      <c r="BR179" s="1267">
        <f t="shared" ref="BR179" si="497">BR177/SUM(BO172:BR172)</f>
        <v>1.7688048021128426</v>
      </c>
      <c r="BS179" s="1266">
        <f t="shared" ref="BS179" si="498">BS177/SUM(BP172:BS172)</f>
        <v>1.6389995271908577</v>
      </c>
      <c r="BT179" s="1294">
        <f t="shared" ref="BT179" si="499">BT177/SUM(BQ172:BT172)</f>
        <v>1.9979979502880616</v>
      </c>
      <c r="BU179" s="1267">
        <f t="shared" ref="BU179" si="500">BU177/SUM(BR172:BU172)</f>
        <v>1.8897352642410306</v>
      </c>
      <c r="BV179" s="1267">
        <f t="shared" ref="BV179" si="501">BV177/SUM(BS172:BV172)</f>
        <v>1.7688048021128426</v>
      </c>
      <c r="BW179" s="1266">
        <f t="shared" ref="BW179" si="502">BW177/SUM(BT172:BW172)</f>
        <v>1.6389995271908577</v>
      </c>
      <c r="BX179" s="283"/>
      <c r="BY179" s="1050"/>
      <c r="BZ179" s="900"/>
      <c r="CA179" s="1050"/>
      <c r="CB179" s="900"/>
      <c r="CC179" s="900"/>
      <c r="CD179" s="900"/>
      <c r="CE179" s="900"/>
      <c r="CF179" s="900"/>
      <c r="CG179" s="900"/>
      <c r="CH179" s="900"/>
      <c r="CI179" s="900"/>
      <c r="CJ179" s="900"/>
      <c r="CK179" s="1229"/>
      <c r="CL179" s="1278">
        <f>CL177/CL139</f>
        <v>3.3057958990162382</v>
      </c>
      <c r="CM179" s="1278">
        <f>CM177/CM139</f>
        <v>1.8954904170811959</v>
      </c>
      <c r="CN179" s="1278">
        <f>CN177/CN139</f>
        <v>1.2863746069288453</v>
      </c>
      <c r="CO179" s="1278">
        <f>CO177/CO139</f>
        <v>1.4086325986746211</v>
      </c>
      <c r="CP179" s="1228">
        <f>CP177/CP139</f>
        <v>1.20229932928357</v>
      </c>
      <c r="CQ179" s="286"/>
    </row>
    <row r="180" spans="1:95" ht="14.25" hidden="1" customHeight="1" outlineLevel="1"/>
    <row r="181" spans="1:95" ht="14.25" customHeight="1" collapsed="1"/>
  </sheetData>
  <mergeCells count="1">
    <mergeCell ref="AN2:AT2"/>
  </mergeCells>
  <phoneticPr fontId="27" type="noConversion"/>
  <pageMargins left="0" right="0" top="0" bottom="0" header="0" footer="0"/>
  <pageSetup paperSize="5" scale="47" orientation="landscape" r:id="rId1"/>
  <headerFooter alignWithMargins="0"/>
  <cellWatches>
    <cellWatch r="AR65"/>
    <cellWatch r="AR90"/>
    <cellWatch r="AR116"/>
    <cellWatch r="AS116"/>
    <cellWatch r="AT116"/>
    <cellWatch r="AU116"/>
  </cellWatches>
  <ignoredErrors>
    <ignoredError sqref="CF58:CJ58" formula="1"/>
    <ignoredError sqref="B107:C107 B129 C122:C124 BX113 C113:C114 C95:C98 C130 BX122 B114 C106 B123:B124 B95:B96 B119:C119 B116:C116 C100 C127 BY8:CH8 BY14:CH14 BY28:CH28 BY38:CH38 BY48:CH48 BY54:CK54 BY90:CK90 BY104:CK104 C129 BY130:CJ130 D75:X75 CC112:CK112 Y75:AR75 CI144:CK150 BY108:CK108" formulaRange="1"/>
    <ignoredError sqref="CE155:CG158 BX129:BX130 AF154:AY158 BX114 AF162:AY162 AF165:AY165 BX119 CA5:CG6 B20:C20 CH6:CI6 C14 C65:C69 C72:C78 C87:C88 BX116 B66:B67 B47 BX20 BX100 C90:C91 BX160:BX165 BX87:BX88 B6:B7 AM4 CO3 BX90:BX91 C22:C23 BX65:BX69 BX123:BX124 BX35:BX40 B25:C27 B88 C35:C40 CA3:CH4 BX152 BX22:BX23 BX45:BX47 BX18 B93:C94 B85 B35 BX63 C28:C30 C18 CH154:CJ158 AL3 BX106:BX107 BX93:BX98 BX127 B37 B72:B74 BX72:BX78 BX25:BX30 C45:C47 B63:C63 C58:C61 BX58:BX61 CE161:CJ165 CH133:CJ133 CH152:CJ152 AF133:AQ133 AF152:AY152 L3:AK4 BX132:BX133 AS133:AY133 BX14 C3:C11 BX4:BX11 BX154:BX158" formula="1" formulaRange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A1:CX170"/>
  <sheetViews>
    <sheetView zoomScale="80" zoomScaleNormal="80" workbookViewId="0">
      <pane xSplit="2" ySplit="7" topLeftCell="BH8" activePane="bottomRight" state="frozen"/>
      <selection pane="topRight" activeCell="C1" sqref="C1"/>
      <selection pane="bottomLeft" activeCell="A8" sqref="A8"/>
      <selection pane="bottomRight" activeCell="BH8" sqref="BH8"/>
    </sheetView>
  </sheetViews>
  <sheetFormatPr defaultRowHeight="14.25" customHeight="1" outlineLevelRow="2" outlineLevelCol="1"/>
  <cols>
    <col min="1" max="1" width="1.5703125" customWidth="1"/>
    <col min="2" max="2" width="48.42578125" customWidth="1"/>
    <col min="3" max="3" width="1" hidden="1" customWidth="1" outlineLevel="1"/>
    <col min="4" max="35" width="11.42578125" hidden="1" customWidth="1" outlineLevel="1"/>
    <col min="36" max="36" width="11.42578125" hidden="1" customWidth="1" outlineLevel="1" collapsed="1"/>
    <col min="37" max="47" width="11.42578125" hidden="1" customWidth="1" outlineLevel="1"/>
    <col min="48" max="48" width="11.42578125" hidden="1" customWidth="1" outlineLevel="1" collapsed="1"/>
    <col min="49" max="51" width="11.42578125" hidden="1" customWidth="1" outlineLevel="1"/>
    <col min="52" max="52" width="11.42578125" hidden="1" customWidth="1" outlineLevel="1" collapsed="1"/>
    <col min="53" max="59" width="11.42578125" hidden="1" customWidth="1" outlineLevel="1"/>
    <col min="60" max="60" width="11.42578125" customWidth="1" collapsed="1"/>
    <col min="61" max="67" width="11.42578125" customWidth="1"/>
    <col min="68" max="71" width="11.42578125" style="1372" customWidth="1"/>
    <col min="72" max="75" width="11.42578125" style="1463" hidden="1" customWidth="1" outlineLevel="1"/>
    <col min="76" max="76" width="2.7109375" customWidth="1" collapsed="1"/>
    <col min="77" max="84" width="11.42578125" hidden="1" customWidth="1" outlineLevel="1"/>
    <col min="85" max="85" width="11.42578125" hidden="1" customWidth="1" outlineLevel="1" collapsed="1"/>
    <col min="86" max="89" width="11.42578125" style="1458" hidden="1" customWidth="1" outlineLevel="1" collapsed="1"/>
    <col min="90" max="90" width="11.42578125" hidden="1" customWidth="1" outlineLevel="1"/>
    <col min="91" max="91" width="11.42578125" customWidth="1" collapsed="1"/>
    <col min="92" max="92" width="11.42578125" style="1372" customWidth="1"/>
    <col min="93" max="93" width="11.42578125" style="1463" customWidth="1"/>
    <col min="94" max="94" width="11.42578125" style="1463" hidden="1" customWidth="1" outlineLevel="1"/>
    <col min="95" max="95" width="9.140625" collapsed="1"/>
    <col min="96" max="96" width="45.42578125" hidden="1" customWidth="1" outlineLevel="1"/>
    <col min="97" max="101" width="9.140625" hidden="1" customWidth="1" outlineLevel="1"/>
    <col min="102" max="102" width="9.140625" collapsed="1"/>
  </cols>
  <sheetData>
    <row r="1" spans="1:95" ht="67.5" customHeight="1">
      <c r="A1" s="2"/>
      <c r="B1" s="273"/>
      <c r="C1" s="2"/>
      <c r="D1" s="3"/>
      <c r="E1" s="3"/>
      <c r="F1" s="3"/>
      <c r="G1" s="3"/>
      <c r="H1" s="3"/>
      <c r="I1" s="3"/>
      <c r="J1" s="3"/>
      <c r="K1" s="3"/>
      <c r="L1" s="3"/>
      <c r="M1" s="2"/>
      <c r="N1" s="3"/>
      <c r="O1" s="2"/>
      <c r="P1" s="3"/>
      <c r="Q1" s="2"/>
      <c r="R1" s="3"/>
      <c r="S1" s="2"/>
      <c r="T1" s="3"/>
      <c r="U1" s="2"/>
      <c r="V1" s="3"/>
      <c r="W1" s="2"/>
      <c r="X1" s="3"/>
      <c r="Y1" s="2"/>
      <c r="Z1" s="3"/>
      <c r="AA1" s="2"/>
      <c r="AB1" s="3"/>
      <c r="AC1" s="2"/>
      <c r="AD1" s="3"/>
      <c r="AE1" s="2"/>
      <c r="AF1" s="3"/>
      <c r="AG1" s="2"/>
      <c r="AH1" s="3"/>
      <c r="AI1" s="2"/>
      <c r="AJ1" s="3"/>
      <c r="AK1" s="2"/>
      <c r="AL1" s="3"/>
      <c r="AM1" s="2"/>
      <c r="AN1" s="3"/>
      <c r="AO1" s="2"/>
      <c r="AP1" s="3"/>
      <c r="AQ1" s="2"/>
      <c r="AR1" s="3"/>
      <c r="AS1" s="2"/>
      <c r="AT1" s="3"/>
      <c r="AU1" s="2"/>
      <c r="AV1" s="3"/>
      <c r="AW1" s="2"/>
      <c r="AX1" s="3"/>
      <c r="AY1" s="2"/>
      <c r="AZ1" s="3"/>
      <c r="BA1" s="2"/>
      <c r="BB1" s="3"/>
      <c r="BC1" s="2"/>
      <c r="BD1" s="3"/>
      <c r="BE1" s="2"/>
      <c r="BF1" s="3"/>
      <c r="BG1" s="2"/>
      <c r="BH1" s="3"/>
      <c r="BI1" s="2"/>
      <c r="BJ1" s="3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3"/>
      <c r="BY1" s="3"/>
      <c r="BZ1" s="2"/>
      <c r="CA1" s="3"/>
      <c r="CB1" s="2"/>
      <c r="CC1" s="3"/>
      <c r="CD1" s="2"/>
      <c r="CE1" s="3"/>
      <c r="CF1" s="2"/>
      <c r="CG1" s="3"/>
      <c r="CH1" s="3"/>
      <c r="CI1" s="3"/>
      <c r="CJ1" s="3"/>
      <c r="CK1" s="3"/>
      <c r="CL1" s="3"/>
      <c r="CM1" s="3"/>
      <c r="CN1" s="3"/>
      <c r="CO1" s="3"/>
      <c r="CP1" s="3"/>
    </row>
    <row r="2" spans="1:95" ht="18" customHeight="1">
      <c r="A2" s="2"/>
      <c r="B2" s="5" t="s">
        <v>338</v>
      </c>
      <c r="C2" s="5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6"/>
      <c r="P2" s="2"/>
      <c r="Q2" s="2"/>
      <c r="R2" s="2"/>
      <c r="S2" s="296"/>
      <c r="T2" s="2"/>
      <c r="U2" s="2"/>
      <c r="V2" s="2"/>
      <c r="W2" s="296"/>
      <c r="X2" s="2"/>
      <c r="Y2" s="2"/>
      <c r="Z2" s="2"/>
      <c r="AA2" s="296"/>
      <c r="AB2" s="2"/>
      <c r="AC2" s="2"/>
      <c r="AD2" s="2"/>
      <c r="AE2" s="296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1081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</row>
    <row r="3" spans="1:95" ht="14.2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6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7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957"/>
      <c r="BF3" s="958"/>
      <c r="BG3" s="958"/>
      <c r="BH3" s="958"/>
      <c r="BI3" s="958"/>
      <c r="BJ3" s="958"/>
      <c r="BK3" s="958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</row>
    <row r="4" spans="1:95" ht="14.25" customHeight="1">
      <c r="A4" s="2"/>
      <c r="B4" s="306" t="str">
        <f>'Segment Results'!$B$4</f>
        <v>Base Case</v>
      </c>
      <c r="C4" s="8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6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 t="s">
        <v>366</v>
      </c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52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</row>
    <row r="5" spans="1:95" ht="14.25" customHeight="1">
      <c r="A5" s="9"/>
      <c r="B5" s="10" t="s">
        <v>40</v>
      </c>
      <c r="C5" s="11"/>
      <c r="D5" s="1251" t="str">
        <f>IS!D5</f>
        <v>C1Q03A</v>
      </c>
      <c r="E5" s="1252" t="str">
        <f>IS!E5</f>
        <v>C2Q03A</v>
      </c>
      <c r="F5" s="1252" t="str">
        <f>IS!F5</f>
        <v>C3Q03A</v>
      </c>
      <c r="G5" s="1255" t="str">
        <f>IS!G5</f>
        <v>C4Q03A</v>
      </c>
      <c r="H5" s="1251" t="str">
        <f>IS!H5</f>
        <v>C1Q04A</v>
      </c>
      <c r="I5" s="1252" t="str">
        <f>IS!I5</f>
        <v>C2Q04A</v>
      </c>
      <c r="J5" s="1252" t="str">
        <f>IS!J5</f>
        <v>C3Q04A</v>
      </c>
      <c r="K5" s="1255" t="str">
        <f>IS!K5</f>
        <v>C4Q04A</v>
      </c>
      <c r="L5" s="1251" t="str">
        <f>IS!L5</f>
        <v>C1Q05A</v>
      </c>
      <c r="M5" s="1252" t="str">
        <f>IS!M5</f>
        <v>C2Q05A</v>
      </c>
      <c r="N5" s="1252" t="str">
        <f>IS!N5</f>
        <v>C3Q05A</v>
      </c>
      <c r="O5" s="1255" t="str">
        <f>IS!O5</f>
        <v>C4Q05A</v>
      </c>
      <c r="P5" s="1251" t="str">
        <f>IS!P5</f>
        <v>C1Q06A</v>
      </c>
      <c r="Q5" s="1252" t="str">
        <f>IS!Q5</f>
        <v>C2Q06A</v>
      </c>
      <c r="R5" s="1252" t="str">
        <f>IS!R5</f>
        <v>C3Q06A</v>
      </c>
      <c r="S5" s="1255" t="str">
        <f>IS!S5</f>
        <v>C4Q06A</v>
      </c>
      <c r="T5" s="1251" t="str">
        <f>IS!T5</f>
        <v>C1Q07A</v>
      </c>
      <c r="U5" s="1252" t="str">
        <f>IS!U5</f>
        <v>C2Q07A</v>
      </c>
      <c r="V5" s="1252" t="str">
        <f>IS!V5</f>
        <v>C3Q07A</v>
      </c>
      <c r="W5" s="1255" t="str">
        <f>IS!W5</f>
        <v>C4Q07A</v>
      </c>
      <c r="X5" s="1251" t="str">
        <f>IS!X5</f>
        <v>C1Q08A</v>
      </c>
      <c r="Y5" s="1252" t="str">
        <f>IS!Y5</f>
        <v>C2Q08A</v>
      </c>
      <c r="Z5" s="1252" t="str">
        <f>IS!Z5</f>
        <v>C3Q08A</v>
      </c>
      <c r="AA5" s="1255" t="str">
        <f>IS!AA5</f>
        <v>C4Q08A</v>
      </c>
      <c r="AB5" s="1251" t="str">
        <f>IS!AB5</f>
        <v>C1Q09A</v>
      </c>
      <c r="AC5" s="1252" t="str">
        <f>IS!AC5</f>
        <v>C2Q09A</v>
      </c>
      <c r="AD5" s="1252" t="str">
        <f>IS!AD5</f>
        <v>C3Q09A</v>
      </c>
      <c r="AE5" s="1255" t="str">
        <f>IS!AE5</f>
        <v>C4Q09A</v>
      </c>
      <c r="AF5" s="1251" t="str">
        <f>IS!AF5</f>
        <v>C1Q10A</v>
      </c>
      <c r="AG5" s="1252" t="str">
        <f>IS!AG5</f>
        <v>C2Q10A</v>
      </c>
      <c r="AH5" s="1252" t="str">
        <f>IS!AH5</f>
        <v>C3Q10A</v>
      </c>
      <c r="AI5" s="1255" t="str">
        <f>IS!AI5</f>
        <v>C4Q10A</v>
      </c>
      <c r="AJ5" s="1251" t="str">
        <f>IS!AJ5</f>
        <v>C1Q11A</v>
      </c>
      <c r="AK5" s="1252" t="str">
        <f>IS!AK5</f>
        <v>C2Q11A</v>
      </c>
      <c r="AL5" s="1252" t="str">
        <f>IS!AL5</f>
        <v>C3Q11A</v>
      </c>
      <c r="AM5" s="1255" t="str">
        <f>IS!AM5</f>
        <v>C4Q11A</v>
      </c>
      <c r="AN5" s="1251" t="str">
        <f>IS!AN5</f>
        <v>C1Q12A</v>
      </c>
      <c r="AO5" s="1252" t="str">
        <f>IS!AO5</f>
        <v>C2Q12A</v>
      </c>
      <c r="AP5" s="1252" t="str">
        <f>IS!AP5</f>
        <v>C3Q12A</v>
      </c>
      <c r="AQ5" s="1255" t="str">
        <f>IS!AQ5</f>
        <v>C4Q12A</v>
      </c>
      <c r="AR5" s="1251" t="str">
        <f>IS!AR5</f>
        <v>C1Q13A</v>
      </c>
      <c r="AS5" s="1252" t="str">
        <f>IS!AS5</f>
        <v>C2Q13A</v>
      </c>
      <c r="AT5" s="1252" t="str">
        <f>IS!AT5</f>
        <v>C3Q13A</v>
      </c>
      <c r="AU5" s="1255" t="str">
        <f>IS!AU5</f>
        <v>C4Q13A</v>
      </c>
      <c r="AV5" s="1251" t="str">
        <f>IS!AV5</f>
        <v>C1Q14A</v>
      </c>
      <c r="AW5" s="1252" t="str">
        <f>IS!AW5</f>
        <v>C2Q14A</v>
      </c>
      <c r="AX5" s="1252" t="str">
        <f>IS!AX5</f>
        <v>C3Q14A</v>
      </c>
      <c r="AY5" s="1255" t="str">
        <f>IS!AY5</f>
        <v>C4Q14A</v>
      </c>
      <c r="AZ5" s="1251" t="str">
        <f>IS!AZ5</f>
        <v>C1Q15A</v>
      </c>
      <c r="BA5" s="1252" t="str">
        <f>IS!BA5</f>
        <v>C2Q15E</v>
      </c>
      <c r="BB5" s="1252" t="str">
        <f>IS!BB5</f>
        <v>C3Q15A</v>
      </c>
      <c r="BC5" s="1255" t="str">
        <f>IS!BC5</f>
        <v>C4Q15A</v>
      </c>
      <c r="BD5" s="1251" t="str">
        <f>IS!BD5</f>
        <v>C1Q16A</v>
      </c>
      <c r="BE5" s="1252" t="str">
        <f>IS!BE5</f>
        <v>C2Q16A</v>
      </c>
      <c r="BF5" s="1252" t="str">
        <f>IS!BF5</f>
        <v>C3Q16A</v>
      </c>
      <c r="BG5" s="1255" t="str">
        <f>IS!BG5</f>
        <v>C4Q16A</v>
      </c>
      <c r="BH5" s="1251" t="str">
        <f>IS!BH5</f>
        <v>C1Q17A</v>
      </c>
      <c r="BI5" s="1252" t="str">
        <f>IS!BI5</f>
        <v>C2Q17A</v>
      </c>
      <c r="BJ5" s="1252" t="str">
        <f>IS!BJ5</f>
        <v>C3Q17A</v>
      </c>
      <c r="BK5" s="1255" t="str">
        <f>IS!BK5</f>
        <v>C4Q17A</v>
      </c>
      <c r="BL5" s="1251" t="str">
        <f>IS!BL5</f>
        <v>C1Q18E</v>
      </c>
      <c r="BM5" s="1252" t="str">
        <f>IS!BM5</f>
        <v>C2Q18E</v>
      </c>
      <c r="BN5" s="1252" t="str">
        <f>IS!BN5</f>
        <v>C3Q18E</v>
      </c>
      <c r="BO5" s="1255" t="str">
        <f>IS!BO5</f>
        <v>C4Q18E</v>
      </c>
      <c r="BP5" s="1251" t="str">
        <f>IS!BP5</f>
        <v>C1Q19E</v>
      </c>
      <c r="BQ5" s="1252" t="str">
        <f>IS!BQ5</f>
        <v>C2Q19E</v>
      </c>
      <c r="BR5" s="1252" t="str">
        <f>IS!BR5</f>
        <v>C3Q19E</v>
      </c>
      <c r="BS5" s="1255" t="str">
        <f>IS!BS5</f>
        <v>C4Q19E</v>
      </c>
      <c r="BT5" s="1251" t="str">
        <f>IS!BT5</f>
        <v>C1Q20E</v>
      </c>
      <c r="BU5" s="1252" t="str">
        <f>IS!BU5</f>
        <v>C2Q20E</v>
      </c>
      <c r="BV5" s="1252" t="str">
        <f>IS!BV5</f>
        <v>C3Q20E</v>
      </c>
      <c r="BW5" s="1255" t="str">
        <f>IS!BW5</f>
        <v>C4Q20E</v>
      </c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</row>
    <row r="6" spans="1:95" ht="14.25" customHeight="1">
      <c r="A6" s="9"/>
      <c r="B6" s="13" t="s">
        <v>317</v>
      </c>
      <c r="C6" s="14"/>
      <c r="D6" s="1251">
        <f>IS!D6</f>
        <v>37711</v>
      </c>
      <c r="E6" s="1252">
        <f>IS!E6</f>
        <v>37802</v>
      </c>
      <c r="F6" s="1252">
        <f>IS!F6</f>
        <v>37894</v>
      </c>
      <c r="G6" s="1255">
        <f>IS!G6</f>
        <v>37986</v>
      </c>
      <c r="H6" s="1251">
        <f>IS!H6</f>
        <v>38077</v>
      </c>
      <c r="I6" s="1252">
        <f>IS!I6</f>
        <v>38168</v>
      </c>
      <c r="J6" s="1252">
        <f>IS!J6</f>
        <v>38260</v>
      </c>
      <c r="K6" s="1255">
        <f>IS!K6</f>
        <v>38352</v>
      </c>
      <c r="L6" s="1251">
        <f>IS!L6</f>
        <v>38442</v>
      </c>
      <c r="M6" s="1252">
        <f>IS!M6</f>
        <v>38533</v>
      </c>
      <c r="N6" s="1252">
        <f>IS!N6</f>
        <v>38625</v>
      </c>
      <c r="O6" s="1255">
        <f>IS!O6</f>
        <v>38717</v>
      </c>
      <c r="P6" s="1251">
        <f>IS!P6</f>
        <v>38807</v>
      </c>
      <c r="Q6" s="1252">
        <f>IS!Q6</f>
        <v>38898</v>
      </c>
      <c r="R6" s="1252">
        <f>IS!R6</f>
        <v>38990</v>
      </c>
      <c r="S6" s="1255">
        <f>IS!S6</f>
        <v>39082</v>
      </c>
      <c r="T6" s="1251">
        <f>IS!T6</f>
        <v>39172</v>
      </c>
      <c r="U6" s="1252">
        <f>IS!U6</f>
        <v>39263</v>
      </c>
      <c r="V6" s="1252">
        <f>IS!V6</f>
        <v>39355</v>
      </c>
      <c r="W6" s="1255">
        <f>IS!W6</f>
        <v>39447</v>
      </c>
      <c r="X6" s="1251">
        <f>IS!X6</f>
        <v>39538</v>
      </c>
      <c r="Y6" s="1252">
        <f>IS!Y6</f>
        <v>39629</v>
      </c>
      <c r="Z6" s="1252">
        <f>IS!Z6</f>
        <v>39721</v>
      </c>
      <c r="AA6" s="1255">
        <f>IS!AA6</f>
        <v>39813</v>
      </c>
      <c r="AB6" s="1251">
        <f>IS!AB6</f>
        <v>39903</v>
      </c>
      <c r="AC6" s="1252">
        <f>IS!AC6</f>
        <v>39994</v>
      </c>
      <c r="AD6" s="1252">
        <f>IS!AD6</f>
        <v>40086</v>
      </c>
      <c r="AE6" s="1255">
        <f>IS!AE6</f>
        <v>40178</v>
      </c>
      <c r="AF6" s="1251">
        <f>IS!AF6</f>
        <v>40268</v>
      </c>
      <c r="AG6" s="1252">
        <f>IS!AG6</f>
        <v>40359</v>
      </c>
      <c r="AH6" s="1252">
        <f>IS!AH6</f>
        <v>40451</v>
      </c>
      <c r="AI6" s="1255">
        <f>IS!AI6</f>
        <v>40543</v>
      </c>
      <c r="AJ6" s="1251">
        <f>IS!AJ6</f>
        <v>40633</v>
      </c>
      <c r="AK6" s="1252">
        <f>IS!AK6</f>
        <v>40724</v>
      </c>
      <c r="AL6" s="1252">
        <f>IS!AL6</f>
        <v>40816</v>
      </c>
      <c r="AM6" s="1255">
        <f>IS!AM6</f>
        <v>40908</v>
      </c>
      <c r="AN6" s="1251">
        <f>IS!AN6</f>
        <v>40999</v>
      </c>
      <c r="AO6" s="1252">
        <f>IS!AO6</f>
        <v>41090</v>
      </c>
      <c r="AP6" s="1252">
        <f>IS!AP6</f>
        <v>41182</v>
      </c>
      <c r="AQ6" s="1255">
        <f>IS!AQ6</f>
        <v>41274</v>
      </c>
      <c r="AR6" s="1251">
        <f>IS!AR6</f>
        <v>41364</v>
      </c>
      <c r="AS6" s="1252">
        <f>IS!AS6</f>
        <v>41455</v>
      </c>
      <c r="AT6" s="1252">
        <f>IS!AT6</f>
        <v>41547</v>
      </c>
      <c r="AU6" s="1255">
        <f>IS!AU6</f>
        <v>41639</v>
      </c>
      <c r="AV6" s="1251">
        <f>IS!AV6</f>
        <v>41729</v>
      </c>
      <c r="AW6" s="1252">
        <f>IS!AW6</f>
        <v>41820</v>
      </c>
      <c r="AX6" s="1252">
        <f>IS!AX6</f>
        <v>41912</v>
      </c>
      <c r="AY6" s="1255">
        <f>IS!AY6</f>
        <v>42004</v>
      </c>
      <c r="AZ6" s="1251">
        <f>IS!AZ6</f>
        <v>42094</v>
      </c>
      <c r="BA6" s="1252">
        <f>IS!BA6</f>
        <v>42185</v>
      </c>
      <c r="BB6" s="1252">
        <f>IS!BB6</f>
        <v>42277</v>
      </c>
      <c r="BC6" s="1255">
        <f>IS!BC6</f>
        <v>42369</v>
      </c>
      <c r="BD6" s="1251">
        <f>IS!BD6</f>
        <v>42460</v>
      </c>
      <c r="BE6" s="1252">
        <f>IS!BE6</f>
        <v>42551</v>
      </c>
      <c r="BF6" s="1252">
        <f>IS!BF6</f>
        <v>42643</v>
      </c>
      <c r="BG6" s="1255">
        <f>IS!BG6</f>
        <v>42735</v>
      </c>
      <c r="BH6" s="1251">
        <f>IS!BH6</f>
        <v>42825</v>
      </c>
      <c r="BI6" s="1252">
        <f>IS!BI6</f>
        <v>42916</v>
      </c>
      <c r="BJ6" s="1252">
        <f>IS!BJ6</f>
        <v>43008</v>
      </c>
      <c r="BK6" s="1255">
        <f>IS!BK6</f>
        <v>43100</v>
      </c>
      <c r="BL6" s="1251">
        <f>IS!BL6</f>
        <v>43190</v>
      </c>
      <c r="BM6" s="1252">
        <f>IS!BM6</f>
        <v>43281</v>
      </c>
      <c r="BN6" s="1252">
        <f>IS!BN6</f>
        <v>43373</v>
      </c>
      <c r="BO6" s="1255">
        <f>IS!BO6</f>
        <v>43465</v>
      </c>
      <c r="BP6" s="1251">
        <f>IS!BP6</f>
        <v>43555</v>
      </c>
      <c r="BQ6" s="1252">
        <f>IS!BQ6</f>
        <v>43646</v>
      </c>
      <c r="BR6" s="1252">
        <f>IS!BR6</f>
        <v>43738</v>
      </c>
      <c r="BS6" s="1255">
        <f>IS!BS6</f>
        <v>43830</v>
      </c>
      <c r="BT6" s="1251">
        <f>IS!BT6</f>
        <v>43921</v>
      </c>
      <c r="BU6" s="1252">
        <f>IS!BU6</f>
        <v>44012</v>
      </c>
      <c r="BV6" s="1252">
        <f>IS!BV6</f>
        <v>44104</v>
      </c>
      <c r="BW6" s="1255">
        <f>IS!BW6</f>
        <v>44196</v>
      </c>
      <c r="BX6" s="22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</row>
    <row r="7" spans="1:95" ht="14.25" customHeight="1">
      <c r="A7" s="9"/>
      <c r="B7" s="275"/>
      <c r="C7" s="161"/>
      <c r="D7" s="1299" t="str">
        <f>IS!D7</f>
        <v>F1Q03A</v>
      </c>
      <c r="E7" s="1300" t="str">
        <f>IS!E7</f>
        <v>F2Q03A</v>
      </c>
      <c r="F7" s="1300" t="str">
        <f>IS!F7</f>
        <v>F3Q03A</v>
      </c>
      <c r="G7" s="1301" t="str">
        <f>IS!G7</f>
        <v>F4Q03A</v>
      </c>
      <c r="H7" s="1299" t="str">
        <f>IS!H7</f>
        <v>F1Q04A</v>
      </c>
      <c r="I7" s="1300" t="str">
        <f>IS!I7</f>
        <v>F2Q04A</v>
      </c>
      <c r="J7" s="1300" t="str">
        <f>IS!J7</f>
        <v>F3Q04A</v>
      </c>
      <c r="K7" s="1301" t="str">
        <f>IS!K7</f>
        <v>F4Q04A</v>
      </c>
      <c r="L7" s="1299" t="str">
        <f>IS!L7</f>
        <v>F1Q05A</v>
      </c>
      <c r="M7" s="1300" t="str">
        <f>IS!M7</f>
        <v>F2Q05A</v>
      </c>
      <c r="N7" s="1300" t="str">
        <f>IS!N7</f>
        <v>F3Q05A</v>
      </c>
      <c r="O7" s="1301" t="str">
        <f>IS!O7</f>
        <v>F4Q05A</v>
      </c>
      <c r="P7" s="1299" t="str">
        <f>IS!P7</f>
        <v>F1Q06A</v>
      </c>
      <c r="Q7" s="1300" t="str">
        <f>IS!Q7</f>
        <v>F2Q06A</v>
      </c>
      <c r="R7" s="1300" t="str">
        <f>IS!R7</f>
        <v>F3Q06A</v>
      </c>
      <c r="S7" s="1301" t="str">
        <f>IS!S7</f>
        <v>F4Q06A</v>
      </c>
      <c r="T7" s="1299" t="str">
        <f>IS!T7</f>
        <v>F1Q07A</v>
      </c>
      <c r="U7" s="1300" t="str">
        <f>IS!U7</f>
        <v>F2Q07A</v>
      </c>
      <c r="V7" s="1300" t="str">
        <f>IS!V7</f>
        <v>F3Q07A</v>
      </c>
      <c r="W7" s="1301" t="str">
        <f>IS!W7</f>
        <v>F4Q07A</v>
      </c>
      <c r="X7" s="1299" t="str">
        <f>IS!X7</f>
        <v>F1Q08A</v>
      </c>
      <c r="Y7" s="1300" t="str">
        <f>IS!Y7</f>
        <v>F2Q08A</v>
      </c>
      <c r="Z7" s="1300" t="str">
        <f>IS!Z7</f>
        <v>F3Q08A</v>
      </c>
      <c r="AA7" s="1301" t="str">
        <f>IS!AA7</f>
        <v>F4Q08A</v>
      </c>
      <c r="AB7" s="1299" t="str">
        <f>IS!AB7</f>
        <v>F1Q09A</v>
      </c>
      <c r="AC7" s="1300" t="str">
        <f>IS!AC7</f>
        <v>F2Q09A</v>
      </c>
      <c r="AD7" s="1300" t="str">
        <f>IS!AD7</f>
        <v>F3Q09A</v>
      </c>
      <c r="AE7" s="1301" t="str">
        <f>IS!AE7</f>
        <v>F4Q09A</v>
      </c>
      <c r="AF7" s="1299" t="str">
        <f>IS!AF7</f>
        <v>F1Q10A</v>
      </c>
      <c r="AG7" s="1300" t="str">
        <f>IS!AG7</f>
        <v>F2Q10A</v>
      </c>
      <c r="AH7" s="1300" t="str">
        <f>IS!AH7</f>
        <v>F3Q10A</v>
      </c>
      <c r="AI7" s="1301" t="str">
        <f>IS!AI7</f>
        <v>F4Q10A</v>
      </c>
      <c r="AJ7" s="1299" t="str">
        <f>IS!AJ7</f>
        <v>F1Q11A</v>
      </c>
      <c r="AK7" s="1300" t="str">
        <f>IS!AK7</f>
        <v>F2Q11A</v>
      </c>
      <c r="AL7" s="1300" t="str">
        <f>IS!AL7</f>
        <v>F3Q11A</v>
      </c>
      <c r="AM7" s="1301" t="str">
        <f>IS!AM7</f>
        <v>F4Q11A</v>
      </c>
      <c r="AN7" s="1299" t="str">
        <f>IS!AN7</f>
        <v>F1Q12A</v>
      </c>
      <c r="AO7" s="1300" t="str">
        <f>IS!AO7</f>
        <v>F2Q12A</v>
      </c>
      <c r="AP7" s="1300" t="str">
        <f>IS!AP7</f>
        <v>F3Q12A</v>
      </c>
      <c r="AQ7" s="1301" t="str">
        <f>IS!AQ7</f>
        <v>F4Q12A</v>
      </c>
      <c r="AR7" s="1299" t="str">
        <f>IS!AR7</f>
        <v>F1Q13A</v>
      </c>
      <c r="AS7" s="1300" t="str">
        <f>IS!AS7</f>
        <v>F2Q13A</v>
      </c>
      <c r="AT7" s="1300" t="str">
        <f>IS!AT7</f>
        <v>F3Q13A</v>
      </c>
      <c r="AU7" s="1301" t="str">
        <f>IS!AU7</f>
        <v>F4Q13A</v>
      </c>
      <c r="AV7" s="1299" t="str">
        <f>IS!AV7</f>
        <v>F1Q14A</v>
      </c>
      <c r="AW7" s="1300" t="str">
        <f>IS!AW7</f>
        <v>F2Q14A</v>
      </c>
      <c r="AX7" s="1300" t="str">
        <f>IS!AX7</f>
        <v>F3Q14A</v>
      </c>
      <c r="AY7" s="1301" t="str">
        <f>IS!AY7</f>
        <v>F4Q14A</v>
      </c>
      <c r="AZ7" s="1299" t="str">
        <f>IS!AZ7</f>
        <v>F1Q15A</v>
      </c>
      <c r="BA7" s="1300" t="str">
        <f>IS!BA7</f>
        <v>F2Q15A</v>
      </c>
      <c r="BB7" s="1300" t="str">
        <f>IS!BB7</f>
        <v>F3Q15A</v>
      </c>
      <c r="BC7" s="1301" t="str">
        <f>IS!BC7</f>
        <v>F4Q15A</v>
      </c>
      <c r="BD7" s="1299" t="str">
        <f>IS!BD7</f>
        <v>F1Q16A</v>
      </c>
      <c r="BE7" s="1300" t="str">
        <f>IS!BE7</f>
        <v>F2Q16A</v>
      </c>
      <c r="BF7" s="1300" t="str">
        <f>IS!BF7</f>
        <v>F3Q16A</v>
      </c>
      <c r="BG7" s="1301" t="str">
        <f>IS!BG7</f>
        <v>F4Q16A</v>
      </c>
      <c r="BH7" s="1299" t="str">
        <f>IS!BH7</f>
        <v>F1Q17A</v>
      </c>
      <c r="BI7" s="1300" t="str">
        <f>IS!BI7</f>
        <v>F2Q17A</v>
      </c>
      <c r="BJ7" s="1300" t="str">
        <f>IS!BJ7</f>
        <v>F3Q17A</v>
      </c>
      <c r="BK7" s="1301" t="str">
        <f>IS!BK7</f>
        <v>F4Q17A</v>
      </c>
      <c r="BL7" s="1299" t="str">
        <f>IS!BL7</f>
        <v>F1Q18E</v>
      </c>
      <c r="BM7" s="1300" t="str">
        <f>IS!BM7</f>
        <v>F2Q18E</v>
      </c>
      <c r="BN7" s="1300" t="str">
        <f>IS!BN7</f>
        <v>F3Q18E</v>
      </c>
      <c r="BO7" s="1301" t="str">
        <f>IS!BO7</f>
        <v>F4Q18E</v>
      </c>
      <c r="BP7" s="1299" t="str">
        <f>IS!BP7</f>
        <v>F1Q19E</v>
      </c>
      <c r="BQ7" s="1300" t="str">
        <f>IS!BQ7</f>
        <v>F2Q19E</v>
      </c>
      <c r="BR7" s="1300" t="str">
        <f>IS!BR7</f>
        <v>F3Q19E</v>
      </c>
      <c r="BS7" s="1301" t="str">
        <f>IS!BS7</f>
        <v>F4Q19E</v>
      </c>
      <c r="BT7" s="1390" t="str">
        <f>IS!BT7</f>
        <v>F1Q20E</v>
      </c>
      <c r="BU7" s="1391" t="str">
        <f>IS!BU7</f>
        <v>F2Q20E</v>
      </c>
      <c r="BV7" s="1391" t="str">
        <f>IS!BV7</f>
        <v>F3Q20E</v>
      </c>
      <c r="BW7" s="1392" t="str">
        <f>IS!BW7</f>
        <v>F4Q20E</v>
      </c>
      <c r="BX7" s="21"/>
      <c r="BY7" s="19" t="str">
        <f>IS!BY7</f>
        <v>FY2003A</v>
      </c>
      <c r="BZ7" s="19" t="str">
        <f>IS!BZ7</f>
        <v>FY2004A</v>
      </c>
      <c r="CA7" s="19" t="str">
        <f>IS!CA7</f>
        <v>FY2005A</v>
      </c>
      <c r="CB7" s="19" t="str">
        <f>IS!CB7</f>
        <v>FY2006A</v>
      </c>
      <c r="CC7" s="19" t="str">
        <f>IS!CC7</f>
        <v>FY2007A</v>
      </c>
      <c r="CD7" s="19" t="str">
        <f>IS!CD7</f>
        <v>FY2008A</v>
      </c>
      <c r="CE7" s="19" t="str">
        <f>IS!CE7</f>
        <v>FY2009A</v>
      </c>
      <c r="CF7" s="19" t="str">
        <f>IS!CF7</f>
        <v>FY2010A</v>
      </c>
      <c r="CG7" s="19" t="str">
        <f>IS!CG7</f>
        <v>FY2011A</v>
      </c>
      <c r="CH7" s="1391" t="str">
        <f>IS!CH7</f>
        <v>FY2012A</v>
      </c>
      <c r="CI7" s="1391" t="str">
        <f>IS!CI7</f>
        <v>FY2013A</v>
      </c>
      <c r="CJ7" s="1391" t="str">
        <f>IS!CJ7</f>
        <v>FY2014A</v>
      </c>
      <c r="CK7" s="1391" t="str">
        <f>IS!CK7</f>
        <v>FY2015A</v>
      </c>
      <c r="CL7" s="1300" t="str">
        <f>IS!CL7</f>
        <v>FY2016</v>
      </c>
      <c r="CM7" s="1300" t="str">
        <f>IS!CM7</f>
        <v>FY2017A</v>
      </c>
      <c r="CN7" s="1300" t="s">
        <v>399</v>
      </c>
      <c r="CO7" s="1391" t="s">
        <v>400</v>
      </c>
      <c r="CP7" s="1392" t="s">
        <v>674</v>
      </c>
      <c r="CQ7" s="1041"/>
    </row>
    <row r="8" spans="1:95" ht="14.25" customHeight="1">
      <c r="A8" s="9"/>
      <c r="B8" s="93" t="s">
        <v>155</v>
      </c>
      <c r="C8" s="94"/>
      <c r="D8" s="97"/>
      <c r="E8" s="95"/>
      <c r="F8" s="95"/>
      <c r="G8" s="96"/>
      <c r="H8" s="97"/>
      <c r="I8" s="95"/>
      <c r="J8" s="95"/>
      <c r="K8" s="96"/>
      <c r="L8" s="97"/>
      <c r="M8" s="95"/>
      <c r="N8" s="95"/>
      <c r="O8" s="96"/>
      <c r="P8" s="97"/>
      <c r="Q8" s="95"/>
      <c r="R8" s="95"/>
      <c r="S8" s="96"/>
      <c r="T8" s="97"/>
      <c r="U8" s="95"/>
      <c r="V8" s="95"/>
      <c r="W8" s="96"/>
      <c r="X8" s="97"/>
      <c r="Y8" s="95"/>
      <c r="Z8" s="95"/>
      <c r="AA8" s="96"/>
      <c r="AB8" s="97"/>
      <c r="AC8" s="95"/>
      <c r="AD8" s="95"/>
      <c r="AE8" s="96"/>
      <c r="AF8" s="97"/>
      <c r="AG8" s="95"/>
      <c r="AH8" s="42"/>
      <c r="AI8" s="95"/>
      <c r="AJ8" s="97"/>
      <c r="AK8" s="95"/>
      <c r="AL8" s="95"/>
      <c r="AM8" s="96"/>
      <c r="AN8" s="50"/>
      <c r="AO8" s="95"/>
      <c r="AP8" s="95"/>
      <c r="AQ8" s="96"/>
      <c r="AR8" s="97"/>
      <c r="AS8" s="95"/>
      <c r="AT8" s="95"/>
      <c r="AU8" s="96"/>
      <c r="AV8" s="97"/>
      <c r="AW8" s="95"/>
      <c r="AX8" s="95"/>
      <c r="AY8" s="96"/>
      <c r="AZ8" s="97"/>
      <c r="BA8" s="95"/>
      <c r="BB8" s="95"/>
      <c r="BC8" s="96"/>
      <c r="BD8" s="97"/>
      <c r="BE8" s="95"/>
      <c r="BF8" s="95"/>
      <c r="BG8" s="96"/>
      <c r="BH8" s="97"/>
      <c r="BI8" s="95"/>
      <c r="BJ8" s="95"/>
      <c r="BK8" s="96"/>
      <c r="BL8" s="97"/>
      <c r="BM8" s="95"/>
      <c r="BN8" s="95"/>
      <c r="BO8" s="96"/>
      <c r="BP8" s="97"/>
      <c r="BQ8" s="95"/>
      <c r="BR8" s="95"/>
      <c r="BS8" s="96"/>
      <c r="BT8" s="97"/>
      <c r="BU8" s="95"/>
      <c r="BV8" s="95"/>
      <c r="BW8" s="96"/>
      <c r="BX8" s="21"/>
      <c r="BY8" s="98"/>
      <c r="BZ8" s="95"/>
      <c r="CA8" s="98"/>
      <c r="CB8" s="95"/>
      <c r="CC8" s="95"/>
      <c r="CD8" s="95"/>
      <c r="CE8" s="98"/>
      <c r="CF8" s="98"/>
      <c r="CG8" s="95"/>
      <c r="CH8" s="95"/>
      <c r="CI8" s="95"/>
      <c r="CJ8" s="95"/>
      <c r="CK8" s="95"/>
      <c r="CL8" s="95"/>
      <c r="CM8" s="1040"/>
      <c r="CN8" s="1040"/>
      <c r="CO8" s="1040"/>
      <c r="CP8" s="96"/>
      <c r="CQ8" s="1041"/>
    </row>
    <row r="9" spans="1:95" ht="14.25" customHeight="1">
      <c r="A9" s="9"/>
      <c r="B9" s="25" t="s">
        <v>156</v>
      </c>
      <c r="C9" s="26"/>
      <c r="D9" s="50">
        <v>189.1</v>
      </c>
      <c r="E9" s="42">
        <v>181.2</v>
      </c>
      <c r="F9" s="42">
        <v>183.6</v>
      </c>
      <c r="G9" s="43">
        <v>186.6</v>
      </c>
      <c r="H9" s="50">
        <v>221.4</v>
      </c>
      <c r="I9" s="42">
        <v>257.7</v>
      </c>
      <c r="J9" s="42">
        <v>231.8</v>
      </c>
      <c r="K9" s="43">
        <v>105.7</v>
      </c>
      <c r="L9" s="50">
        <v>177.5</v>
      </c>
      <c r="M9" s="42">
        <v>235.6</v>
      </c>
      <c r="N9" s="42">
        <v>272.3</v>
      </c>
      <c r="O9" s="43">
        <v>233.3</v>
      </c>
      <c r="P9" s="50">
        <v>251.3</v>
      </c>
      <c r="Q9" s="42">
        <v>294.7</v>
      </c>
      <c r="R9" s="42">
        <v>233.4</v>
      </c>
      <c r="S9" s="43">
        <v>268.8</v>
      </c>
      <c r="T9" s="50">
        <v>275.8</v>
      </c>
      <c r="U9" s="42">
        <v>255.8</v>
      </c>
      <c r="V9" s="42">
        <v>327.10000000000002</v>
      </c>
      <c r="W9" s="43">
        <v>274.60000000000002</v>
      </c>
      <c r="X9" s="50">
        <v>307.89999999999998</v>
      </c>
      <c r="Y9" s="42">
        <v>321.2</v>
      </c>
      <c r="Z9" s="42">
        <v>417.9</v>
      </c>
      <c r="AA9" s="43">
        <v>458.7</v>
      </c>
      <c r="AB9" s="50">
        <v>402.4</v>
      </c>
      <c r="AC9" s="42">
        <v>403.4</v>
      </c>
      <c r="AD9" s="42">
        <v>395.2</v>
      </c>
      <c r="AE9" s="43">
        <v>525.70000000000005</v>
      </c>
      <c r="AF9" s="42">
        <v>560.70000000000005</v>
      </c>
      <c r="AG9" s="42">
        <v>467.1</v>
      </c>
      <c r="AH9" s="42">
        <v>562.9</v>
      </c>
      <c r="AI9" s="42">
        <v>623.29999999999995</v>
      </c>
      <c r="AJ9" s="308">
        <v>766</v>
      </c>
      <c r="AK9" s="42">
        <v>756.6</v>
      </c>
      <c r="AL9" s="42">
        <v>659.3</v>
      </c>
      <c r="AM9" s="43">
        <v>652.9</v>
      </c>
      <c r="AN9" s="42">
        <v>580.1</v>
      </c>
      <c r="AO9" s="42">
        <v>517.79999999999995</v>
      </c>
      <c r="AP9" s="42">
        <v>421.4</v>
      </c>
      <c r="AQ9" s="43">
        <v>486.9</v>
      </c>
      <c r="AR9" s="42">
        <v>537</v>
      </c>
      <c r="AS9" s="42">
        <v>396.1</v>
      </c>
      <c r="AT9" s="42">
        <v>369.5</v>
      </c>
      <c r="AU9" s="43">
        <v>509.5</v>
      </c>
      <c r="AV9" s="42">
        <v>562</v>
      </c>
      <c r="AW9" s="42">
        <v>598.9</v>
      </c>
      <c r="AX9" s="42">
        <v>492.1</v>
      </c>
      <c r="AY9" s="43">
        <v>511.7</v>
      </c>
      <c r="AZ9" s="42">
        <v>428.1</v>
      </c>
      <c r="BA9" s="42">
        <v>576.6</v>
      </c>
      <c r="BB9" s="42">
        <v>556.79999999999995</v>
      </c>
      <c r="BC9" s="43">
        <v>617.6</v>
      </c>
      <c r="BD9" s="42">
        <v>619.5</v>
      </c>
      <c r="BE9" s="42">
        <v>588.1</v>
      </c>
      <c r="BF9" s="42">
        <v>880.5</v>
      </c>
      <c r="BG9" s="43">
        <v>1028.0999999999999</v>
      </c>
      <c r="BH9" s="42">
        <v>728.9</v>
      </c>
      <c r="BI9" s="42">
        <v>871.6</v>
      </c>
      <c r="BJ9" s="42">
        <v>901.2</v>
      </c>
      <c r="BK9" s="43">
        <v>949.2</v>
      </c>
      <c r="BL9" s="1154">
        <f>BK9+CFS!BL69</f>
        <v>1062.0130009146901</v>
      </c>
      <c r="BM9" s="1154">
        <f>BL9+CFS!BM69</f>
        <v>1256.9300877673031</v>
      </c>
      <c r="BN9" s="1154">
        <f>BM9+CFS!BN69</f>
        <v>1453.1611455586196</v>
      </c>
      <c r="BO9" s="1155">
        <f>BN9+CFS!BO69</f>
        <v>1724.2509290395133</v>
      </c>
      <c r="BP9" s="1154">
        <f>BO9+CFS!BP69</f>
        <v>1977.7614423440823</v>
      </c>
      <c r="BQ9" s="1154">
        <f>BP9+CFS!BQ69</f>
        <v>2172.8040660659144</v>
      </c>
      <c r="BR9" s="1154">
        <f>BQ9+CFS!BR69</f>
        <v>2410.9291342166202</v>
      </c>
      <c r="BS9" s="1155">
        <f>BR9+CFS!BS69</f>
        <v>2703.1717725719636</v>
      </c>
      <c r="BT9" s="1154">
        <f>BS9+CFS!BT69</f>
        <v>2962.1609819360419</v>
      </c>
      <c r="BU9" s="1154">
        <f>BT9+CFS!BU69</f>
        <v>3185.3270983126895</v>
      </c>
      <c r="BV9" s="1154">
        <f>BU9+CFS!BV69</f>
        <v>3454.8281959573014</v>
      </c>
      <c r="BW9" s="1155">
        <f>BV9+CFS!BW69</f>
        <v>3777.7918799082108</v>
      </c>
      <c r="BX9" s="21"/>
      <c r="BY9" s="86">
        <f t="shared" ref="BY9:BY14" si="0">G9</f>
        <v>186.6</v>
      </c>
      <c r="BZ9" s="86">
        <f t="shared" ref="BZ9:BZ14" si="1">K9</f>
        <v>105.7</v>
      </c>
      <c r="CA9" s="86">
        <f t="shared" ref="CA9:CA14" si="2">O9</f>
        <v>233.3</v>
      </c>
      <c r="CB9" s="86">
        <f t="shared" ref="CB9:CB14" si="3">S9</f>
        <v>268.8</v>
      </c>
      <c r="CC9" s="86">
        <f t="shared" ref="CC9:CC14" si="4">W9</f>
        <v>274.60000000000002</v>
      </c>
      <c r="CD9" s="86">
        <f t="shared" ref="CD9:CD14" si="5">AA9</f>
        <v>458.7</v>
      </c>
      <c r="CE9" s="86">
        <f t="shared" ref="CE9:CE14" si="6">AE9</f>
        <v>525.70000000000005</v>
      </c>
      <c r="CF9" s="86">
        <f t="shared" ref="CF9:CF14" si="7">AI9</f>
        <v>623.29999999999995</v>
      </c>
      <c r="CG9" s="86">
        <f t="shared" ref="CG9:CG14" si="8">AM9</f>
        <v>652.9</v>
      </c>
      <c r="CH9" s="86">
        <f t="shared" ref="CH9:CH14" si="9">AQ9</f>
        <v>486.9</v>
      </c>
      <c r="CI9" s="86">
        <f t="shared" ref="CI9:CI14" si="10">AU9</f>
        <v>509.5</v>
      </c>
      <c r="CJ9" s="86">
        <f t="shared" ref="CJ9:CJ14" si="11">AY9</f>
        <v>511.7</v>
      </c>
      <c r="CK9" s="86">
        <f t="shared" ref="CK9:CK14" si="12">BC9</f>
        <v>617.6</v>
      </c>
      <c r="CL9" s="86">
        <f t="shared" ref="CL9:CL14" si="13">BG9</f>
        <v>1028.0999999999999</v>
      </c>
      <c r="CM9" s="86">
        <f t="shared" ref="CM9:CM14" si="14">BK9</f>
        <v>949.2</v>
      </c>
      <c r="CN9" s="86">
        <f t="shared" ref="CN9:CN14" si="15">BO9</f>
        <v>1724.2509290395133</v>
      </c>
      <c r="CO9" s="86">
        <f>BS9</f>
        <v>2703.1717725719636</v>
      </c>
      <c r="CP9" s="87">
        <f>BW9</f>
        <v>3777.7918799082108</v>
      </c>
      <c r="CQ9" s="1041"/>
    </row>
    <row r="10" spans="1:95" ht="14.25" customHeight="1">
      <c r="A10" s="9"/>
      <c r="B10" s="25" t="s">
        <v>352</v>
      </c>
      <c r="C10" s="26"/>
      <c r="D10" s="69">
        <v>0</v>
      </c>
      <c r="E10" s="70">
        <v>0</v>
      </c>
      <c r="F10" s="70">
        <v>0</v>
      </c>
      <c r="G10" s="71">
        <v>0</v>
      </c>
      <c r="H10" s="69">
        <v>0</v>
      </c>
      <c r="I10" s="70">
        <v>0</v>
      </c>
      <c r="J10" s="70">
        <v>0</v>
      </c>
      <c r="K10" s="71">
        <v>80</v>
      </c>
      <c r="L10" s="69">
        <v>26.6</v>
      </c>
      <c r="M10" s="70">
        <v>11</v>
      </c>
      <c r="N10" s="70">
        <v>0</v>
      </c>
      <c r="O10" s="71">
        <v>0</v>
      </c>
      <c r="P10" s="69">
        <v>0</v>
      </c>
      <c r="Q10" s="70">
        <v>0</v>
      </c>
      <c r="R10" s="70">
        <v>35.799999999999997</v>
      </c>
      <c r="S10" s="71">
        <v>0</v>
      </c>
      <c r="T10" s="69">
        <v>0</v>
      </c>
      <c r="U10" s="70">
        <v>0</v>
      </c>
      <c r="V10" s="70">
        <v>0</v>
      </c>
      <c r="W10" s="71">
        <v>0</v>
      </c>
      <c r="X10" s="69">
        <v>0</v>
      </c>
      <c r="Y10" s="70">
        <v>0</v>
      </c>
      <c r="Z10" s="70">
        <v>0</v>
      </c>
      <c r="AA10" s="71">
        <v>0</v>
      </c>
      <c r="AB10" s="69">
        <v>0</v>
      </c>
      <c r="AC10" s="70">
        <v>0</v>
      </c>
      <c r="AD10" s="70">
        <v>75</v>
      </c>
      <c r="AE10" s="71">
        <v>45.5</v>
      </c>
      <c r="AF10" s="70">
        <v>0</v>
      </c>
      <c r="AG10" s="70">
        <v>0</v>
      </c>
      <c r="AH10" s="70">
        <v>0</v>
      </c>
      <c r="AI10" s="71">
        <v>0</v>
      </c>
      <c r="AJ10" s="309">
        <v>0</v>
      </c>
      <c r="AK10" s="70">
        <v>112.2</v>
      </c>
      <c r="AL10" s="70">
        <v>178.4</v>
      </c>
      <c r="AM10" s="71">
        <v>248.6</v>
      </c>
      <c r="AN10" s="70">
        <v>312.2</v>
      </c>
      <c r="AO10" s="70">
        <v>238.6</v>
      </c>
      <c r="AP10" s="70">
        <v>221.6</v>
      </c>
      <c r="AQ10" s="71">
        <v>144.80000000000001</v>
      </c>
      <c r="AR10" s="70">
        <v>77.3</v>
      </c>
      <c r="AS10" s="70">
        <v>182.9</v>
      </c>
      <c r="AT10" s="70">
        <v>184.1</v>
      </c>
      <c r="AU10" s="71">
        <v>116.2</v>
      </c>
      <c r="AV10" s="70">
        <v>55</v>
      </c>
      <c r="AW10" s="70">
        <v>2.2999999999999998</v>
      </c>
      <c r="AX10" s="70">
        <v>2.8</v>
      </c>
      <c r="AY10" s="71">
        <v>6.1</v>
      </c>
      <c r="AZ10" s="70">
        <v>1.3</v>
      </c>
      <c r="BA10" s="70">
        <v>1.3</v>
      </c>
      <c r="BB10" s="70">
        <v>0.8</v>
      </c>
      <c r="BC10" s="71">
        <v>0</v>
      </c>
      <c r="BD10" s="70">
        <v>0</v>
      </c>
      <c r="BE10" s="70">
        <v>0</v>
      </c>
      <c r="BF10" s="70">
        <v>0</v>
      </c>
      <c r="BG10" s="71">
        <v>0</v>
      </c>
      <c r="BH10" s="70">
        <v>0</v>
      </c>
      <c r="BI10" s="70">
        <v>0</v>
      </c>
      <c r="BJ10" s="70">
        <v>0</v>
      </c>
      <c r="BK10" s="71">
        <v>0</v>
      </c>
      <c r="BL10" s="1156">
        <f>BK10-CFS!BL45-CFS!BL46</f>
        <v>0</v>
      </c>
      <c r="BM10" s="1156">
        <f>BL10-CFS!BM45-CFS!BM46</f>
        <v>0</v>
      </c>
      <c r="BN10" s="1156">
        <f>BM10-CFS!BN45-CFS!BN46</f>
        <v>0</v>
      </c>
      <c r="BO10" s="1157">
        <f>BN10-CFS!BO45-CFS!BO46</f>
        <v>0</v>
      </c>
      <c r="BP10" s="1156">
        <f>BO10-CFS!BP45-CFS!BP46</f>
        <v>0</v>
      </c>
      <c r="BQ10" s="1156">
        <f>BP10-CFS!BQ45-CFS!BQ46</f>
        <v>0</v>
      </c>
      <c r="BR10" s="1156">
        <f>BQ10-CFS!BR45-CFS!BR46</f>
        <v>0</v>
      </c>
      <c r="BS10" s="1157">
        <f>BR10-CFS!BS45-CFS!BS46</f>
        <v>0</v>
      </c>
      <c r="BT10" s="1156">
        <f>BS10-CFS!BT45-CFS!BT46</f>
        <v>0</v>
      </c>
      <c r="BU10" s="1156">
        <f>BT10-CFS!BU45-CFS!BU46</f>
        <v>0</v>
      </c>
      <c r="BV10" s="1156">
        <f>BU10-CFS!BV45-CFS!BV46</f>
        <v>0</v>
      </c>
      <c r="BW10" s="1157">
        <f>BV10-CFS!BW45-CFS!BW46</f>
        <v>0</v>
      </c>
      <c r="BX10" s="99"/>
      <c r="BY10" s="67">
        <f t="shared" si="0"/>
        <v>0</v>
      </c>
      <c r="BZ10" s="67">
        <f t="shared" si="1"/>
        <v>80</v>
      </c>
      <c r="CA10" s="67">
        <f t="shared" si="2"/>
        <v>0</v>
      </c>
      <c r="CB10" s="67">
        <f t="shared" si="3"/>
        <v>0</v>
      </c>
      <c r="CC10" s="67">
        <f t="shared" si="4"/>
        <v>0</v>
      </c>
      <c r="CD10" s="67">
        <f t="shared" si="5"/>
        <v>0</v>
      </c>
      <c r="CE10" s="67">
        <f t="shared" si="6"/>
        <v>45.5</v>
      </c>
      <c r="CF10" s="67">
        <f t="shared" si="7"/>
        <v>0</v>
      </c>
      <c r="CG10" s="67">
        <f t="shared" si="8"/>
        <v>248.6</v>
      </c>
      <c r="CH10" s="67">
        <f t="shared" si="9"/>
        <v>144.80000000000001</v>
      </c>
      <c r="CI10" s="67">
        <f t="shared" si="10"/>
        <v>116.2</v>
      </c>
      <c r="CJ10" s="67">
        <f t="shared" si="11"/>
        <v>6.1</v>
      </c>
      <c r="CK10" s="67">
        <f t="shared" si="12"/>
        <v>0</v>
      </c>
      <c r="CL10" s="67">
        <f t="shared" si="13"/>
        <v>0</v>
      </c>
      <c r="CM10" s="67">
        <f t="shared" si="14"/>
        <v>0</v>
      </c>
      <c r="CN10" s="67">
        <f t="shared" si="15"/>
        <v>0</v>
      </c>
      <c r="CO10" s="67">
        <f t="shared" ref="CO10:CO14" si="16">BS10</f>
        <v>0</v>
      </c>
      <c r="CP10" s="68">
        <f t="shared" ref="CP10:CP14" si="17">BW10</f>
        <v>0</v>
      </c>
      <c r="CQ10" s="1041"/>
    </row>
    <row r="11" spans="1:95" ht="14.25" customHeight="1">
      <c r="A11" s="9"/>
      <c r="B11" s="25" t="s">
        <v>42</v>
      </c>
      <c r="C11" s="26"/>
      <c r="D11" s="69">
        <v>129.30000000000001</v>
      </c>
      <c r="E11" s="70">
        <v>130.1</v>
      </c>
      <c r="F11" s="70">
        <v>152.4</v>
      </c>
      <c r="G11" s="71">
        <v>136.1</v>
      </c>
      <c r="H11" s="69">
        <v>153.4</v>
      </c>
      <c r="I11" s="70">
        <v>161</v>
      </c>
      <c r="J11" s="70">
        <v>151.69999999999999</v>
      </c>
      <c r="K11" s="71">
        <v>131.5</v>
      </c>
      <c r="L11" s="69">
        <v>151.19999999999999</v>
      </c>
      <c r="M11" s="70">
        <v>139.9</v>
      </c>
      <c r="N11" s="70">
        <v>162.5</v>
      </c>
      <c r="O11" s="71">
        <v>160.19999999999999</v>
      </c>
      <c r="P11" s="69">
        <v>178.3</v>
      </c>
      <c r="Q11" s="70">
        <v>200.5</v>
      </c>
      <c r="R11" s="70">
        <v>194.9</v>
      </c>
      <c r="S11" s="71">
        <v>177.9</v>
      </c>
      <c r="T11" s="69">
        <v>174.3</v>
      </c>
      <c r="U11" s="70">
        <v>172.1</v>
      </c>
      <c r="V11" s="70">
        <v>193.4</v>
      </c>
      <c r="W11" s="71">
        <v>175.2</v>
      </c>
      <c r="X11" s="69">
        <v>245.7</v>
      </c>
      <c r="Y11" s="70">
        <v>258.5</v>
      </c>
      <c r="Z11" s="70">
        <v>279.3</v>
      </c>
      <c r="AA11" s="71">
        <v>188.8</v>
      </c>
      <c r="AB11" s="69">
        <v>192.6</v>
      </c>
      <c r="AC11" s="70">
        <v>254.1</v>
      </c>
      <c r="AD11" s="70">
        <v>264.7</v>
      </c>
      <c r="AE11" s="71">
        <v>260.89999999999998</v>
      </c>
      <c r="AF11" s="70">
        <v>298.89999999999998</v>
      </c>
      <c r="AG11" s="70">
        <v>317.2</v>
      </c>
      <c r="AH11" s="70">
        <v>314.3</v>
      </c>
      <c r="AI11" s="70">
        <v>294.60000000000002</v>
      </c>
      <c r="AJ11" s="310">
        <v>576.29999999999995</v>
      </c>
      <c r="AK11" s="70">
        <v>575.79999999999995</v>
      </c>
      <c r="AL11" s="70">
        <v>539</v>
      </c>
      <c r="AM11" s="71">
        <v>457.2</v>
      </c>
      <c r="AN11" s="70">
        <v>425.3</v>
      </c>
      <c r="AO11" s="70">
        <v>439.8</v>
      </c>
      <c r="AP11" s="70">
        <v>415.4</v>
      </c>
      <c r="AQ11" s="71">
        <v>357.8</v>
      </c>
      <c r="AR11" s="70">
        <v>367.2</v>
      </c>
      <c r="AS11" s="70">
        <v>407.6</v>
      </c>
      <c r="AT11" s="70">
        <v>419.2</v>
      </c>
      <c r="AU11" s="71">
        <v>383.4</v>
      </c>
      <c r="AV11" s="70">
        <v>417.1</v>
      </c>
      <c r="AW11" s="70">
        <v>437.3</v>
      </c>
      <c r="AX11" s="70">
        <v>488.7</v>
      </c>
      <c r="AY11" s="71">
        <v>417.5</v>
      </c>
      <c r="AZ11" s="70">
        <v>454.5</v>
      </c>
      <c r="BA11" s="70">
        <v>489.9</v>
      </c>
      <c r="BB11" s="70">
        <v>505.9</v>
      </c>
      <c r="BC11" s="71">
        <v>426.4</v>
      </c>
      <c r="BD11" s="70">
        <v>428.2</v>
      </c>
      <c r="BE11" s="70">
        <v>487.4</v>
      </c>
      <c r="BF11" s="70">
        <v>675.1</v>
      </c>
      <c r="BG11" s="71">
        <v>629.79999999999995</v>
      </c>
      <c r="BH11" s="70">
        <v>678.2</v>
      </c>
      <c r="BI11" s="70">
        <v>696.4</v>
      </c>
      <c r="BJ11" s="70">
        <v>695.6</v>
      </c>
      <c r="BK11" s="71">
        <v>701.5</v>
      </c>
      <c r="BL11" s="66">
        <f t="shared" ref="BL11:BS11" si="18">BL52/360*BL58*4</f>
        <v>761.03166666666687</v>
      </c>
      <c r="BM11" s="67">
        <f t="shared" si="18"/>
        <v>777.67653366666661</v>
      </c>
      <c r="BN11" s="67">
        <f t="shared" si="18"/>
        <v>796.04361450444446</v>
      </c>
      <c r="BO11" s="68">
        <f t="shared" si="18"/>
        <v>765.98174693226656</v>
      </c>
      <c r="BP11" s="66">
        <f t="shared" si="18"/>
        <v>745.86264561141445</v>
      </c>
      <c r="BQ11" s="67">
        <f t="shared" si="18"/>
        <v>773.73757599746421</v>
      </c>
      <c r="BR11" s="67">
        <f t="shared" si="18"/>
        <v>790.53977453705772</v>
      </c>
      <c r="BS11" s="68">
        <f t="shared" si="18"/>
        <v>776.80659471368233</v>
      </c>
      <c r="BT11" s="66">
        <f t="shared" ref="BT11:BW11" si="19">BT52/360*BT58*4</f>
        <v>773.61440336695966</v>
      </c>
      <c r="BU11" s="67">
        <f t="shared" si="19"/>
        <v>802.45671549003202</v>
      </c>
      <c r="BV11" s="67">
        <f t="shared" si="19"/>
        <v>819.10469984109227</v>
      </c>
      <c r="BW11" s="68">
        <f t="shared" si="19"/>
        <v>805.16200303056053</v>
      </c>
      <c r="BX11" s="99"/>
      <c r="BY11" s="67">
        <f t="shared" si="0"/>
        <v>136.1</v>
      </c>
      <c r="BZ11" s="67">
        <f t="shared" si="1"/>
        <v>131.5</v>
      </c>
      <c r="CA11" s="67">
        <f t="shared" si="2"/>
        <v>160.19999999999999</v>
      </c>
      <c r="CB11" s="67">
        <f t="shared" si="3"/>
        <v>177.9</v>
      </c>
      <c r="CC11" s="67">
        <f t="shared" si="4"/>
        <v>175.2</v>
      </c>
      <c r="CD11" s="67">
        <f t="shared" si="5"/>
        <v>188.8</v>
      </c>
      <c r="CE11" s="67">
        <f t="shared" si="6"/>
        <v>260.89999999999998</v>
      </c>
      <c r="CF11" s="67">
        <f t="shared" si="7"/>
        <v>294.60000000000002</v>
      </c>
      <c r="CG11" s="67">
        <f t="shared" si="8"/>
        <v>457.2</v>
      </c>
      <c r="CH11" s="67">
        <f t="shared" si="9"/>
        <v>357.8</v>
      </c>
      <c r="CI11" s="67">
        <f t="shared" si="10"/>
        <v>383.4</v>
      </c>
      <c r="CJ11" s="67">
        <f t="shared" si="11"/>
        <v>417.5</v>
      </c>
      <c r="CK11" s="67">
        <f t="shared" si="12"/>
        <v>426.4</v>
      </c>
      <c r="CL11" s="67">
        <f t="shared" si="13"/>
        <v>629.79999999999995</v>
      </c>
      <c r="CM11" s="67">
        <f t="shared" si="14"/>
        <v>701.5</v>
      </c>
      <c r="CN11" s="67">
        <f t="shared" si="15"/>
        <v>765.98174693226656</v>
      </c>
      <c r="CO11" s="67">
        <f t="shared" si="16"/>
        <v>776.80659471368233</v>
      </c>
      <c r="CP11" s="68">
        <f t="shared" si="17"/>
        <v>805.16200303056053</v>
      </c>
      <c r="CQ11" s="1041"/>
    </row>
    <row r="12" spans="1:95" ht="14.25" customHeight="1">
      <c r="A12" s="9"/>
      <c r="B12" s="25" t="s">
        <v>41</v>
      </c>
      <c r="C12" s="26"/>
      <c r="D12" s="69">
        <v>166.7</v>
      </c>
      <c r="E12" s="70">
        <v>175.6</v>
      </c>
      <c r="F12" s="70">
        <v>172.4</v>
      </c>
      <c r="G12" s="71">
        <v>171.6</v>
      </c>
      <c r="H12" s="69">
        <v>183.8</v>
      </c>
      <c r="I12" s="70">
        <v>197.3</v>
      </c>
      <c r="J12" s="70">
        <v>204.9</v>
      </c>
      <c r="K12" s="71">
        <v>193.4</v>
      </c>
      <c r="L12" s="69">
        <v>175.8</v>
      </c>
      <c r="M12" s="70">
        <v>172.1</v>
      </c>
      <c r="N12" s="70">
        <v>172.7</v>
      </c>
      <c r="O12" s="71">
        <v>169.5</v>
      </c>
      <c r="P12" s="69">
        <v>175.1</v>
      </c>
      <c r="Q12" s="70">
        <v>195.1</v>
      </c>
      <c r="R12" s="70">
        <v>205.8</v>
      </c>
      <c r="S12" s="71">
        <v>212.7</v>
      </c>
      <c r="T12" s="69">
        <v>213.3</v>
      </c>
      <c r="U12" s="70">
        <v>221.1</v>
      </c>
      <c r="V12" s="70">
        <v>216.5</v>
      </c>
      <c r="W12" s="71">
        <v>220.5</v>
      </c>
      <c r="X12" s="69">
        <v>362.4</v>
      </c>
      <c r="Y12" s="70">
        <v>327.60000000000002</v>
      </c>
      <c r="Z12" s="70">
        <v>309.39999999999998</v>
      </c>
      <c r="AA12" s="71">
        <v>335.5</v>
      </c>
      <c r="AB12" s="69">
        <v>299.2</v>
      </c>
      <c r="AC12" s="70">
        <v>269.5</v>
      </c>
      <c r="AD12" s="70">
        <v>264.2</v>
      </c>
      <c r="AE12" s="71">
        <v>269.89999999999998</v>
      </c>
      <c r="AF12" s="70">
        <v>297.60000000000002</v>
      </c>
      <c r="AG12" s="70">
        <v>321.5</v>
      </c>
      <c r="AH12" s="70">
        <v>350.8</v>
      </c>
      <c r="AI12" s="70">
        <v>360.8</v>
      </c>
      <c r="AJ12" s="310">
        <v>767.5</v>
      </c>
      <c r="AK12" s="70">
        <v>749.2</v>
      </c>
      <c r="AL12" s="70">
        <v>706.6</v>
      </c>
      <c r="AM12" s="71">
        <v>637.4</v>
      </c>
      <c r="AN12" s="70">
        <v>633.70000000000005</v>
      </c>
      <c r="AO12" s="70">
        <v>659.7</v>
      </c>
      <c r="AP12" s="70">
        <v>644.29999999999995</v>
      </c>
      <c r="AQ12" s="71">
        <v>581.70000000000005</v>
      </c>
      <c r="AR12" s="70">
        <v>561.4</v>
      </c>
      <c r="AS12" s="70">
        <v>559.70000000000005</v>
      </c>
      <c r="AT12" s="70">
        <v>585.29999999999995</v>
      </c>
      <c r="AU12" s="71">
        <v>611.79999999999995</v>
      </c>
      <c r="AV12" s="70">
        <v>613.9</v>
      </c>
      <c r="AW12" s="70">
        <v>632.6</v>
      </c>
      <c r="AX12" s="70">
        <v>724.3</v>
      </c>
      <c r="AY12" s="71">
        <v>729.9</v>
      </c>
      <c r="AZ12" s="70">
        <v>746.9</v>
      </c>
      <c r="BA12" s="70">
        <v>743</v>
      </c>
      <c r="BB12" s="70">
        <v>754</v>
      </c>
      <c r="BC12" s="71">
        <v>750.4</v>
      </c>
      <c r="BD12" s="70">
        <v>759.7</v>
      </c>
      <c r="BE12" s="70">
        <v>750.2</v>
      </c>
      <c r="BF12" s="70">
        <v>1083.0999999999999</v>
      </c>
      <c r="BG12" s="71">
        <v>1030.2</v>
      </c>
      <c r="BH12" s="70">
        <v>1011.4</v>
      </c>
      <c r="BI12" s="70">
        <v>1002</v>
      </c>
      <c r="BJ12" s="70">
        <v>1029</v>
      </c>
      <c r="BK12" s="71">
        <v>1089.5</v>
      </c>
      <c r="BL12" s="66">
        <f t="shared" ref="BL12:BS12" si="20">BL54/360*BL59*4</f>
        <v>1024.8660132000002</v>
      </c>
      <c r="BM12" s="67">
        <f t="shared" si="20"/>
        <v>1043.760891843111</v>
      </c>
      <c r="BN12" s="67">
        <f t="shared" si="20"/>
        <v>1067.4604352821088</v>
      </c>
      <c r="BO12" s="68">
        <f t="shared" si="20"/>
        <v>1051.2864229694583</v>
      </c>
      <c r="BP12" s="66">
        <f t="shared" si="20"/>
        <v>1045.6696250516161</v>
      </c>
      <c r="BQ12" s="67">
        <f t="shared" si="20"/>
        <v>1077.4894337711014</v>
      </c>
      <c r="BR12" s="67">
        <f t="shared" si="20"/>
        <v>1089.6798467713322</v>
      </c>
      <c r="BS12" s="68">
        <f t="shared" si="20"/>
        <v>1070.8127114935228</v>
      </c>
      <c r="BT12" s="66">
        <f t="shared" ref="BT12:BW12" si="21">BT54/360*BT59*4</f>
        <v>1076.7624780897797</v>
      </c>
      <c r="BU12" s="67">
        <f t="shared" si="21"/>
        <v>1109.362062535253</v>
      </c>
      <c r="BV12" s="67">
        <f t="shared" si="21"/>
        <v>1120.4402502837622</v>
      </c>
      <c r="BW12" s="68">
        <f t="shared" si="21"/>
        <v>1101.5044633394264</v>
      </c>
      <c r="BX12" s="99"/>
      <c r="BY12" s="67">
        <f t="shared" si="0"/>
        <v>171.6</v>
      </c>
      <c r="BZ12" s="67">
        <f t="shared" si="1"/>
        <v>193.4</v>
      </c>
      <c r="CA12" s="67">
        <f t="shared" si="2"/>
        <v>169.5</v>
      </c>
      <c r="CB12" s="67">
        <f t="shared" si="3"/>
        <v>212.7</v>
      </c>
      <c r="CC12" s="67">
        <f t="shared" si="4"/>
        <v>220.5</v>
      </c>
      <c r="CD12" s="67">
        <f t="shared" si="5"/>
        <v>335.5</v>
      </c>
      <c r="CE12" s="67">
        <f t="shared" si="6"/>
        <v>269.89999999999998</v>
      </c>
      <c r="CF12" s="67">
        <f t="shared" si="7"/>
        <v>360.8</v>
      </c>
      <c r="CG12" s="67">
        <f t="shared" si="8"/>
        <v>637.4</v>
      </c>
      <c r="CH12" s="67">
        <f t="shared" si="9"/>
        <v>581.70000000000005</v>
      </c>
      <c r="CI12" s="67">
        <f t="shared" si="10"/>
        <v>611.79999999999995</v>
      </c>
      <c r="CJ12" s="67">
        <f t="shared" si="11"/>
        <v>729.9</v>
      </c>
      <c r="CK12" s="67">
        <f t="shared" si="12"/>
        <v>750.4</v>
      </c>
      <c r="CL12" s="67">
        <f t="shared" si="13"/>
        <v>1030.2</v>
      </c>
      <c r="CM12" s="67">
        <f t="shared" si="14"/>
        <v>1089.5</v>
      </c>
      <c r="CN12" s="67">
        <f t="shared" si="15"/>
        <v>1051.2864229694583</v>
      </c>
      <c r="CO12" s="67">
        <f t="shared" si="16"/>
        <v>1070.8127114935228</v>
      </c>
      <c r="CP12" s="68">
        <f t="shared" si="17"/>
        <v>1101.5044633394264</v>
      </c>
      <c r="CQ12" s="1041"/>
    </row>
    <row r="13" spans="1:95" ht="14.25" customHeight="1">
      <c r="A13" s="9"/>
      <c r="B13" s="25" t="s">
        <v>354</v>
      </c>
      <c r="C13" s="26"/>
      <c r="D13" s="69">
        <v>27.5</v>
      </c>
      <c r="E13" s="70">
        <v>32.799999999999997</v>
      </c>
      <c r="F13" s="70">
        <v>35.200000000000003</v>
      </c>
      <c r="G13" s="71">
        <v>25.9</v>
      </c>
      <c r="H13" s="69">
        <v>32.5</v>
      </c>
      <c r="I13" s="70">
        <v>26.5</v>
      </c>
      <c r="J13" s="70">
        <v>25.5</v>
      </c>
      <c r="K13" s="71">
        <v>23.6</v>
      </c>
      <c r="L13" s="69">
        <v>19.3</v>
      </c>
      <c r="M13" s="70">
        <v>26.2</v>
      </c>
      <c r="N13" s="70">
        <v>24.4</v>
      </c>
      <c r="O13" s="71">
        <v>29.9</v>
      </c>
      <c r="P13" s="69">
        <v>36.200000000000003</v>
      </c>
      <c r="Q13" s="70">
        <v>38.5</v>
      </c>
      <c r="R13" s="70">
        <v>41.5</v>
      </c>
      <c r="S13" s="71">
        <v>34.299999999999997</v>
      </c>
      <c r="T13" s="69">
        <v>35.700000000000003</v>
      </c>
      <c r="U13" s="70">
        <v>36.9</v>
      </c>
      <c r="V13" s="70">
        <v>41</v>
      </c>
      <c r="W13" s="71">
        <v>68.3</v>
      </c>
      <c r="X13" s="69">
        <v>89.7</v>
      </c>
      <c r="Y13" s="70">
        <v>70.7</v>
      </c>
      <c r="Z13" s="70">
        <v>65.8</v>
      </c>
      <c r="AA13" s="71">
        <v>55.5</v>
      </c>
      <c r="AB13" s="69">
        <v>47.2</v>
      </c>
      <c r="AC13" s="70">
        <v>44.1</v>
      </c>
      <c r="AD13" s="70">
        <v>42.7</v>
      </c>
      <c r="AE13" s="71">
        <v>51.5</v>
      </c>
      <c r="AF13" s="70">
        <v>48.4</v>
      </c>
      <c r="AG13" s="70">
        <v>50.9</v>
      </c>
      <c r="AH13" s="70">
        <v>52.9</v>
      </c>
      <c r="AI13" s="70">
        <v>63.6</v>
      </c>
      <c r="AJ13" s="310">
        <v>121.7</v>
      </c>
      <c r="AK13" s="70">
        <v>86.2</v>
      </c>
      <c r="AL13" s="70">
        <v>90.3</v>
      </c>
      <c r="AM13" s="71">
        <v>121.6</v>
      </c>
      <c r="AN13" s="70">
        <v>76.8</v>
      </c>
      <c r="AO13" s="70">
        <v>88.8</v>
      </c>
      <c r="AP13" s="70">
        <v>121.9</v>
      </c>
      <c r="AQ13" s="71">
        <v>111.7</v>
      </c>
      <c r="AR13" s="70">
        <v>65.400000000000006</v>
      </c>
      <c r="AS13" s="70">
        <v>67.2</v>
      </c>
      <c r="AT13" s="70">
        <v>77.7</v>
      </c>
      <c r="AU13" s="71">
        <v>89.3</v>
      </c>
      <c r="AV13" s="70">
        <v>89.3</v>
      </c>
      <c r="AW13" s="70">
        <v>90.5</v>
      </c>
      <c r="AX13" s="70">
        <v>105.3</v>
      </c>
      <c r="AY13" s="71">
        <v>140.6</v>
      </c>
      <c r="AZ13" s="70">
        <v>128.1</v>
      </c>
      <c r="BA13" s="70">
        <v>121.3</v>
      </c>
      <c r="BB13" s="70">
        <v>135.19999999999999</v>
      </c>
      <c r="BC13" s="71">
        <v>97.1</v>
      </c>
      <c r="BD13" s="70">
        <v>94.3</v>
      </c>
      <c r="BE13" s="70">
        <v>96.1</v>
      </c>
      <c r="BF13" s="70">
        <v>163.69999999999999</v>
      </c>
      <c r="BG13" s="71">
        <v>181</v>
      </c>
      <c r="BH13" s="70">
        <v>190.6</v>
      </c>
      <c r="BI13" s="70">
        <v>194.3</v>
      </c>
      <c r="BJ13" s="70">
        <v>189.6</v>
      </c>
      <c r="BK13" s="71">
        <v>193</v>
      </c>
      <c r="BL13" s="66">
        <f t="shared" ref="BL13:BS13" si="22">BL56*BL58*4</f>
        <v>219.17712000000003</v>
      </c>
      <c r="BM13" s="67">
        <f t="shared" si="22"/>
        <v>228.54167519999999</v>
      </c>
      <c r="BN13" s="67">
        <f t="shared" si="22"/>
        <v>233.93934793600002</v>
      </c>
      <c r="BO13" s="68">
        <f t="shared" si="22"/>
        <v>229.79452407967997</v>
      </c>
      <c r="BP13" s="66">
        <f t="shared" si="22"/>
        <v>228.51961908094401</v>
      </c>
      <c r="BQ13" s="67">
        <f t="shared" si="22"/>
        <v>237.06002328432945</v>
      </c>
      <c r="BR13" s="67">
        <f t="shared" si="22"/>
        <v>242.20793092199216</v>
      </c>
      <c r="BS13" s="67">
        <f t="shared" si="22"/>
        <v>238.00031838036222</v>
      </c>
      <c r="BT13" s="66">
        <f t="shared" ref="BT13:BW13" si="23">BT56*BT58*4</f>
        <v>237.02228528689827</v>
      </c>
      <c r="BU13" s="67">
        <f t="shared" si="23"/>
        <v>245.85907878843534</v>
      </c>
      <c r="BV13" s="67">
        <f t="shared" si="23"/>
        <v>250.9597378236538</v>
      </c>
      <c r="BW13" s="67">
        <f t="shared" si="23"/>
        <v>246.68793284340578</v>
      </c>
      <c r="BX13" s="99"/>
      <c r="BY13" s="66">
        <f t="shared" si="0"/>
        <v>25.9</v>
      </c>
      <c r="BZ13" s="67">
        <f t="shared" si="1"/>
        <v>23.6</v>
      </c>
      <c r="CA13" s="67">
        <f t="shared" si="2"/>
        <v>29.9</v>
      </c>
      <c r="CB13" s="67">
        <f t="shared" si="3"/>
        <v>34.299999999999997</v>
      </c>
      <c r="CC13" s="67">
        <f t="shared" si="4"/>
        <v>68.3</v>
      </c>
      <c r="CD13" s="67">
        <f t="shared" si="5"/>
        <v>55.5</v>
      </c>
      <c r="CE13" s="67">
        <f t="shared" si="6"/>
        <v>51.5</v>
      </c>
      <c r="CF13" s="67">
        <f t="shared" si="7"/>
        <v>63.6</v>
      </c>
      <c r="CG13" s="67">
        <f t="shared" si="8"/>
        <v>121.6</v>
      </c>
      <c r="CH13" s="67">
        <f t="shared" si="9"/>
        <v>111.7</v>
      </c>
      <c r="CI13" s="67">
        <f t="shared" si="10"/>
        <v>89.3</v>
      </c>
      <c r="CJ13" s="67">
        <f t="shared" si="11"/>
        <v>140.6</v>
      </c>
      <c r="CK13" s="67">
        <f t="shared" si="12"/>
        <v>97.1</v>
      </c>
      <c r="CL13" s="67">
        <f t="shared" si="13"/>
        <v>181</v>
      </c>
      <c r="CM13" s="67">
        <f t="shared" si="14"/>
        <v>193</v>
      </c>
      <c r="CN13" s="67">
        <f t="shared" si="15"/>
        <v>229.79452407967997</v>
      </c>
      <c r="CO13" s="67">
        <f t="shared" si="16"/>
        <v>238.00031838036222</v>
      </c>
      <c r="CP13" s="68">
        <f t="shared" si="17"/>
        <v>246.68793284340578</v>
      </c>
      <c r="CQ13" s="1041"/>
    </row>
    <row r="14" spans="1:95" ht="14.25" customHeight="1">
      <c r="A14" s="9"/>
      <c r="B14" s="100" t="s">
        <v>43</v>
      </c>
      <c r="C14" s="101"/>
      <c r="D14" s="69">
        <v>7.6</v>
      </c>
      <c r="E14" s="70">
        <v>7.4</v>
      </c>
      <c r="F14" s="70">
        <v>7.2</v>
      </c>
      <c r="G14" s="71">
        <v>2.7</v>
      </c>
      <c r="H14" s="69">
        <v>3.1</v>
      </c>
      <c r="I14" s="70">
        <v>3.5</v>
      </c>
      <c r="J14" s="70">
        <v>4.4000000000000004</v>
      </c>
      <c r="K14" s="71">
        <v>2.8</v>
      </c>
      <c r="L14" s="69">
        <v>3.1</v>
      </c>
      <c r="M14" s="70">
        <v>5.3</v>
      </c>
      <c r="N14" s="70">
        <v>3.9</v>
      </c>
      <c r="O14" s="71">
        <v>7.4</v>
      </c>
      <c r="P14" s="69">
        <v>4.4000000000000004</v>
      </c>
      <c r="Q14" s="70">
        <v>5.8</v>
      </c>
      <c r="R14" s="70">
        <v>11.7</v>
      </c>
      <c r="S14" s="71">
        <v>7.1</v>
      </c>
      <c r="T14" s="69">
        <v>8.5</v>
      </c>
      <c r="U14" s="70">
        <v>7.3</v>
      </c>
      <c r="V14" s="70">
        <v>7.2</v>
      </c>
      <c r="W14" s="71">
        <v>6.7</v>
      </c>
      <c r="X14" s="69">
        <v>0</v>
      </c>
      <c r="Y14" s="70">
        <v>0.3</v>
      </c>
      <c r="Z14" s="70">
        <v>4</v>
      </c>
      <c r="AA14" s="71">
        <v>12</v>
      </c>
      <c r="AB14" s="69">
        <v>13.2</v>
      </c>
      <c r="AC14" s="70">
        <v>14.3</v>
      </c>
      <c r="AD14" s="70">
        <v>15.7</v>
      </c>
      <c r="AE14" s="71">
        <v>15.1</v>
      </c>
      <c r="AF14" s="70">
        <v>14.6</v>
      </c>
      <c r="AG14" s="70">
        <v>14.6</v>
      </c>
      <c r="AH14" s="70">
        <v>14.8</v>
      </c>
      <c r="AI14" s="71">
        <v>15.7</v>
      </c>
      <c r="AJ14" s="309">
        <v>16.399999999999999</v>
      </c>
      <c r="AK14" s="70">
        <v>16.899999999999999</v>
      </c>
      <c r="AL14" s="70">
        <v>14.6</v>
      </c>
      <c r="AM14" s="71">
        <v>10</v>
      </c>
      <c r="AN14" s="70">
        <v>10.3</v>
      </c>
      <c r="AO14" s="70">
        <v>10</v>
      </c>
      <c r="AP14" s="70">
        <v>10.4</v>
      </c>
      <c r="AQ14" s="71">
        <v>10.5</v>
      </c>
      <c r="AR14" s="70">
        <v>9.1999999999999993</v>
      </c>
      <c r="AS14" s="70">
        <v>8.3000000000000007</v>
      </c>
      <c r="AT14" s="70">
        <v>9.9</v>
      </c>
      <c r="AU14" s="71">
        <v>0</v>
      </c>
      <c r="AV14" s="70">
        <v>0</v>
      </c>
      <c r="AW14" s="70">
        <v>0</v>
      </c>
      <c r="AX14" s="70">
        <v>0</v>
      </c>
      <c r="AY14" s="71">
        <v>0</v>
      </c>
      <c r="AZ14" s="70">
        <v>0</v>
      </c>
      <c r="BA14" s="70">
        <v>0</v>
      </c>
      <c r="BB14" s="70">
        <v>0</v>
      </c>
      <c r="BC14" s="71">
        <v>0</v>
      </c>
      <c r="BD14" s="70">
        <v>0</v>
      </c>
      <c r="BE14" s="70">
        <v>0</v>
      </c>
      <c r="BF14" s="70">
        <v>0</v>
      </c>
      <c r="BG14" s="71">
        <v>0</v>
      </c>
      <c r="BH14" s="70">
        <v>0</v>
      </c>
      <c r="BI14" s="70">
        <v>0</v>
      </c>
      <c r="BJ14" s="70">
        <v>0</v>
      </c>
      <c r="BK14" s="71">
        <v>0</v>
      </c>
      <c r="BL14" s="66">
        <f t="shared" ref="BL14:BS14" si="24">BK14</f>
        <v>0</v>
      </c>
      <c r="BM14" s="67">
        <f t="shared" si="24"/>
        <v>0</v>
      </c>
      <c r="BN14" s="67">
        <f t="shared" si="24"/>
        <v>0</v>
      </c>
      <c r="BO14" s="68">
        <f t="shared" si="24"/>
        <v>0</v>
      </c>
      <c r="BP14" s="66">
        <f t="shared" si="24"/>
        <v>0</v>
      </c>
      <c r="BQ14" s="67">
        <f t="shared" si="24"/>
        <v>0</v>
      </c>
      <c r="BR14" s="67">
        <f t="shared" si="24"/>
        <v>0</v>
      </c>
      <c r="BS14" s="67">
        <f t="shared" si="24"/>
        <v>0</v>
      </c>
      <c r="BT14" s="66">
        <f t="shared" ref="BT14" si="25">BS14</f>
        <v>0</v>
      </c>
      <c r="BU14" s="67">
        <f t="shared" ref="BU14" si="26">BT14</f>
        <v>0</v>
      </c>
      <c r="BV14" s="67">
        <f t="shared" ref="BV14" si="27">BU14</f>
        <v>0</v>
      </c>
      <c r="BW14" s="67">
        <f t="shared" ref="BW14" si="28">BV14</f>
        <v>0</v>
      </c>
      <c r="BX14" s="99"/>
      <c r="BY14" s="274">
        <f t="shared" si="0"/>
        <v>2.7</v>
      </c>
      <c r="BZ14" s="67">
        <f t="shared" si="1"/>
        <v>2.8</v>
      </c>
      <c r="CA14" s="67">
        <f t="shared" si="2"/>
        <v>7.4</v>
      </c>
      <c r="CB14" s="67">
        <f t="shared" si="3"/>
        <v>7.1</v>
      </c>
      <c r="CC14" s="67">
        <f t="shared" si="4"/>
        <v>6.7</v>
      </c>
      <c r="CD14" s="67">
        <f t="shared" si="5"/>
        <v>12</v>
      </c>
      <c r="CE14" s="67">
        <f t="shared" si="6"/>
        <v>15.1</v>
      </c>
      <c r="CF14" s="67">
        <f t="shared" si="7"/>
        <v>15.7</v>
      </c>
      <c r="CG14" s="67">
        <f t="shared" si="8"/>
        <v>10</v>
      </c>
      <c r="CH14" s="67">
        <f t="shared" si="9"/>
        <v>10.5</v>
      </c>
      <c r="CI14" s="67">
        <f t="shared" si="10"/>
        <v>0</v>
      </c>
      <c r="CJ14" s="67">
        <f t="shared" si="11"/>
        <v>0</v>
      </c>
      <c r="CK14" s="67">
        <f t="shared" si="12"/>
        <v>0</v>
      </c>
      <c r="CL14" s="102">
        <f t="shared" si="13"/>
        <v>0</v>
      </c>
      <c r="CM14" s="102">
        <f t="shared" si="14"/>
        <v>0</v>
      </c>
      <c r="CN14" s="102">
        <f t="shared" si="15"/>
        <v>0</v>
      </c>
      <c r="CO14" s="102">
        <f t="shared" si="16"/>
        <v>0</v>
      </c>
      <c r="CP14" s="103">
        <f t="shared" si="17"/>
        <v>0</v>
      </c>
      <c r="CQ14" s="1041"/>
    </row>
    <row r="15" spans="1:95" ht="14.25" customHeight="1">
      <c r="A15" s="9"/>
      <c r="B15" s="104" t="s">
        <v>157</v>
      </c>
      <c r="C15" s="105"/>
      <c r="D15" s="108">
        <f t="shared" ref="D15:AV15" si="29">SUM(D9:D14)</f>
        <v>520.19999999999993</v>
      </c>
      <c r="E15" s="106">
        <f t="shared" si="29"/>
        <v>527.09999999999991</v>
      </c>
      <c r="F15" s="106">
        <f t="shared" si="29"/>
        <v>550.80000000000007</v>
      </c>
      <c r="G15" s="106">
        <f t="shared" si="29"/>
        <v>522.9</v>
      </c>
      <c r="H15" s="108">
        <f t="shared" si="29"/>
        <v>594.20000000000005</v>
      </c>
      <c r="I15" s="106">
        <f t="shared" si="29"/>
        <v>646</v>
      </c>
      <c r="J15" s="106">
        <f t="shared" si="29"/>
        <v>618.29999999999995</v>
      </c>
      <c r="K15" s="106">
        <f t="shared" si="29"/>
        <v>537</v>
      </c>
      <c r="L15" s="108">
        <f t="shared" si="29"/>
        <v>553.49999999999989</v>
      </c>
      <c r="M15" s="106">
        <f t="shared" si="29"/>
        <v>590.1</v>
      </c>
      <c r="N15" s="106">
        <f t="shared" si="29"/>
        <v>635.79999999999995</v>
      </c>
      <c r="O15" s="107">
        <f t="shared" si="29"/>
        <v>600.29999999999995</v>
      </c>
      <c r="P15" s="108">
        <f t="shared" si="29"/>
        <v>645.30000000000007</v>
      </c>
      <c r="Q15" s="106">
        <f t="shared" si="29"/>
        <v>734.59999999999991</v>
      </c>
      <c r="R15" s="106">
        <f t="shared" si="29"/>
        <v>723.10000000000014</v>
      </c>
      <c r="S15" s="107">
        <f t="shared" si="29"/>
        <v>700.80000000000007</v>
      </c>
      <c r="T15" s="108">
        <f t="shared" si="29"/>
        <v>707.60000000000014</v>
      </c>
      <c r="U15" s="106">
        <f t="shared" si="29"/>
        <v>693.19999999999993</v>
      </c>
      <c r="V15" s="106">
        <f t="shared" si="29"/>
        <v>785.2</v>
      </c>
      <c r="W15" s="107">
        <f t="shared" si="29"/>
        <v>745.3</v>
      </c>
      <c r="X15" s="108">
        <f t="shared" si="29"/>
        <v>1005.6999999999999</v>
      </c>
      <c r="Y15" s="106">
        <f t="shared" si="29"/>
        <v>978.30000000000007</v>
      </c>
      <c r="Z15" s="106">
        <f t="shared" si="29"/>
        <v>1076.4000000000001</v>
      </c>
      <c r="AA15" s="107">
        <f t="shared" si="29"/>
        <v>1050.5</v>
      </c>
      <c r="AB15" s="108">
        <f t="shared" si="29"/>
        <v>954.60000000000014</v>
      </c>
      <c r="AC15" s="106">
        <f t="shared" si="29"/>
        <v>985.4</v>
      </c>
      <c r="AD15" s="106">
        <f t="shared" si="29"/>
        <v>1057.5</v>
      </c>
      <c r="AE15" s="107">
        <f t="shared" si="29"/>
        <v>1168.5999999999999</v>
      </c>
      <c r="AF15" s="106">
        <f t="shared" si="29"/>
        <v>1220.2</v>
      </c>
      <c r="AG15" s="106">
        <f t="shared" si="29"/>
        <v>1171.3</v>
      </c>
      <c r="AH15" s="106">
        <f t="shared" si="29"/>
        <v>1295.7</v>
      </c>
      <c r="AI15" s="107">
        <f t="shared" si="29"/>
        <v>1358</v>
      </c>
      <c r="AJ15" s="108">
        <f t="shared" si="29"/>
        <v>2247.9</v>
      </c>
      <c r="AK15" s="106">
        <f t="shared" si="29"/>
        <v>2296.9</v>
      </c>
      <c r="AL15" s="106">
        <f t="shared" si="29"/>
        <v>2188.1999999999998</v>
      </c>
      <c r="AM15" s="107">
        <f t="shared" si="29"/>
        <v>2127.6999999999998</v>
      </c>
      <c r="AN15" s="106">
        <f t="shared" si="29"/>
        <v>2038.3999999999999</v>
      </c>
      <c r="AO15" s="106">
        <f t="shared" si="29"/>
        <v>1954.7</v>
      </c>
      <c r="AP15" s="106">
        <f t="shared" si="29"/>
        <v>1835.0000000000002</v>
      </c>
      <c r="AQ15" s="107">
        <f t="shared" si="29"/>
        <v>1693.4</v>
      </c>
      <c r="AR15" s="106">
        <f t="shared" si="29"/>
        <v>1617.5000000000002</v>
      </c>
      <c r="AS15" s="106">
        <f t="shared" si="29"/>
        <v>1621.8000000000002</v>
      </c>
      <c r="AT15" s="106">
        <f t="shared" si="29"/>
        <v>1645.7</v>
      </c>
      <c r="AU15" s="107">
        <f t="shared" si="29"/>
        <v>1710.2</v>
      </c>
      <c r="AV15" s="106">
        <f t="shared" si="29"/>
        <v>1737.3</v>
      </c>
      <c r="AW15" s="106">
        <f t="shared" ref="AW15:BD15" si="30">SUM(AW9:AW14)</f>
        <v>1761.6</v>
      </c>
      <c r="AX15" s="106">
        <f t="shared" si="30"/>
        <v>1813.2</v>
      </c>
      <c r="AY15" s="107">
        <f t="shared" si="30"/>
        <v>1805.7999999999997</v>
      </c>
      <c r="AZ15" s="106">
        <f t="shared" si="30"/>
        <v>1758.9</v>
      </c>
      <c r="BA15" s="106">
        <f>SUM(BA9:BA14)</f>
        <v>1932.1</v>
      </c>
      <c r="BB15" s="106">
        <f>SUM(BB9:BB14)</f>
        <v>1952.7</v>
      </c>
      <c r="BC15" s="107">
        <f t="shared" si="30"/>
        <v>1891.5</v>
      </c>
      <c r="BD15" s="106">
        <f t="shared" si="30"/>
        <v>1901.7</v>
      </c>
      <c r="BE15" s="106">
        <f>SUM(BE9:BE14)</f>
        <v>1921.8</v>
      </c>
      <c r="BF15" s="106">
        <f>SUM(BF9:BF14)</f>
        <v>2802.3999999999996</v>
      </c>
      <c r="BG15" s="107">
        <f t="shared" ref="BG15" si="31">SUM(BG9:BG14)</f>
        <v>2869.1</v>
      </c>
      <c r="BH15" s="106">
        <f t="shared" ref="BH15:BO15" si="32">SUM(BH9:BH14)</f>
        <v>2609.1</v>
      </c>
      <c r="BI15" s="106">
        <f>SUM(BI9:BI14)</f>
        <v>2764.3</v>
      </c>
      <c r="BJ15" s="106">
        <f>SUM(BJ9:BJ14)</f>
        <v>2815.4</v>
      </c>
      <c r="BK15" s="107">
        <f t="shared" ref="BK15" si="33">SUM(BK9:BK14)</f>
        <v>2933.2</v>
      </c>
      <c r="BL15" s="108">
        <f t="shared" si="32"/>
        <v>3067.0878007813567</v>
      </c>
      <c r="BM15" s="106">
        <f t="shared" si="32"/>
        <v>3306.909188477081</v>
      </c>
      <c r="BN15" s="106">
        <f t="shared" si="32"/>
        <v>3550.6045432811729</v>
      </c>
      <c r="BO15" s="107">
        <f t="shared" si="32"/>
        <v>3771.3136230209179</v>
      </c>
      <c r="BP15" s="108">
        <f t="shared" ref="BP15:BS15" si="34">SUM(BP9:BP14)</f>
        <v>3997.8133320880565</v>
      </c>
      <c r="BQ15" s="106">
        <f t="shared" si="34"/>
        <v>4261.0910991188102</v>
      </c>
      <c r="BR15" s="106">
        <f t="shared" si="34"/>
        <v>4533.3566864470031</v>
      </c>
      <c r="BS15" s="107">
        <f t="shared" si="34"/>
        <v>4788.7913971595308</v>
      </c>
      <c r="BT15" s="108">
        <f t="shared" ref="BT15:BW15" si="35">SUM(BT9:BT14)</f>
        <v>5049.5601486796795</v>
      </c>
      <c r="BU15" s="106">
        <f t="shared" si="35"/>
        <v>5343.0049551264092</v>
      </c>
      <c r="BV15" s="106">
        <f t="shared" si="35"/>
        <v>5645.3328839058095</v>
      </c>
      <c r="BW15" s="107">
        <f t="shared" si="35"/>
        <v>5931.1462791216036</v>
      </c>
      <c r="BX15" s="99"/>
      <c r="BY15" s="106">
        <f t="shared" ref="BY15:CL15" si="36">SUM(BY9:BY14)</f>
        <v>522.9</v>
      </c>
      <c r="BZ15" s="106">
        <f t="shared" si="36"/>
        <v>537</v>
      </c>
      <c r="CA15" s="106">
        <f t="shared" si="36"/>
        <v>600.29999999999995</v>
      </c>
      <c r="CB15" s="106">
        <f t="shared" si="36"/>
        <v>700.80000000000007</v>
      </c>
      <c r="CC15" s="106">
        <f t="shared" si="36"/>
        <v>745.3</v>
      </c>
      <c r="CD15" s="106">
        <f t="shared" si="36"/>
        <v>1050.5</v>
      </c>
      <c r="CE15" s="106">
        <f t="shared" si="36"/>
        <v>1168.5999999999999</v>
      </c>
      <c r="CF15" s="106">
        <f t="shared" si="36"/>
        <v>1358</v>
      </c>
      <c r="CG15" s="106">
        <f t="shared" si="36"/>
        <v>2127.6999999999998</v>
      </c>
      <c r="CH15" s="106">
        <f t="shared" si="36"/>
        <v>1693.4</v>
      </c>
      <c r="CI15" s="106">
        <f t="shared" si="36"/>
        <v>1710.2</v>
      </c>
      <c r="CJ15" s="106">
        <f t="shared" si="36"/>
        <v>1805.7999999999997</v>
      </c>
      <c r="CK15" s="106">
        <f t="shared" si="36"/>
        <v>1891.5</v>
      </c>
      <c r="CL15" s="106">
        <f t="shared" si="36"/>
        <v>2869.1</v>
      </c>
      <c r="CM15" s="106">
        <f>SUM(CM9:CM14)</f>
        <v>2933.2</v>
      </c>
      <c r="CN15" s="106">
        <f>SUM(CN9:CN14)</f>
        <v>3771.3136230209179</v>
      </c>
      <c r="CO15" s="106">
        <f>SUM(CO9:CO14)</f>
        <v>4788.7913971595308</v>
      </c>
      <c r="CP15" s="107">
        <f>SUM(CP9:CP14)</f>
        <v>5931.1462791216036</v>
      </c>
      <c r="CQ15" s="1041"/>
    </row>
    <row r="16" spans="1:95" ht="14.25" customHeight="1">
      <c r="A16" s="9"/>
      <c r="B16" s="23"/>
      <c r="C16" s="24"/>
      <c r="D16" s="69"/>
      <c r="E16" s="70"/>
      <c r="F16" s="70"/>
      <c r="G16" s="71"/>
      <c r="H16" s="69"/>
      <c r="I16" s="70"/>
      <c r="J16" s="70"/>
      <c r="K16" s="71"/>
      <c r="L16" s="69"/>
      <c r="M16" s="70"/>
      <c r="N16" s="70"/>
      <c r="O16" s="71"/>
      <c r="P16" s="69"/>
      <c r="Q16" s="70"/>
      <c r="R16" s="70"/>
      <c r="S16" s="71"/>
      <c r="T16" s="69"/>
      <c r="U16" s="70"/>
      <c r="V16" s="70"/>
      <c r="W16" s="71"/>
      <c r="X16" s="69"/>
      <c r="Y16" s="70"/>
      <c r="Z16" s="70"/>
      <c r="AA16" s="71"/>
      <c r="AB16" s="69"/>
      <c r="AC16" s="70"/>
      <c r="AD16" s="70"/>
      <c r="AE16" s="71"/>
      <c r="AF16" s="70"/>
      <c r="AG16" s="70"/>
      <c r="AH16" s="109"/>
      <c r="AI16" s="109"/>
      <c r="AJ16" s="110"/>
      <c r="AK16" s="70"/>
      <c r="AL16" s="109"/>
      <c r="AM16" s="111"/>
      <c r="AN16" s="70"/>
      <c r="AO16" s="521"/>
      <c r="AP16" s="109"/>
      <c r="AQ16" s="111"/>
      <c r="AR16" s="70"/>
      <c r="AS16" s="521"/>
      <c r="AT16" s="109"/>
      <c r="AU16" s="111"/>
      <c r="AV16" s="70"/>
      <c r="AW16" s="521"/>
      <c r="AX16" s="109"/>
      <c r="AY16" s="111"/>
      <c r="AZ16" s="70"/>
      <c r="BA16" s="521"/>
      <c r="BB16" s="109"/>
      <c r="BC16" s="111"/>
      <c r="BD16" s="70"/>
      <c r="BE16" s="521"/>
      <c r="BF16" s="521"/>
      <c r="BG16" s="111"/>
      <c r="BH16" s="70"/>
      <c r="BI16" s="521"/>
      <c r="BJ16" s="521"/>
      <c r="BK16" s="1489">
        <f>BK12/BJ12-1</f>
        <v>5.8794946550048577E-2</v>
      </c>
      <c r="BL16" s="110"/>
      <c r="BM16" s="109"/>
      <c r="BN16" s="109"/>
      <c r="BO16" s="111"/>
      <c r="BP16" s="110"/>
      <c r="BQ16" s="109"/>
      <c r="BR16" s="109"/>
      <c r="BS16" s="111"/>
      <c r="BT16" s="110"/>
      <c r="BU16" s="109"/>
      <c r="BV16" s="109"/>
      <c r="BW16" s="111"/>
      <c r="BX16" s="99"/>
      <c r="BY16" s="67"/>
      <c r="BZ16" s="67"/>
      <c r="CA16" s="67"/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8"/>
      <c r="CQ16" s="1041"/>
    </row>
    <row r="17" spans="1:95" ht="14.25" customHeight="1">
      <c r="A17" s="9"/>
      <c r="B17" s="25" t="s">
        <v>158</v>
      </c>
      <c r="C17" s="26"/>
      <c r="D17" s="69">
        <v>431</v>
      </c>
      <c r="E17" s="70">
        <v>532.70000000000005</v>
      </c>
      <c r="F17" s="70">
        <v>519.9</v>
      </c>
      <c r="G17" s="71">
        <v>499.1</v>
      </c>
      <c r="H17" s="69">
        <v>497.2</v>
      </c>
      <c r="I17" s="70">
        <v>490.1</v>
      </c>
      <c r="J17" s="70">
        <v>479.8</v>
      </c>
      <c r="K17" s="71">
        <v>472</v>
      </c>
      <c r="L17" s="69">
        <v>455.6</v>
      </c>
      <c r="M17" s="70">
        <v>442.7</v>
      </c>
      <c r="N17" s="70">
        <v>433.9</v>
      </c>
      <c r="O17" s="71">
        <v>438.5</v>
      </c>
      <c r="P17" s="69">
        <v>450</v>
      </c>
      <c r="Q17" s="70">
        <v>567.4</v>
      </c>
      <c r="R17" s="70">
        <v>567.1</v>
      </c>
      <c r="S17" s="71">
        <v>578.1</v>
      </c>
      <c r="T17" s="69">
        <v>594.79999999999995</v>
      </c>
      <c r="U17" s="70">
        <v>597.9</v>
      </c>
      <c r="V17" s="70">
        <v>608.5</v>
      </c>
      <c r="W17" s="71">
        <v>614.9</v>
      </c>
      <c r="X17" s="69">
        <v>734.2</v>
      </c>
      <c r="Y17" s="70">
        <v>744.4</v>
      </c>
      <c r="Z17" s="70">
        <v>752.5</v>
      </c>
      <c r="AA17" s="71">
        <v>770.8</v>
      </c>
      <c r="AB17" s="69">
        <v>744.9</v>
      </c>
      <c r="AC17" s="70">
        <v>734.1</v>
      </c>
      <c r="AD17" s="70">
        <v>715.3</v>
      </c>
      <c r="AE17" s="71">
        <v>705.5</v>
      </c>
      <c r="AF17" s="70">
        <v>741.6</v>
      </c>
      <c r="AG17" s="70">
        <v>784.9</v>
      </c>
      <c r="AH17" s="70">
        <v>820.5</v>
      </c>
      <c r="AI17" s="70">
        <v>864.3</v>
      </c>
      <c r="AJ17" s="310">
        <v>1061.3</v>
      </c>
      <c r="AK17" s="70">
        <v>1150.9000000000001</v>
      </c>
      <c r="AL17" s="70">
        <v>1130.8</v>
      </c>
      <c r="AM17" s="71">
        <v>1109.5</v>
      </c>
      <c r="AN17" s="70">
        <v>1155.5</v>
      </c>
      <c r="AO17" s="70">
        <v>1201.4000000000001</v>
      </c>
      <c r="AP17" s="70">
        <v>1231.5999999999999</v>
      </c>
      <c r="AQ17" s="71">
        <v>1103.3</v>
      </c>
      <c r="AR17" s="70">
        <v>1094.2</v>
      </c>
      <c r="AS17" s="70">
        <v>1101.5</v>
      </c>
      <c r="AT17" s="70">
        <v>1092.9000000000001</v>
      </c>
      <c r="AU17" s="71">
        <v>1074.2</v>
      </c>
      <c r="AV17" s="70">
        <v>1081.4000000000001</v>
      </c>
      <c r="AW17" s="70">
        <v>1141.7</v>
      </c>
      <c r="AX17" s="70">
        <v>1211.9000000000001</v>
      </c>
      <c r="AY17" s="71">
        <v>1203.9000000000001</v>
      </c>
      <c r="AZ17" s="70">
        <v>1208.4000000000001</v>
      </c>
      <c r="BA17" s="70">
        <v>1225.5</v>
      </c>
      <c r="BB17" s="70">
        <v>1256.0999999999999</v>
      </c>
      <c r="BC17" s="71">
        <v>1274.0999999999999</v>
      </c>
      <c r="BD17" s="70">
        <v>1270.4000000000001</v>
      </c>
      <c r="BE17" s="70">
        <v>1277.2</v>
      </c>
      <c r="BF17" s="70">
        <v>2074.6</v>
      </c>
      <c r="BG17" s="71">
        <v>2159.1</v>
      </c>
      <c r="BH17" s="70">
        <v>2156.1</v>
      </c>
      <c r="BI17" s="70">
        <v>2215</v>
      </c>
      <c r="BJ17" s="70">
        <v>2238.1999999999998</v>
      </c>
      <c r="BK17" s="71">
        <v>2279.1</v>
      </c>
      <c r="BL17" s="1156">
        <f>CFS!BL85</f>
        <v>2242.2510999342917</v>
      </c>
      <c r="BM17" s="1156">
        <f>CFS!BM85</f>
        <v>2206.6105745598643</v>
      </c>
      <c r="BN17" s="1156">
        <f>CFS!BN85</f>
        <v>2170.5055663967337</v>
      </c>
      <c r="BO17" s="1157">
        <f>CFS!BO85</f>
        <v>2130.1065167319694</v>
      </c>
      <c r="BP17" s="1156">
        <f>CFS!BP85</f>
        <v>2086.5938115854046</v>
      </c>
      <c r="BQ17" s="1156">
        <f>CFS!BQ85</f>
        <v>2043.8579109538764</v>
      </c>
      <c r="BR17" s="1156">
        <f>CFS!BR85</f>
        <v>2000.4621386786016</v>
      </c>
      <c r="BS17" s="1157">
        <f>CFS!BS85</f>
        <v>1952.6536084231434</v>
      </c>
      <c r="BT17" s="1156">
        <f>CFS!BT85</f>
        <v>1901.7554461919963</v>
      </c>
      <c r="BU17" s="1156">
        <f>CFS!BU85</f>
        <v>1851.654549274464</v>
      </c>
      <c r="BV17" s="1156">
        <f>CFS!BV85</f>
        <v>1800.7751753055209</v>
      </c>
      <c r="BW17" s="1157">
        <f>CFS!BW85</f>
        <v>1745.3582836690398</v>
      </c>
      <c r="BX17" s="99"/>
      <c r="BY17" s="66">
        <f t="shared" ref="BY17:BY22" si="37">G17</f>
        <v>499.1</v>
      </c>
      <c r="BZ17" s="67">
        <f t="shared" ref="BZ17:BZ22" si="38">K17</f>
        <v>472</v>
      </c>
      <c r="CA17" s="67">
        <f t="shared" ref="CA17:CA22" si="39">O17</f>
        <v>438.5</v>
      </c>
      <c r="CB17" s="67">
        <f t="shared" ref="CB17:CB22" si="40">S17</f>
        <v>578.1</v>
      </c>
      <c r="CC17" s="67">
        <f t="shared" ref="CC17:CC22" si="41">W17</f>
        <v>614.9</v>
      </c>
      <c r="CD17" s="67">
        <f t="shared" ref="CD17:CD22" si="42">AA17</f>
        <v>770.8</v>
      </c>
      <c r="CE17" s="67">
        <f t="shared" ref="CE17:CE22" si="43">AE17</f>
        <v>705.5</v>
      </c>
      <c r="CF17" s="67">
        <f t="shared" ref="CF17:CF22" si="44">AI17</f>
        <v>864.3</v>
      </c>
      <c r="CG17" s="67">
        <f t="shared" ref="CG17:CG22" si="45">AM17</f>
        <v>1109.5</v>
      </c>
      <c r="CH17" s="67">
        <f t="shared" ref="CH17:CH22" si="46">AQ17</f>
        <v>1103.3</v>
      </c>
      <c r="CI17" s="67">
        <f t="shared" ref="CI17:CI22" si="47">AU17</f>
        <v>1074.2</v>
      </c>
      <c r="CJ17" s="67">
        <f t="shared" ref="CJ17:CJ22" si="48">AY17</f>
        <v>1203.9000000000001</v>
      </c>
      <c r="CK17" s="67">
        <f t="shared" ref="CK17:CK22" si="49">BC17</f>
        <v>1274.0999999999999</v>
      </c>
      <c r="CL17" s="67">
        <f t="shared" ref="CL17:CL22" si="50">BG17</f>
        <v>2159.1</v>
      </c>
      <c r="CM17" s="67">
        <f t="shared" ref="CM17:CM22" si="51">BK17</f>
        <v>2279.1</v>
      </c>
      <c r="CN17" s="67">
        <f t="shared" ref="CN17:CN22" si="52">BO17</f>
        <v>2130.1065167319694</v>
      </c>
      <c r="CO17" s="67">
        <f t="shared" ref="CO17:CO22" si="53">BS17</f>
        <v>1952.6536084231434</v>
      </c>
      <c r="CP17" s="68">
        <f t="shared" ref="CP17:CP22" si="54">BW17</f>
        <v>1745.3582836690398</v>
      </c>
      <c r="CQ17" s="1041"/>
    </row>
    <row r="18" spans="1:95" ht="14.25" customHeight="1">
      <c r="A18" s="9"/>
      <c r="B18" s="25" t="s">
        <v>43</v>
      </c>
      <c r="C18" s="26"/>
      <c r="D18" s="69">
        <v>0</v>
      </c>
      <c r="E18" s="70">
        <v>0</v>
      </c>
      <c r="F18" s="70">
        <v>1.9</v>
      </c>
      <c r="G18" s="71">
        <v>1.3</v>
      </c>
      <c r="H18" s="69">
        <v>1.7</v>
      </c>
      <c r="I18" s="70">
        <v>2</v>
      </c>
      <c r="J18" s="70">
        <v>1.6</v>
      </c>
      <c r="K18" s="71">
        <v>0</v>
      </c>
      <c r="L18" s="69">
        <v>0</v>
      </c>
      <c r="M18" s="70">
        <v>0</v>
      </c>
      <c r="N18" s="70">
        <v>0</v>
      </c>
      <c r="O18" s="71">
        <v>0</v>
      </c>
      <c r="P18" s="69">
        <v>1.6</v>
      </c>
      <c r="Q18" s="70">
        <v>0.7</v>
      </c>
      <c r="R18" s="70">
        <v>0</v>
      </c>
      <c r="S18" s="71">
        <v>0</v>
      </c>
      <c r="T18" s="69">
        <v>0</v>
      </c>
      <c r="U18" s="70">
        <v>0</v>
      </c>
      <c r="V18" s="70">
        <v>0</v>
      </c>
      <c r="W18" s="71">
        <v>0</v>
      </c>
      <c r="X18" s="69">
        <v>0</v>
      </c>
      <c r="Y18" s="70">
        <v>0</v>
      </c>
      <c r="Z18" s="70">
        <v>0</v>
      </c>
      <c r="AA18" s="71">
        <v>0</v>
      </c>
      <c r="AB18" s="69">
        <v>0</v>
      </c>
      <c r="AC18" s="70">
        <v>0</v>
      </c>
      <c r="AD18" s="70">
        <v>0</v>
      </c>
      <c r="AE18" s="71">
        <v>0</v>
      </c>
      <c r="AF18" s="70">
        <v>0</v>
      </c>
      <c r="AG18" s="70">
        <v>0</v>
      </c>
      <c r="AH18" s="70">
        <v>0</v>
      </c>
      <c r="AI18" s="71">
        <v>0</v>
      </c>
      <c r="AJ18" s="70">
        <v>62.3</v>
      </c>
      <c r="AK18" s="70">
        <v>67.400000000000006</v>
      </c>
      <c r="AL18" s="70">
        <v>72.2</v>
      </c>
      <c r="AM18" s="71">
        <v>34.200000000000003</v>
      </c>
      <c r="AN18" s="70">
        <v>30.1</v>
      </c>
      <c r="AO18" s="70">
        <v>33.1</v>
      </c>
      <c r="AP18" s="70">
        <v>34.6</v>
      </c>
      <c r="AQ18" s="71">
        <v>31.2</v>
      </c>
      <c r="AR18" s="70">
        <v>31.6</v>
      </c>
      <c r="AS18" s="70">
        <v>38.9</v>
      </c>
      <c r="AT18" s="70">
        <v>37.9</v>
      </c>
      <c r="AU18" s="71">
        <v>0</v>
      </c>
      <c r="AV18" s="70">
        <v>0</v>
      </c>
      <c r="AW18" s="70">
        <v>0</v>
      </c>
      <c r="AX18" s="70">
        <v>0</v>
      </c>
      <c r="AY18" s="71">
        <v>0</v>
      </c>
      <c r="AZ18" s="70">
        <v>0</v>
      </c>
      <c r="BA18" s="70">
        <v>0</v>
      </c>
      <c r="BB18" s="70">
        <v>0</v>
      </c>
      <c r="BC18" s="71">
        <v>0</v>
      </c>
      <c r="BD18" s="70">
        <v>0</v>
      </c>
      <c r="BE18" s="70">
        <f t="shared" ref="BE18:BI18" si="55">BD18</f>
        <v>0</v>
      </c>
      <c r="BF18" s="70">
        <f t="shared" si="55"/>
        <v>0</v>
      </c>
      <c r="BG18" s="71">
        <v>0</v>
      </c>
      <c r="BH18" s="70">
        <v>0</v>
      </c>
      <c r="BI18" s="70">
        <f t="shared" si="55"/>
        <v>0</v>
      </c>
      <c r="BJ18" s="70">
        <v>0</v>
      </c>
      <c r="BK18" s="71">
        <v>0</v>
      </c>
      <c r="BL18" s="66">
        <f t="shared" ref="BL18:BS18" si="56">BK18</f>
        <v>0</v>
      </c>
      <c r="BM18" s="67">
        <f t="shared" si="56"/>
        <v>0</v>
      </c>
      <c r="BN18" s="67">
        <f t="shared" si="56"/>
        <v>0</v>
      </c>
      <c r="BO18" s="68">
        <f t="shared" si="56"/>
        <v>0</v>
      </c>
      <c r="BP18" s="66">
        <f t="shared" si="56"/>
        <v>0</v>
      </c>
      <c r="BQ18" s="67">
        <f t="shared" si="56"/>
        <v>0</v>
      </c>
      <c r="BR18" s="67">
        <f t="shared" si="56"/>
        <v>0</v>
      </c>
      <c r="BS18" s="67">
        <f t="shared" si="56"/>
        <v>0</v>
      </c>
      <c r="BT18" s="66">
        <f t="shared" ref="BT18" si="57">BS18</f>
        <v>0</v>
      </c>
      <c r="BU18" s="67">
        <f t="shared" ref="BU18" si="58">BT18</f>
        <v>0</v>
      </c>
      <c r="BV18" s="67">
        <f t="shared" ref="BV18" si="59">BU18</f>
        <v>0</v>
      </c>
      <c r="BW18" s="67">
        <f t="shared" ref="BW18" si="60">BV18</f>
        <v>0</v>
      </c>
      <c r="BX18" s="99"/>
      <c r="BY18" s="66">
        <f t="shared" si="37"/>
        <v>1.3</v>
      </c>
      <c r="BZ18" s="67">
        <f t="shared" si="38"/>
        <v>0</v>
      </c>
      <c r="CA18" s="67">
        <f t="shared" si="39"/>
        <v>0</v>
      </c>
      <c r="CB18" s="67">
        <f t="shared" si="40"/>
        <v>0</v>
      </c>
      <c r="CC18" s="67">
        <f t="shared" si="41"/>
        <v>0</v>
      </c>
      <c r="CD18" s="67">
        <f t="shared" si="42"/>
        <v>0</v>
      </c>
      <c r="CE18" s="67">
        <f t="shared" si="43"/>
        <v>0</v>
      </c>
      <c r="CF18" s="67">
        <f t="shared" si="44"/>
        <v>0</v>
      </c>
      <c r="CG18" s="67">
        <f t="shared" si="45"/>
        <v>34.200000000000003</v>
      </c>
      <c r="CH18" s="67">
        <f t="shared" si="46"/>
        <v>31.2</v>
      </c>
      <c r="CI18" s="67">
        <f t="shared" si="47"/>
        <v>0</v>
      </c>
      <c r="CJ18" s="67">
        <f t="shared" si="48"/>
        <v>0</v>
      </c>
      <c r="CK18" s="67">
        <f t="shared" si="49"/>
        <v>0</v>
      </c>
      <c r="CL18" s="67">
        <f t="shared" si="50"/>
        <v>0</v>
      </c>
      <c r="CM18" s="67">
        <f t="shared" si="51"/>
        <v>0</v>
      </c>
      <c r="CN18" s="67">
        <f t="shared" si="52"/>
        <v>0</v>
      </c>
      <c r="CO18" s="67">
        <f t="shared" si="53"/>
        <v>0</v>
      </c>
      <c r="CP18" s="68">
        <f t="shared" si="54"/>
        <v>0</v>
      </c>
      <c r="CQ18" s="1041"/>
    </row>
    <row r="19" spans="1:95" ht="14.25" customHeight="1">
      <c r="A19" s="9"/>
      <c r="B19" s="25" t="s">
        <v>316</v>
      </c>
      <c r="C19" s="26"/>
      <c r="D19" s="69">
        <v>0</v>
      </c>
      <c r="E19" s="70">
        <v>0</v>
      </c>
      <c r="F19" s="70">
        <v>0</v>
      </c>
      <c r="G19" s="71">
        <v>0</v>
      </c>
      <c r="H19" s="69">
        <v>0</v>
      </c>
      <c r="I19" s="70">
        <v>0</v>
      </c>
      <c r="J19" s="70">
        <v>0</v>
      </c>
      <c r="K19" s="71">
        <v>0</v>
      </c>
      <c r="L19" s="69">
        <v>0</v>
      </c>
      <c r="M19" s="70">
        <v>0</v>
      </c>
      <c r="N19" s="70">
        <v>0</v>
      </c>
      <c r="O19" s="71">
        <v>0</v>
      </c>
      <c r="P19" s="69">
        <v>0</v>
      </c>
      <c r="Q19" s="70">
        <v>0</v>
      </c>
      <c r="R19" s="70">
        <v>0</v>
      </c>
      <c r="S19" s="71">
        <v>0</v>
      </c>
      <c r="T19" s="69">
        <v>0</v>
      </c>
      <c r="U19" s="70">
        <v>0</v>
      </c>
      <c r="V19" s="70">
        <v>0</v>
      </c>
      <c r="W19" s="71">
        <v>0</v>
      </c>
      <c r="X19" s="69">
        <v>0</v>
      </c>
      <c r="Y19" s="70">
        <v>0</v>
      </c>
      <c r="Z19" s="70">
        <v>0</v>
      </c>
      <c r="AA19" s="71">
        <v>0</v>
      </c>
      <c r="AB19" s="69">
        <v>0</v>
      </c>
      <c r="AC19" s="70">
        <v>0</v>
      </c>
      <c r="AD19" s="70">
        <v>0</v>
      </c>
      <c r="AE19" s="71">
        <v>5.9</v>
      </c>
      <c r="AF19" s="70">
        <v>0.2</v>
      </c>
      <c r="AG19" s="70">
        <v>0</v>
      </c>
      <c r="AH19" s="70">
        <v>0</v>
      </c>
      <c r="AI19" s="70">
        <v>142.1</v>
      </c>
      <c r="AJ19" s="310">
        <v>0</v>
      </c>
      <c r="AK19" s="70">
        <v>0</v>
      </c>
      <c r="AL19" s="70">
        <v>0</v>
      </c>
      <c r="AM19" s="71">
        <v>0</v>
      </c>
      <c r="AN19" s="70">
        <v>0</v>
      </c>
      <c r="AO19" s="70">
        <v>0</v>
      </c>
      <c r="AP19" s="70">
        <v>0</v>
      </c>
      <c r="AQ19" s="71">
        <v>0</v>
      </c>
      <c r="AR19" s="70">
        <v>0</v>
      </c>
      <c r="AS19" s="70">
        <v>0</v>
      </c>
      <c r="AT19" s="70">
        <v>0</v>
      </c>
      <c r="AU19" s="71">
        <v>0</v>
      </c>
      <c r="AV19" s="70">
        <v>0</v>
      </c>
      <c r="AW19" s="70">
        <v>0</v>
      </c>
      <c r="AX19" s="70">
        <v>0</v>
      </c>
      <c r="AY19" s="71">
        <v>0</v>
      </c>
      <c r="AZ19" s="70">
        <v>0</v>
      </c>
      <c r="BA19" s="70">
        <v>0</v>
      </c>
      <c r="BB19" s="70">
        <v>0</v>
      </c>
      <c r="BC19" s="71">
        <v>0</v>
      </c>
      <c r="BD19" s="70">
        <v>0</v>
      </c>
      <c r="BE19" s="70">
        <v>2235.8000000000002</v>
      </c>
      <c r="BF19" s="70">
        <v>0</v>
      </c>
      <c r="BG19" s="71">
        <v>0</v>
      </c>
      <c r="BH19" s="70">
        <v>0</v>
      </c>
      <c r="BI19" s="70">
        <v>0</v>
      </c>
      <c r="BJ19" s="70">
        <v>0</v>
      </c>
      <c r="BK19" s="71">
        <v>0</v>
      </c>
      <c r="BL19" s="1156">
        <f>BK19-CFS!BL47</f>
        <v>0</v>
      </c>
      <c r="BM19" s="1156">
        <f>BL19-CFS!BM47</f>
        <v>0</v>
      </c>
      <c r="BN19" s="1156">
        <f>BM19-CFS!BN47</f>
        <v>0</v>
      </c>
      <c r="BO19" s="1157">
        <f>BN19-CFS!BO47</f>
        <v>0</v>
      </c>
      <c r="BP19" s="1156">
        <f>BO19-CFS!BP47</f>
        <v>0</v>
      </c>
      <c r="BQ19" s="1156">
        <f>BP19-CFS!BQ47</f>
        <v>0</v>
      </c>
      <c r="BR19" s="1156">
        <f>BQ19-CFS!BR47</f>
        <v>0</v>
      </c>
      <c r="BS19" s="1157">
        <f>BR19-CFS!BS47</f>
        <v>0</v>
      </c>
      <c r="BT19" s="1156">
        <f>BS19-CFS!BT47</f>
        <v>0</v>
      </c>
      <c r="BU19" s="1156">
        <f>BT19-CFS!BU47</f>
        <v>0</v>
      </c>
      <c r="BV19" s="1156">
        <f>BU19-CFS!BV47</f>
        <v>0</v>
      </c>
      <c r="BW19" s="1157">
        <f>BV19-CFS!BW47</f>
        <v>0</v>
      </c>
      <c r="BX19" s="99"/>
      <c r="BY19" s="66">
        <f t="shared" si="37"/>
        <v>0</v>
      </c>
      <c r="BZ19" s="67">
        <f t="shared" si="38"/>
        <v>0</v>
      </c>
      <c r="CA19" s="67">
        <f t="shared" si="39"/>
        <v>0</v>
      </c>
      <c r="CB19" s="67">
        <f t="shared" si="40"/>
        <v>0</v>
      </c>
      <c r="CC19" s="67">
        <f t="shared" si="41"/>
        <v>0</v>
      </c>
      <c r="CD19" s="67">
        <f t="shared" si="42"/>
        <v>0</v>
      </c>
      <c r="CE19" s="67">
        <f t="shared" si="43"/>
        <v>5.9</v>
      </c>
      <c r="CF19" s="67">
        <f t="shared" si="44"/>
        <v>142.1</v>
      </c>
      <c r="CG19" s="67">
        <f t="shared" si="45"/>
        <v>0</v>
      </c>
      <c r="CH19" s="67">
        <f t="shared" si="46"/>
        <v>0</v>
      </c>
      <c r="CI19" s="67">
        <f t="shared" si="47"/>
        <v>0</v>
      </c>
      <c r="CJ19" s="67">
        <f t="shared" si="48"/>
        <v>0</v>
      </c>
      <c r="CK19" s="67">
        <f t="shared" si="49"/>
        <v>0</v>
      </c>
      <c r="CL19" s="67">
        <f t="shared" si="50"/>
        <v>0</v>
      </c>
      <c r="CM19" s="67">
        <f t="shared" si="51"/>
        <v>0</v>
      </c>
      <c r="CN19" s="67">
        <f t="shared" si="52"/>
        <v>0</v>
      </c>
      <c r="CO19" s="67">
        <f t="shared" si="53"/>
        <v>0</v>
      </c>
      <c r="CP19" s="68">
        <f t="shared" si="54"/>
        <v>0</v>
      </c>
      <c r="CQ19" s="1041"/>
    </row>
    <row r="20" spans="1:95" ht="14.25" customHeight="1">
      <c r="A20" s="9"/>
      <c r="B20" s="25" t="s">
        <v>159</v>
      </c>
      <c r="C20" s="26"/>
      <c r="D20" s="69">
        <v>77.3</v>
      </c>
      <c r="E20" s="70">
        <v>77.3</v>
      </c>
      <c r="F20" s="70">
        <v>77.3</v>
      </c>
      <c r="G20" s="71">
        <v>77.3</v>
      </c>
      <c r="H20" s="69">
        <v>77.3</v>
      </c>
      <c r="I20" s="70">
        <v>77.3</v>
      </c>
      <c r="J20" s="70">
        <v>77.3</v>
      </c>
      <c r="K20" s="71">
        <v>77.3</v>
      </c>
      <c r="L20" s="69">
        <v>77.3</v>
      </c>
      <c r="M20" s="70">
        <v>77.3</v>
      </c>
      <c r="N20" s="70">
        <v>77.3</v>
      </c>
      <c r="O20" s="71">
        <v>77.3</v>
      </c>
      <c r="P20" s="69">
        <v>77.3</v>
      </c>
      <c r="Q20" s="70">
        <v>77.3</v>
      </c>
      <c r="R20" s="70">
        <v>80.7</v>
      </c>
      <c r="S20" s="71">
        <v>80.7</v>
      </c>
      <c r="T20" s="69">
        <v>81.099999999999994</v>
      </c>
      <c r="U20" s="70">
        <v>81.099999999999994</v>
      </c>
      <c r="V20" s="70">
        <v>81.099999999999994</v>
      </c>
      <c r="W20" s="71">
        <v>172.4</v>
      </c>
      <c r="X20" s="69">
        <v>730.1</v>
      </c>
      <c r="Y20" s="70">
        <v>725.8</v>
      </c>
      <c r="Z20" s="70">
        <v>719</v>
      </c>
      <c r="AA20" s="71">
        <v>160.19999999999999</v>
      </c>
      <c r="AB20" s="69">
        <v>160.4</v>
      </c>
      <c r="AC20" s="70">
        <v>160.5</v>
      </c>
      <c r="AD20" s="70">
        <v>162.4</v>
      </c>
      <c r="AE20" s="71">
        <v>175.4</v>
      </c>
      <c r="AF20" s="70">
        <v>191.7</v>
      </c>
      <c r="AG20" s="70">
        <v>197.3</v>
      </c>
      <c r="AH20" s="70">
        <v>198.2</v>
      </c>
      <c r="AI20" s="70">
        <v>191.2</v>
      </c>
      <c r="AJ20" s="310">
        <v>199.2</v>
      </c>
      <c r="AK20" s="70">
        <v>199.2</v>
      </c>
      <c r="AL20" s="70">
        <v>199.2</v>
      </c>
      <c r="AM20" s="71">
        <v>198.7</v>
      </c>
      <c r="AN20" s="70">
        <v>198.7</v>
      </c>
      <c r="AO20" s="70">
        <v>198.7</v>
      </c>
      <c r="AP20" s="70">
        <v>198.7</v>
      </c>
      <c r="AQ20" s="71">
        <v>184.6</v>
      </c>
      <c r="AR20" s="70">
        <v>184.6</v>
      </c>
      <c r="AS20" s="70">
        <v>184.6</v>
      </c>
      <c r="AT20" s="70">
        <v>184.6</v>
      </c>
      <c r="AU20" s="71">
        <v>184.6</v>
      </c>
      <c r="AV20" s="70">
        <v>184.6</v>
      </c>
      <c r="AW20" s="70">
        <v>211.6</v>
      </c>
      <c r="AX20" s="70">
        <v>275.3</v>
      </c>
      <c r="AY20" s="71">
        <v>264.7</v>
      </c>
      <c r="AZ20" s="70">
        <v>263.8</v>
      </c>
      <c r="BA20" s="70">
        <v>263.8</v>
      </c>
      <c r="BB20" s="70">
        <v>271.3</v>
      </c>
      <c r="BC20" s="71">
        <v>270.60000000000002</v>
      </c>
      <c r="BD20" s="70">
        <v>270.60000000000002</v>
      </c>
      <c r="BE20" s="70">
        <v>270.60000000000002</v>
      </c>
      <c r="BF20" s="70">
        <v>1000.8</v>
      </c>
      <c r="BG20" s="71">
        <v>930.1</v>
      </c>
      <c r="BH20" s="70">
        <v>924.7</v>
      </c>
      <c r="BI20" s="70">
        <v>924.7</v>
      </c>
      <c r="BJ20" s="70">
        <v>916.9</v>
      </c>
      <c r="BK20" s="71">
        <v>916.9</v>
      </c>
      <c r="BL20" s="1156">
        <f>BK20-CFS!BL22-CFS!BL44</f>
        <v>916.9</v>
      </c>
      <c r="BM20" s="1156">
        <f>BL20-CFS!BM22-CFS!BM44</f>
        <v>916.9</v>
      </c>
      <c r="BN20" s="1156">
        <f>BM20-CFS!BN22-CFS!BN44</f>
        <v>916.9</v>
      </c>
      <c r="BO20" s="1157">
        <f>BN20-CFS!BO22-CFS!BO44</f>
        <v>916.9</v>
      </c>
      <c r="BP20" s="1156">
        <f>BO20-CFS!BP22-CFS!BP44</f>
        <v>916.9</v>
      </c>
      <c r="BQ20" s="1156">
        <f>BP20-CFS!BQ22-CFS!BQ44</f>
        <v>916.9</v>
      </c>
      <c r="BR20" s="1156">
        <f>BQ20-CFS!BR22-CFS!BR44</f>
        <v>916.9</v>
      </c>
      <c r="BS20" s="1157">
        <f>BR20-CFS!BS22-CFS!BS44</f>
        <v>916.9</v>
      </c>
      <c r="BT20" s="1156">
        <f>BS20-CFS!BT22-CFS!BT44</f>
        <v>916.9</v>
      </c>
      <c r="BU20" s="1156">
        <f>BT20-CFS!BU22-CFS!BU44</f>
        <v>916.9</v>
      </c>
      <c r="BV20" s="1156">
        <f>BU20-CFS!BV22-CFS!BV44</f>
        <v>916.9</v>
      </c>
      <c r="BW20" s="1157">
        <f>BV20-CFS!BW22-CFS!BW44</f>
        <v>916.9</v>
      </c>
      <c r="BX20" s="99"/>
      <c r="BY20" s="66">
        <f t="shared" si="37"/>
        <v>77.3</v>
      </c>
      <c r="BZ20" s="67">
        <f t="shared" si="38"/>
        <v>77.3</v>
      </c>
      <c r="CA20" s="67">
        <f t="shared" si="39"/>
        <v>77.3</v>
      </c>
      <c r="CB20" s="67">
        <f t="shared" si="40"/>
        <v>80.7</v>
      </c>
      <c r="CC20" s="67">
        <f t="shared" si="41"/>
        <v>172.4</v>
      </c>
      <c r="CD20" s="67">
        <f t="shared" si="42"/>
        <v>160.19999999999999</v>
      </c>
      <c r="CE20" s="67">
        <f t="shared" si="43"/>
        <v>175.4</v>
      </c>
      <c r="CF20" s="67">
        <f t="shared" si="44"/>
        <v>191.2</v>
      </c>
      <c r="CG20" s="67">
        <f t="shared" si="45"/>
        <v>198.7</v>
      </c>
      <c r="CH20" s="67">
        <f t="shared" si="46"/>
        <v>184.6</v>
      </c>
      <c r="CI20" s="67">
        <f t="shared" si="47"/>
        <v>184.6</v>
      </c>
      <c r="CJ20" s="67">
        <f t="shared" si="48"/>
        <v>264.7</v>
      </c>
      <c r="CK20" s="67">
        <f t="shared" si="49"/>
        <v>270.60000000000002</v>
      </c>
      <c r="CL20" s="67">
        <f t="shared" si="50"/>
        <v>930.1</v>
      </c>
      <c r="CM20" s="67">
        <f t="shared" si="51"/>
        <v>916.9</v>
      </c>
      <c r="CN20" s="67">
        <f t="shared" si="52"/>
        <v>916.9</v>
      </c>
      <c r="CO20" s="67">
        <f t="shared" si="53"/>
        <v>916.9</v>
      </c>
      <c r="CP20" s="68">
        <f t="shared" si="54"/>
        <v>916.9</v>
      </c>
      <c r="CQ20" s="1041"/>
    </row>
    <row r="21" spans="1:95" ht="14.25" customHeight="1">
      <c r="A21" s="9"/>
      <c r="B21" s="25" t="s">
        <v>51</v>
      </c>
      <c r="C21" s="26"/>
      <c r="D21" s="69">
        <v>23.7</v>
      </c>
      <c r="E21" s="70">
        <v>0</v>
      </c>
      <c r="F21" s="70">
        <v>0</v>
      </c>
      <c r="G21" s="71">
        <v>0</v>
      </c>
      <c r="H21" s="69">
        <v>0</v>
      </c>
      <c r="I21" s="70">
        <v>0</v>
      </c>
      <c r="J21" s="70">
        <v>0</v>
      </c>
      <c r="K21" s="71">
        <v>0</v>
      </c>
      <c r="L21" s="69">
        <v>0</v>
      </c>
      <c r="M21" s="70">
        <v>0</v>
      </c>
      <c r="N21" s="70">
        <v>0</v>
      </c>
      <c r="O21" s="71">
        <v>0</v>
      </c>
      <c r="P21" s="69">
        <v>0</v>
      </c>
      <c r="Q21" s="70">
        <v>11.6</v>
      </c>
      <c r="R21" s="70">
        <v>11.2</v>
      </c>
      <c r="S21" s="71">
        <v>10.4</v>
      </c>
      <c r="T21" s="69">
        <v>9.8000000000000007</v>
      </c>
      <c r="U21" s="70">
        <v>9.1999999999999993</v>
      </c>
      <c r="V21" s="70">
        <v>8.6999999999999993</v>
      </c>
      <c r="W21" s="71">
        <v>57.5</v>
      </c>
      <c r="X21" s="69">
        <v>343.6</v>
      </c>
      <c r="Y21" s="70">
        <v>334.5</v>
      </c>
      <c r="Z21" s="70">
        <v>317.2</v>
      </c>
      <c r="AA21" s="71">
        <v>333.4</v>
      </c>
      <c r="AB21" s="69">
        <v>314.39999999999998</v>
      </c>
      <c r="AC21" s="70">
        <v>306.60000000000002</v>
      </c>
      <c r="AD21" s="70">
        <v>298.7</v>
      </c>
      <c r="AE21" s="71">
        <v>298.7</v>
      </c>
      <c r="AF21" s="70">
        <v>330.6</v>
      </c>
      <c r="AG21" s="70">
        <v>327.3</v>
      </c>
      <c r="AH21" s="70">
        <v>318.60000000000002</v>
      </c>
      <c r="AI21" s="70">
        <v>303</v>
      </c>
      <c r="AJ21" s="310">
        <v>370.7</v>
      </c>
      <c r="AK21" s="70">
        <v>359</v>
      </c>
      <c r="AL21" s="70">
        <v>348.3</v>
      </c>
      <c r="AM21" s="71">
        <v>337.2</v>
      </c>
      <c r="AN21" s="70">
        <v>325.8</v>
      </c>
      <c r="AO21" s="70">
        <v>314.8</v>
      </c>
      <c r="AP21" s="70">
        <v>303.89999999999998</v>
      </c>
      <c r="AQ21" s="71">
        <v>257</v>
      </c>
      <c r="AR21" s="70">
        <v>248.5</v>
      </c>
      <c r="AS21" s="70">
        <v>240.1</v>
      </c>
      <c r="AT21" s="70">
        <v>231.8</v>
      </c>
      <c r="AU21" s="71">
        <v>223.4</v>
      </c>
      <c r="AV21" s="70">
        <v>215.3</v>
      </c>
      <c r="AW21" s="70">
        <v>245.5</v>
      </c>
      <c r="AX21" s="70">
        <v>480.4</v>
      </c>
      <c r="AY21" s="71">
        <v>457.6</v>
      </c>
      <c r="AZ21" s="70">
        <v>424.6</v>
      </c>
      <c r="BA21" s="70">
        <v>387.3</v>
      </c>
      <c r="BB21" s="70">
        <v>360.1</v>
      </c>
      <c r="BC21" s="71">
        <v>325.8</v>
      </c>
      <c r="BD21" s="70">
        <v>302.3</v>
      </c>
      <c r="BE21" s="70">
        <v>276.8</v>
      </c>
      <c r="BF21" s="70">
        <v>778.1</v>
      </c>
      <c r="BG21" s="71">
        <v>756.7</v>
      </c>
      <c r="BH21" s="70">
        <v>730.5</v>
      </c>
      <c r="BI21" s="70">
        <v>708.6</v>
      </c>
      <c r="BJ21" s="70">
        <v>662.5</v>
      </c>
      <c r="BK21" s="71">
        <v>628.29999999999995</v>
      </c>
      <c r="BL21" s="1156">
        <f>BK21-CFS!BL12</f>
        <v>598.29999999999995</v>
      </c>
      <c r="BM21" s="1156">
        <f>BL21-CFS!BM12</f>
        <v>598.29999999999995</v>
      </c>
      <c r="BN21" s="1156">
        <f>BM21-CFS!BN12</f>
        <v>598.29999999999995</v>
      </c>
      <c r="BO21" s="1157">
        <f>BN21-CFS!BO12</f>
        <v>598.29999999999995</v>
      </c>
      <c r="BP21" s="1156">
        <f>BO21-CFS!BP12</f>
        <v>598.29999999999995</v>
      </c>
      <c r="BQ21" s="1156">
        <f>BP21-CFS!BQ12</f>
        <v>598.29999999999995</v>
      </c>
      <c r="BR21" s="1156">
        <f>BQ21-CFS!BR12</f>
        <v>598.29999999999995</v>
      </c>
      <c r="BS21" s="1157">
        <f>BR21-CFS!BS12</f>
        <v>598.29999999999995</v>
      </c>
      <c r="BT21" s="1156">
        <f>BS21-CFS!BT12</f>
        <v>598.29999999999995</v>
      </c>
      <c r="BU21" s="1156">
        <f>BT21-CFS!BU12</f>
        <v>598.29999999999995</v>
      </c>
      <c r="BV21" s="1156">
        <f>BU21-CFS!BV12</f>
        <v>598.29999999999995</v>
      </c>
      <c r="BW21" s="1157">
        <f>BV21-CFS!BW12</f>
        <v>598.29999999999995</v>
      </c>
      <c r="BX21" s="99"/>
      <c r="BY21" s="66">
        <f t="shared" si="37"/>
        <v>0</v>
      </c>
      <c r="BZ21" s="67">
        <f t="shared" si="38"/>
        <v>0</v>
      </c>
      <c r="CA21" s="67">
        <f t="shared" si="39"/>
        <v>0</v>
      </c>
      <c r="CB21" s="67">
        <f t="shared" si="40"/>
        <v>10.4</v>
      </c>
      <c r="CC21" s="67">
        <f t="shared" si="41"/>
        <v>57.5</v>
      </c>
      <c r="CD21" s="67">
        <f t="shared" si="42"/>
        <v>333.4</v>
      </c>
      <c r="CE21" s="67">
        <f t="shared" si="43"/>
        <v>298.7</v>
      </c>
      <c r="CF21" s="67">
        <f t="shared" si="44"/>
        <v>303</v>
      </c>
      <c r="CG21" s="67">
        <f t="shared" si="45"/>
        <v>337.2</v>
      </c>
      <c r="CH21" s="67">
        <f t="shared" si="46"/>
        <v>257</v>
      </c>
      <c r="CI21" s="67">
        <f t="shared" si="47"/>
        <v>223.4</v>
      </c>
      <c r="CJ21" s="67">
        <f t="shared" si="48"/>
        <v>457.6</v>
      </c>
      <c r="CK21" s="67">
        <f t="shared" si="49"/>
        <v>325.8</v>
      </c>
      <c r="CL21" s="67">
        <f t="shared" si="50"/>
        <v>756.7</v>
      </c>
      <c r="CM21" s="67">
        <f t="shared" si="51"/>
        <v>628.29999999999995</v>
      </c>
      <c r="CN21" s="67">
        <f t="shared" si="52"/>
        <v>598.29999999999995</v>
      </c>
      <c r="CO21" s="67">
        <f t="shared" si="53"/>
        <v>598.29999999999995</v>
      </c>
      <c r="CP21" s="68">
        <f t="shared" si="54"/>
        <v>598.29999999999995</v>
      </c>
      <c r="CQ21" s="1041"/>
    </row>
    <row r="22" spans="1:95" ht="14.25" customHeight="1">
      <c r="A22" s="9"/>
      <c r="B22" s="25" t="s">
        <v>355</v>
      </c>
      <c r="C22" s="26"/>
      <c r="D22" s="69">
        <f>42.8+100.7</f>
        <v>143.5</v>
      </c>
      <c r="E22" s="70">
        <v>40.200000000000003</v>
      </c>
      <c r="F22" s="70">
        <v>39.5</v>
      </c>
      <c r="G22" s="71">
        <v>63.9</v>
      </c>
      <c r="H22" s="69">
        <v>43</v>
      </c>
      <c r="I22" s="70">
        <v>46.7</v>
      </c>
      <c r="J22" s="70">
        <v>43.7</v>
      </c>
      <c r="K22" s="71">
        <v>23.8</v>
      </c>
      <c r="L22" s="69">
        <v>25.9</v>
      </c>
      <c r="M22" s="70">
        <v>22</v>
      </c>
      <c r="N22" s="70">
        <v>23.5</v>
      </c>
      <c r="O22" s="71">
        <v>32.4</v>
      </c>
      <c r="P22" s="69">
        <v>36.799999999999997</v>
      </c>
      <c r="Q22" s="70">
        <v>31.4</v>
      </c>
      <c r="R22" s="70">
        <v>34.6</v>
      </c>
      <c r="S22" s="71">
        <v>46.5</v>
      </c>
      <c r="T22" s="69">
        <v>47.4</v>
      </c>
      <c r="U22" s="70">
        <v>46.3</v>
      </c>
      <c r="V22" s="70">
        <v>42.8</v>
      </c>
      <c r="W22" s="71">
        <v>47.5</v>
      </c>
      <c r="X22" s="69">
        <v>58.7</v>
      </c>
      <c r="Y22" s="70">
        <v>55.1</v>
      </c>
      <c r="Z22" s="70">
        <v>43.9</v>
      </c>
      <c r="AA22" s="71">
        <v>44.6</v>
      </c>
      <c r="AB22" s="69">
        <v>36.700000000000003</v>
      </c>
      <c r="AC22" s="70">
        <v>37.6</v>
      </c>
      <c r="AD22" s="70">
        <v>40.700000000000003</v>
      </c>
      <c r="AE22" s="71">
        <v>60.2</v>
      </c>
      <c r="AF22" s="70">
        <v>61.5</v>
      </c>
      <c r="AG22" s="70">
        <v>60.2</v>
      </c>
      <c r="AH22" s="70">
        <v>61.5</v>
      </c>
      <c r="AI22" s="71">
        <v>60.6</v>
      </c>
      <c r="AJ22" s="309">
        <v>75.400000000000006</v>
      </c>
      <c r="AK22" s="70">
        <v>76.400000000000006</v>
      </c>
      <c r="AL22" s="70">
        <v>73.2</v>
      </c>
      <c r="AM22" s="71">
        <v>76.2</v>
      </c>
      <c r="AN22" s="70">
        <v>80.7</v>
      </c>
      <c r="AO22" s="70">
        <v>68</v>
      </c>
      <c r="AP22" s="70">
        <v>66.099999999999994</v>
      </c>
      <c r="AQ22" s="71">
        <v>58.9</v>
      </c>
      <c r="AR22" s="70">
        <v>56.3</v>
      </c>
      <c r="AS22" s="70">
        <v>54.5</v>
      </c>
      <c r="AT22" s="70">
        <v>55.8</v>
      </c>
      <c r="AU22" s="71">
        <v>64.599999999999994</v>
      </c>
      <c r="AV22" s="70">
        <v>68.099999999999994</v>
      </c>
      <c r="AW22" s="70">
        <v>58</v>
      </c>
      <c r="AX22" s="70">
        <v>101.4</v>
      </c>
      <c r="AY22" s="71">
        <v>91</v>
      </c>
      <c r="AZ22" s="70">
        <v>90.6</v>
      </c>
      <c r="BA22" s="70">
        <v>106.7</v>
      </c>
      <c r="BB22" s="70">
        <v>109.9</v>
      </c>
      <c r="BC22" s="71">
        <v>107.6</v>
      </c>
      <c r="BD22" s="70">
        <v>110.1</v>
      </c>
      <c r="BE22" s="70">
        <v>115.6</v>
      </c>
      <c r="BF22" s="70">
        <f>50.8+84.2</f>
        <v>135</v>
      </c>
      <c r="BG22" s="71">
        <f>138.9+70.5</f>
        <v>209.4</v>
      </c>
      <c r="BH22" s="70">
        <f>143.9+73.1</f>
        <v>217</v>
      </c>
      <c r="BI22" s="70">
        <f>148.4+73.3</f>
        <v>221.7</v>
      </c>
      <c r="BJ22" s="70">
        <f>148.8+79.5</f>
        <v>228.3</v>
      </c>
      <c r="BK22" s="71">
        <f>339.1+98.5</f>
        <v>437.6</v>
      </c>
      <c r="BL22" s="1156">
        <f>BK22-CFS!BL42-CFS!BL43-CFS!BL48-CFS!BL26-CFS!BL16-CFS!BL14-CFS!BL18-CFS!BL21-CFS!BL23-CFS!BL24</f>
        <v>437.6</v>
      </c>
      <c r="BM22" s="1156">
        <f>BL22-CFS!BM42-CFS!BM43-CFS!BM48-CFS!BM26-CFS!BM16-CFS!BM14-CFS!BM18-CFS!BM21-CFS!BM23-CFS!BM24</f>
        <v>437.6</v>
      </c>
      <c r="BN22" s="1156">
        <f>BM22-CFS!BN42-CFS!BN43-CFS!BN48-CFS!BN26-CFS!BN16-CFS!BN14-CFS!BN18-CFS!BN21-CFS!BN23-CFS!BN24</f>
        <v>437.6</v>
      </c>
      <c r="BO22" s="1157">
        <f>BN22-CFS!BO42-CFS!BO43-CFS!BO48-CFS!BO26-CFS!BO16-CFS!BO14-CFS!BO18-CFS!BO21-CFS!BO23-CFS!BO24</f>
        <v>437.6</v>
      </c>
      <c r="BP22" s="1156">
        <f>BO22-CFS!BP42-CFS!BP43-CFS!BP48-CFS!BP26-CFS!BP16-CFS!BP14-CFS!BP18-CFS!BP21-CFS!BP23-CFS!BP24</f>
        <v>437.6</v>
      </c>
      <c r="BQ22" s="1156">
        <f>BP22-CFS!BQ42-CFS!BQ43-CFS!BQ48-CFS!BQ26-CFS!BQ16-CFS!BQ14-CFS!BQ18-CFS!BQ21-CFS!BQ23-CFS!BQ24</f>
        <v>437.6</v>
      </c>
      <c r="BR22" s="1156">
        <f>BQ22-CFS!BR42-CFS!BR43-CFS!BR48-CFS!BR26-CFS!BR16-CFS!BR14-CFS!BR18-CFS!BR21-CFS!BR23-CFS!BR24</f>
        <v>437.6</v>
      </c>
      <c r="BS22" s="1157">
        <f>BR22-CFS!BS42-CFS!BS43-CFS!BS48-CFS!BS26-CFS!BS16-CFS!BS14-CFS!BS18-CFS!BS21-CFS!BS23-CFS!BS24</f>
        <v>437.6</v>
      </c>
      <c r="BT22" s="1156">
        <f>BS22-CFS!BT42-CFS!BT43-CFS!BT48-CFS!BT26-CFS!BT16-CFS!BT14-CFS!BT18-CFS!BT21-CFS!BT23-CFS!BT24</f>
        <v>437.6</v>
      </c>
      <c r="BU22" s="1156">
        <f>BT22-CFS!BU42-CFS!BU43-CFS!BU48-CFS!BU26-CFS!BU16-CFS!BU14-CFS!BU18-CFS!BU21-CFS!BU23-CFS!BU24</f>
        <v>437.6</v>
      </c>
      <c r="BV22" s="1156">
        <f>BU22-CFS!BV42-CFS!BV43-CFS!BV48-CFS!BV26-CFS!BV16-CFS!BV14-CFS!BV18-CFS!BV21-CFS!BV23-CFS!BV24</f>
        <v>437.6</v>
      </c>
      <c r="BW22" s="1157">
        <f>BV22-CFS!BW42-CFS!BW43-CFS!BW48-CFS!BW26-CFS!BW16-CFS!BW14-CFS!BW18-CFS!BW21-CFS!BW23-CFS!BW24</f>
        <v>437.6</v>
      </c>
      <c r="BX22" s="99"/>
      <c r="BY22" s="66">
        <f t="shared" si="37"/>
        <v>63.9</v>
      </c>
      <c r="BZ22" s="67">
        <f t="shared" si="38"/>
        <v>23.8</v>
      </c>
      <c r="CA22" s="67">
        <f t="shared" si="39"/>
        <v>32.4</v>
      </c>
      <c r="CB22" s="67">
        <f t="shared" si="40"/>
        <v>46.5</v>
      </c>
      <c r="CC22" s="67">
        <f t="shared" si="41"/>
        <v>47.5</v>
      </c>
      <c r="CD22" s="67">
        <f t="shared" si="42"/>
        <v>44.6</v>
      </c>
      <c r="CE22" s="67">
        <f t="shared" si="43"/>
        <v>60.2</v>
      </c>
      <c r="CF22" s="67">
        <f t="shared" si="44"/>
        <v>60.6</v>
      </c>
      <c r="CG22" s="67">
        <f t="shared" si="45"/>
        <v>76.2</v>
      </c>
      <c r="CH22" s="67">
        <f t="shared" si="46"/>
        <v>58.9</v>
      </c>
      <c r="CI22" s="67">
        <f t="shared" si="47"/>
        <v>64.599999999999994</v>
      </c>
      <c r="CJ22" s="67">
        <f t="shared" si="48"/>
        <v>91</v>
      </c>
      <c r="CK22" s="67">
        <f t="shared" si="49"/>
        <v>107.6</v>
      </c>
      <c r="CL22" s="102">
        <f t="shared" si="50"/>
        <v>209.4</v>
      </c>
      <c r="CM22" s="102">
        <f t="shared" si="51"/>
        <v>437.6</v>
      </c>
      <c r="CN22" s="102">
        <f t="shared" si="52"/>
        <v>437.6</v>
      </c>
      <c r="CO22" s="102">
        <f t="shared" si="53"/>
        <v>437.6</v>
      </c>
      <c r="CP22" s="103">
        <f t="shared" si="54"/>
        <v>437.6</v>
      </c>
      <c r="CQ22" s="1041"/>
    </row>
    <row r="23" spans="1:95" ht="14.25" customHeight="1">
      <c r="A23" s="9"/>
      <c r="B23" s="112" t="s">
        <v>160</v>
      </c>
      <c r="C23" s="113"/>
      <c r="D23" s="116">
        <f t="shared" ref="D23:AV23" si="61">SUM(D17:D22)+D15</f>
        <v>1195.6999999999998</v>
      </c>
      <c r="E23" s="114">
        <f t="shared" si="61"/>
        <v>1177.3</v>
      </c>
      <c r="F23" s="114">
        <f t="shared" si="61"/>
        <v>1189.4000000000001</v>
      </c>
      <c r="G23" s="114">
        <f t="shared" si="61"/>
        <v>1164.5</v>
      </c>
      <c r="H23" s="116">
        <f t="shared" si="61"/>
        <v>1213.4000000000001</v>
      </c>
      <c r="I23" s="114">
        <f t="shared" si="61"/>
        <v>1262.0999999999999</v>
      </c>
      <c r="J23" s="114">
        <f t="shared" si="61"/>
        <v>1220.7</v>
      </c>
      <c r="K23" s="114">
        <f t="shared" si="61"/>
        <v>1110.0999999999999</v>
      </c>
      <c r="L23" s="116">
        <f t="shared" si="61"/>
        <v>1112.2999999999997</v>
      </c>
      <c r="M23" s="114">
        <f t="shared" si="61"/>
        <v>1132.0999999999999</v>
      </c>
      <c r="N23" s="114">
        <f t="shared" si="61"/>
        <v>1170.5</v>
      </c>
      <c r="O23" s="115">
        <f t="shared" si="61"/>
        <v>1148.5</v>
      </c>
      <c r="P23" s="116">
        <f t="shared" si="61"/>
        <v>1211</v>
      </c>
      <c r="Q23" s="114">
        <f t="shared" si="61"/>
        <v>1423</v>
      </c>
      <c r="R23" s="114">
        <f t="shared" si="61"/>
        <v>1416.7000000000003</v>
      </c>
      <c r="S23" s="115">
        <f t="shared" si="61"/>
        <v>1416.5</v>
      </c>
      <c r="T23" s="116">
        <f t="shared" si="61"/>
        <v>1440.7</v>
      </c>
      <c r="U23" s="114">
        <f t="shared" si="61"/>
        <v>1427.6999999999998</v>
      </c>
      <c r="V23" s="114">
        <f t="shared" si="61"/>
        <v>1526.3000000000002</v>
      </c>
      <c r="W23" s="115">
        <f t="shared" si="61"/>
        <v>1637.6</v>
      </c>
      <c r="X23" s="116">
        <f t="shared" si="61"/>
        <v>2872.3</v>
      </c>
      <c r="Y23" s="114">
        <f t="shared" si="61"/>
        <v>2838.1</v>
      </c>
      <c r="Z23" s="114">
        <f t="shared" si="61"/>
        <v>2909</v>
      </c>
      <c r="AA23" s="115">
        <f t="shared" si="61"/>
        <v>2359.5</v>
      </c>
      <c r="AB23" s="116">
        <f t="shared" si="61"/>
        <v>2211</v>
      </c>
      <c r="AC23" s="114">
        <f t="shared" si="61"/>
        <v>2224.1999999999998</v>
      </c>
      <c r="AD23" s="114">
        <f t="shared" si="61"/>
        <v>2274.6</v>
      </c>
      <c r="AE23" s="115">
        <f t="shared" si="61"/>
        <v>2414.3000000000002</v>
      </c>
      <c r="AF23" s="114">
        <f t="shared" si="61"/>
        <v>2545.8000000000002</v>
      </c>
      <c r="AG23" s="114">
        <f t="shared" si="61"/>
        <v>2541</v>
      </c>
      <c r="AH23" s="114">
        <f t="shared" si="61"/>
        <v>2694.5</v>
      </c>
      <c r="AI23" s="115">
        <f t="shared" si="61"/>
        <v>2919.2</v>
      </c>
      <c r="AJ23" s="116">
        <f t="shared" si="61"/>
        <v>4016.8</v>
      </c>
      <c r="AK23" s="114">
        <f t="shared" si="61"/>
        <v>4149.8</v>
      </c>
      <c r="AL23" s="114">
        <f t="shared" si="61"/>
        <v>4011.8999999999996</v>
      </c>
      <c r="AM23" s="115">
        <f t="shared" si="61"/>
        <v>3883.5</v>
      </c>
      <c r="AN23" s="114">
        <f t="shared" si="61"/>
        <v>3829.2</v>
      </c>
      <c r="AO23" s="114">
        <f t="shared" si="61"/>
        <v>3770.7</v>
      </c>
      <c r="AP23" s="114">
        <f t="shared" si="61"/>
        <v>3669.8999999999996</v>
      </c>
      <c r="AQ23" s="115">
        <f t="shared" si="61"/>
        <v>3328.4</v>
      </c>
      <c r="AR23" s="114">
        <f t="shared" si="61"/>
        <v>3232.7</v>
      </c>
      <c r="AS23" s="114">
        <f t="shared" si="61"/>
        <v>3241.4</v>
      </c>
      <c r="AT23" s="114">
        <f t="shared" si="61"/>
        <v>3248.7</v>
      </c>
      <c r="AU23" s="115">
        <f t="shared" si="61"/>
        <v>3257</v>
      </c>
      <c r="AV23" s="114">
        <f t="shared" si="61"/>
        <v>3286.7</v>
      </c>
      <c r="AW23" s="114">
        <f t="shared" ref="AW23:BE23" si="62">SUM(AW17:AW22)+AW15</f>
        <v>3418.3999999999996</v>
      </c>
      <c r="AX23" s="114">
        <f t="shared" si="62"/>
        <v>3882.2</v>
      </c>
      <c r="AY23" s="115">
        <f t="shared" si="62"/>
        <v>3823</v>
      </c>
      <c r="AZ23" s="114">
        <f t="shared" si="62"/>
        <v>3746.3</v>
      </c>
      <c r="BA23" s="114">
        <f>SUM(BA17:BA22)+BA15</f>
        <v>3915.3999999999996</v>
      </c>
      <c r="BB23" s="114">
        <f>SUM(BB17:BB22)+BB15</f>
        <v>3950.1000000000004</v>
      </c>
      <c r="BC23" s="115">
        <f t="shared" si="62"/>
        <v>3869.5999999999995</v>
      </c>
      <c r="BD23" s="114">
        <f t="shared" si="62"/>
        <v>3855.1</v>
      </c>
      <c r="BE23" s="114">
        <f t="shared" si="62"/>
        <v>6097.8</v>
      </c>
      <c r="BF23" s="114">
        <f t="shared" ref="BF23" si="63">SUM(BF17:BF22)+BF15</f>
        <v>6790.9</v>
      </c>
      <c r="BG23" s="115">
        <f t="shared" ref="BG23" si="64">SUM(BG17:BG22)+BG15</f>
        <v>6924.4</v>
      </c>
      <c r="BH23" s="114">
        <f t="shared" ref="BH23:BO23" si="65">SUM(BH17:BH22)+BH15</f>
        <v>6637.4</v>
      </c>
      <c r="BI23" s="114">
        <f t="shared" ref="BI23" si="66">SUM(BI17:BI22)+BI15</f>
        <v>6834.2999999999993</v>
      </c>
      <c r="BJ23" s="114">
        <f t="shared" ref="BJ23" si="67">SUM(BJ17:BJ22)+BJ15</f>
        <v>6861.3</v>
      </c>
      <c r="BK23" s="115">
        <f t="shared" ref="BK23" si="68">SUM(BK17:BK22)+BK15</f>
        <v>7195.1</v>
      </c>
      <c r="BL23" s="116">
        <f t="shared" si="65"/>
        <v>7262.1389007156486</v>
      </c>
      <c r="BM23" s="114">
        <f t="shared" si="65"/>
        <v>7466.319763036945</v>
      </c>
      <c r="BN23" s="114">
        <f t="shared" si="65"/>
        <v>7673.9101096779068</v>
      </c>
      <c r="BO23" s="115">
        <f t="shared" si="65"/>
        <v>7854.220139752887</v>
      </c>
      <c r="BP23" s="116">
        <f t="shared" ref="BP23:BS23" si="69">SUM(BP17:BP22)+BP15</f>
        <v>8037.2071436734614</v>
      </c>
      <c r="BQ23" s="114">
        <f t="shared" si="69"/>
        <v>8257.7490100726864</v>
      </c>
      <c r="BR23" s="114">
        <f t="shared" si="69"/>
        <v>8486.6188251256044</v>
      </c>
      <c r="BS23" s="115">
        <f t="shared" si="69"/>
        <v>8694.2450055826739</v>
      </c>
      <c r="BT23" s="116">
        <f t="shared" ref="BT23:BW23" si="70">SUM(BT17:BT22)+BT15</f>
        <v>8904.1155948716751</v>
      </c>
      <c r="BU23" s="114">
        <f t="shared" si="70"/>
        <v>9147.4595044008729</v>
      </c>
      <c r="BV23" s="114">
        <f t="shared" si="70"/>
        <v>9398.9080592113296</v>
      </c>
      <c r="BW23" s="115">
        <f t="shared" si="70"/>
        <v>9629.3045627906431</v>
      </c>
      <c r="BX23" s="99"/>
      <c r="BY23" s="114">
        <f t="shared" ref="BY23:CL23" si="71">SUM(BY17:BY22)+BY15</f>
        <v>1164.5</v>
      </c>
      <c r="BZ23" s="114">
        <f t="shared" si="71"/>
        <v>1110.0999999999999</v>
      </c>
      <c r="CA23" s="114">
        <f t="shared" si="71"/>
        <v>1148.5</v>
      </c>
      <c r="CB23" s="114">
        <f t="shared" si="71"/>
        <v>1416.5</v>
      </c>
      <c r="CC23" s="114">
        <f t="shared" si="71"/>
        <v>1637.6</v>
      </c>
      <c r="CD23" s="114">
        <f t="shared" si="71"/>
        <v>2359.5</v>
      </c>
      <c r="CE23" s="114">
        <f t="shared" si="71"/>
        <v>2414.3000000000002</v>
      </c>
      <c r="CF23" s="114">
        <f t="shared" si="71"/>
        <v>2919.2</v>
      </c>
      <c r="CG23" s="114">
        <f t="shared" si="71"/>
        <v>3883.5</v>
      </c>
      <c r="CH23" s="114">
        <f t="shared" si="71"/>
        <v>3328.4</v>
      </c>
      <c r="CI23" s="114">
        <f t="shared" si="71"/>
        <v>3257</v>
      </c>
      <c r="CJ23" s="114">
        <f t="shared" si="71"/>
        <v>3823</v>
      </c>
      <c r="CK23" s="114">
        <f t="shared" si="71"/>
        <v>3869.5999999999995</v>
      </c>
      <c r="CL23" s="114">
        <f t="shared" si="71"/>
        <v>6924.4</v>
      </c>
      <c r="CM23" s="114">
        <f>SUM(CM17:CM22)+CM15</f>
        <v>7195.1</v>
      </c>
      <c r="CN23" s="114">
        <f>SUM(CN17:CN22)+CN15</f>
        <v>7854.220139752887</v>
      </c>
      <c r="CO23" s="114">
        <f>SUM(CO17:CO22)+CO15</f>
        <v>8694.2450055826739</v>
      </c>
      <c r="CP23" s="115">
        <f>SUM(CP17:CP22)+CP15</f>
        <v>9629.3045627906431</v>
      </c>
      <c r="CQ23" s="1041"/>
    </row>
    <row r="24" spans="1:95" ht="14.25" customHeight="1">
      <c r="A24" s="9"/>
      <c r="B24" s="61"/>
      <c r="C24" s="62"/>
      <c r="D24" s="63"/>
      <c r="E24" s="64"/>
      <c r="F24" s="64"/>
      <c r="G24" s="65"/>
      <c r="H24" s="63"/>
      <c r="I24" s="64"/>
      <c r="J24" s="64"/>
      <c r="K24" s="65"/>
      <c r="L24" s="63"/>
      <c r="M24" s="64"/>
      <c r="N24" s="64"/>
      <c r="O24" s="65"/>
      <c r="P24" s="63"/>
      <c r="Q24" s="64"/>
      <c r="R24" s="64"/>
      <c r="S24" s="65"/>
      <c r="T24" s="63"/>
      <c r="U24" s="64"/>
      <c r="V24" s="64"/>
      <c r="W24" s="65"/>
      <c r="X24" s="63"/>
      <c r="Y24" s="64"/>
      <c r="Z24" s="64"/>
      <c r="AA24" s="65"/>
      <c r="AB24" s="63"/>
      <c r="AC24" s="64"/>
      <c r="AD24" s="64"/>
      <c r="AE24" s="65"/>
      <c r="AF24" s="64"/>
      <c r="AG24" s="64"/>
      <c r="AH24" s="64"/>
      <c r="AI24" s="64"/>
      <c r="AJ24" s="63"/>
      <c r="AK24" s="64"/>
      <c r="AL24" s="64"/>
      <c r="AM24" s="65"/>
      <c r="AN24" s="64"/>
      <c r="AO24" s="64"/>
      <c r="AP24" s="64"/>
      <c r="AQ24" s="65"/>
      <c r="AR24" s="64"/>
      <c r="AS24" s="64"/>
      <c r="AT24" s="64"/>
      <c r="AU24" s="65"/>
      <c r="AV24" s="64"/>
      <c r="AW24" s="64"/>
      <c r="AX24" s="64"/>
      <c r="AY24" s="65"/>
      <c r="AZ24" s="64"/>
      <c r="BA24" s="64"/>
      <c r="BB24" s="64"/>
      <c r="BC24" s="65"/>
      <c r="BD24" s="64"/>
      <c r="BE24" s="64"/>
      <c r="BF24" s="64"/>
      <c r="BG24" s="65"/>
      <c r="BH24" s="63"/>
      <c r="BI24" s="64"/>
      <c r="BJ24" s="64"/>
      <c r="BK24" s="65"/>
      <c r="BL24" s="63"/>
      <c r="BM24" s="64"/>
      <c r="BN24" s="64"/>
      <c r="BO24" s="65"/>
      <c r="BP24" s="63"/>
      <c r="BQ24" s="64"/>
      <c r="BR24" s="64"/>
      <c r="BS24" s="65"/>
      <c r="BT24" s="63"/>
      <c r="BU24" s="64"/>
      <c r="BV24" s="64"/>
      <c r="BW24" s="65"/>
      <c r="BX24" s="99"/>
      <c r="BY24" s="133"/>
      <c r="BZ24" s="133"/>
      <c r="CA24" s="133"/>
      <c r="CB24" s="133"/>
      <c r="CC24" s="133"/>
      <c r="CD24" s="133"/>
      <c r="CE24" s="133"/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932"/>
      <c r="CQ24" s="1041"/>
    </row>
    <row r="25" spans="1:95" ht="14.25" customHeight="1">
      <c r="A25" s="9"/>
      <c r="B25" s="93" t="s">
        <v>161</v>
      </c>
      <c r="C25" s="94"/>
      <c r="D25" s="69"/>
      <c r="E25" s="70"/>
      <c r="F25" s="70"/>
      <c r="G25" s="71"/>
      <c r="H25" s="69"/>
      <c r="I25" s="70"/>
      <c r="J25" s="70"/>
      <c r="K25" s="71"/>
      <c r="L25" s="69"/>
      <c r="M25" s="70"/>
      <c r="N25" s="70"/>
      <c r="O25" s="71"/>
      <c r="P25" s="69"/>
      <c r="Q25" s="70"/>
      <c r="R25" s="70"/>
      <c r="S25" s="71"/>
      <c r="T25" s="69"/>
      <c r="U25" s="70"/>
      <c r="V25" s="70"/>
      <c r="W25" s="71"/>
      <c r="X25" s="69"/>
      <c r="Y25" s="70"/>
      <c r="Z25" s="70"/>
      <c r="AA25" s="71"/>
      <c r="AB25" s="69"/>
      <c r="AC25" s="70"/>
      <c r="AD25" s="70"/>
      <c r="AE25" s="71"/>
      <c r="AF25" s="70"/>
      <c r="AG25" s="70"/>
      <c r="AH25" s="70"/>
      <c r="AI25" s="70"/>
      <c r="AJ25" s="69"/>
      <c r="AK25" s="70"/>
      <c r="AL25" s="70"/>
      <c r="AM25" s="71"/>
      <c r="AN25" s="70"/>
      <c r="AO25" s="70"/>
      <c r="AP25" s="70"/>
      <c r="AQ25" s="71"/>
      <c r="AR25" s="70"/>
      <c r="AS25" s="70"/>
      <c r="AT25" s="70"/>
      <c r="AU25" s="71"/>
      <c r="AV25" s="70"/>
      <c r="AW25" s="70"/>
      <c r="AX25" s="70"/>
      <c r="AY25" s="71"/>
      <c r="AZ25" s="70"/>
      <c r="BA25" s="70"/>
      <c r="BB25" s="70"/>
      <c r="BC25" s="71"/>
      <c r="BD25" s="70"/>
      <c r="BE25" s="70"/>
      <c r="BF25" s="70"/>
      <c r="BG25" s="71"/>
      <c r="BH25" s="69"/>
      <c r="BI25" s="70"/>
      <c r="BJ25" s="70"/>
      <c r="BK25" s="71"/>
      <c r="BL25" s="69"/>
      <c r="BM25" s="70"/>
      <c r="BN25" s="70"/>
      <c r="BO25" s="71"/>
      <c r="BP25" s="69"/>
      <c r="BQ25" s="70"/>
      <c r="BR25" s="70"/>
      <c r="BS25" s="71"/>
      <c r="BT25" s="69"/>
      <c r="BU25" s="70"/>
      <c r="BV25" s="70"/>
      <c r="BW25" s="71"/>
      <c r="BX25" s="99"/>
      <c r="BY25" s="67"/>
      <c r="BZ25" s="67"/>
      <c r="CA25" s="67"/>
      <c r="CB25" s="67"/>
      <c r="CC25" s="67"/>
      <c r="CD25" s="67"/>
      <c r="CE25" s="67"/>
      <c r="CF25" s="67"/>
      <c r="CG25" s="67"/>
      <c r="CH25" s="67"/>
      <c r="CI25" s="67"/>
      <c r="CJ25" s="67"/>
      <c r="CK25" s="67"/>
      <c r="CL25" s="67"/>
      <c r="CM25" s="67"/>
      <c r="CN25" s="67"/>
      <c r="CO25" s="67"/>
      <c r="CP25" s="68"/>
      <c r="CQ25" s="1041"/>
    </row>
    <row r="26" spans="1:95" ht="14.25" customHeight="1">
      <c r="A26" s="9"/>
      <c r="B26" s="25" t="s">
        <v>162</v>
      </c>
      <c r="C26" s="26"/>
      <c r="D26" s="69">
        <v>116.8</v>
      </c>
      <c r="E26" s="70">
        <v>113</v>
      </c>
      <c r="F26" s="70">
        <v>121.4</v>
      </c>
      <c r="G26" s="71">
        <v>115.7</v>
      </c>
      <c r="H26" s="69">
        <v>126.5</v>
      </c>
      <c r="I26" s="70">
        <v>125</v>
      </c>
      <c r="J26" s="70">
        <v>110.1</v>
      </c>
      <c r="K26" s="71">
        <v>104.4</v>
      </c>
      <c r="L26" s="69">
        <v>90.8</v>
      </c>
      <c r="M26" s="70">
        <v>100.7</v>
      </c>
      <c r="N26" s="70">
        <v>103.3</v>
      </c>
      <c r="O26" s="71">
        <v>137.30000000000001</v>
      </c>
      <c r="P26" s="69">
        <v>132.1</v>
      </c>
      <c r="Q26" s="70">
        <v>146.30000000000001</v>
      </c>
      <c r="R26" s="70">
        <v>134.6</v>
      </c>
      <c r="S26" s="71">
        <v>165.7</v>
      </c>
      <c r="T26" s="69">
        <v>138.19999999999999</v>
      </c>
      <c r="U26" s="70">
        <v>128.30000000000001</v>
      </c>
      <c r="V26" s="70">
        <v>134.9</v>
      </c>
      <c r="W26" s="71">
        <v>163.5</v>
      </c>
      <c r="X26" s="69">
        <v>238.6</v>
      </c>
      <c r="Y26" s="70">
        <v>206.2</v>
      </c>
      <c r="Z26" s="70">
        <v>218.7</v>
      </c>
      <c r="AA26" s="71">
        <v>178.2</v>
      </c>
      <c r="AB26" s="69">
        <v>134.5</v>
      </c>
      <c r="AC26" s="70">
        <v>147.30000000000001</v>
      </c>
      <c r="AD26" s="70">
        <v>147.19999999999999</v>
      </c>
      <c r="AE26" s="71">
        <v>172.9</v>
      </c>
      <c r="AF26" s="70">
        <v>204.7</v>
      </c>
      <c r="AG26" s="70">
        <v>240.1</v>
      </c>
      <c r="AH26" s="70">
        <v>250.9</v>
      </c>
      <c r="AI26" s="71">
        <v>256.89999999999998</v>
      </c>
      <c r="AJ26" s="310">
        <v>527.79999999999995</v>
      </c>
      <c r="AK26" s="70">
        <v>528.9</v>
      </c>
      <c r="AL26" s="70">
        <v>472.6</v>
      </c>
      <c r="AM26" s="71">
        <v>451.8</v>
      </c>
      <c r="AN26" s="70">
        <v>408.6</v>
      </c>
      <c r="AO26" s="70">
        <v>416.4</v>
      </c>
      <c r="AP26" s="70">
        <v>349.9</v>
      </c>
      <c r="AQ26" s="71">
        <v>279.5</v>
      </c>
      <c r="AR26" s="70">
        <v>263</v>
      </c>
      <c r="AS26" s="70">
        <v>276.60000000000002</v>
      </c>
      <c r="AT26" s="70">
        <v>259.2</v>
      </c>
      <c r="AU26" s="71">
        <v>276.8</v>
      </c>
      <c r="AV26" s="70">
        <v>276.7</v>
      </c>
      <c r="AW26" s="70">
        <v>305.39999999999998</v>
      </c>
      <c r="AX26" s="70">
        <v>398.7</v>
      </c>
      <c r="AY26" s="71">
        <v>378.2</v>
      </c>
      <c r="AZ26" s="70">
        <v>362.5</v>
      </c>
      <c r="BA26" s="70">
        <v>335.5</v>
      </c>
      <c r="BB26" s="70">
        <v>361.9</v>
      </c>
      <c r="BC26" s="71">
        <v>337.7</v>
      </c>
      <c r="BD26" s="70">
        <v>305.89999999999998</v>
      </c>
      <c r="BE26" s="70">
        <v>302.5</v>
      </c>
      <c r="BF26" s="70">
        <v>407.5</v>
      </c>
      <c r="BG26" s="71">
        <v>434</v>
      </c>
      <c r="BH26" s="70">
        <v>464</v>
      </c>
      <c r="BI26" s="70">
        <v>546.29999999999995</v>
      </c>
      <c r="BJ26" s="70">
        <v>590.29999999999995</v>
      </c>
      <c r="BK26" s="71">
        <v>548</v>
      </c>
      <c r="BL26" s="66">
        <f t="shared" ref="BL26:BS26" si="72">BL55/360*BL59*4</f>
        <v>474.47500611111121</v>
      </c>
      <c r="BM26" s="67">
        <f t="shared" si="72"/>
        <v>492.34004332222224</v>
      </c>
      <c r="BN26" s="67">
        <f t="shared" si="72"/>
        <v>503.5190732462778</v>
      </c>
      <c r="BO26" s="68">
        <f t="shared" si="72"/>
        <v>495.88982215540489</v>
      </c>
      <c r="BP26" s="66">
        <f t="shared" si="72"/>
        <v>493.24038917529066</v>
      </c>
      <c r="BQ26" s="67">
        <f t="shared" si="72"/>
        <v>508.24973291089691</v>
      </c>
      <c r="BR26" s="67">
        <f t="shared" si="72"/>
        <v>513.99992772232645</v>
      </c>
      <c r="BS26" s="68">
        <f t="shared" si="72"/>
        <v>505.10033561015229</v>
      </c>
      <c r="BT26" s="66">
        <f t="shared" ref="BT26:BW26" si="73">BT55/360*BT59*4</f>
        <v>507.90682928763192</v>
      </c>
      <c r="BU26" s="67">
        <f t="shared" si="73"/>
        <v>523.28399176191181</v>
      </c>
      <c r="BV26" s="67">
        <f t="shared" si="73"/>
        <v>528.50955202064256</v>
      </c>
      <c r="BW26" s="68">
        <f t="shared" si="73"/>
        <v>519.57757704689925</v>
      </c>
      <c r="BX26" s="99"/>
      <c r="BY26" s="66">
        <f t="shared" ref="BY26:BY32" si="74">G26</f>
        <v>115.7</v>
      </c>
      <c r="BZ26" s="67">
        <f t="shared" ref="BZ26:BZ32" si="75">K26</f>
        <v>104.4</v>
      </c>
      <c r="CA26" s="67">
        <f t="shared" ref="CA26:CA32" si="76">O26</f>
        <v>137.30000000000001</v>
      </c>
      <c r="CB26" s="67">
        <f t="shared" ref="CB26:CB32" si="77">S26</f>
        <v>165.7</v>
      </c>
      <c r="CC26" s="67">
        <f t="shared" ref="CC26:CC32" si="78">W26</f>
        <v>163.5</v>
      </c>
      <c r="CD26" s="67">
        <f t="shared" ref="CD26:CD32" si="79">AA26</f>
        <v>178.2</v>
      </c>
      <c r="CE26" s="67">
        <f t="shared" ref="CE26:CE32" si="80">AE26</f>
        <v>172.9</v>
      </c>
      <c r="CF26" s="67">
        <f t="shared" ref="CF26:CF32" si="81">AI26</f>
        <v>256.89999999999998</v>
      </c>
      <c r="CG26" s="67">
        <f t="shared" ref="CG26:CG32" si="82">AM26</f>
        <v>451.8</v>
      </c>
      <c r="CH26" s="67">
        <f t="shared" ref="CH26:CH32" si="83">AQ26</f>
        <v>279.5</v>
      </c>
      <c r="CI26" s="67">
        <f t="shared" ref="CI26:CI32" si="84">AU26</f>
        <v>276.8</v>
      </c>
      <c r="CJ26" s="67">
        <f t="shared" ref="CJ26:CJ32" si="85">AY26</f>
        <v>378.2</v>
      </c>
      <c r="CK26" s="67">
        <f t="shared" ref="CK26:CK32" si="86">BC26</f>
        <v>337.7</v>
      </c>
      <c r="CL26" s="67">
        <f t="shared" ref="CL26:CL32" si="87">BG26</f>
        <v>434</v>
      </c>
      <c r="CM26" s="67">
        <f t="shared" ref="CM26:CM32" si="88">BK26</f>
        <v>548</v>
      </c>
      <c r="CN26" s="67">
        <f t="shared" ref="CN26:CN32" si="89">BO26</f>
        <v>495.88982215540489</v>
      </c>
      <c r="CO26" s="67">
        <f t="shared" ref="CO26:CO32" si="90">BS26</f>
        <v>505.10033561015229</v>
      </c>
      <c r="CP26" s="68">
        <f t="shared" ref="CP26:CP32" si="91">BW26</f>
        <v>519.57757704689925</v>
      </c>
      <c r="CQ26" s="1041"/>
    </row>
    <row r="27" spans="1:95" ht="14.25" customHeight="1">
      <c r="A27" s="9"/>
      <c r="B27" s="25" t="s">
        <v>44</v>
      </c>
      <c r="C27" s="26"/>
      <c r="D27" s="70">
        <v>85</v>
      </c>
      <c r="E27" s="70">
        <v>83.7</v>
      </c>
      <c r="F27" s="70">
        <v>92.7</v>
      </c>
      <c r="G27" s="71">
        <v>93</v>
      </c>
      <c r="H27" s="70">
        <v>102.7</v>
      </c>
      <c r="I27" s="70">
        <v>108.1</v>
      </c>
      <c r="J27" s="70">
        <v>100.8</v>
      </c>
      <c r="K27" s="71">
        <v>100.4</v>
      </c>
      <c r="L27" s="70">
        <v>105.4</v>
      </c>
      <c r="M27" s="70">
        <v>103.2</v>
      </c>
      <c r="N27" s="70">
        <v>105</v>
      </c>
      <c r="O27" s="71">
        <v>83.9</v>
      </c>
      <c r="P27" s="70">
        <v>90.7</v>
      </c>
      <c r="Q27" s="70">
        <v>124.5</v>
      </c>
      <c r="R27" s="70">
        <v>101.6</v>
      </c>
      <c r="S27" s="71">
        <v>111.7</v>
      </c>
      <c r="T27" s="70">
        <v>104.3</v>
      </c>
      <c r="U27" s="70">
        <v>102.4</v>
      </c>
      <c r="V27" s="70">
        <v>105.4</v>
      </c>
      <c r="W27" s="71">
        <v>101.3</v>
      </c>
      <c r="X27" s="70">
        <v>208.7</v>
      </c>
      <c r="Y27" s="70">
        <v>172.4</v>
      </c>
      <c r="Z27" s="70">
        <v>179.1</v>
      </c>
      <c r="AA27" s="71">
        <v>138.4</v>
      </c>
      <c r="AB27" s="70">
        <v>127.9</v>
      </c>
      <c r="AC27" s="70">
        <v>136.4</v>
      </c>
      <c r="AD27" s="70">
        <v>135.1</v>
      </c>
      <c r="AE27" s="71">
        <v>135.5</v>
      </c>
      <c r="AF27" s="70">
        <v>141.6</v>
      </c>
      <c r="AG27" s="70">
        <v>156.9</v>
      </c>
      <c r="AH27" s="70">
        <v>149.1</v>
      </c>
      <c r="AI27" s="70">
        <v>162.6</v>
      </c>
      <c r="AJ27" s="310">
        <v>197.5</v>
      </c>
      <c r="AK27" s="70">
        <v>221.4</v>
      </c>
      <c r="AL27" s="70">
        <v>218.6</v>
      </c>
      <c r="AM27" s="71">
        <v>239.8</v>
      </c>
      <c r="AN27" s="70">
        <v>238.5</v>
      </c>
      <c r="AO27" s="70">
        <v>283.39999999999998</v>
      </c>
      <c r="AP27" s="70">
        <v>248.7</v>
      </c>
      <c r="AQ27" s="71">
        <v>228.3</v>
      </c>
      <c r="AR27" s="70">
        <v>203</v>
      </c>
      <c r="AS27" s="70">
        <v>188.9</v>
      </c>
      <c r="AT27" s="70">
        <v>194.3</v>
      </c>
      <c r="AU27" s="71">
        <v>220.3</v>
      </c>
      <c r="AV27" s="70">
        <v>222.1</v>
      </c>
      <c r="AW27" s="70">
        <v>231.9</v>
      </c>
      <c r="AX27" s="70">
        <v>244</v>
      </c>
      <c r="AY27" s="71">
        <v>287.89999999999998</v>
      </c>
      <c r="AZ27" s="70">
        <v>282.60000000000002</v>
      </c>
      <c r="BA27" s="70">
        <v>273.8</v>
      </c>
      <c r="BB27" s="70">
        <v>306.39999999999998</v>
      </c>
      <c r="BC27" s="71">
        <v>246.2</v>
      </c>
      <c r="BD27" s="70">
        <v>245.2</v>
      </c>
      <c r="BE27" s="70">
        <v>302.60000000000002</v>
      </c>
      <c r="BF27" s="70">
        <v>429.2</v>
      </c>
      <c r="BG27" s="71">
        <v>405</v>
      </c>
      <c r="BH27" s="70">
        <v>475.2</v>
      </c>
      <c r="BI27" s="70">
        <v>548.70000000000005</v>
      </c>
      <c r="BJ27" s="70">
        <v>580.5</v>
      </c>
      <c r="BK27" s="71">
        <v>612.79999999999995</v>
      </c>
      <c r="BL27" s="66">
        <f t="shared" ref="BL27:BL32" si="92">BK27</f>
        <v>612.79999999999995</v>
      </c>
      <c r="BM27" s="67">
        <f t="shared" ref="BM27:BM32" si="93">BL27</f>
        <v>612.79999999999995</v>
      </c>
      <c r="BN27" s="67">
        <f t="shared" ref="BN27:BN32" si="94">BM27</f>
        <v>612.79999999999995</v>
      </c>
      <c r="BO27" s="68">
        <f t="shared" ref="BO27:BO32" si="95">BN27</f>
        <v>612.79999999999995</v>
      </c>
      <c r="BP27" s="66">
        <f t="shared" ref="BP27:BP32" si="96">BO27</f>
        <v>612.79999999999995</v>
      </c>
      <c r="BQ27" s="67">
        <f t="shared" ref="BQ27:BQ32" si="97">BP27</f>
        <v>612.79999999999995</v>
      </c>
      <c r="BR27" s="67">
        <f t="shared" ref="BR27:BR32" si="98">BQ27</f>
        <v>612.79999999999995</v>
      </c>
      <c r="BS27" s="67">
        <f t="shared" ref="BS27:BS32" si="99">BR27</f>
        <v>612.79999999999995</v>
      </c>
      <c r="BT27" s="66">
        <f t="shared" ref="BT27:BT32" si="100">BS27</f>
        <v>612.79999999999995</v>
      </c>
      <c r="BU27" s="67">
        <f t="shared" ref="BU27:BU32" si="101">BT27</f>
        <v>612.79999999999995</v>
      </c>
      <c r="BV27" s="67">
        <f t="shared" ref="BV27:BV32" si="102">BU27</f>
        <v>612.79999999999995</v>
      </c>
      <c r="BW27" s="67">
        <f t="shared" ref="BW27:BW32" si="103">BV27</f>
        <v>612.79999999999995</v>
      </c>
      <c r="BX27" s="99"/>
      <c r="BY27" s="66">
        <f t="shared" si="74"/>
        <v>93</v>
      </c>
      <c r="BZ27" s="67">
        <f t="shared" si="75"/>
        <v>100.4</v>
      </c>
      <c r="CA27" s="67">
        <f t="shared" si="76"/>
        <v>83.9</v>
      </c>
      <c r="CB27" s="67">
        <f t="shared" si="77"/>
        <v>111.7</v>
      </c>
      <c r="CC27" s="67">
        <f t="shared" si="78"/>
        <v>101.3</v>
      </c>
      <c r="CD27" s="67">
        <f t="shared" si="79"/>
        <v>138.4</v>
      </c>
      <c r="CE27" s="67">
        <f t="shared" si="80"/>
        <v>135.5</v>
      </c>
      <c r="CF27" s="67">
        <f t="shared" si="81"/>
        <v>162.6</v>
      </c>
      <c r="CG27" s="67">
        <f t="shared" si="82"/>
        <v>239.8</v>
      </c>
      <c r="CH27" s="67">
        <f t="shared" si="83"/>
        <v>228.3</v>
      </c>
      <c r="CI27" s="67">
        <f t="shared" si="84"/>
        <v>220.3</v>
      </c>
      <c r="CJ27" s="67">
        <f t="shared" si="85"/>
        <v>287.89999999999998</v>
      </c>
      <c r="CK27" s="67">
        <f t="shared" si="86"/>
        <v>246.2</v>
      </c>
      <c r="CL27" s="67">
        <f t="shared" si="87"/>
        <v>405</v>
      </c>
      <c r="CM27" s="67">
        <f t="shared" si="88"/>
        <v>612.79999999999995</v>
      </c>
      <c r="CN27" s="67">
        <f t="shared" si="89"/>
        <v>612.79999999999995</v>
      </c>
      <c r="CO27" s="67">
        <f t="shared" si="90"/>
        <v>612.79999999999995</v>
      </c>
      <c r="CP27" s="68">
        <f t="shared" si="91"/>
        <v>612.79999999999995</v>
      </c>
      <c r="CQ27" s="1041"/>
    </row>
    <row r="28" spans="1:95" ht="14.25" customHeight="1">
      <c r="A28" s="9"/>
      <c r="B28" s="25" t="s">
        <v>356</v>
      </c>
      <c r="C28" s="26"/>
      <c r="D28" s="70">
        <v>14.8</v>
      </c>
      <c r="E28" s="70">
        <v>16.8</v>
      </c>
      <c r="F28" s="70">
        <v>19.2</v>
      </c>
      <c r="G28" s="71">
        <v>1.7</v>
      </c>
      <c r="H28" s="70">
        <v>1.7</v>
      </c>
      <c r="I28" s="70">
        <v>3.2</v>
      </c>
      <c r="J28" s="70">
        <v>4</v>
      </c>
      <c r="K28" s="71">
        <v>2.4</v>
      </c>
      <c r="L28" s="70">
        <v>4.0999999999999996</v>
      </c>
      <c r="M28" s="70">
        <v>6.4</v>
      </c>
      <c r="N28" s="70">
        <v>6.4</v>
      </c>
      <c r="O28" s="71">
        <v>5.5</v>
      </c>
      <c r="P28" s="70">
        <v>4.5</v>
      </c>
      <c r="Q28" s="70">
        <v>6.4</v>
      </c>
      <c r="R28" s="70">
        <v>6.4</v>
      </c>
      <c r="S28" s="71">
        <v>3.2</v>
      </c>
      <c r="T28" s="70">
        <v>2.5</v>
      </c>
      <c r="U28" s="70">
        <v>3.2</v>
      </c>
      <c r="V28" s="70">
        <v>2.1</v>
      </c>
      <c r="W28" s="71">
        <v>3.5</v>
      </c>
      <c r="X28" s="70">
        <v>3.1</v>
      </c>
      <c r="Y28" s="70">
        <v>2.4</v>
      </c>
      <c r="Z28" s="70">
        <v>6.8</v>
      </c>
      <c r="AA28" s="71">
        <v>4.0999999999999996</v>
      </c>
      <c r="AB28" s="70">
        <v>5.0999999999999996</v>
      </c>
      <c r="AC28" s="70">
        <v>6.5</v>
      </c>
      <c r="AD28" s="70">
        <v>6.7</v>
      </c>
      <c r="AE28" s="71">
        <v>5</v>
      </c>
      <c r="AF28" s="70">
        <v>2.9</v>
      </c>
      <c r="AG28" s="70">
        <v>1.8</v>
      </c>
      <c r="AH28" s="70">
        <v>2.4</v>
      </c>
      <c r="AI28" s="70">
        <v>5.0999999999999996</v>
      </c>
      <c r="AJ28" s="310">
        <v>7.2</v>
      </c>
      <c r="AK28" s="70">
        <v>3.4</v>
      </c>
      <c r="AL28" s="70">
        <v>13.8</v>
      </c>
      <c r="AM28" s="71">
        <v>7.5</v>
      </c>
      <c r="AN28" s="70">
        <v>2.8</v>
      </c>
      <c r="AO28" s="70">
        <v>4.2</v>
      </c>
      <c r="AP28" s="70">
        <v>6.2</v>
      </c>
      <c r="AQ28" s="71">
        <v>4.9000000000000004</v>
      </c>
      <c r="AR28" s="70">
        <v>3.4</v>
      </c>
      <c r="AS28" s="70">
        <v>0.5</v>
      </c>
      <c r="AT28" s="70">
        <v>2.2000000000000002</v>
      </c>
      <c r="AU28" s="71">
        <v>0</v>
      </c>
      <c r="AV28" s="70">
        <v>0</v>
      </c>
      <c r="AW28" s="70">
        <v>0</v>
      </c>
      <c r="AX28" s="70">
        <v>0</v>
      </c>
      <c r="AY28" s="71">
        <v>0</v>
      </c>
      <c r="AZ28" s="70">
        <v>0</v>
      </c>
      <c r="BA28" s="70">
        <v>0</v>
      </c>
      <c r="BB28" s="70">
        <v>0</v>
      </c>
      <c r="BC28" s="71">
        <v>0</v>
      </c>
      <c r="BD28" s="70">
        <v>0</v>
      </c>
      <c r="BE28" s="70">
        <v>0</v>
      </c>
      <c r="BF28" s="70">
        <v>0</v>
      </c>
      <c r="BG28" s="71">
        <v>0</v>
      </c>
      <c r="BH28" s="70">
        <f t="shared" ref="BH28:BH31" si="104">BG28</f>
        <v>0</v>
      </c>
      <c r="BI28" s="70">
        <v>0</v>
      </c>
      <c r="BJ28" s="70">
        <v>0</v>
      </c>
      <c r="BK28" s="71">
        <v>0</v>
      </c>
      <c r="BL28" s="66">
        <f t="shared" si="92"/>
        <v>0</v>
      </c>
      <c r="BM28" s="67">
        <f t="shared" si="93"/>
        <v>0</v>
      </c>
      <c r="BN28" s="67">
        <f t="shared" si="94"/>
        <v>0</v>
      </c>
      <c r="BO28" s="68">
        <f t="shared" si="95"/>
        <v>0</v>
      </c>
      <c r="BP28" s="66">
        <f t="shared" si="96"/>
        <v>0</v>
      </c>
      <c r="BQ28" s="67">
        <f t="shared" si="97"/>
        <v>0</v>
      </c>
      <c r="BR28" s="67">
        <f t="shared" si="98"/>
        <v>0</v>
      </c>
      <c r="BS28" s="67">
        <f t="shared" si="99"/>
        <v>0</v>
      </c>
      <c r="BT28" s="66">
        <f t="shared" si="100"/>
        <v>0</v>
      </c>
      <c r="BU28" s="67">
        <f t="shared" si="101"/>
        <v>0</v>
      </c>
      <c r="BV28" s="67">
        <f t="shared" si="102"/>
        <v>0</v>
      </c>
      <c r="BW28" s="67">
        <f t="shared" si="103"/>
        <v>0</v>
      </c>
      <c r="BX28" s="99"/>
      <c r="BY28" s="66">
        <f t="shared" si="74"/>
        <v>1.7</v>
      </c>
      <c r="BZ28" s="67">
        <f t="shared" si="75"/>
        <v>2.4</v>
      </c>
      <c r="CA28" s="67">
        <f t="shared" si="76"/>
        <v>5.5</v>
      </c>
      <c r="CB28" s="67">
        <f t="shared" si="77"/>
        <v>3.2</v>
      </c>
      <c r="CC28" s="67">
        <f t="shared" si="78"/>
        <v>3.5</v>
      </c>
      <c r="CD28" s="67">
        <f t="shared" si="79"/>
        <v>4.0999999999999996</v>
      </c>
      <c r="CE28" s="67">
        <f t="shared" si="80"/>
        <v>5</v>
      </c>
      <c r="CF28" s="67">
        <f t="shared" si="81"/>
        <v>5.0999999999999996</v>
      </c>
      <c r="CG28" s="67">
        <f t="shared" si="82"/>
        <v>7.5</v>
      </c>
      <c r="CH28" s="67">
        <f t="shared" si="83"/>
        <v>4.9000000000000004</v>
      </c>
      <c r="CI28" s="67">
        <f t="shared" si="84"/>
        <v>0</v>
      </c>
      <c r="CJ28" s="67">
        <f t="shared" si="85"/>
        <v>0</v>
      </c>
      <c r="CK28" s="67">
        <f t="shared" si="86"/>
        <v>0</v>
      </c>
      <c r="CL28" s="67">
        <f t="shared" si="87"/>
        <v>0</v>
      </c>
      <c r="CM28" s="67">
        <f t="shared" si="88"/>
        <v>0</v>
      </c>
      <c r="CN28" s="67">
        <f t="shared" si="89"/>
        <v>0</v>
      </c>
      <c r="CO28" s="67">
        <f t="shared" si="90"/>
        <v>0</v>
      </c>
      <c r="CP28" s="68">
        <f t="shared" si="91"/>
        <v>0</v>
      </c>
      <c r="CQ28" s="1041"/>
    </row>
    <row r="29" spans="1:95" ht="14.25" customHeight="1">
      <c r="A29" s="9"/>
      <c r="B29" s="25" t="s">
        <v>45</v>
      </c>
      <c r="C29" s="26"/>
      <c r="D29" s="70">
        <v>22.8</v>
      </c>
      <c r="E29" s="70">
        <v>27.9</v>
      </c>
      <c r="F29" s="70">
        <v>22.2</v>
      </c>
      <c r="G29" s="71">
        <v>25.3</v>
      </c>
      <c r="H29" s="70">
        <v>16.100000000000001</v>
      </c>
      <c r="I29" s="70">
        <v>10.199999999999999</v>
      </c>
      <c r="J29" s="70">
        <v>10.6</v>
      </c>
      <c r="K29" s="71">
        <v>1.2</v>
      </c>
      <c r="L29" s="70">
        <v>0.4</v>
      </c>
      <c r="M29" s="70">
        <v>0.5</v>
      </c>
      <c r="N29" s="70">
        <v>0.8</v>
      </c>
      <c r="O29" s="71">
        <v>0.6</v>
      </c>
      <c r="P29" s="70">
        <v>1.3</v>
      </c>
      <c r="Q29" s="70">
        <v>0.5</v>
      </c>
      <c r="R29" s="70">
        <v>1.4</v>
      </c>
      <c r="S29" s="71">
        <v>1.3</v>
      </c>
      <c r="T29" s="70">
        <v>5.2</v>
      </c>
      <c r="U29" s="70">
        <v>1.1000000000000001</v>
      </c>
      <c r="V29" s="70">
        <v>5</v>
      </c>
      <c r="W29" s="71">
        <v>1.4</v>
      </c>
      <c r="X29" s="70">
        <v>7.9</v>
      </c>
      <c r="Y29" s="70">
        <v>2.9</v>
      </c>
      <c r="Z29" s="70">
        <v>6.8</v>
      </c>
      <c r="AA29" s="71">
        <v>1.3</v>
      </c>
      <c r="AB29" s="70">
        <v>5</v>
      </c>
      <c r="AC29" s="70">
        <v>1.1000000000000001</v>
      </c>
      <c r="AD29" s="70">
        <v>4.7</v>
      </c>
      <c r="AE29" s="71">
        <v>0.9</v>
      </c>
      <c r="AF29" s="70">
        <v>4.5999999999999996</v>
      </c>
      <c r="AG29" s="70">
        <v>0.8</v>
      </c>
      <c r="AH29" s="70">
        <v>4.5</v>
      </c>
      <c r="AI29" s="70">
        <v>0.8</v>
      </c>
      <c r="AJ29" s="310">
        <v>4.5</v>
      </c>
      <c r="AK29" s="70">
        <v>0.9</v>
      </c>
      <c r="AL29" s="70">
        <v>4</v>
      </c>
      <c r="AM29" s="71">
        <v>0.7</v>
      </c>
      <c r="AN29" s="70">
        <v>4.2</v>
      </c>
      <c r="AO29" s="70">
        <v>0.9</v>
      </c>
      <c r="AP29" s="70">
        <v>4.0999999999999996</v>
      </c>
      <c r="AQ29" s="71">
        <v>0.6</v>
      </c>
      <c r="AR29" s="70">
        <v>5.0999999999999996</v>
      </c>
      <c r="AS29" s="70">
        <v>2.2999999999999998</v>
      </c>
      <c r="AT29" s="70">
        <v>5</v>
      </c>
      <c r="AU29" s="71">
        <v>0</v>
      </c>
      <c r="AV29" s="70">
        <v>0</v>
      </c>
      <c r="AW29" s="70">
        <v>0</v>
      </c>
      <c r="AX29" s="70">
        <v>0</v>
      </c>
      <c r="AY29" s="71">
        <v>0</v>
      </c>
      <c r="AZ29" s="70">
        <v>0</v>
      </c>
      <c r="BA29" s="70">
        <v>0</v>
      </c>
      <c r="BB29" s="70">
        <v>0</v>
      </c>
      <c r="BC29" s="71">
        <v>0</v>
      </c>
      <c r="BD29" s="70">
        <v>0</v>
      </c>
      <c r="BE29" s="70">
        <v>0</v>
      </c>
      <c r="BF29" s="70">
        <v>0</v>
      </c>
      <c r="BG29" s="71">
        <v>0</v>
      </c>
      <c r="BH29" s="70">
        <f t="shared" si="104"/>
        <v>0</v>
      </c>
      <c r="BI29" s="70">
        <v>0</v>
      </c>
      <c r="BJ29" s="70">
        <v>0</v>
      </c>
      <c r="BK29" s="71">
        <v>0</v>
      </c>
      <c r="BL29" s="66">
        <f t="shared" si="92"/>
        <v>0</v>
      </c>
      <c r="BM29" s="67">
        <f t="shared" si="93"/>
        <v>0</v>
      </c>
      <c r="BN29" s="67">
        <f t="shared" si="94"/>
        <v>0</v>
      </c>
      <c r="BO29" s="68">
        <f t="shared" si="95"/>
        <v>0</v>
      </c>
      <c r="BP29" s="66">
        <f t="shared" si="96"/>
        <v>0</v>
      </c>
      <c r="BQ29" s="67">
        <f t="shared" si="97"/>
        <v>0</v>
      </c>
      <c r="BR29" s="67">
        <f t="shared" si="98"/>
        <v>0</v>
      </c>
      <c r="BS29" s="67">
        <f t="shared" si="99"/>
        <v>0</v>
      </c>
      <c r="BT29" s="66">
        <f t="shared" si="100"/>
        <v>0</v>
      </c>
      <c r="BU29" s="67">
        <f t="shared" si="101"/>
        <v>0</v>
      </c>
      <c r="BV29" s="67">
        <f t="shared" si="102"/>
        <v>0</v>
      </c>
      <c r="BW29" s="67">
        <f t="shared" si="103"/>
        <v>0</v>
      </c>
      <c r="BX29" s="99"/>
      <c r="BY29" s="66">
        <f t="shared" si="74"/>
        <v>25.3</v>
      </c>
      <c r="BZ29" s="67">
        <f t="shared" si="75"/>
        <v>1.2</v>
      </c>
      <c r="CA29" s="67">
        <f t="shared" si="76"/>
        <v>0.6</v>
      </c>
      <c r="CB29" s="67">
        <f t="shared" si="77"/>
        <v>1.3</v>
      </c>
      <c r="CC29" s="67">
        <f t="shared" si="78"/>
        <v>1.4</v>
      </c>
      <c r="CD29" s="67">
        <f t="shared" si="79"/>
        <v>1.3</v>
      </c>
      <c r="CE29" s="67">
        <f t="shared" si="80"/>
        <v>0.9</v>
      </c>
      <c r="CF29" s="67">
        <f t="shared" si="81"/>
        <v>0.8</v>
      </c>
      <c r="CG29" s="67">
        <f t="shared" si="82"/>
        <v>0.7</v>
      </c>
      <c r="CH29" s="67">
        <f t="shared" si="83"/>
        <v>0.6</v>
      </c>
      <c r="CI29" s="67">
        <f t="shared" si="84"/>
        <v>0</v>
      </c>
      <c r="CJ29" s="67">
        <f t="shared" si="85"/>
        <v>0</v>
      </c>
      <c r="CK29" s="67">
        <f t="shared" si="86"/>
        <v>0</v>
      </c>
      <c r="CL29" s="67">
        <f t="shared" si="87"/>
        <v>0</v>
      </c>
      <c r="CM29" s="67">
        <f t="shared" si="88"/>
        <v>0</v>
      </c>
      <c r="CN29" s="67">
        <f t="shared" si="89"/>
        <v>0</v>
      </c>
      <c r="CO29" s="67">
        <f t="shared" si="90"/>
        <v>0</v>
      </c>
      <c r="CP29" s="68">
        <f t="shared" si="91"/>
        <v>0</v>
      </c>
      <c r="CQ29" s="1041"/>
    </row>
    <row r="30" spans="1:95" ht="14.25" customHeight="1">
      <c r="A30" s="9"/>
      <c r="B30" s="25" t="s">
        <v>46</v>
      </c>
      <c r="C30" s="26"/>
      <c r="D30" s="70">
        <v>68.2</v>
      </c>
      <c r="E30" s="70">
        <v>64.3</v>
      </c>
      <c r="F30" s="70">
        <v>64.400000000000006</v>
      </c>
      <c r="G30" s="71">
        <v>66.2</v>
      </c>
      <c r="H30" s="70">
        <v>81.099999999999994</v>
      </c>
      <c r="I30" s="70">
        <v>98.7</v>
      </c>
      <c r="J30" s="70">
        <v>109.5</v>
      </c>
      <c r="K30" s="71">
        <v>96.7</v>
      </c>
      <c r="L30" s="70">
        <v>96.9</v>
      </c>
      <c r="M30" s="70">
        <v>91.2</v>
      </c>
      <c r="N30" s="70">
        <v>100.5</v>
      </c>
      <c r="O30" s="71">
        <v>97.1</v>
      </c>
      <c r="P30" s="70">
        <v>113.2</v>
      </c>
      <c r="Q30" s="70">
        <v>126.9</v>
      </c>
      <c r="R30" s="70">
        <v>128.6</v>
      </c>
      <c r="S30" s="71">
        <v>123.2</v>
      </c>
      <c r="T30" s="70">
        <v>121.8</v>
      </c>
      <c r="U30" s="70">
        <v>110.4</v>
      </c>
      <c r="V30" s="70">
        <v>115.7</v>
      </c>
      <c r="W30" s="71">
        <v>120.4</v>
      </c>
      <c r="X30" s="70">
        <v>120.8</v>
      </c>
      <c r="Y30" s="70">
        <v>123.8</v>
      </c>
      <c r="Z30" s="70">
        <v>128.6</v>
      </c>
      <c r="AA30" s="71">
        <v>114.1</v>
      </c>
      <c r="AB30" s="70">
        <v>100.9</v>
      </c>
      <c r="AC30" s="70">
        <v>102.8</v>
      </c>
      <c r="AD30" s="70">
        <v>101.6</v>
      </c>
      <c r="AE30" s="71">
        <v>98.8</v>
      </c>
      <c r="AF30" s="70">
        <v>109.1</v>
      </c>
      <c r="AG30" s="70">
        <v>127.8</v>
      </c>
      <c r="AH30" s="70">
        <v>134.5</v>
      </c>
      <c r="AI30" s="70">
        <v>149.5</v>
      </c>
      <c r="AJ30" s="310">
        <v>169.5</v>
      </c>
      <c r="AK30" s="70">
        <v>187.7</v>
      </c>
      <c r="AL30" s="70">
        <v>188.4</v>
      </c>
      <c r="AM30" s="71">
        <v>172</v>
      </c>
      <c r="AN30" s="70">
        <v>153.5</v>
      </c>
      <c r="AO30" s="70">
        <v>152.19999999999999</v>
      </c>
      <c r="AP30" s="70">
        <v>149.9</v>
      </c>
      <c r="AQ30" s="71">
        <v>134.5</v>
      </c>
      <c r="AR30" s="70">
        <v>133.80000000000001</v>
      </c>
      <c r="AS30" s="70">
        <v>152.9</v>
      </c>
      <c r="AT30" s="70">
        <v>145.19999999999999</v>
      </c>
      <c r="AU30" s="71">
        <v>140.5</v>
      </c>
      <c r="AV30" s="70">
        <v>151.69999999999999</v>
      </c>
      <c r="AW30" s="70">
        <v>162.6</v>
      </c>
      <c r="AX30" s="70">
        <v>167</v>
      </c>
      <c r="AY30" s="71">
        <v>165.1</v>
      </c>
      <c r="AZ30" s="70">
        <v>156</v>
      </c>
      <c r="BA30" s="70">
        <v>155.1</v>
      </c>
      <c r="BB30" s="70">
        <v>130.4</v>
      </c>
      <c r="BC30" s="71">
        <v>112</v>
      </c>
      <c r="BD30" s="70">
        <v>112.9</v>
      </c>
      <c r="BE30" s="70">
        <v>118.7</v>
      </c>
      <c r="BF30" s="70">
        <v>120.6</v>
      </c>
      <c r="BG30" s="71">
        <v>109.8</v>
      </c>
      <c r="BH30" s="70">
        <v>0</v>
      </c>
      <c r="BI30" s="70">
        <v>0</v>
      </c>
      <c r="BJ30" s="70">
        <v>0</v>
      </c>
      <c r="BK30" s="71">
        <v>0</v>
      </c>
      <c r="BL30" s="66">
        <f t="shared" si="92"/>
        <v>0</v>
      </c>
      <c r="BM30" s="67">
        <f t="shared" si="93"/>
        <v>0</v>
      </c>
      <c r="BN30" s="67">
        <f t="shared" si="94"/>
        <v>0</v>
      </c>
      <c r="BO30" s="68">
        <f t="shared" si="95"/>
        <v>0</v>
      </c>
      <c r="BP30" s="66">
        <f t="shared" si="96"/>
        <v>0</v>
      </c>
      <c r="BQ30" s="67">
        <f t="shared" si="97"/>
        <v>0</v>
      </c>
      <c r="BR30" s="67">
        <f t="shared" si="98"/>
        <v>0</v>
      </c>
      <c r="BS30" s="67">
        <f t="shared" si="99"/>
        <v>0</v>
      </c>
      <c r="BT30" s="66">
        <f t="shared" si="100"/>
        <v>0</v>
      </c>
      <c r="BU30" s="67">
        <f t="shared" si="101"/>
        <v>0</v>
      </c>
      <c r="BV30" s="67">
        <f t="shared" si="102"/>
        <v>0</v>
      </c>
      <c r="BW30" s="67">
        <f t="shared" si="103"/>
        <v>0</v>
      </c>
      <c r="BX30" s="99"/>
      <c r="BY30" s="66">
        <f t="shared" si="74"/>
        <v>66.2</v>
      </c>
      <c r="BZ30" s="67">
        <f t="shared" si="75"/>
        <v>96.7</v>
      </c>
      <c r="CA30" s="67">
        <f t="shared" si="76"/>
        <v>97.1</v>
      </c>
      <c r="CB30" s="67">
        <f t="shared" si="77"/>
        <v>123.2</v>
      </c>
      <c r="CC30" s="67">
        <f t="shared" si="78"/>
        <v>120.4</v>
      </c>
      <c r="CD30" s="67">
        <f t="shared" si="79"/>
        <v>114.1</v>
      </c>
      <c r="CE30" s="67">
        <f t="shared" si="80"/>
        <v>98.8</v>
      </c>
      <c r="CF30" s="67">
        <f t="shared" si="81"/>
        <v>149.5</v>
      </c>
      <c r="CG30" s="67">
        <f t="shared" si="82"/>
        <v>172</v>
      </c>
      <c r="CH30" s="67">
        <f t="shared" si="83"/>
        <v>134.5</v>
      </c>
      <c r="CI30" s="67">
        <f t="shared" si="84"/>
        <v>140.5</v>
      </c>
      <c r="CJ30" s="67">
        <f t="shared" si="85"/>
        <v>165.1</v>
      </c>
      <c r="CK30" s="67">
        <f t="shared" si="86"/>
        <v>112</v>
      </c>
      <c r="CL30" s="67">
        <f t="shared" si="87"/>
        <v>109.8</v>
      </c>
      <c r="CM30" s="67">
        <f t="shared" si="88"/>
        <v>0</v>
      </c>
      <c r="CN30" s="67">
        <f t="shared" si="89"/>
        <v>0</v>
      </c>
      <c r="CO30" s="67">
        <f t="shared" si="90"/>
        <v>0</v>
      </c>
      <c r="CP30" s="68">
        <f t="shared" si="91"/>
        <v>0</v>
      </c>
      <c r="CQ30" s="1041"/>
    </row>
    <row r="31" spans="1:95" ht="14.25" customHeight="1">
      <c r="A31" s="12"/>
      <c r="B31" s="25" t="s">
        <v>43</v>
      </c>
      <c r="C31" s="26"/>
      <c r="D31" s="70">
        <v>0</v>
      </c>
      <c r="E31" s="70">
        <v>0</v>
      </c>
      <c r="F31" s="70">
        <v>0</v>
      </c>
      <c r="G31" s="71">
        <v>0</v>
      </c>
      <c r="H31" s="70">
        <v>0</v>
      </c>
      <c r="I31" s="70">
        <v>0</v>
      </c>
      <c r="J31" s="70">
        <v>0</v>
      </c>
      <c r="K31" s="71">
        <v>0</v>
      </c>
      <c r="L31" s="70">
        <v>0</v>
      </c>
      <c r="M31" s="70">
        <v>0</v>
      </c>
      <c r="N31" s="70">
        <v>0</v>
      </c>
      <c r="O31" s="71">
        <v>0</v>
      </c>
      <c r="P31" s="70">
        <v>0</v>
      </c>
      <c r="Q31" s="70">
        <v>0</v>
      </c>
      <c r="R31" s="70">
        <v>0</v>
      </c>
      <c r="S31" s="71">
        <v>0</v>
      </c>
      <c r="T31" s="70">
        <v>0</v>
      </c>
      <c r="U31" s="70">
        <v>0</v>
      </c>
      <c r="V31" s="70">
        <v>0</v>
      </c>
      <c r="W31" s="71">
        <v>0</v>
      </c>
      <c r="X31" s="70">
        <v>1</v>
      </c>
      <c r="Y31" s="70">
        <v>0</v>
      </c>
      <c r="Z31" s="70">
        <v>0</v>
      </c>
      <c r="AA31" s="71">
        <v>0</v>
      </c>
      <c r="AB31" s="70">
        <v>0</v>
      </c>
      <c r="AC31" s="70">
        <v>0</v>
      </c>
      <c r="AD31" s="70">
        <v>0</v>
      </c>
      <c r="AE31" s="71">
        <v>0</v>
      </c>
      <c r="AF31" s="70">
        <v>0</v>
      </c>
      <c r="AG31" s="70">
        <v>0</v>
      </c>
      <c r="AH31" s="70">
        <v>0</v>
      </c>
      <c r="AI31" s="70">
        <v>0</v>
      </c>
      <c r="AJ31" s="310">
        <v>62.8</v>
      </c>
      <c r="AK31" s="70">
        <v>65.2</v>
      </c>
      <c r="AL31" s="70">
        <v>69.7</v>
      </c>
      <c r="AM31" s="71">
        <v>33.6</v>
      </c>
      <c r="AN31" s="70">
        <v>29.6</v>
      </c>
      <c r="AO31" s="70">
        <v>32.299999999999997</v>
      </c>
      <c r="AP31" s="70">
        <v>33.9</v>
      </c>
      <c r="AQ31" s="71">
        <v>22.9</v>
      </c>
      <c r="AR31" s="70">
        <v>22.9</v>
      </c>
      <c r="AS31" s="70">
        <v>24.1</v>
      </c>
      <c r="AT31" s="70">
        <v>23.2</v>
      </c>
      <c r="AU31" s="71">
        <v>0</v>
      </c>
      <c r="AV31" s="70">
        <v>0</v>
      </c>
      <c r="AW31" s="70">
        <v>0</v>
      </c>
      <c r="AX31" s="70">
        <v>0</v>
      </c>
      <c r="AY31" s="71">
        <v>0</v>
      </c>
      <c r="AZ31" s="70"/>
      <c r="BA31" s="70">
        <v>0</v>
      </c>
      <c r="BB31" s="70">
        <v>0</v>
      </c>
      <c r="BC31" s="71">
        <v>0</v>
      </c>
      <c r="BD31" s="70">
        <v>0</v>
      </c>
      <c r="BE31" s="70">
        <v>0</v>
      </c>
      <c r="BF31" s="70">
        <v>0</v>
      </c>
      <c r="BG31" s="71">
        <v>0</v>
      </c>
      <c r="BH31" s="70">
        <f t="shared" si="104"/>
        <v>0</v>
      </c>
      <c r="BI31" s="70">
        <v>0</v>
      </c>
      <c r="BJ31" s="70">
        <v>0</v>
      </c>
      <c r="BK31" s="71">
        <v>0</v>
      </c>
      <c r="BL31" s="66">
        <f t="shared" si="92"/>
        <v>0</v>
      </c>
      <c r="BM31" s="67">
        <f t="shared" si="93"/>
        <v>0</v>
      </c>
      <c r="BN31" s="67">
        <f t="shared" si="94"/>
        <v>0</v>
      </c>
      <c r="BO31" s="68">
        <f t="shared" si="95"/>
        <v>0</v>
      </c>
      <c r="BP31" s="66">
        <f t="shared" si="96"/>
        <v>0</v>
      </c>
      <c r="BQ31" s="67">
        <f t="shared" si="97"/>
        <v>0</v>
      </c>
      <c r="BR31" s="67">
        <f t="shared" si="98"/>
        <v>0</v>
      </c>
      <c r="BS31" s="67">
        <f t="shared" si="99"/>
        <v>0</v>
      </c>
      <c r="BT31" s="66">
        <f t="shared" si="100"/>
        <v>0</v>
      </c>
      <c r="BU31" s="67">
        <f t="shared" si="101"/>
        <v>0</v>
      </c>
      <c r="BV31" s="67">
        <f t="shared" si="102"/>
        <v>0</v>
      </c>
      <c r="BW31" s="67">
        <f t="shared" si="103"/>
        <v>0</v>
      </c>
      <c r="BX31" s="567"/>
      <c r="BY31" s="66">
        <f t="shared" si="74"/>
        <v>0</v>
      </c>
      <c r="BZ31" s="67">
        <f t="shared" si="75"/>
        <v>0</v>
      </c>
      <c r="CA31" s="67">
        <f t="shared" si="76"/>
        <v>0</v>
      </c>
      <c r="CB31" s="67">
        <f t="shared" si="77"/>
        <v>0</v>
      </c>
      <c r="CC31" s="67">
        <f t="shared" si="78"/>
        <v>0</v>
      </c>
      <c r="CD31" s="67">
        <f t="shared" si="79"/>
        <v>0</v>
      </c>
      <c r="CE31" s="67">
        <f t="shared" si="80"/>
        <v>0</v>
      </c>
      <c r="CF31" s="67">
        <f t="shared" si="81"/>
        <v>0</v>
      </c>
      <c r="CG31" s="67">
        <f t="shared" si="82"/>
        <v>33.6</v>
      </c>
      <c r="CH31" s="67">
        <f t="shared" si="83"/>
        <v>22.9</v>
      </c>
      <c r="CI31" s="67">
        <f t="shared" si="84"/>
        <v>0</v>
      </c>
      <c r="CJ31" s="67">
        <f t="shared" si="85"/>
        <v>0</v>
      </c>
      <c r="CK31" s="67">
        <f t="shared" si="86"/>
        <v>0</v>
      </c>
      <c r="CL31" s="67">
        <f t="shared" si="87"/>
        <v>0</v>
      </c>
      <c r="CM31" s="67">
        <f t="shared" si="88"/>
        <v>0</v>
      </c>
      <c r="CN31" s="67">
        <f t="shared" si="89"/>
        <v>0</v>
      </c>
      <c r="CO31" s="67">
        <f t="shared" si="90"/>
        <v>0</v>
      </c>
      <c r="CP31" s="68">
        <f t="shared" si="91"/>
        <v>0</v>
      </c>
      <c r="CQ31" s="1478"/>
    </row>
    <row r="32" spans="1:95" ht="14.25" customHeight="1">
      <c r="A32" s="9"/>
      <c r="B32" s="100" t="s">
        <v>47</v>
      </c>
      <c r="C32" s="101"/>
      <c r="D32" s="70">
        <v>4</v>
      </c>
      <c r="E32" s="70">
        <v>24.9</v>
      </c>
      <c r="F32" s="70">
        <v>23.9</v>
      </c>
      <c r="G32" s="71">
        <v>11.4</v>
      </c>
      <c r="H32" s="70">
        <v>15.3</v>
      </c>
      <c r="I32" s="70">
        <v>47</v>
      </c>
      <c r="J32" s="70">
        <v>13.1</v>
      </c>
      <c r="K32" s="71">
        <v>20</v>
      </c>
      <c r="L32" s="70">
        <v>19.100000000000001</v>
      </c>
      <c r="M32" s="70">
        <v>18.3</v>
      </c>
      <c r="N32" s="70">
        <v>19.5</v>
      </c>
      <c r="O32" s="71">
        <v>73.900000000000006</v>
      </c>
      <c r="P32" s="70">
        <v>52.3</v>
      </c>
      <c r="Q32" s="70">
        <v>51.2</v>
      </c>
      <c r="R32" s="70">
        <v>34.700000000000003</v>
      </c>
      <c r="S32" s="71">
        <v>27.9</v>
      </c>
      <c r="T32" s="70">
        <v>26.7</v>
      </c>
      <c r="U32" s="70">
        <v>26</v>
      </c>
      <c r="V32" s="70">
        <v>27.3</v>
      </c>
      <c r="W32" s="71">
        <v>30.8</v>
      </c>
      <c r="X32" s="70">
        <v>75.5</v>
      </c>
      <c r="Y32" s="70">
        <v>80.2</v>
      </c>
      <c r="Z32" s="70">
        <v>69.400000000000006</v>
      </c>
      <c r="AA32" s="71">
        <v>107.9</v>
      </c>
      <c r="AB32" s="70">
        <v>86.6</v>
      </c>
      <c r="AC32" s="70">
        <v>174.8</v>
      </c>
      <c r="AD32" s="70">
        <v>165.7</v>
      </c>
      <c r="AE32" s="71">
        <v>205.9</v>
      </c>
      <c r="AF32" s="70">
        <v>111.3</v>
      </c>
      <c r="AG32" s="70">
        <v>120.5</v>
      </c>
      <c r="AH32" s="70">
        <v>135.80000000000001</v>
      </c>
      <c r="AI32" s="70">
        <v>136</v>
      </c>
      <c r="AJ32" s="310">
        <v>176.8</v>
      </c>
      <c r="AK32" s="70">
        <v>286.7</v>
      </c>
      <c r="AL32" s="70">
        <v>288.2</v>
      </c>
      <c r="AM32" s="71">
        <v>370.1</v>
      </c>
      <c r="AN32" s="70">
        <v>377.1</v>
      </c>
      <c r="AO32" s="70">
        <v>265.3</v>
      </c>
      <c r="AP32" s="70">
        <v>260.89999999999998</v>
      </c>
      <c r="AQ32" s="71">
        <v>353.6</v>
      </c>
      <c r="AR32" s="70">
        <v>242.8</v>
      </c>
      <c r="AS32" s="70">
        <v>231.3</v>
      </c>
      <c r="AT32" s="70">
        <v>249</v>
      </c>
      <c r="AU32" s="71">
        <v>181.6</v>
      </c>
      <c r="AV32" s="70">
        <v>173.7</v>
      </c>
      <c r="AW32" s="70">
        <v>169.4</v>
      </c>
      <c r="AX32" s="70">
        <v>203.3</v>
      </c>
      <c r="AY32" s="71">
        <v>209.6</v>
      </c>
      <c r="AZ32" s="70">
        <v>212.6</v>
      </c>
      <c r="BA32" s="70">
        <v>555.9</v>
      </c>
      <c r="BB32" s="70">
        <v>539.29999999999995</v>
      </c>
      <c r="BC32" s="71">
        <v>543.4</v>
      </c>
      <c r="BD32" s="70">
        <v>525.4</v>
      </c>
      <c r="BE32" s="70">
        <v>536.70000000000005</v>
      </c>
      <c r="BF32" s="70">
        <v>540.6</v>
      </c>
      <c r="BG32" s="71">
        <v>553.79999999999995</v>
      </c>
      <c r="BH32" s="70">
        <v>272.8</v>
      </c>
      <c r="BI32" s="70">
        <v>268.2</v>
      </c>
      <c r="BJ32" s="70">
        <v>258.5</v>
      </c>
      <c r="BK32" s="71">
        <v>248.1</v>
      </c>
      <c r="BL32" s="66">
        <f t="shared" si="92"/>
        <v>248.1</v>
      </c>
      <c r="BM32" s="67">
        <f t="shared" si="93"/>
        <v>248.1</v>
      </c>
      <c r="BN32" s="67">
        <f t="shared" si="94"/>
        <v>248.1</v>
      </c>
      <c r="BO32" s="68">
        <f t="shared" si="95"/>
        <v>248.1</v>
      </c>
      <c r="BP32" s="66">
        <f t="shared" si="96"/>
        <v>248.1</v>
      </c>
      <c r="BQ32" s="67">
        <f t="shared" si="97"/>
        <v>248.1</v>
      </c>
      <c r="BR32" s="67">
        <f t="shared" si="98"/>
        <v>248.1</v>
      </c>
      <c r="BS32" s="67">
        <f t="shared" si="99"/>
        <v>248.1</v>
      </c>
      <c r="BT32" s="66">
        <f t="shared" si="100"/>
        <v>248.1</v>
      </c>
      <c r="BU32" s="67">
        <f t="shared" si="101"/>
        <v>248.1</v>
      </c>
      <c r="BV32" s="67">
        <f t="shared" si="102"/>
        <v>248.1</v>
      </c>
      <c r="BW32" s="67">
        <f t="shared" si="103"/>
        <v>248.1</v>
      </c>
      <c r="BX32" s="99"/>
      <c r="BY32" s="274">
        <f t="shared" si="74"/>
        <v>11.4</v>
      </c>
      <c r="BZ32" s="67">
        <f t="shared" si="75"/>
        <v>20</v>
      </c>
      <c r="CA32" s="67">
        <f t="shared" si="76"/>
        <v>73.900000000000006</v>
      </c>
      <c r="CB32" s="67">
        <f t="shared" si="77"/>
        <v>27.9</v>
      </c>
      <c r="CC32" s="67">
        <f t="shared" si="78"/>
        <v>30.8</v>
      </c>
      <c r="CD32" s="67">
        <f t="shared" si="79"/>
        <v>107.9</v>
      </c>
      <c r="CE32" s="67">
        <f t="shared" si="80"/>
        <v>205.9</v>
      </c>
      <c r="CF32" s="67">
        <f t="shared" si="81"/>
        <v>136</v>
      </c>
      <c r="CG32" s="67">
        <f t="shared" si="82"/>
        <v>370.1</v>
      </c>
      <c r="CH32" s="67">
        <f t="shared" si="83"/>
        <v>353.6</v>
      </c>
      <c r="CI32" s="67">
        <f t="shared" si="84"/>
        <v>181.6</v>
      </c>
      <c r="CJ32" s="67">
        <f t="shared" si="85"/>
        <v>209.6</v>
      </c>
      <c r="CK32" s="67">
        <f t="shared" si="86"/>
        <v>543.4</v>
      </c>
      <c r="CL32" s="102">
        <f t="shared" si="87"/>
        <v>553.79999999999995</v>
      </c>
      <c r="CM32" s="102">
        <f t="shared" si="88"/>
        <v>248.1</v>
      </c>
      <c r="CN32" s="102">
        <f t="shared" si="89"/>
        <v>248.1</v>
      </c>
      <c r="CO32" s="102">
        <f t="shared" si="90"/>
        <v>248.1</v>
      </c>
      <c r="CP32" s="103">
        <f t="shared" si="91"/>
        <v>248.1</v>
      </c>
      <c r="CQ32" s="1041"/>
    </row>
    <row r="33" spans="1:95" ht="14.25" customHeight="1">
      <c r="A33" s="9"/>
      <c r="B33" s="117" t="s">
        <v>163</v>
      </c>
      <c r="C33" s="118"/>
      <c r="D33" s="108">
        <f t="shared" ref="D33:AV33" si="105">SUM(D26:D32)</f>
        <v>311.60000000000002</v>
      </c>
      <c r="E33" s="106">
        <f t="shared" si="105"/>
        <v>330.59999999999997</v>
      </c>
      <c r="F33" s="106">
        <f t="shared" si="105"/>
        <v>343.79999999999995</v>
      </c>
      <c r="G33" s="106">
        <f t="shared" si="105"/>
        <v>313.29999999999995</v>
      </c>
      <c r="H33" s="108">
        <f t="shared" si="105"/>
        <v>343.4</v>
      </c>
      <c r="I33" s="106">
        <f t="shared" si="105"/>
        <v>392.2</v>
      </c>
      <c r="J33" s="106">
        <f t="shared" si="105"/>
        <v>348.1</v>
      </c>
      <c r="K33" s="106">
        <f t="shared" si="105"/>
        <v>325.10000000000002</v>
      </c>
      <c r="L33" s="108">
        <f t="shared" si="105"/>
        <v>316.70000000000005</v>
      </c>
      <c r="M33" s="106">
        <f t="shared" si="105"/>
        <v>320.3</v>
      </c>
      <c r="N33" s="106">
        <f t="shared" si="105"/>
        <v>335.5</v>
      </c>
      <c r="O33" s="107">
        <f t="shared" si="105"/>
        <v>398.29999999999995</v>
      </c>
      <c r="P33" s="108">
        <f t="shared" si="105"/>
        <v>394.1</v>
      </c>
      <c r="Q33" s="106">
        <f t="shared" si="105"/>
        <v>455.8</v>
      </c>
      <c r="R33" s="106">
        <f t="shared" si="105"/>
        <v>407.3</v>
      </c>
      <c r="S33" s="107">
        <f t="shared" si="105"/>
        <v>432.99999999999994</v>
      </c>
      <c r="T33" s="108">
        <f t="shared" si="105"/>
        <v>398.7</v>
      </c>
      <c r="U33" s="106">
        <f t="shared" si="105"/>
        <v>371.4</v>
      </c>
      <c r="V33" s="106">
        <f t="shared" si="105"/>
        <v>390.40000000000003</v>
      </c>
      <c r="W33" s="107">
        <f t="shared" si="105"/>
        <v>420.90000000000003</v>
      </c>
      <c r="X33" s="108">
        <f t="shared" si="105"/>
        <v>655.59999999999991</v>
      </c>
      <c r="Y33" s="106">
        <f t="shared" si="105"/>
        <v>587.9</v>
      </c>
      <c r="Z33" s="106">
        <f t="shared" si="105"/>
        <v>609.4</v>
      </c>
      <c r="AA33" s="107">
        <f t="shared" si="105"/>
        <v>544</v>
      </c>
      <c r="AB33" s="108">
        <f t="shared" si="105"/>
        <v>460</v>
      </c>
      <c r="AC33" s="106">
        <f t="shared" si="105"/>
        <v>568.90000000000009</v>
      </c>
      <c r="AD33" s="106">
        <f t="shared" si="105"/>
        <v>561</v>
      </c>
      <c r="AE33" s="107">
        <f t="shared" si="105"/>
        <v>619</v>
      </c>
      <c r="AF33" s="106">
        <f t="shared" si="105"/>
        <v>574.19999999999993</v>
      </c>
      <c r="AG33" s="106">
        <f t="shared" si="105"/>
        <v>647.9</v>
      </c>
      <c r="AH33" s="106">
        <f t="shared" si="105"/>
        <v>677.2</v>
      </c>
      <c r="AI33" s="107">
        <f t="shared" si="105"/>
        <v>710.90000000000009</v>
      </c>
      <c r="AJ33" s="108">
        <f t="shared" si="105"/>
        <v>1146.0999999999999</v>
      </c>
      <c r="AK33" s="106">
        <f t="shared" si="105"/>
        <v>1294.2</v>
      </c>
      <c r="AL33" s="106">
        <f t="shared" si="105"/>
        <v>1255.3</v>
      </c>
      <c r="AM33" s="107">
        <f t="shared" si="105"/>
        <v>1275.5</v>
      </c>
      <c r="AN33" s="106">
        <f t="shared" si="105"/>
        <v>1214.3000000000002</v>
      </c>
      <c r="AO33" s="106">
        <f t="shared" si="105"/>
        <v>1154.6999999999998</v>
      </c>
      <c r="AP33" s="106">
        <f t="shared" si="105"/>
        <v>1053.5999999999999</v>
      </c>
      <c r="AQ33" s="107">
        <f t="shared" si="105"/>
        <v>1024.3000000000002</v>
      </c>
      <c r="AR33" s="106">
        <f t="shared" si="105"/>
        <v>874</v>
      </c>
      <c r="AS33" s="106">
        <f t="shared" si="105"/>
        <v>876.60000000000014</v>
      </c>
      <c r="AT33" s="106">
        <f t="shared" si="105"/>
        <v>878.1</v>
      </c>
      <c r="AU33" s="107">
        <f t="shared" si="105"/>
        <v>819.2</v>
      </c>
      <c r="AV33" s="106">
        <f t="shared" si="105"/>
        <v>824.2</v>
      </c>
      <c r="AW33" s="106">
        <f t="shared" ref="AW33:BE33" si="106">SUM(AW26:AW32)</f>
        <v>869.3</v>
      </c>
      <c r="AX33" s="106">
        <f t="shared" si="106"/>
        <v>1013</v>
      </c>
      <c r="AY33" s="107">
        <f t="shared" si="106"/>
        <v>1040.8</v>
      </c>
      <c r="AZ33" s="106">
        <f t="shared" si="106"/>
        <v>1013.7</v>
      </c>
      <c r="BA33" s="106">
        <f>SUM(BA26:BA32)</f>
        <v>1320.3</v>
      </c>
      <c r="BB33" s="106">
        <f>SUM(BB26:BB32)</f>
        <v>1338</v>
      </c>
      <c r="BC33" s="107">
        <f t="shared" si="106"/>
        <v>1239.3</v>
      </c>
      <c r="BD33" s="106">
        <f t="shared" si="106"/>
        <v>1189.3999999999999</v>
      </c>
      <c r="BE33" s="106">
        <f t="shared" si="106"/>
        <v>1260.5</v>
      </c>
      <c r="BF33" s="106">
        <f t="shared" ref="BF33:BG33" si="107">SUM(BF26:BF32)</f>
        <v>1497.9</v>
      </c>
      <c r="BG33" s="107">
        <f t="shared" si="107"/>
        <v>1502.6</v>
      </c>
      <c r="BH33" s="108">
        <f t="shared" ref="BH33:BO33" si="108">SUM(BH26:BH32)</f>
        <v>1212</v>
      </c>
      <c r="BI33" s="106">
        <f t="shared" si="108"/>
        <v>1363.2</v>
      </c>
      <c r="BJ33" s="106">
        <f t="shared" si="108"/>
        <v>1429.3</v>
      </c>
      <c r="BK33" s="107">
        <f t="shared" si="108"/>
        <v>1408.8999999999999</v>
      </c>
      <c r="BL33" s="108">
        <f t="shared" si="108"/>
        <v>1335.3750061111111</v>
      </c>
      <c r="BM33" s="106">
        <f t="shared" si="108"/>
        <v>1353.2400433222222</v>
      </c>
      <c r="BN33" s="106">
        <f t="shared" si="108"/>
        <v>1364.4190732462775</v>
      </c>
      <c r="BO33" s="107">
        <f t="shared" si="108"/>
        <v>1356.7898221554046</v>
      </c>
      <c r="BP33" s="108">
        <f t="shared" ref="BP33:BS33" si="109">SUM(BP26:BP32)</f>
        <v>1354.1403891752905</v>
      </c>
      <c r="BQ33" s="106">
        <f t="shared" si="109"/>
        <v>1369.1497329108968</v>
      </c>
      <c r="BR33" s="106">
        <f t="shared" si="109"/>
        <v>1374.8999277223263</v>
      </c>
      <c r="BS33" s="107">
        <f t="shared" si="109"/>
        <v>1366.0003356101522</v>
      </c>
      <c r="BT33" s="108">
        <f t="shared" ref="BT33:BW33" si="110">SUM(BT26:BT32)</f>
        <v>1368.8068292876319</v>
      </c>
      <c r="BU33" s="106">
        <f t="shared" si="110"/>
        <v>1384.1839917619118</v>
      </c>
      <c r="BV33" s="106">
        <f t="shared" si="110"/>
        <v>1389.4095520206424</v>
      </c>
      <c r="BW33" s="107">
        <f t="shared" si="110"/>
        <v>1380.4775770468991</v>
      </c>
      <c r="BX33" s="99"/>
      <c r="BY33" s="106">
        <f t="shared" ref="BY33:CL33" si="111">SUM(BY26:BY32)</f>
        <v>313.29999999999995</v>
      </c>
      <c r="BZ33" s="106">
        <f t="shared" si="111"/>
        <v>325.10000000000002</v>
      </c>
      <c r="CA33" s="106">
        <f t="shared" si="111"/>
        <v>398.29999999999995</v>
      </c>
      <c r="CB33" s="106">
        <f t="shared" si="111"/>
        <v>432.99999999999994</v>
      </c>
      <c r="CC33" s="106">
        <f t="shared" si="111"/>
        <v>420.90000000000003</v>
      </c>
      <c r="CD33" s="106">
        <f t="shared" si="111"/>
        <v>544</v>
      </c>
      <c r="CE33" s="106">
        <f t="shared" si="111"/>
        <v>619</v>
      </c>
      <c r="CF33" s="106">
        <f t="shared" si="111"/>
        <v>710.90000000000009</v>
      </c>
      <c r="CG33" s="106">
        <f t="shared" si="111"/>
        <v>1275.5</v>
      </c>
      <c r="CH33" s="106">
        <f t="shared" si="111"/>
        <v>1024.3000000000002</v>
      </c>
      <c r="CI33" s="106">
        <f t="shared" si="111"/>
        <v>819.2</v>
      </c>
      <c r="CJ33" s="106">
        <f t="shared" si="111"/>
        <v>1040.8</v>
      </c>
      <c r="CK33" s="106">
        <f t="shared" si="111"/>
        <v>1239.3</v>
      </c>
      <c r="CL33" s="106">
        <f t="shared" si="111"/>
        <v>1502.6</v>
      </c>
      <c r="CM33" s="106">
        <f>SUM(CM26:CM32)</f>
        <v>1408.8999999999999</v>
      </c>
      <c r="CN33" s="106">
        <f>SUM(CN26:CN32)</f>
        <v>1356.7898221554046</v>
      </c>
      <c r="CO33" s="106">
        <f>SUM(CO26:CO32)</f>
        <v>1366.0003356101522</v>
      </c>
      <c r="CP33" s="107">
        <f>SUM(CP26:CP32)</f>
        <v>1380.4775770468991</v>
      </c>
      <c r="CQ33" s="1041"/>
    </row>
    <row r="34" spans="1:95" ht="14.25" customHeight="1">
      <c r="A34" s="9"/>
      <c r="B34" s="23"/>
      <c r="C34" s="24"/>
      <c r="D34" s="69"/>
      <c r="E34" s="70"/>
      <c r="F34" s="70"/>
      <c r="G34" s="71"/>
      <c r="H34" s="69"/>
      <c r="I34" s="70"/>
      <c r="J34" s="70"/>
      <c r="K34" s="71"/>
      <c r="L34" s="69"/>
      <c r="M34" s="70"/>
      <c r="N34" s="70"/>
      <c r="O34" s="71"/>
      <c r="P34" s="69"/>
      <c r="Q34" s="70"/>
      <c r="R34" s="70"/>
      <c r="S34" s="71"/>
      <c r="T34" s="69"/>
      <c r="U34" s="70"/>
      <c r="V34" s="70"/>
      <c r="W34" s="71"/>
      <c r="X34" s="69"/>
      <c r="Y34" s="70"/>
      <c r="Z34" s="70"/>
      <c r="AA34" s="71"/>
      <c r="AB34" s="69"/>
      <c r="AC34" s="70"/>
      <c r="AD34" s="70"/>
      <c r="AE34" s="71"/>
      <c r="AF34" s="70"/>
      <c r="AG34" s="70"/>
      <c r="AH34" s="70"/>
      <c r="AI34" s="70"/>
      <c r="AJ34" s="69"/>
      <c r="AK34" s="70"/>
      <c r="AL34" s="70"/>
      <c r="AM34" s="71"/>
      <c r="AN34" s="70"/>
      <c r="AO34" s="70"/>
      <c r="AP34" s="70"/>
      <c r="AQ34" s="71"/>
      <c r="AR34" s="70"/>
      <c r="AS34" s="70"/>
      <c r="AT34" s="70"/>
      <c r="AU34" s="71"/>
      <c r="AV34" s="70"/>
      <c r="AW34" s="70"/>
      <c r="AX34" s="70"/>
      <c r="AY34" s="71"/>
      <c r="AZ34" s="70"/>
      <c r="BA34" s="70"/>
      <c r="BB34" s="70"/>
      <c r="BC34" s="71"/>
      <c r="BD34" s="70"/>
      <c r="BE34" s="70"/>
      <c r="BF34" s="70"/>
      <c r="BG34" s="71"/>
      <c r="BH34" s="69"/>
      <c r="BI34" s="70"/>
      <c r="BJ34" s="70"/>
      <c r="BK34" s="71"/>
      <c r="BL34" s="69"/>
      <c r="BM34" s="70"/>
      <c r="BN34" s="70"/>
      <c r="BO34" s="71"/>
      <c r="BP34" s="69"/>
      <c r="BQ34" s="70"/>
      <c r="BR34" s="70"/>
      <c r="BS34" s="71"/>
      <c r="BT34" s="69"/>
      <c r="BU34" s="70"/>
      <c r="BV34" s="70"/>
      <c r="BW34" s="71"/>
      <c r="BX34" s="99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8"/>
      <c r="CQ34" s="1041"/>
    </row>
    <row r="35" spans="1:95" ht="14.25" customHeight="1">
      <c r="A35" s="9"/>
      <c r="B35" s="25" t="s">
        <v>308</v>
      </c>
      <c r="C35" s="26"/>
      <c r="D35" s="69">
        <v>1413.4</v>
      </c>
      <c r="E35" s="70">
        <v>1416.7</v>
      </c>
      <c r="F35" s="70">
        <v>1269</v>
      </c>
      <c r="G35" s="71">
        <v>1291.5</v>
      </c>
      <c r="H35" s="69">
        <v>1125.9000000000001</v>
      </c>
      <c r="I35" s="70">
        <v>1127</v>
      </c>
      <c r="J35" s="70">
        <v>1126.5</v>
      </c>
      <c r="K35" s="71">
        <v>1131.8</v>
      </c>
      <c r="L35" s="69">
        <v>1126.9000000000001</v>
      </c>
      <c r="M35" s="70">
        <v>1124.0999999999999</v>
      </c>
      <c r="N35" s="70">
        <v>1118</v>
      </c>
      <c r="O35" s="71">
        <v>993.1</v>
      </c>
      <c r="P35" s="69">
        <v>1009.7</v>
      </c>
      <c r="Q35" s="70">
        <v>1009.8</v>
      </c>
      <c r="R35" s="70">
        <v>972</v>
      </c>
      <c r="S35" s="71">
        <v>1148.0999999999999</v>
      </c>
      <c r="T35" s="69">
        <v>1123.7</v>
      </c>
      <c r="U35" s="70">
        <v>1117.4000000000001</v>
      </c>
      <c r="V35" s="70">
        <v>1112.2</v>
      </c>
      <c r="W35" s="71">
        <v>1128.5999999999999</v>
      </c>
      <c r="X35" s="69">
        <v>1149.5999999999999</v>
      </c>
      <c r="Y35" s="70">
        <v>1151.9000000000001</v>
      </c>
      <c r="Z35" s="70">
        <v>1151.4000000000001</v>
      </c>
      <c r="AA35" s="71">
        <v>901.9</v>
      </c>
      <c r="AB35" s="69">
        <v>844.3</v>
      </c>
      <c r="AC35" s="70">
        <v>729.5</v>
      </c>
      <c r="AD35" s="70">
        <v>729.9</v>
      </c>
      <c r="AE35" s="71">
        <v>727.6</v>
      </c>
      <c r="AF35" s="70">
        <v>823.5</v>
      </c>
      <c r="AG35" s="70">
        <v>632.9</v>
      </c>
      <c r="AH35" s="70">
        <v>650.20000000000005</v>
      </c>
      <c r="AI35" s="71">
        <v>752.8</v>
      </c>
      <c r="AJ35" s="309">
        <v>1095.2</v>
      </c>
      <c r="AK35" s="70">
        <v>998.7</v>
      </c>
      <c r="AL35" s="70">
        <v>948.8</v>
      </c>
      <c r="AM35" s="71">
        <v>836.9</v>
      </c>
      <c r="AN35" s="70">
        <v>811.9</v>
      </c>
      <c r="AO35" s="70">
        <v>805</v>
      </c>
      <c r="AP35" s="70">
        <v>802.5</v>
      </c>
      <c r="AQ35" s="71">
        <v>658.3</v>
      </c>
      <c r="AR35" s="70">
        <v>706.8</v>
      </c>
      <c r="AS35" s="70">
        <v>686.3</v>
      </c>
      <c r="AT35" s="70">
        <v>659.4</v>
      </c>
      <c r="AU35" s="71">
        <v>760.6</v>
      </c>
      <c r="AV35" s="70">
        <v>746.5</v>
      </c>
      <c r="AW35" s="70">
        <v>735.5</v>
      </c>
      <c r="AX35" s="70">
        <v>980.3</v>
      </c>
      <c r="AY35" s="71">
        <v>983</v>
      </c>
      <c r="AZ35" s="70">
        <v>950.2</v>
      </c>
      <c r="BA35" s="70">
        <v>822.3</v>
      </c>
      <c r="BB35" s="70">
        <v>868.4</v>
      </c>
      <c r="BC35" s="71">
        <v>850.5</v>
      </c>
      <c r="BD35" s="70">
        <v>835.1</v>
      </c>
      <c r="BE35" s="70">
        <v>2935.1</v>
      </c>
      <c r="BF35" s="70">
        <v>3095.7</v>
      </c>
      <c r="BG35" s="71">
        <v>3068.5</v>
      </c>
      <c r="BH35" s="70">
        <v>2986.8</v>
      </c>
      <c r="BI35" s="70">
        <v>2872.3</v>
      </c>
      <c r="BJ35" s="70">
        <v>2684.4</v>
      </c>
      <c r="BK35" s="71">
        <v>2703.7</v>
      </c>
      <c r="BL35" s="1156">
        <f>BK35+CFS!BL57+CFS!BL59+CFS!BL17+CFS!BL15+CFS!BL20+CFS!BL60+CFS!BL58</f>
        <v>2703.7</v>
      </c>
      <c r="BM35" s="1156">
        <f>BL35+CFS!BM57+CFS!BM59+CFS!BM17+CFS!BM15+CFS!BM20+CFS!BM60+CFS!BM58</f>
        <v>2703.7</v>
      </c>
      <c r="BN35" s="1156">
        <f>BM35+CFS!BN57+CFS!BN59+CFS!BN17+CFS!BN15+CFS!BN20+CFS!BN60+CFS!BN58</f>
        <v>2703.7</v>
      </c>
      <c r="BO35" s="1157">
        <f>BN35+CFS!BO57+CFS!BO59+CFS!BO17+CFS!BO15+CFS!BO20+CFS!BO60+CFS!BO58</f>
        <v>2703.7</v>
      </c>
      <c r="BP35" s="1156">
        <f>BO35+CFS!BP57+CFS!BP59+CFS!BP17+CFS!BP15+CFS!BP20+CFS!BP60+CFS!BP58</f>
        <v>2703.7</v>
      </c>
      <c r="BQ35" s="1156">
        <f>BP35+CFS!BQ57+CFS!BQ59+CFS!BQ17+CFS!BQ15+CFS!BQ20+CFS!BQ60+CFS!BQ58</f>
        <v>2703.7</v>
      </c>
      <c r="BR35" s="1156">
        <f>BQ35+CFS!BR57+CFS!BR59+CFS!BR17+CFS!BR15+CFS!BR20+CFS!BR60+CFS!BR58</f>
        <v>2703.7</v>
      </c>
      <c r="BS35" s="1157">
        <f>BR35+CFS!BS57+CFS!BS59+CFS!BS17+CFS!BS15+CFS!BS20+CFS!BS60+CFS!BS58</f>
        <v>2703.7</v>
      </c>
      <c r="BT35" s="1156">
        <f>BS35+CFS!BT57+CFS!BT59+CFS!BT17+CFS!BT15+CFS!BT20+CFS!BT60+CFS!BT58</f>
        <v>2703.7</v>
      </c>
      <c r="BU35" s="1156">
        <f>BT35+CFS!BU57+CFS!BU59+CFS!BU17+CFS!BU15+CFS!BU20+CFS!BU60+CFS!BU58</f>
        <v>2703.7</v>
      </c>
      <c r="BV35" s="1156">
        <f>BU35+CFS!BV57+CFS!BV59+CFS!BV17+CFS!BV15+CFS!BV20+CFS!BV60+CFS!BV58</f>
        <v>2703.7</v>
      </c>
      <c r="BW35" s="1157">
        <f>BV35+CFS!BW57+CFS!BW59+CFS!BW17+CFS!BW15+CFS!BW20+CFS!BW60+CFS!BW58</f>
        <v>2703.7</v>
      </c>
      <c r="BX35" s="99"/>
      <c r="BY35" s="66">
        <f>G35</f>
        <v>1291.5</v>
      </c>
      <c r="BZ35" s="67">
        <f>K35</f>
        <v>1131.8</v>
      </c>
      <c r="CA35" s="67">
        <f>O35</f>
        <v>993.1</v>
      </c>
      <c r="CB35" s="67">
        <f>S35</f>
        <v>1148.0999999999999</v>
      </c>
      <c r="CC35" s="67">
        <f>W35</f>
        <v>1128.5999999999999</v>
      </c>
      <c r="CD35" s="67">
        <f>AA35</f>
        <v>901.9</v>
      </c>
      <c r="CE35" s="67">
        <f>AE35</f>
        <v>727.6</v>
      </c>
      <c r="CF35" s="67">
        <f>AI35</f>
        <v>752.8</v>
      </c>
      <c r="CG35" s="67">
        <f>AM35</f>
        <v>836.9</v>
      </c>
      <c r="CH35" s="67">
        <f>AQ35</f>
        <v>658.3</v>
      </c>
      <c r="CI35" s="67">
        <f>AU35</f>
        <v>760.6</v>
      </c>
      <c r="CJ35" s="67">
        <f>AY35</f>
        <v>983</v>
      </c>
      <c r="CK35" s="67">
        <f>BC35</f>
        <v>850.5</v>
      </c>
      <c r="CL35" s="67">
        <f>BG35</f>
        <v>3068.5</v>
      </c>
      <c r="CM35" s="67">
        <f>BK35</f>
        <v>2703.7</v>
      </c>
      <c r="CN35" s="67">
        <f>BO35</f>
        <v>2703.7</v>
      </c>
      <c r="CO35" s="67">
        <f t="shared" ref="CO35:CO37" si="112">BS35</f>
        <v>2703.7</v>
      </c>
      <c r="CP35" s="68">
        <f t="shared" ref="CP35:CP37" si="113">BW35</f>
        <v>2703.7</v>
      </c>
      <c r="CQ35" s="1041"/>
    </row>
    <row r="36" spans="1:95" ht="14.25" customHeight="1">
      <c r="A36" s="9"/>
      <c r="B36" s="25" t="s">
        <v>353</v>
      </c>
      <c r="C36" s="26"/>
      <c r="D36" s="69">
        <v>45.8</v>
      </c>
      <c r="E36" s="70">
        <v>40.1</v>
      </c>
      <c r="F36" s="70">
        <v>37.5</v>
      </c>
      <c r="G36" s="71">
        <v>58.2</v>
      </c>
      <c r="H36" s="69">
        <v>56.9</v>
      </c>
      <c r="I36" s="70">
        <v>57.9</v>
      </c>
      <c r="J36" s="70">
        <v>43.6</v>
      </c>
      <c r="K36" s="71">
        <v>32.200000000000003</v>
      </c>
      <c r="L36" s="69">
        <v>31.6</v>
      </c>
      <c r="M36" s="70">
        <v>33.299999999999997</v>
      </c>
      <c r="N36" s="70">
        <v>33.1</v>
      </c>
      <c r="O36" s="71">
        <v>31.4</v>
      </c>
      <c r="P36" s="69">
        <v>31.6</v>
      </c>
      <c r="Q36" s="70">
        <v>32.200000000000003</v>
      </c>
      <c r="R36" s="70">
        <v>32.6</v>
      </c>
      <c r="S36" s="71">
        <v>35.799999999999997</v>
      </c>
      <c r="T36" s="69">
        <v>51.3</v>
      </c>
      <c r="U36" s="70">
        <v>51.3</v>
      </c>
      <c r="V36" s="70">
        <v>52.4</v>
      </c>
      <c r="W36" s="71">
        <v>46.8</v>
      </c>
      <c r="X36" s="69">
        <v>63.8</v>
      </c>
      <c r="Y36" s="70">
        <v>47.4</v>
      </c>
      <c r="Z36" s="70">
        <v>47</v>
      </c>
      <c r="AA36" s="71">
        <v>48.1</v>
      </c>
      <c r="AB36" s="69">
        <v>45.9</v>
      </c>
      <c r="AC36" s="70">
        <v>44.5</v>
      </c>
      <c r="AD36" s="70">
        <v>47.5</v>
      </c>
      <c r="AE36" s="71">
        <v>49.3</v>
      </c>
      <c r="AF36" s="70">
        <v>45</v>
      </c>
      <c r="AG36" s="70">
        <v>44.6</v>
      </c>
      <c r="AH36" s="70">
        <v>46.4</v>
      </c>
      <c r="AI36" s="70">
        <v>49.3</v>
      </c>
      <c r="AJ36" s="310">
        <v>244.2</v>
      </c>
      <c r="AK36" s="70">
        <v>247</v>
      </c>
      <c r="AL36" s="70">
        <v>261</v>
      </c>
      <c r="AM36" s="71">
        <v>260.10000000000002</v>
      </c>
      <c r="AN36" s="70">
        <v>247.4</v>
      </c>
      <c r="AO36" s="70">
        <v>246.6</v>
      </c>
      <c r="AP36" s="70">
        <v>252.8</v>
      </c>
      <c r="AQ36" s="71">
        <v>232.2</v>
      </c>
      <c r="AR36" s="70">
        <v>215.2</v>
      </c>
      <c r="AS36" s="70">
        <v>191.9</v>
      </c>
      <c r="AT36" s="70">
        <v>186</v>
      </c>
      <c r="AU36" s="71">
        <v>190.4</v>
      </c>
      <c r="AV36" s="70">
        <v>176.1</v>
      </c>
      <c r="AW36" s="70">
        <v>174.1</v>
      </c>
      <c r="AX36" s="70">
        <v>214.6</v>
      </c>
      <c r="AY36" s="71">
        <v>151.80000000000001</v>
      </c>
      <c r="AZ36" s="70">
        <v>155.19999999999999</v>
      </c>
      <c r="BA36" s="70">
        <v>153.1</v>
      </c>
      <c r="BB36" s="70">
        <v>162.6</v>
      </c>
      <c r="BC36" s="71">
        <v>130.6</v>
      </c>
      <c r="BD36" s="70">
        <v>152.5</v>
      </c>
      <c r="BE36" s="70">
        <v>159.69999999999999</v>
      </c>
      <c r="BF36" s="70">
        <v>195.1</v>
      </c>
      <c r="BG36" s="71">
        <f>288.9+32.9</f>
        <v>321.79999999999995</v>
      </c>
      <c r="BH36" s="70">
        <v>246</v>
      </c>
      <c r="BI36" s="70">
        <v>271.3</v>
      </c>
      <c r="BJ36" s="70">
        <v>203.1</v>
      </c>
      <c r="BK36" s="71">
        <v>226.4</v>
      </c>
      <c r="BL36" s="66">
        <f t="shared" ref="BL36:BO37" si="114">BK36</f>
        <v>226.4</v>
      </c>
      <c r="BM36" s="67">
        <f t="shared" si="114"/>
        <v>226.4</v>
      </c>
      <c r="BN36" s="67">
        <f t="shared" si="114"/>
        <v>226.4</v>
      </c>
      <c r="BO36" s="68">
        <f t="shared" si="114"/>
        <v>226.4</v>
      </c>
      <c r="BP36" s="66">
        <f t="shared" ref="BP36:BP37" si="115">BO36</f>
        <v>226.4</v>
      </c>
      <c r="BQ36" s="67">
        <f t="shared" ref="BQ36:BQ37" si="116">BP36</f>
        <v>226.4</v>
      </c>
      <c r="BR36" s="67">
        <f t="shared" ref="BR36:BR37" si="117">BQ36</f>
        <v>226.4</v>
      </c>
      <c r="BS36" s="67">
        <f t="shared" ref="BS36:BS37" si="118">BR36</f>
        <v>226.4</v>
      </c>
      <c r="BT36" s="66">
        <f t="shared" ref="BT36:BT37" si="119">BS36</f>
        <v>226.4</v>
      </c>
      <c r="BU36" s="67">
        <f t="shared" ref="BU36:BU37" si="120">BT36</f>
        <v>226.4</v>
      </c>
      <c r="BV36" s="67">
        <f t="shared" ref="BV36:BV37" si="121">BU36</f>
        <v>226.4</v>
      </c>
      <c r="BW36" s="67">
        <f t="shared" ref="BW36:BW37" si="122">BV36</f>
        <v>226.4</v>
      </c>
      <c r="BX36" s="99"/>
      <c r="BY36" s="66">
        <f>G36</f>
        <v>58.2</v>
      </c>
      <c r="BZ36" s="67">
        <f>K36</f>
        <v>32.200000000000003</v>
      </c>
      <c r="CA36" s="67">
        <f>O36</f>
        <v>31.4</v>
      </c>
      <c r="CB36" s="67">
        <f>S36</f>
        <v>35.799999999999997</v>
      </c>
      <c r="CC36" s="67">
        <f>W36</f>
        <v>46.8</v>
      </c>
      <c r="CD36" s="67">
        <f>AA36</f>
        <v>48.1</v>
      </c>
      <c r="CE36" s="67">
        <f>AE36</f>
        <v>49.3</v>
      </c>
      <c r="CF36" s="67">
        <f>AI36</f>
        <v>49.3</v>
      </c>
      <c r="CG36" s="67">
        <f>AM36</f>
        <v>260.10000000000002</v>
      </c>
      <c r="CH36" s="67">
        <f>AQ36</f>
        <v>232.2</v>
      </c>
      <c r="CI36" s="67">
        <f>AU36</f>
        <v>190.4</v>
      </c>
      <c r="CJ36" s="67">
        <f>AY36</f>
        <v>151.80000000000001</v>
      </c>
      <c r="CK36" s="67">
        <f>BC36</f>
        <v>130.6</v>
      </c>
      <c r="CL36" s="67">
        <f>BG36</f>
        <v>321.79999999999995</v>
      </c>
      <c r="CM36" s="67">
        <f>BK36</f>
        <v>226.4</v>
      </c>
      <c r="CN36" s="67">
        <f>BO36</f>
        <v>226.4</v>
      </c>
      <c r="CO36" s="67">
        <f t="shared" si="112"/>
        <v>226.4</v>
      </c>
      <c r="CP36" s="68">
        <f t="shared" si="113"/>
        <v>226.4</v>
      </c>
      <c r="CQ36" s="1041"/>
    </row>
    <row r="37" spans="1:95" ht="14.25" customHeight="1">
      <c r="A37" s="9"/>
      <c r="B37" s="100" t="s">
        <v>43</v>
      </c>
      <c r="C37" s="101"/>
      <c r="D37" s="572">
        <v>0.9</v>
      </c>
      <c r="E37" s="314">
        <v>0.7</v>
      </c>
      <c r="F37" s="314">
        <v>0</v>
      </c>
      <c r="G37" s="142">
        <v>0</v>
      </c>
      <c r="H37" s="314">
        <v>0</v>
      </c>
      <c r="I37" s="314">
        <v>0</v>
      </c>
      <c r="J37" s="314">
        <v>0</v>
      </c>
      <c r="K37" s="142">
        <v>2.2999999999999998</v>
      </c>
      <c r="L37" s="314">
        <v>0.4</v>
      </c>
      <c r="M37" s="314">
        <v>0.2</v>
      </c>
      <c r="N37" s="314">
        <v>0.8</v>
      </c>
      <c r="O37" s="142">
        <v>1.2</v>
      </c>
      <c r="P37" s="314">
        <v>0</v>
      </c>
      <c r="Q37" s="314">
        <v>0</v>
      </c>
      <c r="R37" s="314">
        <v>5.6</v>
      </c>
      <c r="S37" s="142">
        <v>4.2</v>
      </c>
      <c r="T37" s="314">
        <v>5.2</v>
      </c>
      <c r="U37" s="314">
        <v>5.4</v>
      </c>
      <c r="V37" s="314">
        <v>6.1</v>
      </c>
      <c r="W37" s="142">
        <v>6.9</v>
      </c>
      <c r="X37" s="314">
        <v>8</v>
      </c>
      <c r="Y37" s="314">
        <v>0.7</v>
      </c>
      <c r="Z37" s="314">
        <v>0</v>
      </c>
      <c r="AA37" s="142">
        <v>10</v>
      </c>
      <c r="AB37" s="314">
        <v>12</v>
      </c>
      <c r="AC37" s="314">
        <v>12.9</v>
      </c>
      <c r="AD37" s="314">
        <v>12.7</v>
      </c>
      <c r="AE37" s="142">
        <v>13.8</v>
      </c>
      <c r="AF37" s="314">
        <v>15.4</v>
      </c>
      <c r="AG37" s="314">
        <v>16.3</v>
      </c>
      <c r="AH37" s="314">
        <v>18.100000000000001</v>
      </c>
      <c r="AI37" s="314">
        <v>18.2</v>
      </c>
      <c r="AJ37" s="315">
        <v>21.6</v>
      </c>
      <c r="AK37" s="314">
        <v>22.3</v>
      </c>
      <c r="AL37" s="314">
        <v>21.1</v>
      </c>
      <c r="AM37" s="142">
        <v>17.5</v>
      </c>
      <c r="AN37" s="314">
        <v>21.1</v>
      </c>
      <c r="AO37" s="314">
        <v>19.8</v>
      </c>
      <c r="AP37" s="314">
        <v>21.4</v>
      </c>
      <c r="AQ37" s="142">
        <v>22.9</v>
      </c>
      <c r="AR37" s="314">
        <v>22.8</v>
      </c>
      <c r="AS37" s="314">
        <v>21.3</v>
      </c>
      <c r="AT37" s="314">
        <v>23.5</v>
      </c>
      <c r="AU37" s="142">
        <v>0</v>
      </c>
      <c r="AV37" s="314">
        <v>0</v>
      </c>
      <c r="AW37" s="314">
        <v>0</v>
      </c>
      <c r="AX37" s="314">
        <v>0</v>
      </c>
      <c r="AY37" s="142">
        <v>0</v>
      </c>
      <c r="AZ37" s="314">
        <v>0</v>
      </c>
      <c r="BA37" s="314">
        <v>0</v>
      </c>
      <c r="BB37" s="314">
        <v>0</v>
      </c>
      <c r="BC37" s="142">
        <v>17.3</v>
      </c>
      <c r="BD37" s="314">
        <v>0</v>
      </c>
      <c r="BE37" s="314">
        <v>16.8</v>
      </c>
      <c r="BF37" s="314">
        <v>248.2</v>
      </c>
      <c r="BG37" s="142">
        <v>186.5</v>
      </c>
      <c r="BH37" s="314">
        <v>194.3</v>
      </c>
      <c r="BI37" s="314">
        <v>208.2</v>
      </c>
      <c r="BJ37" s="314">
        <v>309.10000000000002</v>
      </c>
      <c r="BK37" s="142">
        <v>55.1</v>
      </c>
      <c r="BL37" s="274">
        <f t="shared" si="114"/>
        <v>55.1</v>
      </c>
      <c r="BM37" s="102">
        <f t="shared" si="114"/>
        <v>55.1</v>
      </c>
      <c r="BN37" s="102">
        <f t="shared" si="114"/>
        <v>55.1</v>
      </c>
      <c r="BO37" s="103">
        <f t="shared" si="114"/>
        <v>55.1</v>
      </c>
      <c r="BP37" s="274">
        <f t="shared" si="115"/>
        <v>55.1</v>
      </c>
      <c r="BQ37" s="102">
        <f t="shared" si="116"/>
        <v>55.1</v>
      </c>
      <c r="BR37" s="102">
        <f t="shared" si="117"/>
        <v>55.1</v>
      </c>
      <c r="BS37" s="103">
        <f t="shared" si="118"/>
        <v>55.1</v>
      </c>
      <c r="BT37" s="274">
        <f t="shared" si="119"/>
        <v>55.1</v>
      </c>
      <c r="BU37" s="102">
        <f t="shared" si="120"/>
        <v>55.1</v>
      </c>
      <c r="BV37" s="102">
        <f t="shared" si="121"/>
        <v>55.1</v>
      </c>
      <c r="BW37" s="103">
        <f t="shared" si="122"/>
        <v>55.1</v>
      </c>
      <c r="BX37" s="99"/>
      <c r="BY37" s="66">
        <f>G37</f>
        <v>0</v>
      </c>
      <c r="BZ37" s="67">
        <f>K37</f>
        <v>2.2999999999999998</v>
      </c>
      <c r="CA37" s="67">
        <f>O37</f>
        <v>1.2</v>
      </c>
      <c r="CB37" s="67">
        <f>S37</f>
        <v>4.2</v>
      </c>
      <c r="CC37" s="67">
        <f>W37</f>
        <v>6.9</v>
      </c>
      <c r="CD37" s="67">
        <f>AA37</f>
        <v>10</v>
      </c>
      <c r="CE37" s="67">
        <f>AE37</f>
        <v>13.8</v>
      </c>
      <c r="CF37" s="67">
        <f>AI37</f>
        <v>18.2</v>
      </c>
      <c r="CG37" s="67">
        <f>AM37</f>
        <v>17.5</v>
      </c>
      <c r="CH37" s="67">
        <f>AQ37</f>
        <v>22.9</v>
      </c>
      <c r="CI37" s="67">
        <f>AU37</f>
        <v>0</v>
      </c>
      <c r="CJ37" s="67">
        <f>AY37</f>
        <v>0</v>
      </c>
      <c r="CK37" s="67">
        <f>BC37</f>
        <v>17.3</v>
      </c>
      <c r="CL37" s="102">
        <f>BG37</f>
        <v>186.5</v>
      </c>
      <c r="CM37" s="102">
        <f>BK37</f>
        <v>55.1</v>
      </c>
      <c r="CN37" s="102">
        <f>BO37</f>
        <v>55.1</v>
      </c>
      <c r="CO37" s="102">
        <f t="shared" si="112"/>
        <v>55.1</v>
      </c>
      <c r="CP37" s="103">
        <f t="shared" si="113"/>
        <v>55.1</v>
      </c>
      <c r="CQ37" s="1041"/>
    </row>
    <row r="38" spans="1:95" ht="14.25" customHeight="1">
      <c r="A38" s="9"/>
      <c r="B38" s="117" t="s">
        <v>50</v>
      </c>
      <c r="C38" s="24"/>
      <c r="D38" s="558">
        <f t="shared" ref="D38:AV38" si="123">SUM(D33,D35:D37)</f>
        <v>1771.7</v>
      </c>
      <c r="E38" s="573">
        <f t="shared" si="123"/>
        <v>1788.1</v>
      </c>
      <c r="F38" s="573">
        <f t="shared" si="123"/>
        <v>1650.3</v>
      </c>
      <c r="G38" s="573">
        <f t="shared" si="123"/>
        <v>1663</v>
      </c>
      <c r="H38" s="558">
        <f t="shared" si="123"/>
        <v>1526.2000000000003</v>
      </c>
      <c r="I38" s="559">
        <f t="shared" si="123"/>
        <v>1577.1000000000001</v>
      </c>
      <c r="J38" s="559">
        <f t="shared" si="123"/>
        <v>1518.1999999999998</v>
      </c>
      <c r="K38" s="559">
        <f t="shared" si="123"/>
        <v>1491.4</v>
      </c>
      <c r="L38" s="558">
        <f t="shared" si="123"/>
        <v>1475.6000000000001</v>
      </c>
      <c r="M38" s="559">
        <f t="shared" si="123"/>
        <v>1477.8999999999999</v>
      </c>
      <c r="N38" s="559">
        <f t="shared" si="123"/>
        <v>1487.3999999999999</v>
      </c>
      <c r="O38" s="557">
        <f t="shared" si="123"/>
        <v>1424.0000000000002</v>
      </c>
      <c r="P38" s="558">
        <f t="shared" si="123"/>
        <v>1435.4</v>
      </c>
      <c r="Q38" s="559">
        <f t="shared" si="123"/>
        <v>1497.8</v>
      </c>
      <c r="R38" s="559">
        <f t="shared" si="123"/>
        <v>1417.4999999999998</v>
      </c>
      <c r="S38" s="557">
        <f t="shared" si="123"/>
        <v>1621.1</v>
      </c>
      <c r="T38" s="558">
        <f t="shared" si="123"/>
        <v>1578.9</v>
      </c>
      <c r="U38" s="559">
        <f t="shared" si="123"/>
        <v>1545.5000000000002</v>
      </c>
      <c r="V38" s="559">
        <f t="shared" si="123"/>
        <v>1561.1000000000001</v>
      </c>
      <c r="W38" s="557">
        <f t="shared" si="123"/>
        <v>1603.2</v>
      </c>
      <c r="X38" s="558">
        <f t="shared" si="123"/>
        <v>1876.9999999999998</v>
      </c>
      <c r="Y38" s="559">
        <f t="shared" si="123"/>
        <v>1787.9000000000003</v>
      </c>
      <c r="Z38" s="559">
        <f t="shared" si="123"/>
        <v>1807.8000000000002</v>
      </c>
      <c r="AA38" s="557">
        <f t="shared" si="123"/>
        <v>1504</v>
      </c>
      <c r="AB38" s="558">
        <f t="shared" si="123"/>
        <v>1362.2</v>
      </c>
      <c r="AC38" s="559">
        <f t="shared" si="123"/>
        <v>1355.8000000000002</v>
      </c>
      <c r="AD38" s="559">
        <f t="shared" si="123"/>
        <v>1351.1000000000001</v>
      </c>
      <c r="AE38" s="557">
        <f t="shared" si="123"/>
        <v>1409.6999999999998</v>
      </c>
      <c r="AF38" s="559">
        <f t="shared" si="123"/>
        <v>1458.1</v>
      </c>
      <c r="AG38" s="559">
        <f t="shared" si="123"/>
        <v>1341.6999999999998</v>
      </c>
      <c r="AH38" s="559">
        <f t="shared" si="123"/>
        <v>1391.9</v>
      </c>
      <c r="AI38" s="559">
        <f t="shared" si="123"/>
        <v>1531.2</v>
      </c>
      <c r="AJ38" s="558">
        <f t="shared" si="123"/>
        <v>2507.1</v>
      </c>
      <c r="AK38" s="559">
        <f t="shared" si="123"/>
        <v>2562.2000000000003</v>
      </c>
      <c r="AL38" s="559">
        <f t="shared" si="123"/>
        <v>2486.1999999999998</v>
      </c>
      <c r="AM38" s="557">
        <f t="shared" si="123"/>
        <v>2390</v>
      </c>
      <c r="AN38" s="559">
        <f t="shared" si="123"/>
        <v>2294.7000000000003</v>
      </c>
      <c r="AO38" s="559">
        <f t="shared" si="123"/>
        <v>2226.1</v>
      </c>
      <c r="AP38" s="559">
        <f t="shared" si="123"/>
        <v>2130.3000000000002</v>
      </c>
      <c r="AQ38" s="557">
        <f t="shared" si="123"/>
        <v>1937.7000000000003</v>
      </c>
      <c r="AR38" s="559">
        <f t="shared" si="123"/>
        <v>1818.8</v>
      </c>
      <c r="AS38" s="559">
        <f t="shared" si="123"/>
        <v>1776.1000000000001</v>
      </c>
      <c r="AT38" s="559">
        <f t="shared" si="123"/>
        <v>1747</v>
      </c>
      <c r="AU38" s="557">
        <f t="shared" si="123"/>
        <v>1770.2000000000003</v>
      </c>
      <c r="AV38" s="559">
        <f t="shared" si="123"/>
        <v>1746.8</v>
      </c>
      <c r="AW38" s="559">
        <f t="shared" ref="AW38:BE38" si="124">SUM(AW33,AW35:AW37)</f>
        <v>1778.8999999999999</v>
      </c>
      <c r="AX38" s="559">
        <f t="shared" si="124"/>
        <v>2207.9</v>
      </c>
      <c r="AY38" s="557">
        <f t="shared" si="124"/>
        <v>2175.6</v>
      </c>
      <c r="AZ38" s="559">
        <f t="shared" si="124"/>
        <v>2119.1</v>
      </c>
      <c r="BA38" s="559">
        <f>SUM(BA33,BA35:BA37)</f>
        <v>2295.6999999999998</v>
      </c>
      <c r="BB38" s="559">
        <f>SUM(BB33,BB35:BB37)</f>
        <v>2369</v>
      </c>
      <c r="BC38" s="557">
        <f t="shared" si="124"/>
        <v>2237.7000000000003</v>
      </c>
      <c r="BD38" s="559">
        <f t="shared" si="124"/>
        <v>2177</v>
      </c>
      <c r="BE38" s="559">
        <f t="shared" si="124"/>
        <v>4372.1000000000004</v>
      </c>
      <c r="BF38" s="559">
        <f t="shared" ref="BF38:BG38" si="125">SUM(BF33,BF35:BF37)</f>
        <v>5036.9000000000005</v>
      </c>
      <c r="BG38" s="557">
        <f t="shared" si="125"/>
        <v>5079.4000000000005</v>
      </c>
      <c r="BH38" s="559">
        <f t="shared" ref="BH38:BO38" si="126">SUM(BH33,BH35:BH37)</f>
        <v>4639.1000000000004</v>
      </c>
      <c r="BI38" s="559">
        <f t="shared" si="126"/>
        <v>4715</v>
      </c>
      <c r="BJ38" s="559">
        <f t="shared" si="126"/>
        <v>4625.9000000000005</v>
      </c>
      <c r="BK38" s="557">
        <f t="shared" si="126"/>
        <v>4394.0999999999995</v>
      </c>
      <c r="BL38" s="558">
        <f t="shared" si="126"/>
        <v>4320.5750061111112</v>
      </c>
      <c r="BM38" s="559">
        <f t="shared" si="126"/>
        <v>4338.4400433222218</v>
      </c>
      <c r="BN38" s="559">
        <f t="shared" si="126"/>
        <v>4349.6190732462774</v>
      </c>
      <c r="BO38" s="557">
        <f t="shared" si="126"/>
        <v>4341.9898221554049</v>
      </c>
      <c r="BP38" s="558">
        <f t="shared" ref="BP38:BS38" si="127">SUM(BP33,BP35:BP37)</f>
        <v>4339.3403891752905</v>
      </c>
      <c r="BQ38" s="559">
        <f t="shared" si="127"/>
        <v>4354.3497329108968</v>
      </c>
      <c r="BR38" s="559">
        <f t="shared" si="127"/>
        <v>4360.0999277223264</v>
      </c>
      <c r="BS38" s="557">
        <f t="shared" si="127"/>
        <v>4351.2003356101523</v>
      </c>
      <c r="BT38" s="558">
        <f t="shared" ref="BT38:BW38" si="128">SUM(BT33,BT35:BT37)</f>
        <v>4354.0068292876322</v>
      </c>
      <c r="BU38" s="559">
        <f t="shared" si="128"/>
        <v>4369.3839917619116</v>
      </c>
      <c r="BV38" s="559">
        <f t="shared" si="128"/>
        <v>4374.6095520206427</v>
      </c>
      <c r="BW38" s="557">
        <f t="shared" si="128"/>
        <v>4365.6775770468994</v>
      </c>
      <c r="BX38" s="99"/>
      <c r="BY38" s="108">
        <f t="shared" ref="BY38:CL38" si="129">SUM(BY33,BY35:BY37)</f>
        <v>1663</v>
      </c>
      <c r="BZ38" s="106">
        <f t="shared" si="129"/>
        <v>1491.4</v>
      </c>
      <c r="CA38" s="106">
        <f t="shared" si="129"/>
        <v>1424.0000000000002</v>
      </c>
      <c r="CB38" s="106">
        <f t="shared" si="129"/>
        <v>1621.1</v>
      </c>
      <c r="CC38" s="106">
        <f t="shared" si="129"/>
        <v>1603.2</v>
      </c>
      <c r="CD38" s="106">
        <f t="shared" si="129"/>
        <v>1504</v>
      </c>
      <c r="CE38" s="106">
        <f t="shared" si="129"/>
        <v>1409.6999999999998</v>
      </c>
      <c r="CF38" s="106">
        <f t="shared" si="129"/>
        <v>1531.2</v>
      </c>
      <c r="CG38" s="106">
        <f t="shared" si="129"/>
        <v>2390</v>
      </c>
      <c r="CH38" s="106">
        <f t="shared" si="129"/>
        <v>1937.7000000000003</v>
      </c>
      <c r="CI38" s="106">
        <f t="shared" si="129"/>
        <v>1770.2000000000003</v>
      </c>
      <c r="CJ38" s="106">
        <f t="shared" si="129"/>
        <v>2175.6</v>
      </c>
      <c r="CK38" s="106">
        <f t="shared" si="129"/>
        <v>2237.7000000000003</v>
      </c>
      <c r="CL38" s="106">
        <f t="shared" si="129"/>
        <v>5079.4000000000005</v>
      </c>
      <c r="CM38" s="106">
        <f>SUM(CM33,CM35:CM37)</f>
        <v>4394.0999999999995</v>
      </c>
      <c r="CN38" s="106">
        <f>SUM(CN33,CN35:CN37)</f>
        <v>4341.9898221554049</v>
      </c>
      <c r="CO38" s="106">
        <f>SUM(CO33,CO35:CO37)</f>
        <v>4351.2003356101523</v>
      </c>
      <c r="CP38" s="107">
        <f>SUM(CP33,CP35:CP37)</f>
        <v>4365.6775770468994</v>
      </c>
      <c r="CQ38" s="1041"/>
    </row>
    <row r="39" spans="1:95" ht="14.25" customHeight="1">
      <c r="A39" s="9"/>
      <c r="B39" s="23"/>
      <c r="C39" s="24"/>
      <c r="D39" s="69"/>
      <c r="E39" s="70"/>
      <c r="F39" s="70"/>
      <c r="G39" s="71"/>
      <c r="H39" s="69"/>
      <c r="I39" s="70"/>
      <c r="J39" s="70"/>
      <c r="K39" s="71"/>
      <c r="L39" s="69"/>
      <c r="M39" s="70"/>
      <c r="N39" s="70"/>
      <c r="O39" s="71"/>
      <c r="P39" s="69"/>
      <c r="Q39" s="70"/>
      <c r="R39" s="70"/>
      <c r="S39" s="71"/>
      <c r="T39" s="69"/>
      <c r="U39" s="70"/>
      <c r="V39" s="70"/>
      <c r="W39" s="71"/>
      <c r="X39" s="69"/>
      <c r="Y39" s="70"/>
      <c r="Z39" s="70"/>
      <c r="AA39" s="71"/>
      <c r="AB39" s="69"/>
      <c r="AC39" s="70"/>
      <c r="AD39" s="70"/>
      <c r="AE39" s="71"/>
      <c r="AF39" s="70"/>
      <c r="AG39" s="70"/>
      <c r="AH39" s="70"/>
      <c r="AI39" s="70"/>
      <c r="AJ39" s="310"/>
      <c r="AK39" s="70"/>
      <c r="AL39" s="70"/>
      <c r="AM39" s="71"/>
      <c r="AN39" s="70"/>
      <c r="AO39" s="70"/>
      <c r="AP39" s="70"/>
      <c r="AQ39" s="71"/>
      <c r="AR39" s="70"/>
      <c r="AS39" s="70"/>
      <c r="AT39" s="70"/>
      <c r="AU39" s="71"/>
      <c r="AV39" s="70"/>
      <c r="AW39" s="70"/>
      <c r="AX39" s="70"/>
      <c r="AY39" s="71"/>
      <c r="AZ39" s="70"/>
      <c r="BA39" s="70"/>
      <c r="BB39" s="70"/>
      <c r="BC39" s="71"/>
      <c r="BD39" s="70"/>
      <c r="BE39" s="70"/>
      <c r="BF39" s="70"/>
      <c r="BG39" s="71"/>
      <c r="BH39" s="69"/>
      <c r="BI39" s="70"/>
      <c r="BJ39" s="70"/>
      <c r="BK39" s="71"/>
      <c r="BL39" s="69"/>
      <c r="BM39" s="70"/>
      <c r="BN39" s="70"/>
      <c r="BO39" s="71"/>
      <c r="BP39" s="69"/>
      <c r="BQ39" s="70"/>
      <c r="BR39" s="70"/>
      <c r="BS39" s="71"/>
      <c r="BT39" s="69"/>
      <c r="BU39" s="70"/>
      <c r="BV39" s="70"/>
      <c r="BW39" s="71"/>
      <c r="BX39" s="99"/>
      <c r="BY39" s="67"/>
      <c r="BZ39" s="67"/>
      <c r="CA39" s="67"/>
      <c r="CB39" s="67"/>
      <c r="CC39" s="67"/>
      <c r="CD39" s="67"/>
      <c r="CE39" s="67"/>
      <c r="CF39" s="67"/>
      <c r="CG39" s="67"/>
      <c r="CH39" s="67"/>
      <c r="CI39" s="67"/>
      <c r="CJ39" s="67"/>
      <c r="CK39" s="67"/>
      <c r="CL39" s="67"/>
      <c r="CM39" s="67"/>
      <c r="CN39" s="67"/>
      <c r="CO39" s="67"/>
      <c r="CP39" s="68"/>
      <c r="CQ39" s="1041"/>
    </row>
    <row r="40" spans="1:95" ht="14.25" customHeight="1">
      <c r="A40" s="12"/>
      <c r="B40" s="25" t="s">
        <v>23</v>
      </c>
      <c r="C40" s="24"/>
      <c r="D40" s="69">
        <v>112.3</v>
      </c>
      <c r="E40" s="70">
        <v>114.5</v>
      </c>
      <c r="F40" s="70">
        <v>116.8</v>
      </c>
      <c r="G40" s="71">
        <v>119.7</v>
      </c>
      <c r="H40" s="69">
        <v>123.9</v>
      </c>
      <c r="I40" s="70">
        <v>126.2</v>
      </c>
      <c r="J40" s="70">
        <v>128.6</v>
      </c>
      <c r="K40" s="71">
        <v>131.1</v>
      </c>
      <c r="L40" s="69">
        <v>133.6</v>
      </c>
      <c r="M40" s="70">
        <v>136.1</v>
      </c>
      <c r="N40" s="70">
        <v>138.69999999999999</v>
      </c>
      <c r="O40" s="71">
        <v>0</v>
      </c>
      <c r="P40" s="69">
        <v>0</v>
      </c>
      <c r="Q40" s="70">
        <v>0</v>
      </c>
      <c r="R40" s="70">
        <v>0</v>
      </c>
      <c r="S40" s="71">
        <v>0</v>
      </c>
      <c r="T40" s="69">
        <v>0</v>
      </c>
      <c r="U40" s="70">
        <v>0</v>
      </c>
      <c r="V40" s="70">
        <v>0</v>
      </c>
      <c r="W40" s="71">
        <v>0</v>
      </c>
      <c r="X40" s="69">
        <v>0</v>
      </c>
      <c r="Y40" s="70">
        <v>0</v>
      </c>
      <c r="Z40" s="70">
        <v>0</v>
      </c>
      <c r="AA40" s="71">
        <v>0</v>
      </c>
      <c r="AB40" s="69">
        <v>0</v>
      </c>
      <c r="AC40" s="70">
        <v>0</v>
      </c>
      <c r="AD40" s="70">
        <v>0</v>
      </c>
      <c r="AE40" s="71">
        <v>0</v>
      </c>
      <c r="AF40" s="70">
        <v>0</v>
      </c>
      <c r="AG40" s="70">
        <v>0</v>
      </c>
      <c r="AH40" s="70">
        <v>0</v>
      </c>
      <c r="AI40" s="70">
        <v>0</v>
      </c>
      <c r="AJ40" s="310">
        <v>0</v>
      </c>
      <c r="AK40" s="70">
        <v>0</v>
      </c>
      <c r="AL40" s="70">
        <v>0</v>
      </c>
      <c r="AM40" s="71">
        <v>0</v>
      </c>
      <c r="AN40" s="70">
        <v>0</v>
      </c>
      <c r="AO40" s="70">
        <v>0</v>
      </c>
      <c r="AP40" s="70">
        <v>0</v>
      </c>
      <c r="AQ40" s="71">
        <v>0</v>
      </c>
      <c r="AR40" s="70">
        <v>0</v>
      </c>
      <c r="AS40" s="70">
        <v>0</v>
      </c>
      <c r="AT40" s="70">
        <v>0</v>
      </c>
      <c r="AU40" s="71">
        <v>0</v>
      </c>
      <c r="AV40" s="70">
        <v>0</v>
      </c>
      <c r="AW40" s="70">
        <v>0</v>
      </c>
      <c r="AX40" s="70">
        <v>0</v>
      </c>
      <c r="AY40" s="71">
        <v>0</v>
      </c>
      <c r="AZ40" s="70">
        <v>0</v>
      </c>
      <c r="BA40" s="70">
        <v>0</v>
      </c>
      <c r="BB40" s="70">
        <v>0</v>
      </c>
      <c r="BC40" s="71">
        <v>0</v>
      </c>
      <c r="BD40" s="70">
        <v>0</v>
      </c>
      <c r="BE40" s="70">
        <v>0</v>
      </c>
      <c r="BF40" s="70">
        <v>0</v>
      </c>
      <c r="BG40" s="71">
        <v>0</v>
      </c>
      <c r="BH40" s="69">
        <v>0</v>
      </c>
      <c r="BI40" s="70">
        <v>0</v>
      </c>
      <c r="BJ40" s="70">
        <v>0</v>
      </c>
      <c r="BK40" s="71">
        <v>0</v>
      </c>
      <c r="BL40" s="69">
        <v>0</v>
      </c>
      <c r="BM40" s="70">
        <v>0</v>
      </c>
      <c r="BN40" s="70">
        <v>0</v>
      </c>
      <c r="BO40" s="71">
        <v>0</v>
      </c>
      <c r="BP40" s="69">
        <v>0</v>
      </c>
      <c r="BQ40" s="70">
        <v>0</v>
      </c>
      <c r="BR40" s="70">
        <v>0</v>
      </c>
      <c r="BS40" s="71">
        <v>0</v>
      </c>
      <c r="BT40" s="69">
        <v>0</v>
      </c>
      <c r="BU40" s="70">
        <v>0</v>
      </c>
      <c r="BV40" s="70">
        <v>0</v>
      </c>
      <c r="BW40" s="71">
        <v>0</v>
      </c>
      <c r="BX40" s="567"/>
      <c r="BY40" s="66">
        <f>G40</f>
        <v>119.7</v>
      </c>
      <c r="BZ40" s="67">
        <f>K40</f>
        <v>131.1</v>
      </c>
      <c r="CA40" s="67">
        <f>O40</f>
        <v>0</v>
      </c>
      <c r="CB40" s="67">
        <f>S40</f>
        <v>0</v>
      </c>
      <c r="CC40" s="67">
        <f>W40</f>
        <v>0</v>
      </c>
      <c r="CD40" s="67">
        <f>AA40</f>
        <v>0</v>
      </c>
      <c r="CE40" s="67">
        <f>AE40</f>
        <v>0</v>
      </c>
      <c r="CF40" s="67">
        <f>AI40</f>
        <v>0</v>
      </c>
      <c r="CG40" s="67">
        <f>AM40</f>
        <v>0</v>
      </c>
      <c r="CH40" s="67">
        <f>AQ40</f>
        <v>0</v>
      </c>
      <c r="CI40" s="67">
        <f>AU40</f>
        <v>0</v>
      </c>
      <c r="CJ40" s="67">
        <f>AY40</f>
        <v>0</v>
      </c>
      <c r="CK40" s="67">
        <f>BC40</f>
        <v>0</v>
      </c>
      <c r="CL40" s="67">
        <f>BG40</f>
        <v>0</v>
      </c>
      <c r="CM40" s="67">
        <f>BK40</f>
        <v>0</v>
      </c>
      <c r="CN40" s="67">
        <f>BO40</f>
        <v>0</v>
      </c>
      <c r="CO40" s="67">
        <f>BS40</f>
        <v>0</v>
      </c>
      <c r="CP40" s="68">
        <f>BW40</f>
        <v>0</v>
      </c>
      <c r="CQ40" s="1478"/>
    </row>
    <row r="41" spans="1:95" ht="14.25" customHeight="1">
      <c r="A41" s="12"/>
      <c r="B41" s="25"/>
      <c r="C41" s="24"/>
      <c r="D41" s="69"/>
      <c r="E41" s="70"/>
      <c r="F41" s="70"/>
      <c r="G41" s="71"/>
      <c r="H41" s="69"/>
      <c r="I41" s="70"/>
      <c r="J41" s="70"/>
      <c r="K41" s="71"/>
      <c r="L41" s="69"/>
      <c r="M41" s="70"/>
      <c r="N41" s="70"/>
      <c r="O41" s="71"/>
      <c r="P41" s="69"/>
      <c r="Q41" s="70"/>
      <c r="R41" s="70"/>
      <c r="S41" s="71"/>
      <c r="T41" s="69"/>
      <c r="U41" s="70"/>
      <c r="V41" s="70"/>
      <c r="W41" s="71"/>
      <c r="X41" s="69"/>
      <c r="Y41" s="70"/>
      <c r="Z41" s="70"/>
      <c r="AA41" s="71"/>
      <c r="AB41" s="69"/>
      <c r="AC41" s="70"/>
      <c r="AD41" s="70"/>
      <c r="AE41" s="71"/>
      <c r="AF41" s="70"/>
      <c r="AG41" s="70"/>
      <c r="AH41" s="70"/>
      <c r="AI41" s="70"/>
      <c r="AJ41" s="310"/>
      <c r="AK41" s="70"/>
      <c r="AL41" s="70"/>
      <c r="AM41" s="71"/>
      <c r="AN41" s="70"/>
      <c r="AO41" s="70"/>
      <c r="AP41" s="70"/>
      <c r="AQ41" s="71"/>
      <c r="AR41" s="70"/>
      <c r="AS41" s="70"/>
      <c r="AT41" s="70"/>
      <c r="AU41" s="71"/>
      <c r="AV41" s="70"/>
      <c r="AW41" s="70"/>
      <c r="AX41" s="70"/>
      <c r="AY41" s="71"/>
      <c r="AZ41" s="70"/>
      <c r="BA41" s="70"/>
      <c r="BB41" s="70"/>
      <c r="BC41" s="71"/>
      <c r="BD41" s="70"/>
      <c r="BE41" s="70"/>
      <c r="BF41" s="70"/>
      <c r="BG41" s="71"/>
      <c r="BH41" s="69"/>
      <c r="BI41" s="70"/>
      <c r="BJ41" s="70"/>
      <c r="BK41" s="71"/>
      <c r="BL41" s="69"/>
      <c r="BM41" s="70"/>
      <c r="BN41" s="70"/>
      <c r="BO41" s="71"/>
      <c r="BP41" s="69"/>
      <c r="BQ41" s="70"/>
      <c r="BR41" s="70"/>
      <c r="BS41" s="70"/>
      <c r="BT41" s="69"/>
      <c r="BU41" s="70"/>
      <c r="BV41" s="70"/>
      <c r="BW41" s="70"/>
      <c r="BX41" s="567"/>
      <c r="BY41" s="67"/>
      <c r="BZ41" s="67"/>
      <c r="CA41" s="67"/>
      <c r="CB41" s="67"/>
      <c r="CC41" s="67"/>
      <c r="CD41" s="67"/>
      <c r="CE41" s="67"/>
      <c r="CF41" s="67"/>
      <c r="CG41" s="67"/>
      <c r="CH41" s="67"/>
      <c r="CI41" s="67"/>
      <c r="CJ41" s="67"/>
      <c r="CK41" s="67"/>
      <c r="CL41" s="67"/>
      <c r="CM41" s="67"/>
      <c r="CN41" s="67"/>
      <c r="CO41" s="67"/>
      <c r="CP41" s="68"/>
      <c r="CQ41" s="1478"/>
    </row>
    <row r="42" spans="1:95" ht="14.25" customHeight="1">
      <c r="A42" s="9"/>
      <c r="B42" s="117" t="s">
        <v>164</v>
      </c>
      <c r="C42" s="118"/>
      <c r="D42" s="652">
        <v>-692.5</v>
      </c>
      <c r="E42" s="653">
        <v>-750.7</v>
      </c>
      <c r="F42" s="653">
        <v>-603.9</v>
      </c>
      <c r="G42" s="653">
        <v>-644.6</v>
      </c>
      <c r="H42" s="652">
        <v>-463.1</v>
      </c>
      <c r="I42" s="653">
        <v>-466.9</v>
      </c>
      <c r="J42" s="653">
        <v>-452.2</v>
      </c>
      <c r="K42" s="653">
        <v>-537.79999999999995</v>
      </c>
      <c r="L42" s="652">
        <v>-521.79999999999995</v>
      </c>
      <c r="M42" s="653">
        <v>-507.3</v>
      </c>
      <c r="N42" s="653">
        <v>-482</v>
      </c>
      <c r="O42" s="654">
        <v>-300.3</v>
      </c>
      <c r="P42" s="652">
        <v>-249.7</v>
      </c>
      <c r="Q42" s="653">
        <v>-100</v>
      </c>
      <c r="R42" s="653">
        <v>-20.3</v>
      </c>
      <c r="S42" s="654">
        <v>-225.4</v>
      </c>
      <c r="T42" s="652">
        <v>-157.19999999999999</v>
      </c>
      <c r="U42" s="653">
        <v>-137.1</v>
      </c>
      <c r="V42" s="653">
        <v>-53.5</v>
      </c>
      <c r="W42" s="654">
        <v>15.9</v>
      </c>
      <c r="X42" s="652">
        <v>978.6</v>
      </c>
      <c r="Y42" s="653">
        <v>1034.2</v>
      </c>
      <c r="Z42" s="653">
        <v>1084.8</v>
      </c>
      <c r="AA42" s="654">
        <v>838.2</v>
      </c>
      <c r="AB42" s="652">
        <v>831.1</v>
      </c>
      <c r="AC42" s="653">
        <v>849.9</v>
      </c>
      <c r="AD42" s="653">
        <v>904.3</v>
      </c>
      <c r="AE42" s="654">
        <v>985</v>
      </c>
      <c r="AF42" s="653">
        <v>1067.4000000000001</v>
      </c>
      <c r="AG42" s="653">
        <v>1178.0999999999999</v>
      </c>
      <c r="AH42" s="653">
        <v>1280.8</v>
      </c>
      <c r="AI42" s="653">
        <v>1366</v>
      </c>
      <c r="AJ42" s="652">
        <v>1487</v>
      </c>
      <c r="AK42" s="653">
        <v>1564.1</v>
      </c>
      <c r="AL42" s="653">
        <v>1501.8</v>
      </c>
      <c r="AM42" s="654">
        <v>1468.2</v>
      </c>
      <c r="AN42" s="653">
        <v>1508.4</v>
      </c>
      <c r="AO42" s="653">
        <v>1517.2</v>
      </c>
      <c r="AP42" s="653">
        <v>1511.3</v>
      </c>
      <c r="AQ42" s="654">
        <v>1361.1</v>
      </c>
      <c r="AR42" s="653">
        <v>1383.6</v>
      </c>
      <c r="AS42" s="653">
        <v>1434</v>
      </c>
      <c r="AT42" s="653">
        <v>1469.4</v>
      </c>
      <c r="AU42" s="654">
        <v>1454</v>
      </c>
      <c r="AV42" s="653">
        <v>1506.9</v>
      </c>
      <c r="AW42" s="653">
        <v>1606.7</v>
      </c>
      <c r="AX42" s="653">
        <v>1642.6</v>
      </c>
      <c r="AY42" s="654">
        <v>1626.5</v>
      </c>
      <c r="AZ42" s="653">
        <v>1605.6</v>
      </c>
      <c r="BA42" s="653">
        <v>1597.4</v>
      </c>
      <c r="BB42" s="653">
        <v>1558.3</v>
      </c>
      <c r="BC42" s="654">
        <v>1608.2</v>
      </c>
      <c r="BD42" s="653">
        <v>1654</v>
      </c>
      <c r="BE42" s="653">
        <v>1700.9</v>
      </c>
      <c r="BF42" s="653">
        <v>1730.6</v>
      </c>
      <c r="BG42" s="654">
        <v>1823.2</v>
      </c>
      <c r="BH42" s="653">
        <v>1976</v>
      </c>
      <c r="BI42" s="653">
        <v>2096.5</v>
      </c>
      <c r="BJ42" s="653">
        <v>2212.4</v>
      </c>
      <c r="BK42" s="654">
        <v>2778.8</v>
      </c>
      <c r="BL42" s="655">
        <f t="shared" ref="BL42:BS42" si="130">BL71</f>
        <v>2918.2638946045372</v>
      </c>
      <c r="BM42" s="282">
        <f t="shared" si="130"/>
        <v>3103.4797197147218</v>
      </c>
      <c r="BN42" s="282">
        <f t="shared" si="130"/>
        <v>3298.7910364316281</v>
      </c>
      <c r="BO42" s="931">
        <f t="shared" si="130"/>
        <v>3485.6303175974822</v>
      </c>
      <c r="BP42" s="655">
        <f t="shared" si="130"/>
        <v>3670.1667544981706</v>
      </c>
      <c r="BQ42" s="282">
        <f t="shared" si="130"/>
        <v>3874.5992771617889</v>
      </c>
      <c r="BR42" s="282">
        <f t="shared" si="130"/>
        <v>4096.6188974032775</v>
      </c>
      <c r="BS42" s="282">
        <f t="shared" si="130"/>
        <v>4312.0446699725217</v>
      </c>
      <c r="BT42" s="655">
        <f t="shared" ref="BT42:BW42" si="131">BT71</f>
        <v>4518.0087655840434</v>
      </c>
      <c r="BU42" s="282">
        <f t="shared" si="131"/>
        <v>4744.8755126389624</v>
      </c>
      <c r="BV42" s="282">
        <f t="shared" si="131"/>
        <v>4989.9985071906876</v>
      </c>
      <c r="BW42" s="282">
        <f t="shared" si="131"/>
        <v>5228.2269857437441</v>
      </c>
      <c r="BX42" s="99"/>
      <c r="BY42" s="655">
        <f>G42</f>
        <v>-644.6</v>
      </c>
      <c r="BZ42" s="282">
        <f>K42</f>
        <v>-537.79999999999995</v>
      </c>
      <c r="CA42" s="282">
        <f>O42</f>
        <v>-300.3</v>
      </c>
      <c r="CB42" s="282">
        <f>S42</f>
        <v>-225.4</v>
      </c>
      <c r="CC42" s="282">
        <f>W42</f>
        <v>15.9</v>
      </c>
      <c r="CD42" s="282">
        <f>AA42</f>
        <v>838.2</v>
      </c>
      <c r="CE42" s="282">
        <f>AE42</f>
        <v>985</v>
      </c>
      <c r="CF42" s="282">
        <f>AI42</f>
        <v>1366</v>
      </c>
      <c r="CG42" s="282">
        <f>AM42</f>
        <v>1468.2</v>
      </c>
      <c r="CH42" s="282">
        <f>AQ42</f>
        <v>1361.1</v>
      </c>
      <c r="CI42" s="282">
        <f>AU42</f>
        <v>1454</v>
      </c>
      <c r="CJ42" s="282">
        <f>AY42</f>
        <v>1626.5</v>
      </c>
      <c r="CK42" s="282">
        <f>BC42</f>
        <v>1608.2</v>
      </c>
      <c r="CL42" s="282">
        <f>BG42</f>
        <v>1823.2</v>
      </c>
      <c r="CM42" s="282">
        <f>BK42</f>
        <v>2778.8</v>
      </c>
      <c r="CN42" s="282">
        <f>BO42</f>
        <v>3485.6303175974822</v>
      </c>
      <c r="CO42" s="282">
        <f>BS42</f>
        <v>4312.0446699725217</v>
      </c>
      <c r="CP42" s="931">
        <f>BW42</f>
        <v>5228.2269857437441</v>
      </c>
      <c r="CQ42" s="1041"/>
    </row>
    <row r="43" spans="1:95" ht="14.25" customHeight="1">
      <c r="A43" s="560"/>
      <c r="B43" s="561"/>
      <c r="C43" s="562"/>
      <c r="D43" s="563"/>
      <c r="E43" s="564"/>
      <c r="F43" s="564"/>
      <c r="G43" s="564"/>
      <c r="H43" s="563"/>
      <c r="I43" s="564"/>
      <c r="J43" s="564"/>
      <c r="K43" s="564"/>
      <c r="L43" s="563"/>
      <c r="M43" s="564"/>
      <c r="N43" s="564"/>
      <c r="O43" s="564"/>
      <c r="P43" s="563"/>
      <c r="Q43" s="564"/>
      <c r="R43" s="564"/>
      <c r="S43" s="564"/>
      <c r="T43" s="563"/>
      <c r="U43" s="564"/>
      <c r="V43" s="564"/>
      <c r="W43" s="564"/>
      <c r="X43" s="563"/>
      <c r="Y43" s="564"/>
      <c r="Z43" s="564"/>
      <c r="AA43" s="564"/>
      <c r="AB43" s="563"/>
      <c r="AC43" s="564"/>
      <c r="AD43" s="564"/>
      <c r="AE43" s="564"/>
      <c r="AF43" s="563"/>
      <c r="AG43" s="564"/>
      <c r="AH43" s="564"/>
      <c r="AI43" s="564"/>
      <c r="AJ43" s="563"/>
      <c r="AK43" s="564"/>
      <c r="AL43" s="564"/>
      <c r="AM43" s="565"/>
      <c r="AN43" s="564"/>
      <c r="AO43" s="564"/>
      <c r="AP43" s="564"/>
      <c r="AQ43" s="565"/>
      <c r="AR43" s="564"/>
      <c r="AS43" s="564"/>
      <c r="AT43" s="564"/>
      <c r="AU43" s="565"/>
      <c r="AV43" s="564"/>
      <c r="AW43" s="564"/>
      <c r="AX43" s="564"/>
      <c r="AY43" s="565"/>
      <c r="AZ43" s="564"/>
      <c r="BA43" s="564"/>
      <c r="BB43" s="564"/>
      <c r="BC43" s="565"/>
      <c r="BD43" s="564"/>
      <c r="BE43" s="564"/>
      <c r="BF43" s="564"/>
      <c r="BG43" s="565"/>
      <c r="BH43" s="564"/>
      <c r="BI43" s="564"/>
      <c r="BJ43" s="564"/>
      <c r="BK43" s="565"/>
      <c r="BL43" s="563"/>
      <c r="BM43" s="564"/>
      <c r="BN43" s="564"/>
      <c r="BO43" s="565"/>
      <c r="BP43" s="563"/>
      <c r="BQ43" s="564"/>
      <c r="BR43" s="564"/>
      <c r="BS43" s="564"/>
      <c r="BT43" s="563"/>
      <c r="BU43" s="564"/>
      <c r="BV43" s="564"/>
      <c r="BW43" s="564"/>
      <c r="BX43" s="566"/>
      <c r="BY43" s="67"/>
      <c r="BZ43" s="67"/>
      <c r="CA43" s="67"/>
      <c r="CB43" s="67"/>
      <c r="CC43" s="67"/>
      <c r="CD43" s="67"/>
      <c r="CE43" s="67"/>
      <c r="CF43" s="67"/>
      <c r="CG43" s="67"/>
      <c r="CH43" s="67"/>
      <c r="CI43" s="67"/>
      <c r="CJ43" s="67"/>
      <c r="CK43" s="67"/>
      <c r="CL43" s="67"/>
      <c r="CM43" s="67"/>
      <c r="CN43" s="67"/>
      <c r="CO43" s="67"/>
      <c r="CP43" s="68"/>
      <c r="CQ43" s="1479"/>
    </row>
    <row r="44" spans="1:95" ht="14.25" customHeight="1">
      <c r="A44" s="12"/>
      <c r="B44" s="25" t="s">
        <v>49</v>
      </c>
      <c r="C44" s="118"/>
      <c r="D44" s="568">
        <v>4.2</v>
      </c>
      <c r="E44" s="569">
        <v>25.4</v>
      </c>
      <c r="F44" s="569">
        <v>26.2</v>
      </c>
      <c r="G44" s="569">
        <v>26.4</v>
      </c>
      <c r="H44" s="568">
        <v>26.4</v>
      </c>
      <c r="I44" s="569">
        <v>25.7</v>
      </c>
      <c r="J44" s="569">
        <v>26.1</v>
      </c>
      <c r="K44" s="569">
        <v>25.4</v>
      </c>
      <c r="L44" s="568">
        <v>24.9</v>
      </c>
      <c r="M44" s="569">
        <v>25.4</v>
      </c>
      <c r="N44" s="569">
        <v>26.4</v>
      </c>
      <c r="O44" s="569">
        <v>24.8</v>
      </c>
      <c r="P44" s="568">
        <v>25.3</v>
      </c>
      <c r="Q44" s="569">
        <v>25.2</v>
      </c>
      <c r="R44" s="569">
        <v>19.5</v>
      </c>
      <c r="S44" s="569">
        <v>20.8</v>
      </c>
      <c r="T44" s="568">
        <v>19</v>
      </c>
      <c r="U44" s="569">
        <v>19.3</v>
      </c>
      <c r="V44" s="569">
        <v>18.7</v>
      </c>
      <c r="W44" s="569">
        <v>18.5</v>
      </c>
      <c r="X44" s="568">
        <v>16.7</v>
      </c>
      <c r="Y44" s="569">
        <v>16</v>
      </c>
      <c r="Z44" s="569">
        <v>16.399999999999999</v>
      </c>
      <c r="AA44" s="569">
        <v>17.3</v>
      </c>
      <c r="AB44" s="568">
        <v>17.7</v>
      </c>
      <c r="AC44" s="569">
        <v>18.5</v>
      </c>
      <c r="AD44" s="569">
        <v>19.2</v>
      </c>
      <c r="AE44" s="569">
        <v>19.600000000000001</v>
      </c>
      <c r="AF44" s="570">
        <v>20.3</v>
      </c>
      <c r="AG44" s="569">
        <v>21.2</v>
      </c>
      <c r="AH44" s="569">
        <v>21.8</v>
      </c>
      <c r="AI44" s="569">
        <v>22</v>
      </c>
      <c r="AJ44" s="570">
        <v>22.7</v>
      </c>
      <c r="AK44" s="569">
        <v>23.5</v>
      </c>
      <c r="AL44" s="569">
        <v>23.9</v>
      </c>
      <c r="AM44" s="571">
        <v>25.3</v>
      </c>
      <c r="AN44" s="569">
        <v>26.1</v>
      </c>
      <c r="AO44" s="569">
        <v>27.4</v>
      </c>
      <c r="AP44" s="569">
        <v>28.3</v>
      </c>
      <c r="AQ44" s="571">
        <v>29.6</v>
      </c>
      <c r="AR44" s="569">
        <v>30.3</v>
      </c>
      <c r="AS44" s="569">
        <v>31.3</v>
      </c>
      <c r="AT44" s="569">
        <v>32.299999999999997</v>
      </c>
      <c r="AU44" s="571">
        <v>32.799999999999997</v>
      </c>
      <c r="AV44" s="569">
        <v>33</v>
      </c>
      <c r="AW44" s="569">
        <v>32.799999999999997</v>
      </c>
      <c r="AX44" s="569">
        <v>31.7</v>
      </c>
      <c r="AY44" s="571">
        <v>20.9</v>
      </c>
      <c r="AZ44" s="569">
        <v>21.6</v>
      </c>
      <c r="BA44" s="569">
        <v>22.3</v>
      </c>
      <c r="BB44" s="569">
        <v>22.8</v>
      </c>
      <c r="BC44" s="571">
        <v>23.7</v>
      </c>
      <c r="BD44" s="569">
        <v>24.1</v>
      </c>
      <c r="BE44" s="569">
        <v>24.8</v>
      </c>
      <c r="BF44" s="569">
        <v>23.4</v>
      </c>
      <c r="BG44" s="571">
        <v>21.8</v>
      </c>
      <c r="BH44" s="569">
        <v>22.3</v>
      </c>
      <c r="BI44" s="569">
        <v>22.8</v>
      </c>
      <c r="BJ44" s="569">
        <v>23</v>
      </c>
      <c r="BK44" s="571">
        <v>22.2</v>
      </c>
      <c r="BL44" s="1156">
        <f>BK44-IS!BL104</f>
        <v>23.3</v>
      </c>
      <c r="BM44" s="1156">
        <f>BL44-IS!BM104</f>
        <v>24.400000000000002</v>
      </c>
      <c r="BN44" s="1156">
        <f>BM44-IS!BN104</f>
        <v>25.500000000000004</v>
      </c>
      <c r="BO44" s="1157">
        <f>BN44-IS!BO104</f>
        <v>26.600000000000005</v>
      </c>
      <c r="BP44" s="1156">
        <f>BO44-IS!BP104</f>
        <v>27.700000000000006</v>
      </c>
      <c r="BQ44" s="1156">
        <f>BP44-IS!BQ104</f>
        <v>28.800000000000008</v>
      </c>
      <c r="BR44" s="1156">
        <f>BQ44-IS!BR104</f>
        <v>29.900000000000009</v>
      </c>
      <c r="BS44" s="1157">
        <f>BR44-IS!BS104</f>
        <v>31.000000000000011</v>
      </c>
      <c r="BT44" s="1156">
        <f>BS44-IS!BT104</f>
        <v>32.100000000000009</v>
      </c>
      <c r="BU44" s="1156">
        <f>BT44-IS!BU104</f>
        <v>33.20000000000001</v>
      </c>
      <c r="BV44" s="1156">
        <f>BU44-IS!BV104</f>
        <v>34.300000000000011</v>
      </c>
      <c r="BW44" s="1157">
        <f>BV44-IS!BW104</f>
        <v>35.400000000000013</v>
      </c>
      <c r="BX44" s="567"/>
      <c r="BY44" s="66">
        <f>G44</f>
        <v>26.4</v>
      </c>
      <c r="BZ44" s="67">
        <f>K44</f>
        <v>25.4</v>
      </c>
      <c r="CA44" s="67">
        <f>O44</f>
        <v>24.8</v>
      </c>
      <c r="CB44" s="67">
        <f>S44</f>
        <v>20.8</v>
      </c>
      <c r="CC44" s="67">
        <f>W44</f>
        <v>18.5</v>
      </c>
      <c r="CD44" s="67">
        <f>AA44</f>
        <v>17.3</v>
      </c>
      <c r="CE44" s="67">
        <f>AE44</f>
        <v>19.600000000000001</v>
      </c>
      <c r="CF44" s="67">
        <f>AI44</f>
        <v>22</v>
      </c>
      <c r="CG44" s="67">
        <f>AM44</f>
        <v>25.3</v>
      </c>
      <c r="CH44" s="67">
        <f>AQ44</f>
        <v>29.6</v>
      </c>
      <c r="CI44" s="67">
        <f>AU44</f>
        <v>32.799999999999997</v>
      </c>
      <c r="CJ44" s="67">
        <f>AY44</f>
        <v>20.9</v>
      </c>
      <c r="CK44" s="67">
        <f>BC44</f>
        <v>23.7</v>
      </c>
      <c r="CL44" s="67">
        <f>BG44</f>
        <v>21.8</v>
      </c>
      <c r="CM44" s="67">
        <f>BK44</f>
        <v>22.2</v>
      </c>
      <c r="CN44" s="67">
        <f>BO44</f>
        <v>26.600000000000005</v>
      </c>
      <c r="CO44" s="67">
        <f>BS44</f>
        <v>31.000000000000011</v>
      </c>
      <c r="CP44" s="68">
        <f>BW44</f>
        <v>35.400000000000013</v>
      </c>
      <c r="CQ44" s="1478"/>
    </row>
    <row r="45" spans="1:95" ht="14.25" customHeight="1">
      <c r="A45" s="9"/>
      <c r="B45" s="54"/>
      <c r="C45" s="24"/>
      <c r="D45" s="69"/>
      <c r="E45" s="70"/>
      <c r="F45" s="70"/>
      <c r="G45" s="70"/>
      <c r="H45" s="69"/>
      <c r="I45" s="70"/>
      <c r="J45" s="70"/>
      <c r="K45" s="70"/>
      <c r="L45" s="69"/>
      <c r="M45" s="70"/>
      <c r="N45" s="70"/>
      <c r="O45" s="70"/>
      <c r="P45" s="69"/>
      <c r="Q45" s="70"/>
      <c r="R45" s="70"/>
      <c r="S45" s="70"/>
      <c r="T45" s="69"/>
      <c r="U45" s="70"/>
      <c r="V45" s="70"/>
      <c r="W45" s="70"/>
      <c r="X45" s="69"/>
      <c r="Y45" s="70"/>
      <c r="Z45" s="70"/>
      <c r="AA45" s="70"/>
      <c r="AB45" s="69"/>
      <c r="AC45" s="70"/>
      <c r="AD45" s="70"/>
      <c r="AE45" s="70"/>
      <c r="AF45" s="69"/>
      <c r="AG45" s="70"/>
      <c r="AH45" s="70"/>
      <c r="AI45" s="70"/>
      <c r="AJ45" s="69"/>
      <c r="AK45" s="70"/>
      <c r="AL45" s="70"/>
      <c r="AM45" s="71"/>
      <c r="AN45" s="69"/>
      <c r="AO45" s="70"/>
      <c r="AP45" s="70"/>
      <c r="AQ45" s="71"/>
      <c r="AR45" s="69"/>
      <c r="AS45" s="70"/>
      <c r="AT45" s="70"/>
      <c r="AU45" s="71"/>
      <c r="AV45" s="572"/>
      <c r="AW45" s="70"/>
      <c r="AX45" s="70"/>
      <c r="AY45" s="71"/>
      <c r="AZ45" s="572"/>
      <c r="BA45" s="70"/>
      <c r="BB45" s="70"/>
      <c r="BC45" s="71"/>
      <c r="BD45" s="572"/>
      <c r="BE45" s="70"/>
      <c r="BF45" s="70"/>
      <c r="BG45" s="71"/>
      <c r="BH45" s="572"/>
      <c r="BI45" s="70"/>
      <c r="BJ45" s="70"/>
      <c r="BK45" s="71"/>
      <c r="BL45" s="572"/>
      <c r="BM45" s="314"/>
      <c r="BN45" s="314"/>
      <c r="BO45" s="142"/>
      <c r="BP45" s="572"/>
      <c r="BQ45" s="314"/>
      <c r="BR45" s="314"/>
      <c r="BS45" s="314"/>
      <c r="BT45" s="572"/>
      <c r="BU45" s="314"/>
      <c r="BV45" s="314"/>
      <c r="BW45" s="314"/>
      <c r="BX45" s="99"/>
      <c r="BY45" s="67"/>
      <c r="BZ45" s="67"/>
      <c r="CA45" s="67"/>
      <c r="CB45" s="67"/>
      <c r="CC45" s="67"/>
      <c r="CD45" s="67"/>
      <c r="CE45" s="67"/>
      <c r="CF45" s="67"/>
      <c r="CG45" s="67"/>
      <c r="CH45" s="67"/>
      <c r="CI45" s="67"/>
      <c r="CJ45" s="67"/>
      <c r="CK45" s="67"/>
      <c r="CL45" s="102"/>
      <c r="CM45" s="102"/>
      <c r="CN45" s="102"/>
      <c r="CO45" s="102"/>
      <c r="CP45" s="103"/>
      <c r="CQ45" s="1041"/>
    </row>
    <row r="46" spans="1:95" ht="14.25" customHeight="1">
      <c r="A46" s="9"/>
      <c r="B46" s="119" t="s">
        <v>165</v>
      </c>
      <c r="C46" s="120"/>
      <c r="D46" s="116">
        <f t="shared" ref="D46:AV46" si="132">D38+D42+D44+D40</f>
        <v>1195.7</v>
      </c>
      <c r="E46" s="114">
        <f t="shared" si="132"/>
        <v>1177.3</v>
      </c>
      <c r="F46" s="114">
        <f t="shared" si="132"/>
        <v>1189.4000000000001</v>
      </c>
      <c r="G46" s="114">
        <f t="shared" si="132"/>
        <v>1164.5</v>
      </c>
      <c r="H46" s="116">
        <f t="shared" si="132"/>
        <v>1213.4000000000005</v>
      </c>
      <c r="I46" s="114">
        <f t="shared" si="132"/>
        <v>1262.1000000000004</v>
      </c>
      <c r="J46" s="114">
        <f t="shared" si="132"/>
        <v>1220.6999999999996</v>
      </c>
      <c r="K46" s="114">
        <f t="shared" si="132"/>
        <v>1110.1000000000001</v>
      </c>
      <c r="L46" s="116">
        <f t="shared" si="132"/>
        <v>1112.3000000000002</v>
      </c>
      <c r="M46" s="114">
        <f t="shared" si="132"/>
        <v>1132.0999999999999</v>
      </c>
      <c r="N46" s="114">
        <f t="shared" si="132"/>
        <v>1170.5</v>
      </c>
      <c r="O46" s="115">
        <f t="shared" si="132"/>
        <v>1148.5000000000002</v>
      </c>
      <c r="P46" s="116">
        <f t="shared" si="132"/>
        <v>1211</v>
      </c>
      <c r="Q46" s="114">
        <f t="shared" si="132"/>
        <v>1423</v>
      </c>
      <c r="R46" s="114">
        <f t="shared" si="132"/>
        <v>1416.6999999999998</v>
      </c>
      <c r="S46" s="115">
        <f t="shared" si="132"/>
        <v>1416.4999999999998</v>
      </c>
      <c r="T46" s="116">
        <f t="shared" si="132"/>
        <v>1440.7</v>
      </c>
      <c r="U46" s="114">
        <f t="shared" si="132"/>
        <v>1427.7000000000003</v>
      </c>
      <c r="V46" s="114">
        <f t="shared" si="132"/>
        <v>1526.3000000000002</v>
      </c>
      <c r="W46" s="115">
        <f t="shared" si="132"/>
        <v>1637.6000000000001</v>
      </c>
      <c r="X46" s="116">
        <f t="shared" si="132"/>
        <v>2872.2999999999997</v>
      </c>
      <c r="Y46" s="114">
        <f t="shared" si="132"/>
        <v>2838.1000000000004</v>
      </c>
      <c r="Z46" s="114">
        <f t="shared" si="132"/>
        <v>2909.0000000000005</v>
      </c>
      <c r="AA46" s="115">
        <f t="shared" si="132"/>
        <v>2359.5</v>
      </c>
      <c r="AB46" s="116">
        <f t="shared" si="132"/>
        <v>2211</v>
      </c>
      <c r="AC46" s="114">
        <f t="shared" si="132"/>
        <v>2224.2000000000003</v>
      </c>
      <c r="AD46" s="114">
        <f t="shared" si="132"/>
        <v>2274.6</v>
      </c>
      <c r="AE46" s="115">
        <f t="shared" si="132"/>
        <v>2414.2999999999997</v>
      </c>
      <c r="AF46" s="114">
        <f t="shared" si="132"/>
        <v>2545.8000000000002</v>
      </c>
      <c r="AG46" s="114">
        <f t="shared" si="132"/>
        <v>2540.9999999999995</v>
      </c>
      <c r="AH46" s="114">
        <f t="shared" si="132"/>
        <v>2694.5</v>
      </c>
      <c r="AI46" s="115">
        <f t="shared" si="132"/>
        <v>2919.2</v>
      </c>
      <c r="AJ46" s="116">
        <f t="shared" si="132"/>
        <v>4016.7999999999997</v>
      </c>
      <c r="AK46" s="114">
        <f t="shared" si="132"/>
        <v>4149.8</v>
      </c>
      <c r="AL46" s="114">
        <f t="shared" si="132"/>
        <v>4011.9</v>
      </c>
      <c r="AM46" s="115">
        <f t="shared" si="132"/>
        <v>3883.5</v>
      </c>
      <c r="AN46" s="114">
        <f t="shared" si="132"/>
        <v>3829.2000000000003</v>
      </c>
      <c r="AO46" s="114">
        <f t="shared" si="132"/>
        <v>3770.7000000000003</v>
      </c>
      <c r="AP46" s="114">
        <f t="shared" si="132"/>
        <v>3669.9000000000005</v>
      </c>
      <c r="AQ46" s="115">
        <f t="shared" si="132"/>
        <v>3328.4</v>
      </c>
      <c r="AR46" s="114">
        <f>AR38+AR42+AR44+AR40</f>
        <v>3232.7</v>
      </c>
      <c r="AS46" s="114">
        <f>AS38+AS42+AS44+AS40</f>
        <v>3241.4000000000005</v>
      </c>
      <c r="AT46" s="114">
        <f>AT38+AT42+AT44+AT40</f>
        <v>3248.7000000000003</v>
      </c>
      <c r="AU46" s="115">
        <f>AU38+AU42+AU44+AU40</f>
        <v>3257.0000000000005</v>
      </c>
      <c r="AV46" s="116">
        <f t="shared" si="132"/>
        <v>3286.7</v>
      </c>
      <c r="AW46" s="114">
        <f t="shared" ref="AW46:BB46" si="133">AW38+AW42+AW44+AW40</f>
        <v>3418.4</v>
      </c>
      <c r="AX46" s="114">
        <f t="shared" si="133"/>
        <v>3882.2</v>
      </c>
      <c r="AY46" s="115">
        <f t="shared" si="133"/>
        <v>3823</v>
      </c>
      <c r="AZ46" s="116">
        <f t="shared" si="133"/>
        <v>3746.2999999999997</v>
      </c>
      <c r="BA46" s="114">
        <f t="shared" si="133"/>
        <v>3915.4</v>
      </c>
      <c r="BB46" s="114">
        <f t="shared" si="133"/>
        <v>3950.1000000000004</v>
      </c>
      <c r="BC46" s="115">
        <f>BC38+BC42+BC44+BC40</f>
        <v>3869.6000000000004</v>
      </c>
      <c r="BD46" s="116">
        <f t="shared" ref="BD46:BH46" si="134">BD38+BD42+BD44+BD40</f>
        <v>3855.1</v>
      </c>
      <c r="BE46" s="114">
        <f t="shared" si="134"/>
        <v>6097.8</v>
      </c>
      <c r="BF46" s="114">
        <f t="shared" ref="BF46" si="135">BF38+BF42+BF44+BF40</f>
        <v>6790.9</v>
      </c>
      <c r="BG46" s="115">
        <f>BG38+BG42+BG44+BG40</f>
        <v>6924.4000000000005</v>
      </c>
      <c r="BH46" s="116">
        <f t="shared" si="134"/>
        <v>6637.4000000000005</v>
      </c>
      <c r="BI46" s="114">
        <f t="shared" ref="BI46:BJ46" si="136">BI38+BI42+BI44+BI40</f>
        <v>6834.3</v>
      </c>
      <c r="BJ46" s="114">
        <f t="shared" si="136"/>
        <v>6861.3000000000011</v>
      </c>
      <c r="BK46" s="115">
        <f>BK38+BK42+BK44+BK40</f>
        <v>7195.0999999999995</v>
      </c>
      <c r="BL46" s="116">
        <f t="shared" ref="BL46:BS46" si="137">BL38+BL42+BL44+BL40</f>
        <v>7262.1389007156486</v>
      </c>
      <c r="BM46" s="114">
        <f t="shared" si="137"/>
        <v>7466.3197630369432</v>
      </c>
      <c r="BN46" s="114">
        <f t="shared" si="137"/>
        <v>7673.910109677905</v>
      </c>
      <c r="BO46" s="115">
        <f t="shared" si="137"/>
        <v>7854.2201397528879</v>
      </c>
      <c r="BP46" s="116">
        <f t="shared" si="137"/>
        <v>8037.2071436734614</v>
      </c>
      <c r="BQ46" s="114">
        <f t="shared" si="137"/>
        <v>8257.7490100726845</v>
      </c>
      <c r="BR46" s="114">
        <f t="shared" si="137"/>
        <v>8486.6188251256044</v>
      </c>
      <c r="BS46" s="115">
        <f t="shared" si="137"/>
        <v>8694.2450055826739</v>
      </c>
      <c r="BT46" s="116">
        <f t="shared" ref="BT46:BW46" si="138">BT38+BT42+BT44+BT40</f>
        <v>8904.1155948716751</v>
      </c>
      <c r="BU46" s="114">
        <f t="shared" si="138"/>
        <v>9147.4595044008747</v>
      </c>
      <c r="BV46" s="114">
        <f t="shared" si="138"/>
        <v>9398.9080592113296</v>
      </c>
      <c r="BW46" s="115">
        <f t="shared" si="138"/>
        <v>9629.3045627906431</v>
      </c>
      <c r="BX46" s="99"/>
      <c r="BY46" s="114">
        <f t="shared" ref="BY46:CJ46" si="139">BY38+BY42+BY44+BY40</f>
        <v>1164.5</v>
      </c>
      <c r="BZ46" s="114">
        <f t="shared" si="139"/>
        <v>1110.1000000000001</v>
      </c>
      <c r="CA46" s="114">
        <f t="shared" si="139"/>
        <v>1148.5000000000002</v>
      </c>
      <c r="CB46" s="114">
        <f t="shared" si="139"/>
        <v>1416.4999999999998</v>
      </c>
      <c r="CC46" s="114">
        <f t="shared" si="139"/>
        <v>1637.6000000000001</v>
      </c>
      <c r="CD46" s="114">
        <f t="shared" si="139"/>
        <v>2359.5</v>
      </c>
      <c r="CE46" s="114">
        <f t="shared" si="139"/>
        <v>2414.2999999999997</v>
      </c>
      <c r="CF46" s="114">
        <f t="shared" si="139"/>
        <v>2919.2</v>
      </c>
      <c r="CG46" s="114">
        <f t="shared" si="139"/>
        <v>3883.5</v>
      </c>
      <c r="CH46" s="114">
        <f t="shared" si="139"/>
        <v>3328.4</v>
      </c>
      <c r="CI46" s="114">
        <f t="shared" si="139"/>
        <v>3257.0000000000005</v>
      </c>
      <c r="CJ46" s="114">
        <f t="shared" si="139"/>
        <v>3823</v>
      </c>
      <c r="CK46" s="114">
        <f t="shared" ref="CK46:CP46" si="140">CK38+CK42+CK44+CK40</f>
        <v>3869.6000000000004</v>
      </c>
      <c r="CL46" s="114">
        <f t="shared" si="140"/>
        <v>6924.4000000000005</v>
      </c>
      <c r="CM46" s="114">
        <f t="shared" si="140"/>
        <v>7195.0999999999995</v>
      </c>
      <c r="CN46" s="114">
        <f t="shared" si="140"/>
        <v>7854.2201397528879</v>
      </c>
      <c r="CO46" s="114">
        <f t="shared" si="140"/>
        <v>8694.2450055826739</v>
      </c>
      <c r="CP46" s="115">
        <f t="shared" si="140"/>
        <v>9629.3045627906431</v>
      </c>
      <c r="CQ46" s="1041"/>
    </row>
    <row r="47" spans="1:95" ht="14.25" customHeight="1">
      <c r="A47" s="9"/>
      <c r="B47" s="121"/>
      <c r="C47" s="57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58"/>
      <c r="AG47" s="95"/>
      <c r="AH47" s="58"/>
      <c r="AI47" s="58"/>
      <c r="AJ47" s="122"/>
      <c r="AK47" s="95"/>
      <c r="AL47" s="58"/>
      <c r="AM47" s="450"/>
      <c r="AN47" s="450"/>
      <c r="AO47" s="58"/>
      <c r="AP47" s="58"/>
      <c r="AQ47" s="122"/>
      <c r="AR47" s="450"/>
      <c r="AS47" s="58"/>
      <c r="AT47" s="58"/>
      <c r="AU47" s="122"/>
      <c r="AV47" s="122"/>
      <c r="AW47" s="58"/>
      <c r="AX47" s="58"/>
      <c r="AY47" s="122"/>
      <c r="AZ47" s="122"/>
      <c r="BA47" s="58"/>
      <c r="BB47" s="58"/>
      <c r="BC47" s="122"/>
      <c r="BD47" s="122"/>
      <c r="BE47" s="58"/>
      <c r="BF47" s="58"/>
      <c r="BG47" s="122"/>
      <c r="BH47" s="122"/>
      <c r="BI47" s="58"/>
      <c r="BJ47" s="58"/>
      <c r="BK47" s="122"/>
      <c r="BL47" s="122"/>
      <c r="BM47" s="58"/>
      <c r="BN47" s="58"/>
      <c r="BO47" s="122"/>
      <c r="BP47" s="122"/>
      <c r="BQ47" s="58"/>
      <c r="BR47" s="58"/>
      <c r="BS47" s="122"/>
      <c r="BT47" s="122"/>
      <c r="BU47" s="58"/>
      <c r="BV47" s="58"/>
      <c r="BW47" s="122"/>
      <c r="BX47" s="15"/>
      <c r="BY47" s="95"/>
      <c r="BZ47" s="95"/>
      <c r="CA47" s="95"/>
      <c r="CB47" s="95"/>
      <c r="CC47" s="95"/>
      <c r="CD47" s="95"/>
      <c r="CE47" s="95"/>
      <c r="CF47" s="95"/>
      <c r="CG47" s="95"/>
      <c r="CH47" s="95"/>
      <c r="CI47" s="95"/>
      <c r="CJ47" s="95"/>
      <c r="CK47" s="95"/>
      <c r="CL47" s="95"/>
      <c r="CM47" s="95"/>
      <c r="CN47" s="95"/>
      <c r="CO47" s="95"/>
      <c r="CP47" s="95"/>
    </row>
    <row r="48" spans="1:95" ht="14.25" customHeight="1">
      <c r="A48" s="9"/>
      <c r="B48" s="123" t="s">
        <v>166</v>
      </c>
      <c r="C48" s="124"/>
      <c r="D48" s="127">
        <f t="shared" ref="D48:AV48" si="141">IF(ROUND(D46,4)=ROUND(D23,4),0,D46-D23)</f>
        <v>0</v>
      </c>
      <c r="E48" s="125">
        <f t="shared" si="141"/>
        <v>0</v>
      </c>
      <c r="F48" s="125">
        <f t="shared" si="141"/>
        <v>0</v>
      </c>
      <c r="G48" s="125">
        <f t="shared" si="141"/>
        <v>0</v>
      </c>
      <c r="H48" s="127">
        <f t="shared" si="141"/>
        <v>0</v>
      </c>
      <c r="I48" s="125">
        <f t="shared" si="141"/>
        <v>0</v>
      </c>
      <c r="J48" s="125">
        <f t="shared" si="141"/>
        <v>0</v>
      </c>
      <c r="K48" s="125">
        <f t="shared" si="141"/>
        <v>0</v>
      </c>
      <c r="L48" s="127">
        <f t="shared" si="141"/>
        <v>0</v>
      </c>
      <c r="M48" s="125">
        <f t="shared" si="141"/>
        <v>0</v>
      </c>
      <c r="N48" s="125">
        <f t="shared" si="141"/>
        <v>0</v>
      </c>
      <c r="O48" s="126">
        <f t="shared" si="141"/>
        <v>0</v>
      </c>
      <c r="P48" s="127">
        <f t="shared" si="141"/>
        <v>0</v>
      </c>
      <c r="Q48" s="125">
        <f t="shared" si="141"/>
        <v>0</v>
      </c>
      <c r="R48" s="125">
        <f t="shared" si="141"/>
        <v>0</v>
      </c>
      <c r="S48" s="126">
        <f t="shared" si="141"/>
        <v>0</v>
      </c>
      <c r="T48" s="127">
        <f t="shared" si="141"/>
        <v>0</v>
      </c>
      <c r="U48" s="125">
        <f t="shared" si="141"/>
        <v>0</v>
      </c>
      <c r="V48" s="125">
        <f t="shared" si="141"/>
        <v>0</v>
      </c>
      <c r="W48" s="126">
        <f t="shared" si="141"/>
        <v>0</v>
      </c>
      <c r="X48" s="127">
        <f t="shared" si="141"/>
        <v>0</v>
      </c>
      <c r="Y48" s="125">
        <f t="shared" si="141"/>
        <v>0</v>
      </c>
      <c r="Z48" s="125">
        <f t="shared" si="141"/>
        <v>0</v>
      </c>
      <c r="AA48" s="126">
        <f t="shared" si="141"/>
        <v>0</v>
      </c>
      <c r="AB48" s="127">
        <f t="shared" si="141"/>
        <v>0</v>
      </c>
      <c r="AC48" s="125">
        <f t="shared" si="141"/>
        <v>0</v>
      </c>
      <c r="AD48" s="125">
        <f t="shared" si="141"/>
        <v>0</v>
      </c>
      <c r="AE48" s="126">
        <f t="shared" si="141"/>
        <v>0</v>
      </c>
      <c r="AF48" s="125">
        <f t="shared" si="141"/>
        <v>0</v>
      </c>
      <c r="AG48" s="125">
        <f t="shared" si="141"/>
        <v>0</v>
      </c>
      <c r="AH48" s="125">
        <f t="shared" si="141"/>
        <v>0</v>
      </c>
      <c r="AI48" s="125">
        <f t="shared" si="141"/>
        <v>0</v>
      </c>
      <c r="AJ48" s="127">
        <f t="shared" si="141"/>
        <v>0</v>
      </c>
      <c r="AK48" s="125">
        <f t="shared" si="141"/>
        <v>0</v>
      </c>
      <c r="AL48" s="125">
        <f t="shared" si="141"/>
        <v>0</v>
      </c>
      <c r="AM48" s="126">
        <f t="shared" si="141"/>
        <v>0</v>
      </c>
      <c r="AN48" s="125">
        <f t="shared" si="141"/>
        <v>0</v>
      </c>
      <c r="AO48" s="125">
        <f t="shared" si="141"/>
        <v>0</v>
      </c>
      <c r="AP48" s="125">
        <f t="shared" si="141"/>
        <v>0</v>
      </c>
      <c r="AQ48" s="126">
        <f t="shared" si="141"/>
        <v>0</v>
      </c>
      <c r="AR48" s="125">
        <f>IF(ROUND(AR46,4)=ROUND(AR23,4),0,AR46-AR23)</f>
        <v>0</v>
      </c>
      <c r="AS48" s="125">
        <f>IF(ROUND(AS46,4)=ROUND(AS23,4),0,AS46-AS23)</f>
        <v>0</v>
      </c>
      <c r="AT48" s="125">
        <f>IF(ROUND(AT46,4)=ROUND(AT23,4),0,AT46-AT23)</f>
        <v>0</v>
      </c>
      <c r="AU48" s="126">
        <f>IF(ROUND(AU46,4)=ROUND(AU23,4),0,AU46-AU23)</f>
        <v>0</v>
      </c>
      <c r="AV48" s="125">
        <f t="shared" si="141"/>
        <v>0</v>
      </c>
      <c r="AW48" s="125">
        <f t="shared" ref="AW48:BB48" si="142">IF(ROUND(AW46,4)=ROUND(AW23,4),0,AW46-AW23)</f>
        <v>0</v>
      </c>
      <c r="AX48" s="125">
        <f t="shared" si="142"/>
        <v>0</v>
      </c>
      <c r="AY48" s="126">
        <f t="shared" si="142"/>
        <v>0</v>
      </c>
      <c r="AZ48" s="125">
        <f t="shared" si="142"/>
        <v>0</v>
      </c>
      <c r="BA48" s="125">
        <f t="shared" si="142"/>
        <v>0</v>
      </c>
      <c r="BB48" s="125">
        <f t="shared" si="142"/>
        <v>0</v>
      </c>
      <c r="BC48" s="126">
        <f>IF(ROUND(BC46,4)=ROUND(BC23,4),0,BC46-BC23)</f>
        <v>0</v>
      </c>
      <c r="BD48" s="125">
        <f t="shared" ref="BD48:BH48" si="143">IF(ROUND(BD46,4)=ROUND(BD23,4),0,BD46-BD23)</f>
        <v>0</v>
      </c>
      <c r="BE48" s="125">
        <f t="shared" si="143"/>
        <v>0</v>
      </c>
      <c r="BF48" s="125">
        <f t="shared" ref="BF48" si="144">IF(ROUND(BF46,4)=ROUND(BF23,4),0,BF46-BF23)</f>
        <v>0</v>
      </c>
      <c r="BG48" s="126">
        <f>IF(ROUND(BG46,4)=ROUND(BG23,4),0,BG46-BG23)</f>
        <v>0</v>
      </c>
      <c r="BH48" s="125">
        <f t="shared" si="143"/>
        <v>0</v>
      </c>
      <c r="BI48" s="125">
        <f t="shared" ref="BI48:BJ48" si="145">IF(ROUND(BI46,4)=ROUND(BI23,4),0,BI46-BI23)</f>
        <v>0</v>
      </c>
      <c r="BJ48" s="125">
        <f t="shared" si="145"/>
        <v>0</v>
      </c>
      <c r="BK48" s="126">
        <f>IF(ROUND(BK46,4)=ROUND(BK23,4),0,BK46-BK23)</f>
        <v>0</v>
      </c>
      <c r="BL48" s="125">
        <f t="shared" ref="BL48:BS48" si="146">IF(ROUND(BL46,4)=ROUND(BL23,4),0,BL46-BL23)</f>
        <v>0</v>
      </c>
      <c r="BM48" s="125">
        <f t="shared" si="146"/>
        <v>0</v>
      </c>
      <c r="BN48" s="125">
        <f t="shared" si="146"/>
        <v>0</v>
      </c>
      <c r="BO48" s="126">
        <f t="shared" si="146"/>
        <v>0</v>
      </c>
      <c r="BP48" s="125">
        <f t="shared" si="146"/>
        <v>0</v>
      </c>
      <c r="BQ48" s="125">
        <f t="shared" si="146"/>
        <v>0</v>
      </c>
      <c r="BR48" s="125">
        <f t="shared" si="146"/>
        <v>0</v>
      </c>
      <c r="BS48" s="126">
        <f t="shared" si="146"/>
        <v>0</v>
      </c>
      <c r="BT48" s="125">
        <f t="shared" ref="BT48:BW48" si="147">IF(ROUND(BT46,4)=ROUND(BT23,4),0,BT46-BT23)</f>
        <v>0</v>
      </c>
      <c r="BU48" s="125">
        <f t="shared" si="147"/>
        <v>0</v>
      </c>
      <c r="BV48" s="125">
        <f t="shared" si="147"/>
        <v>0</v>
      </c>
      <c r="BW48" s="126">
        <f t="shared" si="147"/>
        <v>0</v>
      </c>
      <c r="BX48" s="21"/>
      <c r="BY48" s="125">
        <f t="shared" ref="BY48:CI48" si="148">IF(ROUND(BY46,4)=ROUND(BY23,4),0,BY46-BY23)</f>
        <v>0</v>
      </c>
      <c r="BZ48" s="125">
        <f t="shared" si="148"/>
        <v>0</v>
      </c>
      <c r="CA48" s="125">
        <f t="shared" si="148"/>
        <v>0</v>
      </c>
      <c r="CB48" s="125">
        <f t="shared" si="148"/>
        <v>0</v>
      </c>
      <c r="CC48" s="125">
        <f t="shared" si="148"/>
        <v>0</v>
      </c>
      <c r="CD48" s="125">
        <f t="shared" si="148"/>
        <v>0</v>
      </c>
      <c r="CE48" s="125">
        <f t="shared" si="148"/>
        <v>0</v>
      </c>
      <c r="CF48" s="125">
        <f t="shared" si="148"/>
        <v>0</v>
      </c>
      <c r="CG48" s="125">
        <f t="shared" si="148"/>
        <v>0</v>
      </c>
      <c r="CH48" s="125">
        <f t="shared" si="148"/>
        <v>0</v>
      </c>
      <c r="CI48" s="125">
        <f t="shared" si="148"/>
        <v>0</v>
      </c>
      <c r="CJ48" s="125">
        <f>IF(ROUND(CJ46,1)=ROUND(CJ23,1),0,CJ46-CJ23)</f>
        <v>0</v>
      </c>
      <c r="CK48" s="125">
        <f t="shared" ref="CK48:CP48" si="149">IF(ROUND(CK46,4)=ROUND(CK23,4),0,CK46-CK23)</f>
        <v>0</v>
      </c>
      <c r="CL48" s="125">
        <f t="shared" si="149"/>
        <v>0</v>
      </c>
      <c r="CM48" s="125">
        <f t="shared" si="149"/>
        <v>0</v>
      </c>
      <c r="CN48" s="125">
        <f t="shared" si="149"/>
        <v>0</v>
      </c>
      <c r="CO48" s="125">
        <f t="shared" si="149"/>
        <v>0</v>
      </c>
      <c r="CP48" s="126">
        <f t="shared" si="149"/>
        <v>0</v>
      </c>
      <c r="CQ48" s="1041"/>
    </row>
    <row r="49" spans="1:95" ht="14.25" customHeight="1">
      <c r="A49" s="9"/>
      <c r="B49" s="56"/>
      <c r="C49" s="57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128"/>
      <c r="AI49" s="128"/>
      <c r="AJ49" s="128"/>
      <c r="AK49" s="128"/>
      <c r="AL49" s="128"/>
      <c r="AM49" s="128"/>
      <c r="AN49" s="58"/>
      <c r="AO49" s="128"/>
      <c r="AP49" s="128"/>
      <c r="AQ49" s="129"/>
      <c r="AR49" s="58"/>
      <c r="AS49" s="128"/>
      <c r="AT49" s="128"/>
      <c r="AU49" s="129"/>
      <c r="AV49" s="128"/>
      <c r="AW49" s="128"/>
      <c r="AX49" s="128"/>
      <c r="AY49" s="129"/>
      <c r="AZ49" s="128"/>
      <c r="BA49" s="128"/>
      <c r="BB49" s="128"/>
      <c r="BC49" s="129"/>
      <c r="BD49" s="128"/>
      <c r="BF49" s="1319"/>
      <c r="BG49" s="129"/>
      <c r="BH49" s="128"/>
      <c r="BI49" s="128"/>
      <c r="BJ49" s="128"/>
      <c r="BK49" s="129"/>
      <c r="BL49" s="128"/>
      <c r="BM49" s="128"/>
      <c r="BN49" s="128"/>
      <c r="BO49" s="129"/>
      <c r="BP49" s="128"/>
      <c r="BQ49" s="128"/>
      <c r="BR49" s="128"/>
      <c r="BS49" s="129"/>
      <c r="BT49" s="128"/>
      <c r="BU49" s="128"/>
      <c r="BV49" s="128"/>
      <c r="BW49" s="129"/>
      <c r="BX49" s="15"/>
      <c r="BY49" s="95"/>
      <c r="BZ49" s="95"/>
      <c r="CA49" s="95"/>
      <c r="CB49" s="95"/>
      <c r="CC49" s="95"/>
      <c r="CD49" s="95"/>
      <c r="CE49" s="95"/>
      <c r="CF49" s="95"/>
      <c r="CG49" s="59"/>
      <c r="CH49" s="59"/>
      <c r="CI49" s="59"/>
      <c r="CJ49" s="59"/>
      <c r="CK49" s="59"/>
      <c r="CL49" s="59"/>
      <c r="CM49" s="59"/>
      <c r="CN49" s="59"/>
      <c r="CO49" s="59"/>
      <c r="CP49" s="59"/>
    </row>
    <row r="50" spans="1:95" ht="14.25" customHeight="1">
      <c r="A50" s="9"/>
      <c r="B50" s="60"/>
      <c r="C50" s="57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128"/>
      <c r="AJ50" s="58"/>
      <c r="AK50" s="58"/>
      <c r="AL50" s="58"/>
      <c r="AM50" s="58"/>
      <c r="AN50" s="58"/>
      <c r="AO50" s="58"/>
      <c r="AP50" s="58"/>
      <c r="AQ50" s="130"/>
      <c r="AR50" s="58"/>
      <c r="AS50" s="58"/>
      <c r="AT50" s="58"/>
      <c r="AU50" s="130"/>
      <c r="AV50" s="58"/>
      <c r="AW50" s="58"/>
      <c r="AX50" s="58"/>
      <c r="AY50" s="130"/>
      <c r="AZ50" s="58"/>
      <c r="BA50" s="58"/>
      <c r="BB50" s="58"/>
      <c r="BC50" s="130"/>
      <c r="BD50" s="58"/>
      <c r="BF50" s="1319"/>
      <c r="BG50" s="130"/>
      <c r="BH50" s="130"/>
      <c r="BI50" s="130"/>
      <c r="BJ50" s="58"/>
      <c r="BK50" s="130">
        <f>MEDIAN(T54:BK54)</f>
        <v>109.23044874626251</v>
      </c>
      <c r="BL50" s="58"/>
      <c r="BM50" s="58"/>
      <c r="BN50" s="58"/>
      <c r="BO50" s="130"/>
      <c r="BP50" s="58"/>
      <c r="BQ50" s="58"/>
      <c r="BR50" s="58"/>
      <c r="BS50" s="130"/>
      <c r="BT50" s="58"/>
      <c r="BU50" s="58"/>
      <c r="BV50" s="58"/>
      <c r="BW50" s="130"/>
      <c r="BX50" s="15"/>
      <c r="BY50" s="95"/>
      <c r="BZ50" s="95"/>
      <c r="CA50" s="95"/>
      <c r="CB50" s="95"/>
      <c r="CC50" s="95"/>
      <c r="CD50" s="95"/>
      <c r="CE50" s="95"/>
      <c r="CF50" s="95"/>
      <c r="CG50" s="95"/>
      <c r="CH50" s="95"/>
      <c r="CI50" s="95"/>
      <c r="CJ50" s="95"/>
      <c r="CK50" s="95"/>
      <c r="CL50" s="95"/>
      <c r="CM50" s="95"/>
      <c r="CN50" s="95"/>
      <c r="CO50" s="95"/>
      <c r="CP50" s="95"/>
    </row>
    <row r="51" spans="1:95" ht="14.25" customHeight="1">
      <c r="A51" s="9"/>
      <c r="B51" s="131" t="s">
        <v>167</v>
      </c>
      <c r="C51" s="132"/>
      <c r="D51" s="18" t="str">
        <f t="shared" ref="D51:K51" si="150">D7</f>
        <v>F1Q03A</v>
      </c>
      <c r="E51" s="19" t="str">
        <f t="shared" si="150"/>
        <v>F2Q03A</v>
      </c>
      <c r="F51" s="19" t="str">
        <f t="shared" si="150"/>
        <v>F3Q03A</v>
      </c>
      <c r="G51" s="20" t="str">
        <f t="shared" si="150"/>
        <v>F4Q03A</v>
      </c>
      <c r="H51" s="18" t="str">
        <f t="shared" si="150"/>
        <v>F1Q04A</v>
      </c>
      <c r="I51" s="19" t="str">
        <f t="shared" si="150"/>
        <v>F2Q04A</v>
      </c>
      <c r="J51" s="19" t="str">
        <f t="shared" si="150"/>
        <v>F3Q04A</v>
      </c>
      <c r="K51" s="20" t="str">
        <f t="shared" si="150"/>
        <v>F4Q04A</v>
      </c>
      <c r="L51" s="18" t="str">
        <f t="shared" ref="L51:S51" si="151">L7</f>
        <v>F1Q05A</v>
      </c>
      <c r="M51" s="19" t="str">
        <f t="shared" si="151"/>
        <v>F2Q05A</v>
      </c>
      <c r="N51" s="19" t="str">
        <f t="shared" si="151"/>
        <v>F3Q05A</v>
      </c>
      <c r="O51" s="20" t="str">
        <f t="shared" si="151"/>
        <v>F4Q05A</v>
      </c>
      <c r="P51" s="18" t="str">
        <f t="shared" si="151"/>
        <v>F1Q06A</v>
      </c>
      <c r="Q51" s="19" t="str">
        <f t="shared" si="151"/>
        <v>F2Q06A</v>
      </c>
      <c r="R51" s="19" t="str">
        <f t="shared" si="151"/>
        <v>F3Q06A</v>
      </c>
      <c r="S51" s="20" t="str">
        <f t="shared" si="151"/>
        <v>F4Q06A</v>
      </c>
      <c r="T51" s="18" t="str">
        <f t="shared" ref="T51:AE51" si="152">T7</f>
        <v>F1Q07A</v>
      </c>
      <c r="U51" s="19" t="str">
        <f t="shared" si="152"/>
        <v>F2Q07A</v>
      </c>
      <c r="V51" s="19" t="str">
        <f t="shared" si="152"/>
        <v>F3Q07A</v>
      </c>
      <c r="W51" s="20" t="str">
        <f t="shared" si="152"/>
        <v>F4Q07A</v>
      </c>
      <c r="X51" s="18" t="str">
        <f t="shared" si="152"/>
        <v>F1Q08A</v>
      </c>
      <c r="Y51" s="19" t="str">
        <f t="shared" si="152"/>
        <v>F2Q08A</v>
      </c>
      <c r="Z51" s="19" t="str">
        <f t="shared" si="152"/>
        <v>F3Q08A</v>
      </c>
      <c r="AA51" s="20" t="str">
        <f t="shared" si="152"/>
        <v>F4Q08A</v>
      </c>
      <c r="AB51" s="18" t="str">
        <f t="shared" si="152"/>
        <v>F1Q09A</v>
      </c>
      <c r="AC51" s="19" t="str">
        <f t="shared" si="152"/>
        <v>F2Q09A</v>
      </c>
      <c r="AD51" s="19" t="str">
        <f t="shared" si="152"/>
        <v>F3Q09A</v>
      </c>
      <c r="AE51" s="20" t="str">
        <f t="shared" si="152"/>
        <v>F4Q09A</v>
      </c>
      <c r="AF51" s="18" t="str">
        <f>AF7</f>
        <v>F1Q10A</v>
      </c>
      <c r="AG51" s="19" t="str">
        <f t="shared" ref="AG51:AY51" si="153">AG7</f>
        <v>F2Q10A</v>
      </c>
      <c r="AH51" s="19" t="str">
        <f t="shared" si="153"/>
        <v>F3Q10A</v>
      </c>
      <c r="AI51" s="20" t="str">
        <f t="shared" si="153"/>
        <v>F4Q10A</v>
      </c>
      <c r="AJ51" s="18" t="str">
        <f>AJ7</f>
        <v>F1Q11A</v>
      </c>
      <c r="AK51" s="19" t="str">
        <f t="shared" si="153"/>
        <v>F2Q11A</v>
      </c>
      <c r="AL51" s="19" t="str">
        <f t="shared" si="153"/>
        <v>F3Q11A</v>
      </c>
      <c r="AM51" s="20" t="str">
        <f t="shared" si="153"/>
        <v>F4Q11A</v>
      </c>
      <c r="AN51" s="18" t="str">
        <f>AN7</f>
        <v>F1Q12A</v>
      </c>
      <c r="AO51" s="19" t="str">
        <f t="shared" si="153"/>
        <v>F2Q12A</v>
      </c>
      <c r="AP51" s="19" t="str">
        <f t="shared" si="153"/>
        <v>F3Q12A</v>
      </c>
      <c r="AQ51" s="20" t="str">
        <f t="shared" si="153"/>
        <v>F4Q12A</v>
      </c>
      <c r="AR51" s="18" t="str">
        <f>AR7</f>
        <v>F1Q13A</v>
      </c>
      <c r="AS51" s="19" t="str">
        <f>AS7</f>
        <v>F2Q13A</v>
      </c>
      <c r="AT51" s="19" t="str">
        <f t="shared" si="153"/>
        <v>F3Q13A</v>
      </c>
      <c r="AU51" s="20" t="str">
        <f t="shared" si="153"/>
        <v>F4Q13A</v>
      </c>
      <c r="AV51" s="18" t="str">
        <f t="shared" si="153"/>
        <v>F1Q14A</v>
      </c>
      <c r="AW51" s="19" t="str">
        <f t="shared" si="153"/>
        <v>F2Q14A</v>
      </c>
      <c r="AX51" s="19" t="str">
        <f t="shared" si="153"/>
        <v>F3Q14A</v>
      </c>
      <c r="AY51" s="20" t="str">
        <f t="shared" si="153"/>
        <v>F4Q14A</v>
      </c>
      <c r="AZ51" s="18" t="str">
        <f t="shared" ref="AZ51:BE51" si="154">AZ7</f>
        <v>F1Q15A</v>
      </c>
      <c r="BA51" s="19" t="str">
        <f t="shared" si="154"/>
        <v>F2Q15A</v>
      </c>
      <c r="BB51" s="19" t="str">
        <f t="shared" si="154"/>
        <v>F3Q15A</v>
      </c>
      <c r="BC51" s="20" t="str">
        <f t="shared" si="154"/>
        <v>F4Q15A</v>
      </c>
      <c r="BD51" s="18" t="str">
        <f t="shared" si="154"/>
        <v>F1Q16A</v>
      </c>
      <c r="BE51" s="19" t="str">
        <f t="shared" si="154"/>
        <v>F2Q16A</v>
      </c>
      <c r="BF51" s="1300" t="str">
        <f t="shared" ref="BF51:BG51" si="155">BF7</f>
        <v>F3Q16A</v>
      </c>
      <c r="BG51" s="1301" t="str">
        <f t="shared" si="155"/>
        <v>F4Q16A</v>
      </c>
      <c r="BH51" s="18" t="str">
        <f t="shared" ref="BH51:BO51" si="156">BH7</f>
        <v>F1Q17A</v>
      </c>
      <c r="BI51" s="19" t="str">
        <f t="shared" si="156"/>
        <v>F2Q17A</v>
      </c>
      <c r="BJ51" s="19" t="str">
        <f t="shared" si="156"/>
        <v>F3Q17A</v>
      </c>
      <c r="BK51" s="20" t="str">
        <f t="shared" si="156"/>
        <v>F4Q17A</v>
      </c>
      <c r="BL51" s="18" t="str">
        <f t="shared" si="156"/>
        <v>F1Q18E</v>
      </c>
      <c r="BM51" s="19" t="str">
        <f t="shared" si="156"/>
        <v>F2Q18E</v>
      </c>
      <c r="BN51" s="19" t="str">
        <f t="shared" si="156"/>
        <v>F3Q18E</v>
      </c>
      <c r="BO51" s="20" t="str">
        <f t="shared" si="156"/>
        <v>F4Q18E</v>
      </c>
      <c r="BP51" s="1299" t="str">
        <f t="shared" ref="BP51:BS51" si="157">BP7</f>
        <v>F1Q19E</v>
      </c>
      <c r="BQ51" s="1300" t="str">
        <f t="shared" si="157"/>
        <v>F2Q19E</v>
      </c>
      <c r="BR51" s="1300" t="str">
        <f t="shared" si="157"/>
        <v>F3Q19E</v>
      </c>
      <c r="BS51" s="1301" t="str">
        <f t="shared" si="157"/>
        <v>F4Q19E</v>
      </c>
      <c r="BT51" s="1390" t="str">
        <f t="shared" ref="BT51:BW51" si="158">BT7</f>
        <v>F1Q20E</v>
      </c>
      <c r="BU51" s="1391" t="str">
        <f t="shared" si="158"/>
        <v>F2Q20E</v>
      </c>
      <c r="BV51" s="1391" t="str">
        <f t="shared" si="158"/>
        <v>F3Q20E</v>
      </c>
      <c r="BW51" s="1392" t="str">
        <f t="shared" si="158"/>
        <v>F4Q20E</v>
      </c>
      <c r="BX51" s="21"/>
      <c r="BY51" s="19" t="str">
        <f t="shared" ref="BY51:CG51" si="159">BY7</f>
        <v>FY2003A</v>
      </c>
      <c r="BZ51" s="19" t="str">
        <f t="shared" si="159"/>
        <v>FY2004A</v>
      </c>
      <c r="CA51" s="19" t="str">
        <f t="shared" si="159"/>
        <v>FY2005A</v>
      </c>
      <c r="CB51" s="19" t="str">
        <f t="shared" si="159"/>
        <v>FY2006A</v>
      </c>
      <c r="CC51" s="19" t="str">
        <f t="shared" si="159"/>
        <v>FY2007A</v>
      </c>
      <c r="CD51" s="19" t="str">
        <f t="shared" si="159"/>
        <v>FY2008A</v>
      </c>
      <c r="CE51" s="19" t="str">
        <f t="shared" si="159"/>
        <v>FY2009A</v>
      </c>
      <c r="CF51" s="19" t="str">
        <f t="shared" si="159"/>
        <v>FY2010A</v>
      </c>
      <c r="CG51" s="19" t="str">
        <f t="shared" si="159"/>
        <v>FY2011A</v>
      </c>
      <c r="CH51" s="1391" t="str">
        <f t="shared" ref="CH51:CM51" si="160">CH7</f>
        <v>FY2012A</v>
      </c>
      <c r="CI51" s="1391" t="str">
        <f t="shared" si="160"/>
        <v>FY2013A</v>
      </c>
      <c r="CJ51" s="1391" t="str">
        <f t="shared" si="160"/>
        <v>FY2014A</v>
      </c>
      <c r="CK51" s="1391" t="str">
        <f t="shared" si="160"/>
        <v>FY2015A</v>
      </c>
      <c r="CL51" s="1300" t="str">
        <f t="shared" si="160"/>
        <v>FY2016</v>
      </c>
      <c r="CM51" s="1300" t="str">
        <f t="shared" si="160"/>
        <v>FY2017A</v>
      </c>
      <c r="CN51" s="1300" t="str">
        <f>CN7</f>
        <v>FY2018E</v>
      </c>
      <c r="CO51" s="1391" t="str">
        <f>CO7</f>
        <v>FY2019E</v>
      </c>
      <c r="CP51" s="1392" t="str">
        <f>CP7</f>
        <v>FY2020E</v>
      </c>
      <c r="CQ51" s="1041"/>
    </row>
    <row r="52" spans="1:95" ht="14.25" customHeight="1">
      <c r="A52" s="9"/>
      <c r="B52" s="23" t="s">
        <v>168</v>
      </c>
      <c r="C52" s="24"/>
      <c r="D52" s="651">
        <f t="shared" ref="D52:AQ52" si="161">D11/(D58*4)*360</f>
        <v>43.179962894248611</v>
      </c>
      <c r="E52" s="133">
        <f t="shared" si="161"/>
        <v>45.702576112412181</v>
      </c>
      <c r="F52" s="133">
        <f t="shared" si="161"/>
        <v>51.797583081570998</v>
      </c>
      <c r="G52" s="133">
        <f t="shared" si="161"/>
        <v>43.96625987078248</v>
      </c>
      <c r="H52" s="651">
        <f t="shared" si="161"/>
        <v>44.795587280986375</v>
      </c>
      <c r="I52" s="133">
        <f t="shared" si="161"/>
        <v>43.448275862068968</v>
      </c>
      <c r="J52" s="133">
        <f t="shared" si="161"/>
        <v>42.880025125628137</v>
      </c>
      <c r="K52" s="133">
        <f t="shared" si="161"/>
        <v>38.575619295958283</v>
      </c>
      <c r="L52" s="651">
        <f t="shared" si="161"/>
        <v>45</v>
      </c>
      <c r="M52" s="133">
        <f t="shared" si="161"/>
        <v>41.581902245706736</v>
      </c>
      <c r="N52" s="133">
        <f t="shared" si="161"/>
        <v>46.635841836734691</v>
      </c>
      <c r="O52" s="133">
        <f t="shared" si="161"/>
        <v>42.182562902282029</v>
      </c>
      <c r="P52" s="651">
        <f t="shared" si="161"/>
        <v>48.044910179640723</v>
      </c>
      <c r="Q52" s="133">
        <f t="shared" si="161"/>
        <v>48.081534772182259</v>
      </c>
      <c r="R52" s="133">
        <f t="shared" si="161"/>
        <v>41.674982181040633</v>
      </c>
      <c r="S52" s="133">
        <f t="shared" si="161"/>
        <v>39.868027888446214</v>
      </c>
      <c r="T52" s="651">
        <f t="shared" si="161"/>
        <v>41.921432389096744</v>
      </c>
      <c r="U52" s="133">
        <f t="shared" si="161"/>
        <v>40.632214060860441</v>
      </c>
      <c r="V52" s="133">
        <f t="shared" si="161"/>
        <v>43.201787043931503</v>
      </c>
      <c r="W52" s="133">
        <f t="shared" si="161"/>
        <v>38.656533464084333</v>
      </c>
      <c r="X52" s="651">
        <f t="shared" si="161"/>
        <v>52.412894050722919</v>
      </c>
      <c r="Y52" s="133">
        <f t="shared" si="161"/>
        <v>41.345299449084763</v>
      </c>
      <c r="Z52" s="133">
        <f t="shared" si="161"/>
        <v>43.227858985382632</v>
      </c>
      <c r="AA52" s="133">
        <f t="shared" si="161"/>
        <v>34.769797421731127</v>
      </c>
      <c r="AB52" s="651">
        <f t="shared" si="161"/>
        <v>45.724083355315216</v>
      </c>
      <c r="AC52" s="133">
        <f t="shared" si="161"/>
        <v>54.475940924249635</v>
      </c>
      <c r="AD52" s="133">
        <f t="shared" si="161"/>
        <v>50.376400930429263</v>
      </c>
      <c r="AE52" s="133">
        <f t="shared" si="161"/>
        <v>47.235968617984305</v>
      </c>
      <c r="AF52" s="651">
        <f t="shared" si="161"/>
        <v>48.89312977099236</v>
      </c>
      <c r="AG52" s="133">
        <f t="shared" si="161"/>
        <v>48.942225270015427</v>
      </c>
      <c r="AH52" s="133">
        <f t="shared" si="161"/>
        <v>47.090061594806059</v>
      </c>
      <c r="AI52" s="133">
        <f t="shared" si="161"/>
        <v>45.776933701657455</v>
      </c>
      <c r="AJ52" s="651">
        <f t="shared" si="161"/>
        <v>59.576154376292209</v>
      </c>
      <c r="AK52" s="133">
        <f t="shared" si="161"/>
        <v>57.211304923824244</v>
      </c>
      <c r="AL52" s="133">
        <f t="shared" si="161"/>
        <v>54.020044543429847</v>
      </c>
      <c r="AM52" s="133">
        <f t="shared" si="161"/>
        <v>53.585102226852449</v>
      </c>
      <c r="AN52" s="651">
        <f t="shared" si="161"/>
        <v>51.419935518538423</v>
      </c>
      <c r="AO52" s="133">
        <f t="shared" si="161"/>
        <v>53.144468313641255</v>
      </c>
      <c r="AP52" s="133">
        <f t="shared" si="161"/>
        <v>51.531357684355612</v>
      </c>
      <c r="AQ52" s="133">
        <f t="shared" si="161"/>
        <v>47.34195824757424</v>
      </c>
      <c r="AR52" s="651">
        <f t="shared" ref="AR52:AW52" si="162">AR11/(AR58*4)*360</f>
        <v>49.996974281391829</v>
      </c>
      <c r="AS52" s="133">
        <f t="shared" si="162"/>
        <v>53.296527676885091</v>
      </c>
      <c r="AT52" s="133">
        <f t="shared" si="162"/>
        <v>52.736930388593798</v>
      </c>
      <c r="AU52" s="133">
        <f t="shared" si="162"/>
        <v>48.058495821727014</v>
      </c>
      <c r="AV52" s="651">
        <f t="shared" si="162"/>
        <v>53.133757961783438</v>
      </c>
      <c r="AW52" s="133">
        <f t="shared" si="162"/>
        <v>51.949577613516368</v>
      </c>
      <c r="AX52" s="133">
        <f t="shared" ref="AX52:BC52" si="163">AX11/(AX58*4)*360</f>
        <v>52.769046190761841</v>
      </c>
      <c r="AY52" s="133">
        <f t="shared" si="163"/>
        <v>43.479518629946774</v>
      </c>
      <c r="AZ52" s="651">
        <f t="shared" si="163"/>
        <v>46.974046853468074</v>
      </c>
      <c r="BA52" s="133">
        <f t="shared" si="163"/>
        <v>50.074957410562178</v>
      </c>
      <c r="BB52" s="133">
        <f t="shared" si="163"/>
        <v>50.355009953550095</v>
      </c>
      <c r="BC52" s="932">
        <f t="shared" si="163"/>
        <v>45.669403784362729</v>
      </c>
      <c r="BD52" s="651">
        <f>BD11/(BD58*4)*360</f>
        <v>47.158590308370044</v>
      </c>
      <c r="BE52" s="133">
        <f>BE11/(BE58*4)*360</f>
        <v>49.972658920027342</v>
      </c>
      <c r="BF52" s="133">
        <f>BF11/(BF58*4)*360</f>
        <v>63.89630876012199</v>
      </c>
      <c r="BG52" s="932">
        <f t="shared" ref="BG52" si="164">BG11/(BG58*4)*360</f>
        <v>44.950039651070576</v>
      </c>
      <c r="BH52" s="651">
        <f>BH11/(BH58*4)*360</f>
        <v>42.484861140112763</v>
      </c>
      <c r="BI52" s="133">
        <f>BI11/(BI58*4)*360</f>
        <v>46.843049327354258</v>
      </c>
      <c r="BJ52" s="133">
        <f>BJ11/(BJ58*4)*360</f>
        <v>45.009705945790493</v>
      </c>
      <c r="BK52" s="932">
        <f t="shared" ref="BK52" si="165">BK11/(BK58*4)*360</f>
        <v>45.833030852994554</v>
      </c>
      <c r="BL52" s="1138">
        <v>50</v>
      </c>
      <c r="BM52" s="1138">
        <v>49</v>
      </c>
      <c r="BN52" s="1138">
        <v>49</v>
      </c>
      <c r="BO52" s="1139">
        <v>48</v>
      </c>
      <c r="BP52" s="1138">
        <v>47</v>
      </c>
      <c r="BQ52" s="1138">
        <v>47</v>
      </c>
      <c r="BR52" s="1138">
        <v>47</v>
      </c>
      <c r="BS52" s="1139">
        <v>47</v>
      </c>
      <c r="BT52" s="1138">
        <v>47</v>
      </c>
      <c r="BU52" s="1138">
        <v>47</v>
      </c>
      <c r="BV52" s="1138">
        <v>47</v>
      </c>
      <c r="BW52" s="1139">
        <v>47</v>
      </c>
      <c r="BX52" s="99"/>
      <c r="BY52" s="133">
        <f t="shared" ref="BY52:CH52" si="166">BY11/BY58*360</f>
        <v>45.829202132634926</v>
      </c>
      <c r="BZ52" s="133">
        <f>BZ11/BZ58*360</f>
        <v>37.36680085247454</v>
      </c>
      <c r="CA52" s="133">
        <f t="shared" si="166"/>
        <v>45.749643027129935</v>
      </c>
      <c r="CB52" s="133">
        <f t="shared" si="166"/>
        <v>41.809635722679211</v>
      </c>
      <c r="CC52" s="133">
        <f t="shared" si="166"/>
        <v>40.27071893755587</v>
      </c>
      <c r="CD52" s="133">
        <f t="shared" si="166"/>
        <v>33.077671792875229</v>
      </c>
      <c r="CE52" s="133">
        <f t="shared" si="166"/>
        <v>53.097405167052969</v>
      </c>
      <c r="CF52" s="133">
        <f t="shared" si="166"/>
        <v>45.844211982363625</v>
      </c>
      <c r="CG52" s="133">
        <f t="shared" si="166"/>
        <v>47.814542602329837</v>
      </c>
      <c r="CH52" s="133">
        <f t="shared" si="166"/>
        <v>44.494801202114068</v>
      </c>
      <c r="CI52" s="133">
        <f t="shared" ref="CI52:CN52" si="167">CI11/CI58*360</f>
        <v>49.600747475473455</v>
      </c>
      <c r="CJ52" s="133">
        <f t="shared" si="167"/>
        <v>47.536213549244096</v>
      </c>
      <c r="CK52" s="133">
        <f t="shared" si="167"/>
        <v>43.910978888952457</v>
      </c>
      <c r="CL52" s="67">
        <f t="shared" si="167"/>
        <v>58.032711356830212</v>
      </c>
      <c r="CM52" s="67">
        <f t="shared" si="167"/>
        <v>45.559344049358657</v>
      </c>
      <c r="CN52" s="67">
        <f t="shared" si="167"/>
        <v>48.406845698393425</v>
      </c>
      <c r="CO52" s="67">
        <f t="shared" ref="CO52:CP52" si="168">CO11/CO58*360</f>
        <v>47.308767906316376</v>
      </c>
      <c r="CP52" s="68">
        <f t="shared" si="168"/>
        <v>47.298274432785824</v>
      </c>
      <c r="CQ52" s="1041"/>
    </row>
    <row r="53" spans="1:95" ht="14.25" customHeight="1">
      <c r="A53" s="9"/>
      <c r="B53" s="23" t="s">
        <v>169</v>
      </c>
      <c r="C53" s="24"/>
      <c r="D53" s="66">
        <f t="shared" ref="D53:BP53" si="169">360/D54</f>
        <v>4.6718656268746246</v>
      </c>
      <c r="E53" s="67">
        <f t="shared" si="169"/>
        <v>4.1526195899772214</v>
      </c>
      <c r="F53" s="67">
        <f t="shared" si="169"/>
        <v>4.4361948955916475</v>
      </c>
      <c r="G53" s="67">
        <f t="shared" si="169"/>
        <v>4.6666666666666661</v>
      </c>
      <c r="H53" s="66">
        <f t="shared" si="169"/>
        <v>4.6202393906420021</v>
      </c>
      <c r="I53" s="67">
        <f t="shared" si="169"/>
        <v>4.4825139381652308</v>
      </c>
      <c r="J53" s="67">
        <f t="shared" si="169"/>
        <v>4.2049780380673498</v>
      </c>
      <c r="K53" s="67">
        <f t="shared" si="169"/>
        <v>4.3061013443640119</v>
      </c>
      <c r="L53" s="66">
        <f t="shared" si="169"/>
        <v>4.6916951080773597</v>
      </c>
      <c r="M53" s="67">
        <f t="shared" si="169"/>
        <v>4.7484020918070895</v>
      </c>
      <c r="N53" s="67">
        <f t="shared" si="169"/>
        <v>4.8523451071221775</v>
      </c>
      <c r="O53" s="67">
        <f t="shared" si="169"/>
        <v>5.2412979351032449</v>
      </c>
      <c r="P53" s="66">
        <f t="shared" si="169"/>
        <v>4.9411764705882364</v>
      </c>
      <c r="Q53" s="67">
        <f t="shared" si="169"/>
        <v>4.5535622757560228</v>
      </c>
      <c r="R53" s="67">
        <f t="shared" si="169"/>
        <v>5.0631681243926145</v>
      </c>
      <c r="S53" s="67">
        <f t="shared" si="169"/>
        <v>4.5867418899858956</v>
      </c>
      <c r="T53" s="66">
        <f t="shared" si="169"/>
        <v>4.4556962025316453</v>
      </c>
      <c r="U53" s="67">
        <f t="shared" si="169"/>
        <v>4.255088195386703</v>
      </c>
      <c r="V53" s="67">
        <f t="shared" si="169"/>
        <v>4.5690531177829099</v>
      </c>
      <c r="W53" s="67">
        <f t="shared" si="169"/>
        <v>4.6367346938775507</v>
      </c>
      <c r="X53" s="66">
        <f t="shared" si="169"/>
        <v>3.0386313465783665</v>
      </c>
      <c r="Y53" s="67">
        <f t="shared" si="169"/>
        <v>4.531135531135531</v>
      </c>
      <c r="Z53" s="67">
        <f t="shared" si="169"/>
        <v>4.6528765352294759</v>
      </c>
      <c r="AA53" s="67">
        <f t="shared" si="169"/>
        <v>3.6125186289120714</v>
      </c>
      <c r="AB53" s="66">
        <f t="shared" si="169"/>
        <v>3.5695187165775399</v>
      </c>
      <c r="AC53" s="67">
        <f t="shared" si="169"/>
        <v>4.1795918367346943</v>
      </c>
      <c r="AD53" s="67">
        <f t="shared" si="169"/>
        <v>4.4981074943224835</v>
      </c>
      <c r="AE53" s="67">
        <f t="shared" si="169"/>
        <v>4.4831419044090408</v>
      </c>
      <c r="AF53" s="66">
        <f t="shared" si="169"/>
        <v>4.329301075268817</v>
      </c>
      <c r="AG53" s="67">
        <f t="shared" si="169"/>
        <v>4.2239502332814931</v>
      </c>
      <c r="AH53" s="67">
        <f t="shared" si="169"/>
        <v>4.0387685290763962</v>
      </c>
      <c r="AI53" s="67">
        <f t="shared" si="169"/>
        <v>3.7871396895787139</v>
      </c>
      <c r="AJ53" s="66">
        <f t="shared" si="169"/>
        <v>3.2740065146579806</v>
      </c>
      <c r="AK53" s="67">
        <f t="shared" si="169"/>
        <v>3.4153764014949282</v>
      </c>
      <c r="AL53" s="67">
        <f t="shared" si="169"/>
        <v>3.6054344749504668</v>
      </c>
      <c r="AM53" s="67">
        <f t="shared" si="169"/>
        <v>3.3178537809852529</v>
      </c>
      <c r="AN53" s="66">
        <f t="shared" si="169"/>
        <v>3.1510178317815996</v>
      </c>
      <c r="AO53" s="67">
        <f t="shared" si="169"/>
        <v>2.9498256783386387</v>
      </c>
      <c r="AP53" s="67">
        <f t="shared" si="169"/>
        <v>3.0265404314760205</v>
      </c>
      <c r="AQ53" s="67">
        <f t="shared" si="169"/>
        <v>3.2305312016503351</v>
      </c>
      <c r="AR53" s="66">
        <f t="shared" si="169"/>
        <v>3.2525828286426788</v>
      </c>
      <c r="AS53" s="67">
        <f t="shared" si="169"/>
        <v>3.2624620332320884</v>
      </c>
      <c r="AT53" s="67">
        <f t="shared" si="169"/>
        <v>3.1860584315735525</v>
      </c>
      <c r="AU53" s="67">
        <f t="shared" si="169"/>
        <v>3.0408630271330503</v>
      </c>
      <c r="AV53" s="66">
        <f t="shared" si="169"/>
        <v>2.9692132269099205</v>
      </c>
      <c r="AW53" s="67">
        <f t="shared" si="169"/>
        <v>3.0641795763515653</v>
      </c>
      <c r="AX53" s="67">
        <f t="shared" si="169"/>
        <v>3.0341018914814306</v>
      </c>
      <c r="AY53" s="67">
        <f t="shared" si="169"/>
        <v>3.2141389231401565</v>
      </c>
      <c r="AZ53" s="66">
        <f t="shared" si="169"/>
        <v>3.0547596733163744</v>
      </c>
      <c r="BA53" s="67">
        <f t="shared" si="169"/>
        <v>3.1014804845222073</v>
      </c>
      <c r="BB53" s="67">
        <f t="shared" si="169"/>
        <v>3.1602122015915124</v>
      </c>
      <c r="BC53" s="68">
        <f t="shared" si="169"/>
        <v>2.9872068230277184</v>
      </c>
      <c r="BD53" s="66">
        <f t="shared" si="169"/>
        <v>2.8521784915098065</v>
      </c>
      <c r="BE53" s="67">
        <f t="shared" si="169"/>
        <v>3.0386563583044519</v>
      </c>
      <c r="BF53" s="67">
        <f t="shared" si="169"/>
        <v>3.1858407079646018</v>
      </c>
      <c r="BG53" s="68">
        <f t="shared" si="169"/>
        <v>3.4032226752086974</v>
      </c>
      <c r="BH53" s="66">
        <f t="shared" si="169"/>
        <v>3.6915167095115682</v>
      </c>
      <c r="BI53" s="67">
        <f t="shared" si="169"/>
        <v>3.3768463073852293</v>
      </c>
      <c r="BJ53" s="67">
        <f t="shared" si="169"/>
        <v>3.369096209912537</v>
      </c>
      <c r="BK53" s="68">
        <f t="shared" si="169"/>
        <v>3.1695273061037175</v>
      </c>
      <c r="BL53" s="1140">
        <f t="shared" si="169"/>
        <v>3.3333333333333335</v>
      </c>
      <c r="BM53" s="1141">
        <f t="shared" si="169"/>
        <v>3.3962264150943398</v>
      </c>
      <c r="BN53" s="1141">
        <f t="shared" si="169"/>
        <v>3.3962264150943398</v>
      </c>
      <c r="BO53" s="1142">
        <f t="shared" si="169"/>
        <v>3.3962264150943398</v>
      </c>
      <c r="BP53" s="1140">
        <f t="shared" si="169"/>
        <v>3.3962264150943398</v>
      </c>
      <c r="BQ53" s="1141">
        <f t="shared" ref="BQ53:BW53" si="170">360/BQ54</f>
        <v>3.3962264150943398</v>
      </c>
      <c r="BR53" s="1141">
        <f t="shared" si="170"/>
        <v>3.3962264150943398</v>
      </c>
      <c r="BS53" s="1249">
        <f t="shared" si="170"/>
        <v>3.3962264150943398</v>
      </c>
      <c r="BT53" s="1140">
        <f t="shared" si="170"/>
        <v>3.3962264150943398</v>
      </c>
      <c r="BU53" s="1141">
        <f t="shared" si="170"/>
        <v>3.3962264150943398</v>
      </c>
      <c r="BV53" s="1141">
        <f t="shared" si="170"/>
        <v>3.3962264150943398</v>
      </c>
      <c r="BW53" s="1249">
        <f t="shared" si="170"/>
        <v>3.3962264150943398</v>
      </c>
      <c r="BX53" s="99"/>
      <c r="BY53" s="67">
        <f t="shared" ref="BY53:CP53" si="171">360/BY54</f>
        <v>4.4778554778554787</v>
      </c>
      <c r="BZ53" s="67">
        <f t="shared" si="171"/>
        <v>4.4312306101344365</v>
      </c>
      <c r="CA53" s="67">
        <f t="shared" si="171"/>
        <v>4.9681415929203538</v>
      </c>
      <c r="CB53" s="67">
        <f t="shared" si="171"/>
        <v>4.4325340855665258</v>
      </c>
      <c r="CC53" s="67">
        <f t="shared" si="171"/>
        <v>4.4249433106575955</v>
      </c>
      <c r="CD53" s="67">
        <f t="shared" si="171"/>
        <v>3.9025335320417289</v>
      </c>
      <c r="CE53" s="67">
        <f t="shared" si="171"/>
        <v>4.2541682104483147</v>
      </c>
      <c r="CF53" s="67">
        <f t="shared" si="171"/>
        <v>3.7621951219512191</v>
      </c>
      <c r="CG53" s="67">
        <f t="shared" si="171"/>
        <v>3.8178537809852529</v>
      </c>
      <c r="CH53" s="67">
        <f t="shared" si="171"/>
        <v>3.3402097301014266</v>
      </c>
      <c r="CI53" s="67">
        <f t="shared" si="171"/>
        <v>3.0145472376593663</v>
      </c>
      <c r="CJ53" s="67">
        <f t="shared" si="171"/>
        <v>2.8444992464721195</v>
      </c>
      <c r="CK53" s="67">
        <f t="shared" si="171"/>
        <v>3.068496801705757</v>
      </c>
      <c r="CL53" s="67">
        <f t="shared" si="171"/>
        <v>2.5334886429819448</v>
      </c>
      <c r="CM53" s="67">
        <f t="shared" si="171"/>
        <v>3.2210188159706288</v>
      </c>
      <c r="CN53" s="67">
        <f t="shared" si="171"/>
        <v>3.366545047453589</v>
      </c>
      <c r="CO53" s="67">
        <f t="shared" si="171"/>
        <v>3.3965441899552942</v>
      </c>
      <c r="CP53" s="68">
        <f t="shared" si="171"/>
        <v>3.3978076664928119</v>
      </c>
      <c r="CQ53" s="1041"/>
    </row>
    <row r="54" spans="1:95" ht="14.25" customHeight="1">
      <c r="A54" s="9"/>
      <c r="B54" s="23" t="s">
        <v>170</v>
      </c>
      <c r="C54" s="24"/>
      <c r="D54" s="66">
        <f t="shared" ref="D54:AQ54" si="172">(D12/D59)*90</f>
        <v>77.057010785824346</v>
      </c>
      <c r="E54" s="67">
        <f t="shared" si="172"/>
        <v>86.692265496434445</v>
      </c>
      <c r="F54" s="67">
        <f t="shared" si="172"/>
        <v>81.15062761506276</v>
      </c>
      <c r="G54" s="67">
        <f t="shared" si="172"/>
        <v>77.142857142857153</v>
      </c>
      <c r="H54" s="66">
        <f t="shared" si="172"/>
        <v>77.918040508714085</v>
      </c>
      <c r="I54" s="67">
        <f t="shared" si="172"/>
        <v>80.312075983717776</v>
      </c>
      <c r="J54" s="67">
        <f t="shared" si="172"/>
        <v>85.612813370473532</v>
      </c>
      <c r="K54" s="67">
        <f t="shared" si="172"/>
        <v>83.602305475504338</v>
      </c>
      <c r="L54" s="66">
        <f t="shared" si="172"/>
        <v>76.731328806983527</v>
      </c>
      <c r="M54" s="67">
        <f t="shared" si="172"/>
        <v>75.814977973568276</v>
      </c>
      <c r="N54" s="67">
        <f t="shared" si="172"/>
        <v>74.190930787589494</v>
      </c>
      <c r="O54" s="67">
        <f t="shared" si="172"/>
        <v>68.685276902296266</v>
      </c>
      <c r="P54" s="66">
        <f t="shared" si="172"/>
        <v>72.857142857142847</v>
      </c>
      <c r="Q54" s="67">
        <f t="shared" si="172"/>
        <v>79.058982440342191</v>
      </c>
      <c r="R54" s="67">
        <f t="shared" si="172"/>
        <v>71.101727447216888</v>
      </c>
      <c r="S54" s="67">
        <f t="shared" si="172"/>
        <v>78.487084870848705</v>
      </c>
      <c r="T54" s="66">
        <f t="shared" si="172"/>
        <v>80.795454545454547</v>
      </c>
      <c r="U54" s="67">
        <f t="shared" si="172"/>
        <v>84.604591836734699</v>
      </c>
      <c r="V54" s="67">
        <f t="shared" si="172"/>
        <v>78.790942175495346</v>
      </c>
      <c r="W54" s="67">
        <f t="shared" si="172"/>
        <v>77.640845070422543</v>
      </c>
      <c r="X54" s="66">
        <f t="shared" si="172"/>
        <v>118.47439157282963</v>
      </c>
      <c r="Y54" s="67">
        <f t="shared" si="172"/>
        <v>79.450282942603081</v>
      </c>
      <c r="Z54" s="67">
        <f t="shared" si="172"/>
        <v>77.371492081133653</v>
      </c>
      <c r="AA54" s="67">
        <f t="shared" si="172"/>
        <v>99.653465346534659</v>
      </c>
      <c r="AB54" s="66">
        <f t="shared" si="172"/>
        <v>100.85393258426967</v>
      </c>
      <c r="AC54" s="67">
        <f t="shared" si="172"/>
        <v>86.132812499999986</v>
      </c>
      <c r="AD54" s="67">
        <f t="shared" si="172"/>
        <v>80.03365870077414</v>
      </c>
      <c r="AE54" s="67">
        <f t="shared" si="172"/>
        <v>80.300826446280979</v>
      </c>
      <c r="AF54" s="66">
        <f t="shared" si="172"/>
        <v>83.154299906861226</v>
      </c>
      <c r="AG54" s="67">
        <f t="shared" si="172"/>
        <v>85.228276877761417</v>
      </c>
      <c r="AH54" s="67">
        <f t="shared" si="172"/>
        <v>89.136081309994367</v>
      </c>
      <c r="AI54" s="67">
        <f t="shared" si="172"/>
        <v>95.058548009367684</v>
      </c>
      <c r="AJ54" s="66">
        <f t="shared" si="172"/>
        <v>109.95702005730658</v>
      </c>
      <c r="AK54" s="67">
        <f t="shared" si="172"/>
        <v>105.4056589026106</v>
      </c>
      <c r="AL54" s="67">
        <f t="shared" si="172"/>
        <v>99.849269901083375</v>
      </c>
      <c r="AM54" s="67">
        <f t="shared" si="172"/>
        <v>108.50387743521846</v>
      </c>
      <c r="AN54" s="66">
        <f t="shared" si="172"/>
        <v>114.24879807692309</v>
      </c>
      <c r="AO54" s="67">
        <f t="shared" si="172"/>
        <v>122.04110996916752</v>
      </c>
      <c r="AP54" s="67">
        <f t="shared" si="172"/>
        <v>118.94769230769231</v>
      </c>
      <c r="AQ54" s="67">
        <f t="shared" si="172"/>
        <v>111.43678160919541</v>
      </c>
      <c r="AR54" s="66">
        <f t="shared" ref="AR54:AW54" si="173">(AR12/AR59)*90</f>
        <v>110.68127053669222</v>
      </c>
      <c r="AS54" s="67">
        <f t="shared" si="173"/>
        <v>110.3461117196057</v>
      </c>
      <c r="AT54" s="67">
        <f t="shared" si="173"/>
        <v>112.99227799227798</v>
      </c>
      <c r="AU54" s="67">
        <f t="shared" si="173"/>
        <v>118.3874435605246</v>
      </c>
      <c r="AV54" s="66">
        <f t="shared" si="173"/>
        <v>121.2442396313364</v>
      </c>
      <c r="AW54" s="67">
        <f t="shared" si="173"/>
        <v>117.48658687577382</v>
      </c>
      <c r="AX54" s="67">
        <f t="shared" ref="AX54:BC54" si="174">(AX12/AX59)*90</f>
        <v>118.65125591554423</v>
      </c>
      <c r="AY54" s="67">
        <f t="shared" si="174"/>
        <v>112.00511508951405</v>
      </c>
      <c r="AZ54" s="66">
        <f t="shared" si="174"/>
        <v>117.84887798036465</v>
      </c>
      <c r="BA54" s="67">
        <f t="shared" si="174"/>
        <v>116.07359833362264</v>
      </c>
      <c r="BB54" s="67">
        <f t="shared" si="174"/>
        <v>113.91640087292259</v>
      </c>
      <c r="BC54" s="68">
        <f t="shared" si="174"/>
        <v>120.51391862955032</v>
      </c>
      <c r="BD54" s="66">
        <f>(BD12/BD59)*90</f>
        <v>126.21930958094886</v>
      </c>
      <c r="BE54" s="67">
        <f>(BE12/BE59)*90</f>
        <v>118.47341638884016</v>
      </c>
      <c r="BF54" s="1485">
        <v>113</v>
      </c>
      <c r="BG54" s="68">
        <f t="shared" ref="BG54" si="175">(BG12/BG59)*90</f>
        <v>105.78208784940102</v>
      </c>
      <c r="BH54" s="66">
        <f>(BH12/BH59)*90</f>
        <v>97.520891364902511</v>
      </c>
      <c r="BI54" s="67">
        <f>(BI12/BI59)*90</f>
        <v>106.60834614020571</v>
      </c>
      <c r="BJ54" s="67">
        <f>(BJ12/BJ59)*90</f>
        <v>106.85358255451712</v>
      </c>
      <c r="BK54" s="68">
        <f t="shared" ref="BK54" si="176">(BK12/BK59)*90</f>
        <v>113.58160546739256</v>
      </c>
      <c r="BL54" s="1138">
        <v>108</v>
      </c>
      <c r="BM54" s="1138">
        <v>106</v>
      </c>
      <c r="BN54" s="1138">
        <f t="shared" ref="BN54:BO54" si="177">BM54</f>
        <v>106</v>
      </c>
      <c r="BO54" s="1139">
        <f t="shared" si="177"/>
        <v>106</v>
      </c>
      <c r="BP54" s="1138">
        <f t="shared" ref="BP54" si="178">BO54</f>
        <v>106</v>
      </c>
      <c r="BQ54" s="1138">
        <f t="shared" ref="BQ54" si="179">BP54</f>
        <v>106</v>
      </c>
      <c r="BR54" s="1138">
        <f t="shared" ref="BR54" si="180">BQ54</f>
        <v>106</v>
      </c>
      <c r="BS54" s="1139">
        <f t="shared" ref="BS54" si="181">BR54</f>
        <v>106</v>
      </c>
      <c r="BT54" s="1138">
        <f t="shared" ref="BT54" si="182">BS54</f>
        <v>106</v>
      </c>
      <c r="BU54" s="1138">
        <f t="shared" ref="BU54" si="183">BT54</f>
        <v>106</v>
      </c>
      <c r="BV54" s="1138">
        <f t="shared" ref="BV54" si="184">BU54</f>
        <v>106</v>
      </c>
      <c r="BW54" s="1139">
        <f t="shared" ref="BW54" si="185">BV54</f>
        <v>106</v>
      </c>
      <c r="BX54" s="99"/>
      <c r="BY54" s="67">
        <f>(BY12/BY59)*360</f>
        <v>80.395627277459639</v>
      </c>
      <c r="BZ54" s="67">
        <f>(BZ12/BZ59)*360</f>
        <v>81.241540256709456</v>
      </c>
      <c r="CA54" s="67">
        <f t="shared" ref="CA54:CH54" si="186">(CA12/CA59)*360</f>
        <v>72.461702885643035</v>
      </c>
      <c r="CB54" s="67">
        <f t="shared" si="186"/>
        <v>81.217649554518459</v>
      </c>
      <c r="CC54" s="67">
        <f t="shared" si="186"/>
        <v>81.356974479860625</v>
      </c>
      <c r="CD54" s="67">
        <f t="shared" si="186"/>
        <v>92.24776598182234</v>
      </c>
      <c r="CE54" s="67">
        <f t="shared" si="186"/>
        <v>84.622887998606501</v>
      </c>
      <c r="CF54" s="67">
        <f t="shared" si="186"/>
        <v>95.688816855753657</v>
      </c>
      <c r="CG54" s="67">
        <f t="shared" si="186"/>
        <v>94.293815492089578</v>
      </c>
      <c r="CH54" s="67">
        <f t="shared" si="186"/>
        <v>107.77766340710242</v>
      </c>
      <c r="CI54" s="67">
        <f t="shared" ref="CI54:CN54" si="187">(CI12/CI59)*360</f>
        <v>119.42091850566608</v>
      </c>
      <c r="CJ54" s="67">
        <f t="shared" si="187"/>
        <v>126.56006165109335</v>
      </c>
      <c r="CK54" s="67">
        <f t="shared" si="187"/>
        <v>117.32128897767741</v>
      </c>
      <c r="CL54" s="67">
        <f t="shared" si="187"/>
        <v>142.09655172413795</v>
      </c>
      <c r="CM54" s="67">
        <f t="shared" si="187"/>
        <v>111.76587923517511</v>
      </c>
      <c r="CN54" s="67">
        <f t="shared" si="187"/>
        <v>106.93455602867971</v>
      </c>
      <c r="CO54" s="67">
        <f t="shared" ref="CO54:CP54" si="188">(CO12/CO59)*360</f>
        <v>105.99008282142749</v>
      </c>
      <c r="CP54" s="68">
        <f t="shared" si="188"/>
        <v>105.95067035433142</v>
      </c>
      <c r="CQ54" s="1041"/>
    </row>
    <row r="55" spans="1:95" ht="14.25" customHeight="1">
      <c r="A55" s="9"/>
      <c r="B55" s="23" t="s">
        <v>171</v>
      </c>
      <c r="C55" s="24"/>
      <c r="D55" s="66">
        <f t="shared" ref="D55:AQ55" si="189">(D26/D59)*90</f>
        <v>53.990755007704159</v>
      </c>
      <c r="E55" s="67">
        <f t="shared" si="189"/>
        <v>55.787164015359295</v>
      </c>
      <c r="F55" s="67">
        <f t="shared" si="189"/>
        <v>57.144351464435154</v>
      </c>
      <c r="G55" s="67">
        <f t="shared" si="189"/>
        <v>52.012987012987018</v>
      </c>
      <c r="H55" s="66">
        <f t="shared" si="189"/>
        <v>53.626943005181346</v>
      </c>
      <c r="I55" s="67">
        <f t="shared" si="189"/>
        <v>50.881953867028493</v>
      </c>
      <c r="J55" s="67">
        <f t="shared" si="189"/>
        <v>46.002785515320326</v>
      </c>
      <c r="K55" s="67">
        <f t="shared" si="189"/>
        <v>45.129682997118159</v>
      </c>
      <c r="L55" s="66">
        <f t="shared" si="189"/>
        <v>39.631425800193988</v>
      </c>
      <c r="M55" s="67">
        <f t="shared" si="189"/>
        <v>44.36123348017621</v>
      </c>
      <c r="N55" s="67">
        <f t="shared" si="189"/>
        <v>44.377088305489259</v>
      </c>
      <c r="O55" s="67">
        <f t="shared" si="189"/>
        <v>55.637100405222874</v>
      </c>
      <c r="P55" s="66">
        <f t="shared" si="189"/>
        <v>54.965325936199712</v>
      </c>
      <c r="Q55" s="67">
        <f t="shared" si="189"/>
        <v>59.284106258442151</v>
      </c>
      <c r="R55" s="67">
        <f t="shared" si="189"/>
        <v>46.502879078694818</v>
      </c>
      <c r="S55" s="67">
        <f t="shared" si="189"/>
        <v>61.143911439114383</v>
      </c>
      <c r="T55" s="66">
        <f t="shared" si="189"/>
        <v>52.348484848484844</v>
      </c>
      <c r="U55" s="67">
        <f t="shared" si="189"/>
        <v>49.094387755102048</v>
      </c>
      <c r="V55" s="67">
        <f t="shared" si="189"/>
        <v>49.094217549534982</v>
      </c>
      <c r="W55" s="67">
        <f t="shared" si="189"/>
        <v>57.570422535211264</v>
      </c>
      <c r="X55" s="66">
        <f t="shared" si="189"/>
        <v>78.002179440610234</v>
      </c>
      <c r="Y55" s="67">
        <f t="shared" si="189"/>
        <v>50.008084074373478</v>
      </c>
      <c r="Z55" s="67">
        <f t="shared" si="189"/>
        <v>54.690191719922197</v>
      </c>
      <c r="AA55" s="67">
        <f t="shared" si="189"/>
        <v>52.930693069306926</v>
      </c>
      <c r="AB55" s="66">
        <f t="shared" si="189"/>
        <v>45.337078651685395</v>
      </c>
      <c r="AC55" s="67">
        <f t="shared" si="189"/>
        <v>47.077414772727273</v>
      </c>
      <c r="AD55" s="67">
        <f t="shared" si="189"/>
        <v>44.591046785594067</v>
      </c>
      <c r="AE55" s="67">
        <f t="shared" si="189"/>
        <v>51.441322314049593</v>
      </c>
      <c r="AF55" s="66">
        <f t="shared" si="189"/>
        <v>57.196522819000307</v>
      </c>
      <c r="AG55" s="67">
        <f t="shared" si="189"/>
        <v>63.649484536082468</v>
      </c>
      <c r="AH55" s="67">
        <f t="shared" si="189"/>
        <v>63.752117447769628</v>
      </c>
      <c r="AI55" s="67">
        <f t="shared" si="189"/>
        <v>67.68442622950819</v>
      </c>
      <c r="AJ55" s="66">
        <f t="shared" si="189"/>
        <v>75.616045845272197</v>
      </c>
      <c r="AK55" s="67">
        <f t="shared" si="189"/>
        <v>74.411442863842424</v>
      </c>
      <c r="AL55" s="67">
        <f t="shared" si="189"/>
        <v>66.782854451248241</v>
      </c>
      <c r="AM55" s="67">
        <f t="shared" si="189"/>
        <v>76.909400416114991</v>
      </c>
      <c r="AN55" s="66">
        <f t="shared" si="189"/>
        <v>73.665865384615387</v>
      </c>
      <c r="AO55" s="67">
        <f t="shared" si="189"/>
        <v>77.031860226104826</v>
      </c>
      <c r="AP55" s="67">
        <f t="shared" si="189"/>
        <v>64.596923076923062</v>
      </c>
      <c r="AQ55" s="67">
        <f t="shared" si="189"/>
        <v>53.544061302681989</v>
      </c>
      <c r="AR55" s="66">
        <f t="shared" ref="AR55:AW55" si="190">(AR26/AR59)*90</f>
        <v>51.851040525739322</v>
      </c>
      <c r="AS55" s="67">
        <f t="shared" si="190"/>
        <v>54.532311062431546</v>
      </c>
      <c r="AT55" s="67">
        <f t="shared" si="190"/>
        <v>50.038610038610038</v>
      </c>
      <c r="AU55" s="67">
        <f t="shared" si="190"/>
        <v>53.562674693614277</v>
      </c>
      <c r="AV55" s="66">
        <f t="shared" si="190"/>
        <v>54.647794601711652</v>
      </c>
      <c r="AW55" s="67">
        <f t="shared" si="190"/>
        <v>56.718943458522482</v>
      </c>
      <c r="AX55" s="67">
        <f t="shared" ref="AX55:BC55" si="191">(AX26/AX59)*90</f>
        <v>65.313068802329809</v>
      </c>
      <c r="AY55" s="67">
        <f t="shared" si="191"/>
        <v>58.035805626598467</v>
      </c>
      <c r="AZ55" s="66">
        <f t="shared" si="191"/>
        <v>57.196704067321178</v>
      </c>
      <c r="BA55" s="67">
        <f t="shared" si="191"/>
        <v>52.412775559798646</v>
      </c>
      <c r="BB55" s="67">
        <f t="shared" si="191"/>
        <v>54.676850763807273</v>
      </c>
      <c r="BC55" s="68">
        <f t="shared" si="191"/>
        <v>54.234475374732334</v>
      </c>
      <c r="BD55" s="66">
        <f>(BD26/BD59)*90</f>
        <v>50.82333394868008</v>
      </c>
      <c r="BE55" s="67">
        <f>(BE26/BE59)*90</f>
        <v>47.771538866467807</v>
      </c>
      <c r="BF55" s="67">
        <f>(BF26/BF59)*90</f>
        <v>58.972503617945016</v>
      </c>
      <c r="BG55" s="68">
        <f t="shared" ref="BG55" si="192">(BG26/BG59)*90</f>
        <v>44.56360524814604</v>
      </c>
      <c r="BH55" s="66">
        <f>(BH26/BH59)*90</f>
        <v>44.739661452753374</v>
      </c>
      <c r="BI55" s="67">
        <f>(BI26/BI59)*90</f>
        <v>58.123891712968437</v>
      </c>
      <c r="BJ55" s="67">
        <f>(BJ26/BJ59)*90</f>
        <v>61.298026998961575</v>
      </c>
      <c r="BK55" s="68">
        <f t="shared" ref="BK55" si="193">(BK26/BK59)*90</f>
        <v>57.129618904204797</v>
      </c>
      <c r="BL55" s="1138">
        <v>50</v>
      </c>
      <c r="BM55" s="1138">
        <v>50</v>
      </c>
      <c r="BN55" s="1138">
        <v>50</v>
      </c>
      <c r="BO55" s="1139">
        <v>50</v>
      </c>
      <c r="BP55" s="1138">
        <v>50</v>
      </c>
      <c r="BQ55" s="1138">
        <v>50</v>
      </c>
      <c r="BR55" s="1138">
        <v>50</v>
      </c>
      <c r="BS55" s="1139">
        <v>50</v>
      </c>
      <c r="BT55" s="1138">
        <v>50</v>
      </c>
      <c r="BU55" s="1138">
        <v>50</v>
      </c>
      <c r="BV55" s="1138">
        <v>50</v>
      </c>
      <c r="BW55" s="1139">
        <v>50</v>
      </c>
      <c r="BX55" s="99"/>
      <c r="BY55" s="67">
        <f>(BY26/BY59)*360</f>
        <v>54.206142634044767</v>
      </c>
      <c r="BZ55" s="67">
        <f>(BZ26/BZ59)*360</f>
        <v>43.855309218203033</v>
      </c>
      <c r="CA55" s="67">
        <f t="shared" ref="CA55:CH55" si="194">(CA26/CA59)*360</f>
        <v>58.69611685073032</v>
      </c>
      <c r="CB55" s="67">
        <f t="shared" si="194"/>
        <v>63.271107339838778</v>
      </c>
      <c r="CC55" s="67">
        <f t="shared" si="194"/>
        <v>60.325919852413655</v>
      </c>
      <c r="CD55" s="67">
        <f t="shared" si="194"/>
        <v>48.99717406247612</v>
      </c>
      <c r="CE55" s="67">
        <f t="shared" si="194"/>
        <v>54.21006793241596</v>
      </c>
      <c r="CF55" s="67">
        <f t="shared" si="194"/>
        <v>68.133195815529675</v>
      </c>
      <c r="CG55" s="67">
        <f t="shared" si="194"/>
        <v>66.837065954386688</v>
      </c>
      <c r="CH55" s="67">
        <f t="shared" si="194"/>
        <v>51.78589809572825</v>
      </c>
      <c r="CI55" s="67">
        <f t="shared" ref="CI55:CN55" si="195">(CI26/CI59)*360</f>
        <v>54.030255381445535</v>
      </c>
      <c r="CJ55" s="67">
        <f t="shared" si="195"/>
        <v>65.577497350929576</v>
      </c>
      <c r="CK55" s="67">
        <f t="shared" si="195"/>
        <v>52.797706939980898</v>
      </c>
      <c r="CL55" s="67">
        <f t="shared" si="195"/>
        <v>59.862068965517238</v>
      </c>
      <c r="CM55" s="67">
        <f t="shared" si="195"/>
        <v>56.21633944091414</v>
      </c>
      <c r="CN55" s="67">
        <f t="shared" si="195"/>
        <v>50.440828315414961</v>
      </c>
      <c r="CO55" s="67">
        <f t="shared" ref="CO55:CP55" si="196">(CO26/CO59)*360</f>
        <v>49.995322085579005</v>
      </c>
      <c r="CP55" s="68">
        <f t="shared" si="196"/>
        <v>49.976731299212929</v>
      </c>
      <c r="CQ55" s="1041"/>
    </row>
    <row r="56" spans="1:95" ht="14.25" customHeight="1">
      <c r="A56" s="9"/>
      <c r="B56" s="23" t="s">
        <v>189</v>
      </c>
      <c r="C56" s="24"/>
      <c r="D56" s="134">
        <f t="shared" ref="D56:AQ56" si="197">D13/(D58*4)</f>
        <v>2.5510204081632654E-2</v>
      </c>
      <c r="E56" s="78">
        <f t="shared" si="197"/>
        <v>3.200624512099922E-2</v>
      </c>
      <c r="F56" s="78">
        <f t="shared" si="197"/>
        <v>3.3232628398791542E-2</v>
      </c>
      <c r="G56" s="78">
        <f t="shared" si="197"/>
        <v>2.324120603015075E-2</v>
      </c>
      <c r="H56" s="134">
        <f t="shared" si="197"/>
        <v>2.6362751460090851E-2</v>
      </c>
      <c r="I56" s="78">
        <f t="shared" si="197"/>
        <v>1.9865067466266866E-2</v>
      </c>
      <c r="J56" s="78">
        <f t="shared" si="197"/>
        <v>2.0021984924623117E-2</v>
      </c>
      <c r="K56" s="78">
        <f t="shared" si="197"/>
        <v>1.9230769230769232E-2</v>
      </c>
      <c r="L56" s="134">
        <f t="shared" si="197"/>
        <v>1.5955687830687834E-2</v>
      </c>
      <c r="M56" s="78">
        <f t="shared" si="197"/>
        <v>2.1631439894319683E-2</v>
      </c>
      <c r="N56" s="78">
        <f t="shared" si="197"/>
        <v>1.9451530612244895E-2</v>
      </c>
      <c r="O56" s="78">
        <f t="shared" si="197"/>
        <v>2.1869514335868926E-2</v>
      </c>
      <c r="P56" s="134">
        <f t="shared" si="197"/>
        <v>2.7095808383233534E-2</v>
      </c>
      <c r="Q56" s="78">
        <f t="shared" si="197"/>
        <v>2.5646149746869171E-2</v>
      </c>
      <c r="R56" s="78">
        <f t="shared" si="197"/>
        <v>2.4649560465668807E-2</v>
      </c>
      <c r="S56" s="78">
        <f t="shared" si="197"/>
        <v>2.1352091633466134E-2</v>
      </c>
      <c r="T56" s="134">
        <f t="shared" si="197"/>
        <v>2.3850881881346875E-2</v>
      </c>
      <c r="U56" s="78">
        <f t="shared" si="197"/>
        <v>2.4199895068205666E-2</v>
      </c>
      <c r="V56" s="78">
        <f t="shared" si="197"/>
        <v>2.5440555969223132E-2</v>
      </c>
      <c r="W56" s="78">
        <f t="shared" si="197"/>
        <v>4.1860750183868596E-2</v>
      </c>
      <c r="X56" s="134">
        <f t="shared" si="197"/>
        <v>5.3152405783360994E-2</v>
      </c>
      <c r="Y56" s="78">
        <f t="shared" si="197"/>
        <v>3.1411053847520881E-2</v>
      </c>
      <c r="Z56" s="78">
        <f t="shared" si="197"/>
        <v>2.8288907996560617E-2</v>
      </c>
      <c r="AA56" s="78">
        <f t="shared" si="197"/>
        <v>2.8391651319828116E-2</v>
      </c>
      <c r="AB56" s="134">
        <f t="shared" si="197"/>
        <v>3.11263518860459E-2</v>
      </c>
      <c r="AC56" s="78">
        <f t="shared" si="197"/>
        <v>2.6262505955216769E-2</v>
      </c>
      <c r="AD56" s="78">
        <f t="shared" si="197"/>
        <v>2.2573482765912457E-2</v>
      </c>
      <c r="AE56" s="78">
        <f t="shared" si="197"/>
        <v>2.5900221283443974E-2</v>
      </c>
      <c r="AF56" s="134">
        <f t="shared" si="197"/>
        <v>2.199200290803344E-2</v>
      </c>
      <c r="AG56" s="78">
        <f t="shared" si="197"/>
        <v>2.1815532316132352E-2</v>
      </c>
      <c r="AH56" s="78">
        <f t="shared" si="197"/>
        <v>2.2015981355085732E-2</v>
      </c>
      <c r="AI56" s="78">
        <f t="shared" si="197"/>
        <v>2.7451657458563535E-2</v>
      </c>
      <c r="AJ56" s="134">
        <f t="shared" si="197"/>
        <v>3.494716287617735E-2</v>
      </c>
      <c r="AK56" s="78">
        <f t="shared" si="197"/>
        <v>2.3791123868403624E-2</v>
      </c>
      <c r="AL56" s="78">
        <f t="shared" si="197"/>
        <v>2.5139198218262805E-2</v>
      </c>
      <c r="AM56" s="78">
        <f t="shared" si="197"/>
        <v>3.9588488084385989E-2</v>
      </c>
      <c r="AN56" s="134">
        <f t="shared" si="197"/>
        <v>2.5792584631918324E-2</v>
      </c>
      <c r="AO56" s="78">
        <f t="shared" si="197"/>
        <v>2.9806659505907628E-2</v>
      </c>
      <c r="AP56" s="78">
        <f t="shared" si="197"/>
        <v>4.2005513439007582E-2</v>
      </c>
      <c r="AQ56" s="78">
        <f t="shared" si="197"/>
        <v>4.1054101734783882E-2</v>
      </c>
      <c r="AR56" s="134">
        <f t="shared" ref="AR56:AW56" si="198">AR13/(AR58*4)</f>
        <v>2.4735249621785176E-2</v>
      </c>
      <c r="AS56" s="78">
        <f t="shared" si="198"/>
        <v>2.4407961644631705E-2</v>
      </c>
      <c r="AT56" s="78">
        <f t="shared" si="198"/>
        <v>2.7152641878669278E-2</v>
      </c>
      <c r="AU56" s="78">
        <f t="shared" si="198"/>
        <v>3.1093314763231197E-2</v>
      </c>
      <c r="AV56" s="134">
        <f t="shared" si="198"/>
        <v>3.1599433828733189E-2</v>
      </c>
      <c r="AW56" s="78">
        <f t="shared" si="198"/>
        <v>2.9864044350580779E-2</v>
      </c>
      <c r="AX56" s="78">
        <f t="shared" ref="AX56:BC56" si="199">AX13/(AX58*4)</f>
        <v>3.1583683263347331E-2</v>
      </c>
      <c r="AY56" s="78">
        <f t="shared" si="199"/>
        <v>4.0673455218699368E-2</v>
      </c>
      <c r="AZ56" s="134">
        <f t="shared" si="199"/>
        <v>3.6776527331189711E-2</v>
      </c>
      <c r="BA56" s="78">
        <f t="shared" si="199"/>
        <v>3.4440658716638275E-2</v>
      </c>
      <c r="BB56" s="78">
        <f t="shared" si="199"/>
        <v>3.7381110373811095E-2</v>
      </c>
      <c r="BC56" s="79">
        <f t="shared" si="199"/>
        <v>2.8888492205164821E-2</v>
      </c>
      <c r="BD56" s="134">
        <f>BD13/(BD58*4)</f>
        <v>2.8848507097405773E-2</v>
      </c>
      <c r="BE56" s="78">
        <f>BE13/(BE58*4)</f>
        <v>2.7369560264297106E-2</v>
      </c>
      <c r="BF56" s="78">
        <f>BF13/(BF58*4)</f>
        <v>4.3038174361131561E-2</v>
      </c>
      <c r="BG56" s="79">
        <f t="shared" ref="BG56" si="200">BG13/(BG58*4)</f>
        <v>3.5884218873909593E-2</v>
      </c>
      <c r="BH56" s="134">
        <f>BH13/(BH58*4)</f>
        <v>3.3166283844922387E-2</v>
      </c>
      <c r="BI56" s="78">
        <f>BI13/(BI58*4)</f>
        <v>3.6304185351270557E-2</v>
      </c>
      <c r="BJ56" s="78">
        <f>BJ13/(BJ58*4)</f>
        <v>3.407865410885038E-2</v>
      </c>
      <c r="BK56" s="79">
        <f t="shared" ref="BK56" si="201">BK13/(BK58*4)</f>
        <v>3.5027223230490019E-2</v>
      </c>
      <c r="BL56" s="1143">
        <v>0.04</v>
      </c>
      <c r="BM56" s="1143">
        <v>0.04</v>
      </c>
      <c r="BN56" s="1143">
        <v>0.04</v>
      </c>
      <c r="BO56" s="1144">
        <v>0.04</v>
      </c>
      <c r="BP56" s="1143">
        <v>0.04</v>
      </c>
      <c r="BQ56" s="1143">
        <v>0.04</v>
      </c>
      <c r="BR56" s="1143">
        <v>0.04</v>
      </c>
      <c r="BS56" s="1144">
        <v>0.04</v>
      </c>
      <c r="BT56" s="1143">
        <v>0.04</v>
      </c>
      <c r="BU56" s="1143">
        <v>0.04</v>
      </c>
      <c r="BV56" s="1143">
        <v>0.04</v>
      </c>
      <c r="BW56" s="1144">
        <v>0.04</v>
      </c>
      <c r="BX56" s="135"/>
      <c r="BY56" s="78">
        <f t="shared" ref="BY56:CH56" si="202">BY13/BY58</f>
        <v>2.4225984472921149E-2</v>
      </c>
      <c r="BZ56" s="78">
        <f t="shared" si="202"/>
        <v>1.8628147446523007E-2</v>
      </c>
      <c r="CA56" s="78">
        <f t="shared" si="202"/>
        <v>2.3718864033000154E-2</v>
      </c>
      <c r="CB56" s="78">
        <f t="shared" si="202"/>
        <v>2.2391957174565873E-2</v>
      </c>
      <c r="CC56" s="78">
        <f t="shared" si="202"/>
        <v>4.3608734516664541E-2</v>
      </c>
      <c r="CD56" s="78">
        <f t="shared" si="202"/>
        <v>2.7009927973525409E-2</v>
      </c>
      <c r="CE56" s="78">
        <f t="shared" si="202"/>
        <v>2.9114138730284355E-2</v>
      </c>
      <c r="CF56" s="78">
        <f t="shared" si="202"/>
        <v>2.7492003112302238E-2</v>
      </c>
      <c r="CG56" s="78">
        <f t="shared" si="202"/>
        <v>3.5325218603840455E-2</v>
      </c>
      <c r="CH56" s="78">
        <f t="shared" si="202"/>
        <v>3.8585097930843901E-2</v>
      </c>
      <c r="CI56" s="78">
        <f t="shared" ref="CI56:CN56" si="203">CI13/CI58</f>
        <v>3.20911345096489E-2</v>
      </c>
      <c r="CJ56" s="78">
        <f t="shared" si="203"/>
        <v>4.4468340818521093E-2</v>
      </c>
      <c r="CK56" s="78">
        <f t="shared" si="203"/>
        <v>2.7776188569140107E-2</v>
      </c>
      <c r="CL56" s="78">
        <f t="shared" si="203"/>
        <v>4.6328290972382197E-2</v>
      </c>
      <c r="CM56" s="78">
        <f t="shared" si="203"/>
        <v>3.4818062095217477E-2</v>
      </c>
      <c r="CN56" s="78">
        <f t="shared" si="203"/>
        <v>4.0339038081994523E-2</v>
      </c>
      <c r="CO56" s="78">
        <f t="shared" ref="CO56:CP56" si="204">CO13/CO58</f>
        <v>4.0262781196864994E-2</v>
      </c>
      <c r="CP56" s="79">
        <f t="shared" si="204"/>
        <v>4.0253850581094312E-2</v>
      </c>
      <c r="CQ56" s="1041"/>
    </row>
    <row r="57" spans="1:95" ht="14.25" customHeight="1">
      <c r="A57" s="9"/>
      <c r="B57" s="23"/>
      <c r="C57" s="24"/>
      <c r="D57" s="97"/>
      <c r="E57" s="95"/>
      <c r="F57" s="95"/>
      <c r="G57" s="95"/>
      <c r="H57" s="97"/>
      <c r="I57" s="95"/>
      <c r="J57" s="95"/>
      <c r="K57" s="95"/>
      <c r="L57" s="97"/>
      <c r="M57" s="95"/>
      <c r="N57" s="95"/>
      <c r="O57" s="95"/>
      <c r="P57" s="97"/>
      <c r="Q57" s="95"/>
      <c r="R57" s="95"/>
      <c r="S57" s="95"/>
      <c r="T57" s="97"/>
      <c r="U57" s="95"/>
      <c r="V57" s="95"/>
      <c r="W57" s="95"/>
      <c r="X57" s="97"/>
      <c r="Y57" s="95"/>
      <c r="Z57" s="95"/>
      <c r="AA57" s="95"/>
      <c r="AB57" s="97"/>
      <c r="AC57" s="95"/>
      <c r="AD57" s="95"/>
      <c r="AE57" s="95"/>
      <c r="AF57" s="97"/>
      <c r="AG57" s="95"/>
      <c r="AH57" s="95"/>
      <c r="AI57" s="95"/>
      <c r="AJ57" s="97"/>
      <c r="AK57" s="57"/>
      <c r="AL57" s="95"/>
      <c r="AM57" s="95"/>
      <c r="AN57" s="97"/>
      <c r="AO57" s="57"/>
      <c r="AP57" s="95"/>
      <c r="AQ57" s="95"/>
      <c r="AR57" s="97"/>
      <c r="AS57" s="57"/>
      <c r="AT57" s="95"/>
      <c r="AU57" s="95"/>
      <c r="AV57" s="97"/>
      <c r="AW57" s="57"/>
      <c r="AX57" s="95"/>
      <c r="AY57" s="95"/>
      <c r="AZ57" s="97"/>
      <c r="BA57" s="57"/>
      <c r="BB57" s="95"/>
      <c r="BC57" s="96"/>
      <c r="BD57" s="97"/>
      <c r="BE57" s="57"/>
      <c r="BF57" s="57"/>
      <c r="BG57" s="96"/>
      <c r="BH57" s="97"/>
      <c r="BI57" s="57"/>
      <c r="BJ57" s="57"/>
      <c r="BK57" s="71">
        <f>MEDIAN(T54:BK54)</f>
        <v>109.23044874626251</v>
      </c>
      <c r="BL57" s="97"/>
      <c r="BM57" s="95"/>
      <c r="BN57" s="95"/>
      <c r="BO57" s="96"/>
      <c r="BP57" s="97"/>
      <c r="BQ57" s="95"/>
      <c r="BR57" s="95"/>
      <c r="BS57" s="96"/>
      <c r="BT57" s="97"/>
      <c r="BU57" s="95"/>
      <c r="BV57" s="95"/>
      <c r="BW57" s="96"/>
      <c r="BX57" s="21"/>
      <c r="BY57" s="95"/>
      <c r="BZ57" s="95"/>
      <c r="CA57" s="95"/>
      <c r="CB57" s="95"/>
      <c r="CC57" s="95"/>
      <c r="CD57" s="95"/>
      <c r="CE57" s="95"/>
      <c r="CF57" s="95"/>
      <c r="CG57" s="95"/>
      <c r="CH57" s="95"/>
      <c r="CI57" s="95"/>
      <c r="CJ57" s="95"/>
      <c r="CK57" s="95"/>
      <c r="CL57" s="95"/>
      <c r="CM57" s="95"/>
      <c r="CN57" s="95"/>
      <c r="CO57" s="95"/>
      <c r="CP57" s="96"/>
      <c r="CQ57" s="1041"/>
    </row>
    <row r="58" spans="1:95" ht="14.25" customHeight="1">
      <c r="A58" s="9"/>
      <c r="B58" s="23" t="s">
        <v>172</v>
      </c>
      <c r="C58" s="24"/>
      <c r="D58" s="1087">
        <f>IS!D8</f>
        <v>269.5</v>
      </c>
      <c r="E58" s="535">
        <f>IS!E8</f>
        <v>256.2</v>
      </c>
      <c r="F58" s="821">
        <f>IS!F8</f>
        <v>264.8</v>
      </c>
      <c r="G58" s="822">
        <f>IS!G8</f>
        <v>278.60000000000002</v>
      </c>
      <c r="H58" s="535">
        <f>IS!H8</f>
        <v>308.2</v>
      </c>
      <c r="I58" s="535">
        <f>IS!I8</f>
        <v>333.5</v>
      </c>
      <c r="J58" s="821">
        <f>IS!J8</f>
        <v>318.39999999999998</v>
      </c>
      <c r="K58" s="822">
        <f>IS!K8</f>
        <v>306.8</v>
      </c>
      <c r="L58" s="1087">
        <f>IS!L8</f>
        <v>302.39999999999998</v>
      </c>
      <c r="M58" s="535">
        <f>IS!M8</f>
        <v>302.8</v>
      </c>
      <c r="N58" s="821">
        <f>IS!N8</f>
        <v>313.60000000000002</v>
      </c>
      <c r="O58" s="822">
        <f>IS!O8</f>
        <v>341.8</v>
      </c>
      <c r="P58" s="535">
        <f>IS!P8</f>
        <v>334</v>
      </c>
      <c r="Q58" s="535">
        <f>IS!Q8</f>
        <v>375.3</v>
      </c>
      <c r="R58" s="821">
        <f>IS!R8</f>
        <v>420.9</v>
      </c>
      <c r="S58" s="822">
        <f>IS!S8</f>
        <v>401.6</v>
      </c>
      <c r="T58" s="535">
        <f>IS!T8</f>
        <v>374.2</v>
      </c>
      <c r="U58" s="535">
        <f>IS!U8</f>
        <v>381.2</v>
      </c>
      <c r="V58" s="821">
        <f>IS!V8</f>
        <v>402.9</v>
      </c>
      <c r="W58" s="822">
        <f>IS!W8</f>
        <v>407.9</v>
      </c>
      <c r="X58" s="535">
        <f>IS!X8</f>
        <v>421.9</v>
      </c>
      <c r="Y58" s="535">
        <f>IS!Y8</f>
        <v>562.70000000000005</v>
      </c>
      <c r="Z58" s="821">
        <f>IS!Z8</f>
        <v>581.5</v>
      </c>
      <c r="AA58" s="822">
        <f>IS!AA8</f>
        <v>488.7</v>
      </c>
      <c r="AB58" s="535">
        <f>IS!AB8</f>
        <v>379.1</v>
      </c>
      <c r="AC58" s="535">
        <f>IS!AC8</f>
        <v>419.8</v>
      </c>
      <c r="AD58" s="821">
        <f>IS!AD8</f>
        <v>472.9</v>
      </c>
      <c r="AE58" s="822">
        <f>IS!AE8</f>
        <v>497.1</v>
      </c>
      <c r="AF58" s="535">
        <f>IS!AF8</f>
        <v>550.20000000000005</v>
      </c>
      <c r="AG58" s="535">
        <f>IS!AG8</f>
        <v>583.29999999999995</v>
      </c>
      <c r="AH58" s="821">
        <f>IS!AH8</f>
        <v>600.70000000000005</v>
      </c>
      <c r="AI58" s="822">
        <f>IS!AI8</f>
        <v>579.20000000000005</v>
      </c>
      <c r="AJ58" s="535">
        <f>IS!AJ8</f>
        <v>870.6</v>
      </c>
      <c r="AK58" s="535">
        <f>IS!AK8</f>
        <v>905.8</v>
      </c>
      <c r="AL58" s="821">
        <f>IS!AL8</f>
        <v>898</v>
      </c>
      <c r="AM58" s="822">
        <f>IS!AM8</f>
        <v>767.9</v>
      </c>
      <c r="AN58" s="535">
        <f>IS!AN8</f>
        <v>744.4</v>
      </c>
      <c r="AO58" s="535">
        <f>IS!AO8</f>
        <v>744.8</v>
      </c>
      <c r="AP58" s="821">
        <f>IS!AP8</f>
        <v>725.5</v>
      </c>
      <c r="AQ58" s="822">
        <f>IS!AQ8</f>
        <v>680.2</v>
      </c>
      <c r="AR58" s="535">
        <f>IS!AR8</f>
        <v>661</v>
      </c>
      <c r="AS58" s="535">
        <f>IS!AS8</f>
        <v>688.3</v>
      </c>
      <c r="AT58" s="821">
        <f>IS!AT8</f>
        <v>715.4</v>
      </c>
      <c r="AU58" s="822">
        <f>IS!AU8</f>
        <v>718</v>
      </c>
      <c r="AV58" s="535">
        <f>IS!AV8</f>
        <v>706.5</v>
      </c>
      <c r="AW58" s="535">
        <f>IS!AW8</f>
        <v>757.6</v>
      </c>
      <c r="AX58" s="821">
        <f>IS!AX8</f>
        <v>833.5</v>
      </c>
      <c r="AY58" s="822">
        <f>IS!AY8</f>
        <v>864.2</v>
      </c>
      <c r="AZ58" s="1087">
        <f>IS!AZ8</f>
        <v>870.8</v>
      </c>
      <c r="BA58" s="535">
        <f>IS!BA8</f>
        <v>880.5</v>
      </c>
      <c r="BB58" s="821">
        <f>IS!BB8</f>
        <v>904.2</v>
      </c>
      <c r="BC58" s="822">
        <f>IS!BC8</f>
        <v>840.3</v>
      </c>
      <c r="BD58" s="1087">
        <f>IS!BD8</f>
        <v>817.2</v>
      </c>
      <c r="BE58" s="535">
        <f>IS!BE8</f>
        <v>877.8</v>
      </c>
      <c r="BF58" s="535">
        <f>IS!BF8</f>
        <v>950.9</v>
      </c>
      <c r="BG58" s="822">
        <f>IS!BG8</f>
        <v>1261</v>
      </c>
      <c r="BH58" s="1087">
        <f>IS!BH8</f>
        <v>1436.7</v>
      </c>
      <c r="BI58" s="535">
        <f>IS!BI8</f>
        <v>1338</v>
      </c>
      <c r="BJ58" s="535">
        <f>IS!BJ8</f>
        <v>1390.9</v>
      </c>
      <c r="BK58" s="1423">
        <f>IS!BK8</f>
        <v>1377.5</v>
      </c>
      <c r="BL58" s="535">
        <f>IS!BL8</f>
        <v>1369.8570000000002</v>
      </c>
      <c r="BM58" s="535">
        <f>IS!BM8</f>
        <v>1428.3854699999999</v>
      </c>
      <c r="BN58" s="821">
        <f>IS!BN8</f>
        <v>1462.1209246000001</v>
      </c>
      <c r="BO58" s="822">
        <f>IS!BO8</f>
        <v>1436.2157754979999</v>
      </c>
      <c r="BP58" s="535">
        <f>IS!BP8</f>
        <v>1428.2476192559</v>
      </c>
      <c r="BQ58" s="535">
        <f>IS!BQ8</f>
        <v>1481.625145527059</v>
      </c>
      <c r="BR58" s="821">
        <f>IS!BR8</f>
        <v>1513.799568262451</v>
      </c>
      <c r="BS58" s="822">
        <f>IS!BS8</f>
        <v>1487.5019898772639</v>
      </c>
      <c r="BT58" s="535">
        <f>IS!BT8</f>
        <v>1481.3892830431141</v>
      </c>
      <c r="BU58" s="535">
        <f>IS!BU8</f>
        <v>1536.6192424277208</v>
      </c>
      <c r="BV58" s="1422">
        <f>IS!BV8</f>
        <v>1568.4983613978361</v>
      </c>
      <c r="BW58" s="1423">
        <f>IS!BW8</f>
        <v>1541.799580271286</v>
      </c>
      <c r="BX58" s="21"/>
      <c r="BY58" s="1087">
        <f>IS!BY8</f>
        <v>1069.0999999999999</v>
      </c>
      <c r="BZ58" s="535">
        <f>IS!BZ8</f>
        <v>1266.9000000000001</v>
      </c>
      <c r="CA58" s="535">
        <f>IS!CA8</f>
        <v>1260.6000000000001</v>
      </c>
      <c r="CB58" s="535">
        <f>IS!CB8</f>
        <v>1531.7999999999997</v>
      </c>
      <c r="CC58" s="535">
        <f>IS!CC8</f>
        <v>1566.1999999999998</v>
      </c>
      <c r="CD58" s="535">
        <f>IS!CD8</f>
        <v>2054.7999999999997</v>
      </c>
      <c r="CE58" s="535">
        <f>IS!CE8</f>
        <v>1768.9</v>
      </c>
      <c r="CF58" s="535">
        <f>IS!CF8</f>
        <v>2313.4</v>
      </c>
      <c r="CG58" s="535">
        <f>IS!CG8</f>
        <v>3442.3</v>
      </c>
      <c r="CH58" s="535">
        <f>IS!CH8</f>
        <v>2894.8999999999996</v>
      </c>
      <c r="CI58" s="535">
        <f>IS!CI8</f>
        <v>2782.7</v>
      </c>
      <c r="CJ58" s="535">
        <f>IS!CJ8</f>
        <v>3161.8</v>
      </c>
      <c r="CK58" s="535">
        <f>IS!CK8</f>
        <v>3495.8</v>
      </c>
      <c r="CL58" s="535">
        <f>IS!CL8</f>
        <v>3906.9</v>
      </c>
      <c r="CM58" s="535">
        <f>IS!CM8</f>
        <v>5543.1</v>
      </c>
      <c r="CN58" s="535">
        <f>IS!CN8</f>
        <v>5696.5791700979998</v>
      </c>
      <c r="CO58" s="535">
        <f>IS!CO8</f>
        <v>5911.174322922674</v>
      </c>
      <c r="CP58" s="1123">
        <f>IS!CP8</f>
        <v>6128.3064671399561</v>
      </c>
      <c r="CQ58" s="1041"/>
    </row>
    <row r="59" spans="1:95" ht="14.25" customHeight="1">
      <c r="A59" s="9"/>
      <c r="B59" s="54" t="s">
        <v>173</v>
      </c>
      <c r="C59" s="55"/>
      <c r="D59" s="1099">
        <f>IS!D14</f>
        <v>194.7</v>
      </c>
      <c r="E59" s="1100">
        <f>IS!E14</f>
        <v>182.3</v>
      </c>
      <c r="F59" s="1101">
        <f>IS!F14</f>
        <v>191.2</v>
      </c>
      <c r="G59" s="1102">
        <f>IS!G14</f>
        <v>200.2</v>
      </c>
      <c r="H59" s="1100">
        <f>IS!H14</f>
        <v>212.3</v>
      </c>
      <c r="I59" s="1100">
        <f>IS!I14</f>
        <v>221.1</v>
      </c>
      <c r="J59" s="1101">
        <f>IS!J14</f>
        <v>215.4</v>
      </c>
      <c r="K59" s="1102">
        <f>IS!K14</f>
        <v>208.2</v>
      </c>
      <c r="L59" s="1099">
        <f>IS!L14</f>
        <v>206.2</v>
      </c>
      <c r="M59" s="1100">
        <f>IS!M14</f>
        <v>204.3</v>
      </c>
      <c r="N59" s="1101">
        <f>IS!N14</f>
        <v>209.5</v>
      </c>
      <c r="O59" s="1102">
        <f>IS!O14</f>
        <v>222.1</v>
      </c>
      <c r="P59" s="1100">
        <f>IS!P14</f>
        <v>216.3</v>
      </c>
      <c r="Q59" s="1100">
        <f>IS!Q14</f>
        <v>222.1</v>
      </c>
      <c r="R59" s="1101">
        <f>IS!R14</f>
        <v>260.5</v>
      </c>
      <c r="S59" s="1102">
        <f>IS!S14</f>
        <v>243.9</v>
      </c>
      <c r="T59" s="1100">
        <f>IS!T14</f>
        <v>237.6</v>
      </c>
      <c r="U59" s="1100">
        <f>IS!U14</f>
        <v>235.2</v>
      </c>
      <c r="V59" s="1101">
        <f>IS!V14</f>
        <v>247.3</v>
      </c>
      <c r="W59" s="1102">
        <f>IS!W14</f>
        <v>255.6</v>
      </c>
      <c r="X59" s="1100">
        <f>IS!X14</f>
        <v>275.3</v>
      </c>
      <c r="Y59" s="1100">
        <f>IS!Y14</f>
        <v>371.1</v>
      </c>
      <c r="Z59" s="1101">
        <f>IS!Z14</f>
        <v>359.9</v>
      </c>
      <c r="AA59" s="1102">
        <f>IS!AA14</f>
        <v>303</v>
      </c>
      <c r="AB59" s="1100">
        <f>IS!AB14</f>
        <v>267</v>
      </c>
      <c r="AC59" s="1100">
        <f>IS!AC14</f>
        <v>281.60000000000002</v>
      </c>
      <c r="AD59" s="1101">
        <f>IS!AD14</f>
        <v>297.10000000000002</v>
      </c>
      <c r="AE59" s="1102">
        <f>IS!AE14</f>
        <v>302.5</v>
      </c>
      <c r="AF59" s="1100">
        <f>IS!AF14</f>
        <v>322.10000000000002</v>
      </c>
      <c r="AG59" s="1100">
        <f>IS!AG14</f>
        <v>339.5</v>
      </c>
      <c r="AH59" s="1101">
        <f>IS!AH14</f>
        <v>354.2</v>
      </c>
      <c r="AI59" s="1102">
        <f>IS!AI14</f>
        <v>341.6</v>
      </c>
      <c r="AJ59" s="1100">
        <f>IS!AJ14</f>
        <v>628.20000000000005</v>
      </c>
      <c r="AK59" s="1100">
        <f>IS!AK14</f>
        <v>639.70000000000005</v>
      </c>
      <c r="AL59" s="1101">
        <f>IS!AL14</f>
        <v>636.9</v>
      </c>
      <c r="AM59" s="1102">
        <f>IS!AM14</f>
        <v>528.70000000000005</v>
      </c>
      <c r="AN59" s="1100">
        <f>IS!AN14</f>
        <v>499.2</v>
      </c>
      <c r="AO59" s="1100">
        <f>IS!AO14</f>
        <v>486.5</v>
      </c>
      <c r="AP59" s="1101">
        <f>IS!AP14</f>
        <v>487.5</v>
      </c>
      <c r="AQ59" s="1102">
        <f>IS!AQ14</f>
        <v>469.8</v>
      </c>
      <c r="AR59" s="1100">
        <f>IS!AR14</f>
        <v>456.5</v>
      </c>
      <c r="AS59" s="1100">
        <f>IS!AS14</f>
        <v>456.5</v>
      </c>
      <c r="AT59" s="1101">
        <f>IS!AT14</f>
        <v>466.2</v>
      </c>
      <c r="AU59" s="1102">
        <f>IS!AU14</f>
        <v>465.1</v>
      </c>
      <c r="AV59" s="1100">
        <f>IS!AV14</f>
        <v>455.7</v>
      </c>
      <c r="AW59" s="1100">
        <f>IS!AW14</f>
        <v>484.6</v>
      </c>
      <c r="AX59" s="1101">
        <f>IS!AX14</f>
        <v>549.4</v>
      </c>
      <c r="AY59" s="1102">
        <f>IS!AY14</f>
        <v>586.5</v>
      </c>
      <c r="AZ59" s="1099">
        <f>IS!AZ14</f>
        <v>570.4</v>
      </c>
      <c r="BA59" s="1100">
        <f>IS!BA14</f>
        <v>576.1</v>
      </c>
      <c r="BB59" s="1101">
        <f>IS!BB14</f>
        <v>595.70000000000005</v>
      </c>
      <c r="BC59" s="1102">
        <f>IS!BC14</f>
        <v>560.4</v>
      </c>
      <c r="BD59" s="1099">
        <f>IS!BD14</f>
        <v>541.70000000000005</v>
      </c>
      <c r="BE59" s="1100">
        <f>IS!BE14</f>
        <v>569.9</v>
      </c>
      <c r="BF59" s="1100">
        <f>IS!BF14</f>
        <v>621.9</v>
      </c>
      <c r="BG59" s="1102">
        <f>IS!BG14</f>
        <v>876.5</v>
      </c>
      <c r="BH59" s="1099">
        <f>IS!BH14</f>
        <v>933.4</v>
      </c>
      <c r="BI59" s="1100">
        <f>IS!BI14</f>
        <v>845.9</v>
      </c>
      <c r="BJ59" s="1100">
        <f>IS!BJ14</f>
        <v>866.7</v>
      </c>
      <c r="BK59" s="1102">
        <f>IS!BK14</f>
        <v>863.3</v>
      </c>
      <c r="BL59" s="1100">
        <f>IS!BL14</f>
        <v>854.05501100000015</v>
      </c>
      <c r="BM59" s="1100">
        <f>IS!BM14</f>
        <v>886.21207798</v>
      </c>
      <c r="BN59" s="1101">
        <f>IS!BN14</f>
        <v>906.33433184329999</v>
      </c>
      <c r="BO59" s="1102">
        <f>IS!BO14</f>
        <v>892.60167987972875</v>
      </c>
      <c r="BP59" s="1100">
        <f>IS!BP14</f>
        <v>887.83270051552313</v>
      </c>
      <c r="BQ59" s="1100">
        <f>IS!BQ14</f>
        <v>914.84951923961444</v>
      </c>
      <c r="BR59" s="1101">
        <f>IS!BR14</f>
        <v>925.19986990018765</v>
      </c>
      <c r="BS59" s="1102">
        <f>IS!BS14</f>
        <v>909.1806040982741</v>
      </c>
      <c r="BT59" s="1100">
        <f>IS!BT14</f>
        <v>914.23229271773744</v>
      </c>
      <c r="BU59" s="1100">
        <f>IS!BU14</f>
        <v>941.91118517144128</v>
      </c>
      <c r="BV59" s="1101">
        <f>IS!BV14</f>
        <v>951.31719363715649</v>
      </c>
      <c r="BW59" s="1102">
        <f>IS!BW14</f>
        <v>935.23963868441865</v>
      </c>
      <c r="BX59" s="21"/>
      <c r="BY59" s="1099">
        <f>IS!BY14</f>
        <v>768.40000000000009</v>
      </c>
      <c r="BZ59" s="1100">
        <f>IS!BZ14</f>
        <v>857</v>
      </c>
      <c r="CA59" s="1100">
        <f>IS!CA14</f>
        <v>842.1</v>
      </c>
      <c r="CB59" s="1100">
        <f>IS!CB14</f>
        <v>942.8</v>
      </c>
      <c r="CC59" s="1100">
        <f>IS!CC14</f>
        <v>975.69999999999993</v>
      </c>
      <c r="CD59" s="1100">
        <f>IS!CD14</f>
        <v>1309.3000000000002</v>
      </c>
      <c r="CE59" s="1100">
        <f>IS!CE14</f>
        <v>1148.2</v>
      </c>
      <c r="CF59" s="1100">
        <f>IS!CF14</f>
        <v>1357.4</v>
      </c>
      <c r="CG59" s="1100">
        <f>IS!CG14</f>
        <v>2433.5</v>
      </c>
      <c r="CH59" s="1100">
        <f>IS!CH14</f>
        <v>1943</v>
      </c>
      <c r="CI59" s="1100">
        <f>IS!CI14</f>
        <v>1844.3000000000002</v>
      </c>
      <c r="CJ59" s="1100">
        <f>IS!CJ14</f>
        <v>2076.1999999999998</v>
      </c>
      <c r="CK59" s="1100">
        <f>IS!CK14</f>
        <v>2302.6</v>
      </c>
      <c r="CL59" s="1100">
        <f>IS!CL14</f>
        <v>2610</v>
      </c>
      <c r="CM59" s="1100">
        <f>IS!CM14</f>
        <v>3509.3</v>
      </c>
      <c r="CN59" s="1100">
        <f>IS!CN14</f>
        <v>3539.2031007030287</v>
      </c>
      <c r="CO59" s="1100">
        <f>IS!CO14</f>
        <v>3637.0626937535994</v>
      </c>
      <c r="CP59" s="1124">
        <f>IS!CP14</f>
        <v>3742.7003102107537</v>
      </c>
      <c r="CQ59" s="1041"/>
    </row>
    <row r="60" spans="1:95" ht="14.25" customHeight="1">
      <c r="A60" s="9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15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</row>
    <row r="61" spans="1:95" ht="14.25" customHeight="1">
      <c r="A61" s="9"/>
      <c r="B61" s="60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60"/>
      <c r="AR61" s="57"/>
      <c r="AS61" s="57"/>
      <c r="AT61" s="57"/>
      <c r="AU61" s="60"/>
      <c r="AV61" s="57"/>
      <c r="AW61" s="57"/>
      <c r="AX61" s="57"/>
      <c r="AY61" s="60"/>
      <c r="AZ61" s="57"/>
      <c r="BA61" s="57"/>
      <c r="BB61" s="57"/>
      <c r="BC61" s="60"/>
      <c r="BD61" s="57"/>
      <c r="BE61" s="57"/>
      <c r="BF61" s="57"/>
      <c r="BG61" s="60"/>
      <c r="BH61" s="57"/>
      <c r="BI61" s="57"/>
      <c r="BJ61" s="57"/>
      <c r="BK61" s="60"/>
      <c r="BL61" s="57"/>
      <c r="BM61" s="57"/>
      <c r="BN61" s="57"/>
      <c r="BO61" s="60"/>
      <c r="BP61" s="57"/>
      <c r="BQ61" s="57"/>
      <c r="BR61" s="57"/>
      <c r="BS61" s="60"/>
      <c r="BT61" s="57"/>
      <c r="BU61" s="57"/>
      <c r="BV61" s="57"/>
      <c r="BW61" s="60"/>
      <c r="BX61" s="15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</row>
    <row r="62" spans="1:95" ht="14.25" customHeight="1">
      <c r="A62" s="9"/>
      <c r="B62" s="131" t="s">
        <v>174</v>
      </c>
      <c r="C62" s="132"/>
      <c r="D62" s="18" t="str">
        <f t="shared" ref="D62:K62" si="205">D51</f>
        <v>F1Q03A</v>
      </c>
      <c r="E62" s="19" t="str">
        <f t="shared" si="205"/>
        <v>F2Q03A</v>
      </c>
      <c r="F62" s="19" t="str">
        <f t="shared" si="205"/>
        <v>F3Q03A</v>
      </c>
      <c r="G62" s="20" t="str">
        <f t="shared" si="205"/>
        <v>F4Q03A</v>
      </c>
      <c r="H62" s="18" t="str">
        <f t="shared" si="205"/>
        <v>F1Q04A</v>
      </c>
      <c r="I62" s="19" t="str">
        <f t="shared" si="205"/>
        <v>F2Q04A</v>
      </c>
      <c r="J62" s="19" t="str">
        <f t="shared" si="205"/>
        <v>F3Q04A</v>
      </c>
      <c r="K62" s="20" t="str">
        <f t="shared" si="205"/>
        <v>F4Q04A</v>
      </c>
      <c r="L62" s="18" t="str">
        <f t="shared" ref="L62:AI62" si="206">L51</f>
        <v>F1Q05A</v>
      </c>
      <c r="M62" s="19" t="str">
        <f t="shared" si="206"/>
        <v>F2Q05A</v>
      </c>
      <c r="N62" s="19" t="str">
        <f t="shared" si="206"/>
        <v>F3Q05A</v>
      </c>
      <c r="O62" s="20" t="str">
        <f t="shared" si="206"/>
        <v>F4Q05A</v>
      </c>
      <c r="P62" s="18" t="str">
        <f t="shared" si="206"/>
        <v>F1Q06A</v>
      </c>
      <c r="Q62" s="19" t="str">
        <f t="shared" si="206"/>
        <v>F2Q06A</v>
      </c>
      <c r="R62" s="19" t="str">
        <f t="shared" si="206"/>
        <v>F3Q06A</v>
      </c>
      <c r="S62" s="20" t="str">
        <f t="shared" si="206"/>
        <v>F4Q06A</v>
      </c>
      <c r="T62" s="18" t="str">
        <f t="shared" si="206"/>
        <v>F1Q07A</v>
      </c>
      <c r="U62" s="19" t="str">
        <f t="shared" si="206"/>
        <v>F2Q07A</v>
      </c>
      <c r="V62" s="19" t="str">
        <f t="shared" si="206"/>
        <v>F3Q07A</v>
      </c>
      <c r="W62" s="20" t="str">
        <f t="shared" si="206"/>
        <v>F4Q07A</v>
      </c>
      <c r="X62" s="18" t="str">
        <f t="shared" si="206"/>
        <v>F1Q08A</v>
      </c>
      <c r="Y62" s="19" t="str">
        <f t="shared" si="206"/>
        <v>F2Q08A</v>
      </c>
      <c r="Z62" s="19" t="str">
        <f t="shared" si="206"/>
        <v>F3Q08A</v>
      </c>
      <c r="AA62" s="20" t="str">
        <f t="shared" si="206"/>
        <v>F4Q08A</v>
      </c>
      <c r="AB62" s="18" t="str">
        <f t="shared" si="206"/>
        <v>F1Q09A</v>
      </c>
      <c r="AC62" s="19" t="str">
        <f t="shared" si="206"/>
        <v>F2Q09A</v>
      </c>
      <c r="AD62" s="19" t="str">
        <f t="shared" si="206"/>
        <v>F3Q09A</v>
      </c>
      <c r="AE62" s="20" t="str">
        <f t="shared" si="206"/>
        <v>F4Q09A</v>
      </c>
      <c r="AF62" s="18" t="str">
        <f t="shared" si="206"/>
        <v>F1Q10A</v>
      </c>
      <c r="AG62" s="19" t="str">
        <f t="shared" si="206"/>
        <v>F2Q10A</v>
      </c>
      <c r="AH62" s="19" t="str">
        <f t="shared" si="206"/>
        <v>F3Q10A</v>
      </c>
      <c r="AI62" s="20" t="str">
        <f t="shared" si="206"/>
        <v>F4Q10A</v>
      </c>
      <c r="AJ62" s="19" t="str">
        <f>AJ51</f>
        <v>F1Q11A</v>
      </c>
      <c r="AK62" s="19" t="str">
        <f t="shared" ref="AK62:AY62" si="207">AK51</f>
        <v>F2Q11A</v>
      </c>
      <c r="AL62" s="19" t="str">
        <f t="shared" si="207"/>
        <v>F3Q11A</v>
      </c>
      <c r="AM62" s="20" t="str">
        <f t="shared" si="207"/>
        <v>F4Q11A</v>
      </c>
      <c r="AN62" s="18" t="str">
        <f t="shared" si="207"/>
        <v>F1Q12A</v>
      </c>
      <c r="AO62" s="19" t="str">
        <f t="shared" si="207"/>
        <v>F2Q12A</v>
      </c>
      <c r="AP62" s="19" t="str">
        <f t="shared" si="207"/>
        <v>F3Q12A</v>
      </c>
      <c r="AQ62" s="20" t="str">
        <f t="shared" si="207"/>
        <v>F4Q12A</v>
      </c>
      <c r="AR62" s="18" t="str">
        <f>AR51</f>
        <v>F1Q13A</v>
      </c>
      <c r="AS62" s="19" t="str">
        <f>AS51</f>
        <v>F2Q13A</v>
      </c>
      <c r="AT62" s="19" t="str">
        <f t="shared" si="207"/>
        <v>F3Q13A</v>
      </c>
      <c r="AU62" s="20" t="str">
        <f t="shared" si="207"/>
        <v>F4Q13A</v>
      </c>
      <c r="AV62" s="18" t="str">
        <f t="shared" si="207"/>
        <v>F1Q14A</v>
      </c>
      <c r="AW62" s="19" t="str">
        <f t="shared" si="207"/>
        <v>F2Q14A</v>
      </c>
      <c r="AX62" s="19" t="str">
        <f t="shared" si="207"/>
        <v>F3Q14A</v>
      </c>
      <c r="AY62" s="20" t="str">
        <f t="shared" si="207"/>
        <v>F4Q14A</v>
      </c>
      <c r="AZ62" s="18" t="str">
        <f>AZ51</f>
        <v>F1Q15A</v>
      </c>
      <c r="BA62" s="19" t="str">
        <f t="shared" ref="BA62:BF62" si="208">BA51</f>
        <v>F2Q15A</v>
      </c>
      <c r="BB62" s="19" t="str">
        <f t="shared" si="208"/>
        <v>F3Q15A</v>
      </c>
      <c r="BC62" s="20" t="str">
        <f t="shared" si="208"/>
        <v>F4Q15A</v>
      </c>
      <c r="BD62" s="18" t="str">
        <f t="shared" si="208"/>
        <v>F1Q16A</v>
      </c>
      <c r="BE62" s="19" t="str">
        <f t="shared" si="208"/>
        <v>F2Q16A</v>
      </c>
      <c r="BF62" s="19" t="str">
        <f t="shared" si="208"/>
        <v>F3Q16A</v>
      </c>
      <c r="BG62" s="1301" t="str">
        <f t="shared" ref="BG62" si="209">BG51</f>
        <v>F4Q16A</v>
      </c>
      <c r="BH62" s="18" t="str">
        <f t="shared" ref="BH62:BO62" si="210">BH51</f>
        <v>F1Q17A</v>
      </c>
      <c r="BI62" s="19" t="str">
        <f t="shared" si="210"/>
        <v>F2Q17A</v>
      </c>
      <c r="BJ62" s="19" t="str">
        <f t="shared" si="210"/>
        <v>F3Q17A</v>
      </c>
      <c r="BK62" s="20" t="str">
        <f t="shared" si="210"/>
        <v>F4Q17A</v>
      </c>
      <c r="BL62" s="18" t="str">
        <f t="shared" si="210"/>
        <v>F1Q18E</v>
      </c>
      <c r="BM62" s="19" t="str">
        <f t="shared" si="210"/>
        <v>F2Q18E</v>
      </c>
      <c r="BN62" s="19" t="str">
        <f t="shared" si="210"/>
        <v>F3Q18E</v>
      </c>
      <c r="BO62" s="20" t="str">
        <f t="shared" si="210"/>
        <v>F4Q18E</v>
      </c>
      <c r="BP62" s="1299" t="str">
        <f t="shared" ref="BP62:BS62" si="211">BP51</f>
        <v>F1Q19E</v>
      </c>
      <c r="BQ62" s="1300" t="str">
        <f t="shared" si="211"/>
        <v>F2Q19E</v>
      </c>
      <c r="BR62" s="1300" t="str">
        <f t="shared" si="211"/>
        <v>F3Q19E</v>
      </c>
      <c r="BS62" s="1301" t="str">
        <f t="shared" si="211"/>
        <v>F4Q19E</v>
      </c>
      <c r="BT62" s="1390" t="str">
        <f t="shared" ref="BT62:BW62" si="212">BT51</f>
        <v>F1Q20E</v>
      </c>
      <c r="BU62" s="1391" t="str">
        <f t="shared" si="212"/>
        <v>F2Q20E</v>
      </c>
      <c r="BV62" s="1391" t="str">
        <f t="shared" si="212"/>
        <v>F3Q20E</v>
      </c>
      <c r="BW62" s="1392" t="str">
        <f t="shared" si="212"/>
        <v>F4Q20E</v>
      </c>
      <c r="BX62" s="21"/>
      <c r="BY62" s="19" t="str">
        <f t="shared" ref="BY62:CG62" si="213">BY51</f>
        <v>FY2003A</v>
      </c>
      <c r="BZ62" s="19" t="str">
        <f t="shared" si="213"/>
        <v>FY2004A</v>
      </c>
      <c r="CA62" s="19" t="str">
        <f t="shared" si="213"/>
        <v>FY2005A</v>
      </c>
      <c r="CB62" s="19" t="str">
        <f t="shared" si="213"/>
        <v>FY2006A</v>
      </c>
      <c r="CC62" s="19" t="str">
        <f t="shared" si="213"/>
        <v>FY2007A</v>
      </c>
      <c r="CD62" s="19" t="str">
        <f t="shared" si="213"/>
        <v>FY2008A</v>
      </c>
      <c r="CE62" s="19" t="str">
        <f t="shared" si="213"/>
        <v>FY2009A</v>
      </c>
      <c r="CF62" s="19" t="str">
        <f t="shared" si="213"/>
        <v>FY2010A</v>
      </c>
      <c r="CG62" s="19" t="str">
        <f t="shared" si="213"/>
        <v>FY2011A</v>
      </c>
      <c r="CH62" s="1391" t="str">
        <f t="shared" ref="CH62:CM62" si="214">CH51</f>
        <v>FY2012A</v>
      </c>
      <c r="CI62" s="1391" t="str">
        <f t="shared" si="214"/>
        <v>FY2013A</v>
      </c>
      <c r="CJ62" s="1391" t="str">
        <f t="shared" si="214"/>
        <v>FY2014A</v>
      </c>
      <c r="CK62" s="1391" t="str">
        <f t="shared" si="214"/>
        <v>FY2015A</v>
      </c>
      <c r="CL62" s="1300" t="str">
        <f t="shared" si="214"/>
        <v>FY2016</v>
      </c>
      <c r="CM62" s="1391" t="str">
        <f t="shared" si="214"/>
        <v>FY2017A</v>
      </c>
      <c r="CN62" s="1391" t="str">
        <f>CN51</f>
        <v>FY2018E</v>
      </c>
      <c r="CO62" s="1391" t="str">
        <f>CO51</f>
        <v>FY2019E</v>
      </c>
      <c r="CP62" s="1392" t="str">
        <f>CP51</f>
        <v>FY2020E</v>
      </c>
      <c r="CQ62" s="1041"/>
    </row>
    <row r="63" spans="1:95" ht="14.25" customHeight="1">
      <c r="A63" s="9"/>
      <c r="B63" s="83" t="s">
        <v>175</v>
      </c>
      <c r="C63" s="84"/>
      <c r="D63" s="69">
        <v>1.8</v>
      </c>
      <c r="E63" s="70">
        <v>1.8</v>
      </c>
      <c r="F63" s="70">
        <v>2.2000000000000002</v>
      </c>
      <c r="G63" s="71">
        <v>2.2000000000000002</v>
      </c>
      <c r="H63" s="69">
        <v>2.5</v>
      </c>
      <c r="I63" s="70">
        <v>2.5</v>
      </c>
      <c r="J63" s="70">
        <v>2.5</v>
      </c>
      <c r="K63" s="71">
        <v>2.5</v>
      </c>
      <c r="L63" s="69">
        <v>2.5</v>
      </c>
      <c r="M63" s="70">
        <v>2.5</v>
      </c>
      <c r="N63" s="70">
        <v>2.6</v>
      </c>
      <c r="O63" s="71">
        <v>3.1</v>
      </c>
      <c r="P63" s="69">
        <v>3.1</v>
      </c>
      <c r="Q63" s="70">
        <v>3.2</v>
      </c>
      <c r="R63" s="70">
        <v>3.2</v>
      </c>
      <c r="S63" s="71">
        <v>3.3</v>
      </c>
      <c r="T63" s="69">
        <v>3.3</v>
      </c>
      <c r="U63" s="70">
        <v>3.4</v>
      </c>
      <c r="V63" s="70">
        <v>3.4</v>
      </c>
      <c r="W63" s="71">
        <v>3.4</v>
      </c>
      <c r="X63" s="69">
        <v>4.4000000000000004</v>
      </c>
      <c r="Y63" s="70">
        <v>4.4000000000000004</v>
      </c>
      <c r="Z63" s="70">
        <v>4.5</v>
      </c>
      <c r="AA63" s="71">
        <v>4.5999999999999996</v>
      </c>
      <c r="AB63" s="69">
        <v>4.7</v>
      </c>
      <c r="AC63" s="70">
        <v>4.7</v>
      </c>
      <c r="AD63" s="70">
        <v>4.7</v>
      </c>
      <c r="AE63" s="71">
        <v>4.7</v>
      </c>
      <c r="AF63" s="70">
        <v>4.8</v>
      </c>
      <c r="AG63" s="70">
        <v>4.8</v>
      </c>
      <c r="AH63" s="70">
        <v>4.8</v>
      </c>
      <c r="AI63" s="71">
        <v>4.9000000000000004</v>
      </c>
      <c r="AJ63" s="70">
        <v>4.9000000000000004</v>
      </c>
      <c r="AK63" s="70">
        <v>5</v>
      </c>
      <c r="AL63" s="70">
        <v>5</v>
      </c>
      <c r="AM63" s="71">
        <v>5</v>
      </c>
      <c r="AN63" s="70">
        <v>5.0999999999999996</v>
      </c>
      <c r="AO63" s="70">
        <v>5.0999999999999996</v>
      </c>
      <c r="AP63" s="70">
        <v>5.0999999999999996</v>
      </c>
      <c r="AQ63" s="71">
        <v>5.0999999999999996</v>
      </c>
      <c r="AR63" s="70">
        <v>5.0999999999999996</v>
      </c>
      <c r="AS63" s="70">
        <v>5.0999999999999996</v>
      </c>
      <c r="AT63" s="70">
        <v>5.0999999999999996</v>
      </c>
      <c r="AU63" s="71">
        <v>5.2</v>
      </c>
      <c r="AV63" s="70">
        <v>5.2</v>
      </c>
      <c r="AW63" s="70">
        <v>5.2</v>
      </c>
      <c r="AX63" s="70">
        <v>5.2</v>
      </c>
      <c r="AY63" s="71">
        <v>5.2</v>
      </c>
      <c r="AZ63" s="70">
        <v>5.3</v>
      </c>
      <c r="BA63" s="70">
        <v>5.3</v>
      </c>
      <c r="BB63" s="70">
        <v>5.3</v>
      </c>
      <c r="BC63" s="71">
        <v>5.3</v>
      </c>
      <c r="BD63" s="70">
        <v>5.4</v>
      </c>
      <c r="BE63" s="70">
        <v>5.4</v>
      </c>
      <c r="BF63" s="70">
        <v>5.4</v>
      </c>
      <c r="BG63" s="71">
        <v>5.4</v>
      </c>
      <c r="BH63" s="70">
        <v>5.5</v>
      </c>
      <c r="BI63" s="70">
        <v>5.5</v>
      </c>
      <c r="BJ63" s="70">
        <v>5.5</v>
      </c>
      <c r="BK63" s="71">
        <v>5.5</v>
      </c>
      <c r="BL63" s="67">
        <f t="shared" ref="BL63:BS63" si="215">BK63</f>
        <v>5.5</v>
      </c>
      <c r="BM63" s="67">
        <f t="shared" si="215"/>
        <v>5.5</v>
      </c>
      <c r="BN63" s="67">
        <f t="shared" si="215"/>
        <v>5.5</v>
      </c>
      <c r="BO63" s="68">
        <f t="shared" si="215"/>
        <v>5.5</v>
      </c>
      <c r="BP63" s="67">
        <f t="shared" si="215"/>
        <v>5.5</v>
      </c>
      <c r="BQ63" s="67">
        <f t="shared" si="215"/>
        <v>5.5</v>
      </c>
      <c r="BR63" s="67">
        <f t="shared" si="215"/>
        <v>5.5</v>
      </c>
      <c r="BS63" s="68">
        <f t="shared" si="215"/>
        <v>5.5</v>
      </c>
      <c r="BT63" s="67">
        <f t="shared" ref="BT63" si="216">BS63</f>
        <v>5.5</v>
      </c>
      <c r="BU63" s="67">
        <f t="shared" ref="BU63" si="217">BT63</f>
        <v>5.5</v>
      </c>
      <c r="BV63" s="67">
        <f t="shared" ref="BV63" si="218">BU63</f>
        <v>5.5</v>
      </c>
      <c r="BW63" s="68">
        <f t="shared" ref="BW63" si="219">BV63</f>
        <v>5.5</v>
      </c>
      <c r="BX63" s="21"/>
      <c r="BY63" s="66">
        <f>G63</f>
        <v>2.2000000000000002</v>
      </c>
      <c r="BZ63" s="67">
        <f>K63</f>
        <v>2.5</v>
      </c>
      <c r="CA63" s="67">
        <f>O63</f>
        <v>3.1</v>
      </c>
      <c r="CB63" s="67">
        <f>S63</f>
        <v>3.3</v>
      </c>
      <c r="CC63" s="67">
        <f>W63</f>
        <v>3.4</v>
      </c>
      <c r="CD63" s="67">
        <f>AA63</f>
        <v>4.5999999999999996</v>
      </c>
      <c r="CE63" s="67">
        <f>AE63</f>
        <v>4.7</v>
      </c>
      <c r="CF63" s="67">
        <f>AI63</f>
        <v>4.9000000000000004</v>
      </c>
      <c r="CG63" s="67">
        <f>AM63</f>
        <v>5</v>
      </c>
      <c r="CH63" s="67">
        <f>AQ63</f>
        <v>5.0999999999999996</v>
      </c>
      <c r="CI63" s="67">
        <f>AU63</f>
        <v>5.2</v>
      </c>
      <c r="CJ63" s="67">
        <f>AY63</f>
        <v>5.2</v>
      </c>
      <c r="CK63" s="67">
        <f>BC63</f>
        <v>5.3</v>
      </c>
      <c r="CL63" s="67">
        <f>BG63</f>
        <v>5.4</v>
      </c>
      <c r="CM63" s="67">
        <f>BK63</f>
        <v>5.5</v>
      </c>
      <c r="CN63" s="67">
        <f>BO63</f>
        <v>5.5</v>
      </c>
      <c r="CO63" s="67">
        <f>BS63</f>
        <v>5.5</v>
      </c>
      <c r="CP63" s="68">
        <f>BW63</f>
        <v>5.5</v>
      </c>
      <c r="CQ63" s="1041"/>
    </row>
    <row r="64" spans="1:95" ht="14.25" customHeight="1">
      <c r="A64" s="9"/>
      <c r="B64" s="83" t="s">
        <v>48</v>
      </c>
      <c r="C64" s="84"/>
      <c r="D64" s="69">
        <v>0</v>
      </c>
      <c r="E64" s="70">
        <v>0</v>
      </c>
      <c r="F64" s="70">
        <v>0</v>
      </c>
      <c r="G64" s="71">
        <v>0</v>
      </c>
      <c r="H64" s="69">
        <v>0</v>
      </c>
      <c r="I64" s="70">
        <v>0</v>
      </c>
      <c r="J64" s="70">
        <v>0</v>
      </c>
      <c r="K64" s="71">
        <v>0</v>
      </c>
      <c r="L64" s="69">
        <v>0</v>
      </c>
      <c r="M64" s="70">
        <v>0</v>
      </c>
      <c r="N64" s="70">
        <v>0</v>
      </c>
      <c r="O64" s="71">
        <v>0</v>
      </c>
      <c r="P64" s="69">
        <v>0</v>
      </c>
      <c r="Q64" s="70">
        <v>0</v>
      </c>
      <c r="R64" s="70">
        <v>0</v>
      </c>
      <c r="S64" s="71">
        <v>-300</v>
      </c>
      <c r="T64" s="69">
        <v>-300</v>
      </c>
      <c r="U64" s="70">
        <v>-355.2</v>
      </c>
      <c r="V64" s="70">
        <v>-355.2</v>
      </c>
      <c r="W64" s="71">
        <v>-355.2</v>
      </c>
      <c r="X64" s="69">
        <v>-355.7</v>
      </c>
      <c r="Y64" s="70">
        <v>-355.9</v>
      </c>
      <c r="Z64" s="70">
        <v>-356.9</v>
      </c>
      <c r="AA64" s="71">
        <v>-358.1</v>
      </c>
      <c r="AB64" s="69">
        <v>-358.9</v>
      </c>
      <c r="AC64" s="70">
        <v>-359</v>
      </c>
      <c r="AD64" s="70">
        <v>-363.4</v>
      </c>
      <c r="AE64" s="71">
        <v>-367</v>
      </c>
      <c r="AF64" s="70">
        <v>-370.8</v>
      </c>
      <c r="AG64" s="70">
        <v>-374</v>
      </c>
      <c r="AH64" s="70">
        <v>-377.2</v>
      </c>
      <c r="AI64" s="71">
        <v>-382</v>
      </c>
      <c r="AJ64" s="70">
        <v>-389.6</v>
      </c>
      <c r="AK64" s="70">
        <v>-394.1</v>
      </c>
      <c r="AL64" s="70">
        <v>-397.4</v>
      </c>
      <c r="AM64" s="71">
        <v>-401.3</v>
      </c>
      <c r="AN64" s="70">
        <v>-406.6</v>
      </c>
      <c r="AO64" s="70">
        <v>-409.6</v>
      </c>
      <c r="AP64" s="70">
        <v>-437.1</v>
      </c>
      <c r="AQ64" s="71">
        <v>-466.4</v>
      </c>
      <c r="AR64" s="70">
        <v>-468.6</v>
      </c>
      <c r="AS64" s="70">
        <v>-480.7</v>
      </c>
      <c r="AT64" s="70">
        <v>-511.5</v>
      </c>
      <c r="AU64" s="71">
        <v>-572.5</v>
      </c>
      <c r="AV64" s="70">
        <v>-597.1</v>
      </c>
      <c r="AW64" s="70">
        <v>-608.1</v>
      </c>
      <c r="AX64" s="70">
        <v>-632.9</v>
      </c>
      <c r="AY64" s="71">
        <v>-702.8</v>
      </c>
      <c r="AZ64" s="70">
        <v>-811</v>
      </c>
      <c r="BA64" s="70">
        <v>-942.3</v>
      </c>
      <c r="BB64" s="70">
        <v>-1043.4000000000001</v>
      </c>
      <c r="BC64" s="71">
        <v>-1065.7</v>
      </c>
      <c r="BD64" s="70">
        <v>-1073.7</v>
      </c>
      <c r="BE64" s="70">
        <v>-1073.9000000000001</v>
      </c>
      <c r="BF64" s="70">
        <v>-1076.0999999999999</v>
      </c>
      <c r="BG64" s="71">
        <v>-1078</v>
      </c>
      <c r="BH64" s="70">
        <v>-1116</v>
      </c>
      <c r="BI64" s="70">
        <v>-1116.5999999999999</v>
      </c>
      <c r="BJ64" s="70">
        <v>-1128</v>
      </c>
      <c r="BK64" s="71">
        <v>-1131.0999999999999</v>
      </c>
      <c r="BL64" s="535">
        <f>BK64+CFS!BL56</f>
        <v>-1131.0999999999999</v>
      </c>
      <c r="BM64" s="535">
        <f>BL64+CFS!BM56</f>
        <v>-1131.0999999999999</v>
      </c>
      <c r="BN64" s="821">
        <f>BM64+CFS!BN56</f>
        <v>-1131.0999999999999</v>
      </c>
      <c r="BO64" s="822">
        <f>BN64+CFS!BO56</f>
        <v>-1131.0999999999999</v>
      </c>
      <c r="BP64" s="535">
        <f>BO64+CFS!BP56</f>
        <v>-1131.0999999999999</v>
      </c>
      <c r="BQ64" s="535">
        <f>BP64+CFS!BQ56</f>
        <v>-1131.0999999999999</v>
      </c>
      <c r="BR64" s="821">
        <f>BQ64+CFS!BR56</f>
        <v>-1131.0999999999999</v>
      </c>
      <c r="BS64" s="822">
        <f>BR64+CFS!BS56</f>
        <v>-1131.0999999999999</v>
      </c>
      <c r="BT64" s="535">
        <f>BS64+CFS!BT56</f>
        <v>-1131.0999999999999</v>
      </c>
      <c r="BU64" s="535">
        <f>BT64+CFS!BU56</f>
        <v>-1131.0999999999999</v>
      </c>
      <c r="BV64" s="1422">
        <f>BU64+CFS!BV56</f>
        <v>-1131.0999999999999</v>
      </c>
      <c r="BW64" s="1423">
        <f>BV64+CFS!BW56</f>
        <v>-1131.0999999999999</v>
      </c>
      <c r="BX64" s="21"/>
      <c r="BY64" s="66">
        <f>G64</f>
        <v>0</v>
      </c>
      <c r="BZ64" s="67">
        <f>K64</f>
        <v>0</v>
      </c>
      <c r="CA64" s="67">
        <f>O64</f>
        <v>0</v>
      </c>
      <c r="CB64" s="67">
        <f>S64</f>
        <v>-300</v>
      </c>
      <c r="CC64" s="67">
        <f>W64</f>
        <v>-355.2</v>
      </c>
      <c r="CD64" s="67">
        <f>AA64</f>
        <v>-358.1</v>
      </c>
      <c r="CE64" s="67">
        <f>AE64</f>
        <v>-367</v>
      </c>
      <c r="CF64" s="67">
        <f>AI64</f>
        <v>-382</v>
      </c>
      <c r="CG64" s="67">
        <f>AM64</f>
        <v>-401.3</v>
      </c>
      <c r="CH64" s="67">
        <f>AQ64</f>
        <v>-466.4</v>
      </c>
      <c r="CI64" s="67">
        <f>AU64</f>
        <v>-572.5</v>
      </c>
      <c r="CJ64" s="67">
        <f>AY64</f>
        <v>-702.8</v>
      </c>
      <c r="CK64" s="67">
        <f>BC64</f>
        <v>-1065.7</v>
      </c>
      <c r="CL64" s="67">
        <f>BG64</f>
        <v>-1078</v>
      </c>
      <c r="CM64" s="67">
        <f>BK64</f>
        <v>-1131.0999999999999</v>
      </c>
      <c r="CN64" s="67">
        <f>BO64</f>
        <v>-1131.0999999999999</v>
      </c>
      <c r="CO64" s="67">
        <f>BS64</f>
        <v>-1131.0999999999999</v>
      </c>
      <c r="CP64" s="68">
        <f>BW64</f>
        <v>-1131.0999999999999</v>
      </c>
      <c r="CQ64" s="1041"/>
    </row>
    <row r="65" spans="1:95" ht="14.25" customHeight="1">
      <c r="A65" s="9"/>
      <c r="B65" s="83" t="s">
        <v>176</v>
      </c>
      <c r="C65" s="84"/>
      <c r="D65" s="69">
        <v>735.5</v>
      </c>
      <c r="E65" s="70">
        <v>733.8</v>
      </c>
      <c r="F65" s="70">
        <v>892</v>
      </c>
      <c r="G65" s="71">
        <v>891.3</v>
      </c>
      <c r="H65" s="69">
        <v>1118.2</v>
      </c>
      <c r="I65" s="70">
        <v>1117</v>
      </c>
      <c r="J65" s="70">
        <v>1115.8</v>
      </c>
      <c r="K65" s="71">
        <v>1116</v>
      </c>
      <c r="L65" s="69">
        <v>1114.5</v>
      </c>
      <c r="M65" s="70">
        <v>1113.0999999999999</v>
      </c>
      <c r="N65" s="70">
        <v>1113</v>
      </c>
      <c r="O65" s="71">
        <v>1252.7</v>
      </c>
      <c r="P65" s="69">
        <v>1260.4000000000001</v>
      </c>
      <c r="Q65" s="70">
        <v>1342.1</v>
      </c>
      <c r="R65" s="70">
        <v>1347.1</v>
      </c>
      <c r="S65" s="71">
        <v>1356.4</v>
      </c>
      <c r="T65" s="69">
        <v>1380.1</v>
      </c>
      <c r="U65" s="70">
        <v>1394.3</v>
      </c>
      <c r="V65" s="70">
        <v>1411.3</v>
      </c>
      <c r="W65" s="71">
        <v>1419.6</v>
      </c>
      <c r="X65" s="69">
        <v>2354.5</v>
      </c>
      <c r="Y65" s="70">
        <v>2373.1</v>
      </c>
      <c r="Z65" s="70">
        <v>2390.8000000000002</v>
      </c>
      <c r="AA65" s="71">
        <v>2810.7</v>
      </c>
      <c r="AB65" s="69">
        <v>2853.2</v>
      </c>
      <c r="AC65" s="70">
        <v>2874.1</v>
      </c>
      <c r="AD65" s="70">
        <v>2899.3</v>
      </c>
      <c r="AE65" s="71">
        <v>2916.6</v>
      </c>
      <c r="AF65" s="70">
        <v>2939.9</v>
      </c>
      <c r="AG65" s="70">
        <v>2973.1</v>
      </c>
      <c r="AH65" s="70">
        <v>2987.7</v>
      </c>
      <c r="AI65" s="71">
        <v>3016.1</v>
      </c>
      <c r="AJ65" s="70">
        <v>3069.5</v>
      </c>
      <c r="AK65" s="70">
        <v>3098</v>
      </c>
      <c r="AL65" s="70">
        <v>3102.5</v>
      </c>
      <c r="AM65" s="71">
        <v>3113.5</v>
      </c>
      <c r="AN65" s="70">
        <v>3125.6</v>
      </c>
      <c r="AO65" s="70">
        <v>3133.6</v>
      </c>
      <c r="AP65" s="70">
        <v>3143.2</v>
      </c>
      <c r="AQ65" s="71">
        <v>3156.4</v>
      </c>
      <c r="AR65" s="70">
        <v>3167.8</v>
      </c>
      <c r="AS65" s="70">
        <v>3183.3</v>
      </c>
      <c r="AT65" s="70">
        <v>3195.2</v>
      </c>
      <c r="AU65" s="71">
        <v>3210.8</v>
      </c>
      <c r="AV65" s="70">
        <v>3228.9</v>
      </c>
      <c r="AW65" s="70">
        <v>3250.6</v>
      </c>
      <c r="AX65" s="70">
        <v>3269</v>
      </c>
      <c r="AY65" s="71">
        <v>3281.2</v>
      </c>
      <c r="AZ65" s="70">
        <v>3317.6</v>
      </c>
      <c r="BA65" s="70">
        <v>3387.8</v>
      </c>
      <c r="BB65" s="70">
        <v>3404</v>
      </c>
      <c r="BC65" s="71">
        <v>3420.3</v>
      </c>
      <c r="BD65" s="70">
        <v>3437</v>
      </c>
      <c r="BE65" s="70">
        <v>3457.1</v>
      </c>
      <c r="BF65" s="70">
        <v>3478.1</v>
      </c>
      <c r="BG65" s="71">
        <v>3473.3</v>
      </c>
      <c r="BH65" s="70">
        <v>3510.6</v>
      </c>
      <c r="BI65" s="70">
        <v>3538.5</v>
      </c>
      <c r="BJ65" s="70">
        <v>3557.1</v>
      </c>
      <c r="BK65" s="71">
        <v>3593.5</v>
      </c>
      <c r="BL65" s="535">
        <f>BK65+CFS!BL52+CFS!BL54+CFS!BL53+CFS!BL55+CFS!BL19</f>
        <v>3593.5</v>
      </c>
      <c r="BM65" s="535">
        <f>BL65+CFS!BM52+CFS!BM54+CFS!BM53+CFS!BM55+CFS!BM19</f>
        <v>3593.5</v>
      </c>
      <c r="BN65" s="821">
        <f>BM65+CFS!BN52+CFS!BN54+CFS!BN53+CFS!BN55+CFS!BN19</f>
        <v>3593.5</v>
      </c>
      <c r="BO65" s="822">
        <f>BN65+CFS!BO52+CFS!BO54+CFS!BO53+CFS!BO55+CFS!BO19</f>
        <v>3593.5</v>
      </c>
      <c r="BP65" s="535">
        <f>BO65+CFS!BP52+CFS!BP54+CFS!BP53+CFS!BP55+CFS!BP19</f>
        <v>3593.5</v>
      </c>
      <c r="BQ65" s="535">
        <f>BP65+CFS!BQ52+CFS!BQ54+CFS!BQ53+CFS!BQ55+CFS!BQ19</f>
        <v>3593.5</v>
      </c>
      <c r="BR65" s="821">
        <f>BQ65+CFS!BR52+CFS!BR54+CFS!BR53+CFS!BR55+CFS!BR19</f>
        <v>3593.5</v>
      </c>
      <c r="BS65" s="822">
        <f>BR65+CFS!BS52+CFS!BS54+CFS!BS53+CFS!BS55+CFS!BS19</f>
        <v>3593.5</v>
      </c>
      <c r="BT65" s="535">
        <f>BS65+CFS!BT52+CFS!BT54+CFS!BT53+CFS!BT55+CFS!BT19</f>
        <v>3593.5</v>
      </c>
      <c r="BU65" s="535">
        <f>BT65+CFS!BU52+CFS!BU54+CFS!BU53+CFS!BU55+CFS!BU19</f>
        <v>3593.5</v>
      </c>
      <c r="BV65" s="1422">
        <f>BU65+CFS!BV52+CFS!BV54+CFS!BV53+CFS!BV55+CFS!BV19</f>
        <v>3593.5</v>
      </c>
      <c r="BW65" s="1423">
        <f>BV65+CFS!BW52+CFS!BW54+CFS!BW53+CFS!BW55+CFS!BW19</f>
        <v>3593.5</v>
      </c>
      <c r="BX65" s="21"/>
      <c r="BY65" s="66">
        <f>G65</f>
        <v>891.3</v>
      </c>
      <c r="BZ65" s="67">
        <f>K65</f>
        <v>1116</v>
      </c>
      <c r="CA65" s="67">
        <f>O65</f>
        <v>1252.7</v>
      </c>
      <c r="CB65" s="67">
        <f>S65</f>
        <v>1356.4</v>
      </c>
      <c r="CC65" s="67">
        <f>W65</f>
        <v>1419.6</v>
      </c>
      <c r="CD65" s="67">
        <f>AA65</f>
        <v>2810.7</v>
      </c>
      <c r="CE65" s="67">
        <f>AE65</f>
        <v>2916.6</v>
      </c>
      <c r="CF65" s="67">
        <f>AI65</f>
        <v>3016.1</v>
      </c>
      <c r="CG65" s="67">
        <f>AM65</f>
        <v>3113.5</v>
      </c>
      <c r="CH65" s="67">
        <f>AQ65</f>
        <v>3156.4</v>
      </c>
      <c r="CI65" s="67">
        <f>AU65</f>
        <v>3210.8</v>
      </c>
      <c r="CJ65" s="67">
        <f>AY65</f>
        <v>3281.2</v>
      </c>
      <c r="CK65" s="67">
        <f>BC65</f>
        <v>3420.3</v>
      </c>
      <c r="CL65" s="67">
        <f>BG65</f>
        <v>3473.3</v>
      </c>
      <c r="CM65" s="67">
        <f>BK65</f>
        <v>3593.5</v>
      </c>
      <c r="CN65" s="67">
        <f>BO65</f>
        <v>3593.5</v>
      </c>
      <c r="CO65" s="67">
        <f>BS65</f>
        <v>3593.5</v>
      </c>
      <c r="CP65" s="68">
        <f>BW65</f>
        <v>3593.5</v>
      </c>
      <c r="CQ65" s="1041"/>
    </row>
    <row r="66" spans="1:95" ht="14.25" customHeight="1">
      <c r="A66" s="9"/>
      <c r="B66" s="137" t="s">
        <v>177</v>
      </c>
      <c r="C66" s="138"/>
      <c r="D66" s="141">
        <f>SUM(D63:D65)</f>
        <v>737.3</v>
      </c>
      <c r="E66" s="139">
        <f t="shared" ref="E66:AV66" si="220">SUM(E63:E65)</f>
        <v>735.59999999999991</v>
      </c>
      <c r="F66" s="139">
        <f t="shared" si="220"/>
        <v>894.2</v>
      </c>
      <c r="G66" s="140">
        <f t="shared" si="220"/>
        <v>893.5</v>
      </c>
      <c r="H66" s="141">
        <f t="shared" si="220"/>
        <v>1120.7</v>
      </c>
      <c r="I66" s="139">
        <f t="shared" si="220"/>
        <v>1119.5</v>
      </c>
      <c r="J66" s="139">
        <f t="shared" si="220"/>
        <v>1118.3</v>
      </c>
      <c r="K66" s="140">
        <f t="shared" si="220"/>
        <v>1118.5</v>
      </c>
      <c r="L66" s="141">
        <f t="shared" si="220"/>
        <v>1117</v>
      </c>
      <c r="M66" s="139">
        <f t="shared" si="220"/>
        <v>1115.5999999999999</v>
      </c>
      <c r="N66" s="139">
        <f t="shared" si="220"/>
        <v>1115.5999999999999</v>
      </c>
      <c r="O66" s="140">
        <f t="shared" si="220"/>
        <v>1255.8</v>
      </c>
      <c r="P66" s="141">
        <f t="shared" si="220"/>
        <v>1263.5</v>
      </c>
      <c r="Q66" s="139">
        <f t="shared" si="220"/>
        <v>1345.3</v>
      </c>
      <c r="R66" s="139">
        <f t="shared" si="220"/>
        <v>1350.3</v>
      </c>
      <c r="S66" s="140">
        <f t="shared" si="220"/>
        <v>1059.7</v>
      </c>
      <c r="T66" s="141">
        <f t="shared" si="220"/>
        <v>1083.3999999999999</v>
      </c>
      <c r="U66" s="139">
        <f t="shared" si="220"/>
        <v>1042.5</v>
      </c>
      <c r="V66" s="139">
        <f t="shared" si="220"/>
        <v>1059.5</v>
      </c>
      <c r="W66" s="140">
        <f t="shared" si="220"/>
        <v>1067.8</v>
      </c>
      <c r="X66" s="141">
        <f t="shared" si="220"/>
        <v>2003.2</v>
      </c>
      <c r="Y66" s="139">
        <f t="shared" si="220"/>
        <v>2021.6</v>
      </c>
      <c r="Z66" s="139">
        <f t="shared" si="220"/>
        <v>2038.4</v>
      </c>
      <c r="AA66" s="140">
        <f t="shared" si="220"/>
        <v>2457.1999999999998</v>
      </c>
      <c r="AB66" s="141">
        <f t="shared" si="220"/>
        <v>2499</v>
      </c>
      <c r="AC66" s="139">
        <f t="shared" si="220"/>
        <v>2519.7999999999997</v>
      </c>
      <c r="AD66" s="139">
        <f t="shared" si="220"/>
        <v>2540.6000000000004</v>
      </c>
      <c r="AE66" s="140">
        <f t="shared" si="220"/>
        <v>2554.2999999999997</v>
      </c>
      <c r="AF66" s="139">
        <f t="shared" si="220"/>
        <v>2573.9</v>
      </c>
      <c r="AG66" s="139">
        <f t="shared" si="220"/>
        <v>2603.9</v>
      </c>
      <c r="AH66" s="139">
        <f t="shared" si="220"/>
        <v>2615.2999999999997</v>
      </c>
      <c r="AI66" s="140">
        <f t="shared" si="220"/>
        <v>2639</v>
      </c>
      <c r="AJ66" s="139">
        <f t="shared" si="220"/>
        <v>2684.8</v>
      </c>
      <c r="AK66" s="139">
        <f t="shared" si="220"/>
        <v>2708.9</v>
      </c>
      <c r="AL66" s="139">
        <f t="shared" si="220"/>
        <v>2710.1</v>
      </c>
      <c r="AM66" s="140">
        <f t="shared" si="220"/>
        <v>2717.2</v>
      </c>
      <c r="AN66" s="139">
        <f t="shared" si="220"/>
        <v>2724.1</v>
      </c>
      <c r="AO66" s="139">
        <f t="shared" si="220"/>
        <v>2729.1</v>
      </c>
      <c r="AP66" s="139">
        <f t="shared" si="220"/>
        <v>2711.2</v>
      </c>
      <c r="AQ66" s="140">
        <f t="shared" si="220"/>
        <v>2695.1000000000004</v>
      </c>
      <c r="AR66" s="139">
        <f t="shared" si="220"/>
        <v>2704.3</v>
      </c>
      <c r="AS66" s="139">
        <f t="shared" si="220"/>
        <v>2707.7000000000003</v>
      </c>
      <c r="AT66" s="139">
        <f t="shared" si="220"/>
        <v>2688.7999999999997</v>
      </c>
      <c r="AU66" s="140">
        <f t="shared" si="220"/>
        <v>2643.5</v>
      </c>
      <c r="AV66" s="139">
        <f t="shared" si="220"/>
        <v>2637</v>
      </c>
      <c r="AW66" s="139">
        <f t="shared" ref="AW66:BB66" si="221">SUM(AW63:AW65)</f>
        <v>2647.7</v>
      </c>
      <c r="AX66" s="139">
        <f t="shared" si="221"/>
        <v>2641.3</v>
      </c>
      <c r="AY66" s="140">
        <f t="shared" si="221"/>
        <v>2583.6</v>
      </c>
      <c r="AZ66" s="139">
        <f t="shared" si="221"/>
        <v>2511.8999999999996</v>
      </c>
      <c r="BA66" s="139">
        <f t="shared" si="221"/>
        <v>2450.8000000000002</v>
      </c>
      <c r="BB66" s="139">
        <f t="shared" si="221"/>
        <v>2365.8999999999996</v>
      </c>
      <c r="BC66" s="140">
        <f t="shared" ref="BC66:BK66" si="222">SUM(BC63:BC65)</f>
        <v>2359.9</v>
      </c>
      <c r="BD66" s="139">
        <f t="shared" si="222"/>
        <v>2368.6999999999998</v>
      </c>
      <c r="BE66" s="139">
        <f t="shared" si="222"/>
        <v>2388.6</v>
      </c>
      <c r="BF66" s="139">
        <f t="shared" ref="BF66:BG66" si="223">SUM(BF63:BF65)</f>
        <v>2407.4</v>
      </c>
      <c r="BG66" s="140">
        <f t="shared" si="223"/>
        <v>2400.7000000000003</v>
      </c>
      <c r="BH66" s="139">
        <f t="shared" si="222"/>
        <v>2400.1</v>
      </c>
      <c r="BI66" s="139">
        <f t="shared" si="222"/>
        <v>2427.4</v>
      </c>
      <c r="BJ66" s="139">
        <f t="shared" si="222"/>
        <v>2434.6</v>
      </c>
      <c r="BK66" s="140">
        <f t="shared" si="222"/>
        <v>2467.9</v>
      </c>
      <c r="BL66" s="139">
        <f t="shared" ref="BL66:BS66" si="224">SUM(BL63:BL65)</f>
        <v>2467.9</v>
      </c>
      <c r="BM66" s="139">
        <f t="shared" si="224"/>
        <v>2467.9</v>
      </c>
      <c r="BN66" s="139">
        <f t="shared" si="224"/>
        <v>2467.9</v>
      </c>
      <c r="BO66" s="140">
        <f t="shared" si="224"/>
        <v>2467.9</v>
      </c>
      <c r="BP66" s="139">
        <f t="shared" si="224"/>
        <v>2467.9</v>
      </c>
      <c r="BQ66" s="139">
        <f t="shared" si="224"/>
        <v>2467.9</v>
      </c>
      <c r="BR66" s="139">
        <f t="shared" si="224"/>
        <v>2467.9</v>
      </c>
      <c r="BS66" s="140">
        <f t="shared" si="224"/>
        <v>2467.9</v>
      </c>
      <c r="BT66" s="139">
        <f t="shared" ref="BT66:BW66" si="225">SUM(BT63:BT65)</f>
        <v>2467.9</v>
      </c>
      <c r="BU66" s="139">
        <f t="shared" si="225"/>
        <v>2467.9</v>
      </c>
      <c r="BV66" s="139">
        <f t="shared" si="225"/>
        <v>2467.9</v>
      </c>
      <c r="BW66" s="140">
        <f t="shared" si="225"/>
        <v>2467.9</v>
      </c>
      <c r="BX66" s="21"/>
      <c r="BY66" s="139">
        <f t="shared" ref="BY66:CL66" si="226">SUM(BY63:BY65)</f>
        <v>893.5</v>
      </c>
      <c r="BZ66" s="139">
        <f t="shared" si="226"/>
        <v>1118.5</v>
      </c>
      <c r="CA66" s="139">
        <f t="shared" si="226"/>
        <v>1255.8</v>
      </c>
      <c r="CB66" s="139">
        <f t="shared" si="226"/>
        <v>1059.7</v>
      </c>
      <c r="CC66" s="139">
        <f t="shared" si="226"/>
        <v>1067.8</v>
      </c>
      <c r="CD66" s="139">
        <f t="shared" si="226"/>
        <v>2457.1999999999998</v>
      </c>
      <c r="CE66" s="139">
        <f t="shared" si="226"/>
        <v>2554.2999999999997</v>
      </c>
      <c r="CF66" s="139">
        <f t="shared" si="226"/>
        <v>2639</v>
      </c>
      <c r="CG66" s="139">
        <f t="shared" si="226"/>
        <v>2717.2</v>
      </c>
      <c r="CH66" s="139">
        <f t="shared" si="226"/>
        <v>2695.1000000000004</v>
      </c>
      <c r="CI66" s="139">
        <f t="shared" si="226"/>
        <v>2643.5</v>
      </c>
      <c r="CJ66" s="139">
        <f t="shared" si="226"/>
        <v>2583.6</v>
      </c>
      <c r="CK66" s="139">
        <f t="shared" si="226"/>
        <v>2359.9</v>
      </c>
      <c r="CL66" s="139">
        <f t="shared" si="226"/>
        <v>2400.7000000000003</v>
      </c>
      <c r="CM66" s="139">
        <f>SUM(CM63:CM65)</f>
        <v>2467.9</v>
      </c>
      <c r="CN66" s="139">
        <f>SUM(CN63:CN65)</f>
        <v>2467.9</v>
      </c>
      <c r="CO66" s="139">
        <f>SUM(CO63:CO65)</f>
        <v>2467.9</v>
      </c>
      <c r="CP66" s="140">
        <f>SUM(CP63:CP65)</f>
        <v>2467.9</v>
      </c>
      <c r="CQ66" s="1041"/>
    </row>
    <row r="67" spans="1:95" ht="14.25" customHeight="1">
      <c r="A67" s="9"/>
      <c r="B67" s="25"/>
      <c r="C67" s="26"/>
      <c r="D67" s="66"/>
      <c r="E67" s="67"/>
      <c r="F67" s="67"/>
      <c r="G67" s="68"/>
      <c r="H67" s="66"/>
      <c r="I67" s="67"/>
      <c r="J67" s="67"/>
      <c r="K67" s="68"/>
      <c r="L67" s="66"/>
      <c r="M67" s="67"/>
      <c r="N67" s="67"/>
      <c r="O67" s="68"/>
      <c r="P67" s="66"/>
      <c r="Q67" s="67"/>
      <c r="R67" s="67"/>
      <c r="S67" s="68"/>
      <c r="T67" s="66"/>
      <c r="U67" s="67"/>
      <c r="V67" s="67"/>
      <c r="W67" s="68"/>
      <c r="X67" s="66"/>
      <c r="Y67" s="67"/>
      <c r="Z67" s="67"/>
      <c r="AA67" s="68"/>
      <c r="AB67" s="66"/>
      <c r="AC67" s="67"/>
      <c r="AD67" s="67"/>
      <c r="AE67" s="68"/>
      <c r="AF67" s="67"/>
      <c r="AG67" s="67"/>
      <c r="AH67" s="67"/>
      <c r="AI67" s="68"/>
      <c r="AJ67" s="67"/>
      <c r="AK67" s="67"/>
      <c r="AL67" s="67"/>
      <c r="AM67" s="68"/>
      <c r="AN67" s="67"/>
      <c r="AO67" s="67"/>
      <c r="AP67" s="67"/>
      <c r="AQ67" s="68"/>
      <c r="AR67" s="67"/>
      <c r="AS67" s="67"/>
      <c r="AT67" s="67"/>
      <c r="AU67" s="68"/>
      <c r="AV67" s="67"/>
      <c r="AW67" s="67"/>
      <c r="AX67" s="67"/>
      <c r="AY67" s="68"/>
      <c r="AZ67" s="67"/>
      <c r="BA67" s="67"/>
      <c r="BB67" s="67"/>
      <c r="BC67" s="68"/>
      <c r="BD67" s="67"/>
      <c r="BE67" s="67"/>
      <c r="BF67" s="67"/>
      <c r="BG67" s="68"/>
      <c r="BH67" s="67"/>
      <c r="BI67" s="67"/>
      <c r="BJ67" s="67"/>
      <c r="BK67" s="68"/>
      <c r="BL67" s="67"/>
      <c r="BM67" s="67"/>
      <c r="BN67" s="67"/>
      <c r="BO67" s="68"/>
      <c r="BP67" s="67"/>
      <c r="BQ67" s="67"/>
      <c r="BR67" s="67"/>
      <c r="BS67" s="68"/>
      <c r="BT67" s="67"/>
      <c r="BU67" s="67"/>
      <c r="BV67" s="67"/>
      <c r="BW67" s="68"/>
      <c r="BX67" s="21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8"/>
      <c r="CQ67" s="1041"/>
    </row>
    <row r="68" spans="1:95" ht="14.25" customHeight="1">
      <c r="A68" s="9"/>
      <c r="B68" s="83" t="s">
        <v>178</v>
      </c>
      <c r="C68" s="84"/>
      <c r="D68" s="69">
        <v>0</v>
      </c>
      <c r="E68" s="70">
        <v>0</v>
      </c>
      <c r="F68" s="70">
        <v>0</v>
      </c>
      <c r="G68" s="71">
        <v>0</v>
      </c>
      <c r="H68" s="69">
        <v>0</v>
      </c>
      <c r="I68" s="70">
        <v>0</v>
      </c>
      <c r="J68" s="70">
        <v>0</v>
      </c>
      <c r="K68" s="71">
        <v>0</v>
      </c>
      <c r="L68" s="69">
        <v>0</v>
      </c>
      <c r="M68" s="70">
        <v>0</v>
      </c>
      <c r="N68" s="70">
        <v>0</v>
      </c>
      <c r="O68" s="71">
        <v>0</v>
      </c>
      <c r="P68" s="69">
        <v>0</v>
      </c>
      <c r="Q68" s="70">
        <v>0</v>
      </c>
      <c r="R68" s="70">
        <v>0</v>
      </c>
      <c r="S68" s="71">
        <v>0</v>
      </c>
      <c r="T68" s="69">
        <v>0</v>
      </c>
      <c r="U68" s="70">
        <v>0</v>
      </c>
      <c r="V68" s="70">
        <v>0</v>
      </c>
      <c r="W68" s="71">
        <v>0</v>
      </c>
      <c r="X68" s="69">
        <v>0</v>
      </c>
      <c r="Y68" s="70">
        <v>0</v>
      </c>
      <c r="Z68" s="70">
        <v>0</v>
      </c>
      <c r="AA68" s="71">
        <v>0</v>
      </c>
      <c r="AB68" s="69">
        <v>0</v>
      </c>
      <c r="AC68" s="70">
        <v>0</v>
      </c>
      <c r="AD68" s="70">
        <v>0</v>
      </c>
      <c r="AE68" s="71">
        <v>0</v>
      </c>
      <c r="AF68" s="70">
        <v>0</v>
      </c>
      <c r="AG68" s="70">
        <v>0</v>
      </c>
      <c r="AH68" s="70">
        <v>0</v>
      </c>
      <c r="AI68" s="71">
        <v>0</v>
      </c>
      <c r="AJ68" s="70">
        <v>0</v>
      </c>
      <c r="AK68" s="70">
        <v>0</v>
      </c>
      <c r="AL68" s="70">
        <v>0</v>
      </c>
      <c r="AM68" s="71">
        <v>0</v>
      </c>
      <c r="AN68" s="70">
        <v>0</v>
      </c>
      <c r="AO68" s="70">
        <v>0</v>
      </c>
      <c r="AP68" s="70">
        <v>0</v>
      </c>
      <c r="AQ68" s="71">
        <v>0</v>
      </c>
      <c r="AR68" s="70">
        <v>0</v>
      </c>
      <c r="AS68" s="70">
        <v>0</v>
      </c>
      <c r="AT68" s="70">
        <v>0</v>
      </c>
      <c r="AU68" s="71">
        <v>0</v>
      </c>
      <c r="AV68" s="66">
        <f>CFS!AV61</f>
        <v>0</v>
      </c>
      <c r="AW68" s="70">
        <v>0</v>
      </c>
      <c r="AX68" s="70">
        <v>0</v>
      </c>
      <c r="AY68" s="71">
        <v>0</v>
      </c>
      <c r="AZ68" s="66">
        <f>CFS!AZ61</f>
        <v>0</v>
      </c>
      <c r="BA68" s="70">
        <v>0</v>
      </c>
      <c r="BB68" s="70">
        <v>0</v>
      </c>
      <c r="BC68" s="71">
        <v>0</v>
      </c>
      <c r="BD68" s="66">
        <v>0</v>
      </c>
      <c r="BE68" s="70">
        <v>0</v>
      </c>
      <c r="BF68" s="70">
        <v>0</v>
      </c>
      <c r="BG68" s="71">
        <v>0</v>
      </c>
      <c r="BH68" s="66">
        <v>0</v>
      </c>
      <c r="BI68" s="70">
        <f>CFS!BI61</f>
        <v>0</v>
      </c>
      <c r="BJ68" s="70">
        <v>0</v>
      </c>
      <c r="BK68" s="71">
        <v>0</v>
      </c>
      <c r="BL68" s="535">
        <f>CFS!BL61</f>
        <v>0</v>
      </c>
      <c r="BM68" s="535">
        <f>CFS!BM61</f>
        <v>0</v>
      </c>
      <c r="BN68" s="821">
        <f>CFS!BN61</f>
        <v>0</v>
      </c>
      <c r="BO68" s="822">
        <f>CFS!BO61</f>
        <v>0</v>
      </c>
      <c r="BP68" s="535">
        <f>CFS!BP61</f>
        <v>0</v>
      </c>
      <c r="BQ68" s="535">
        <f>CFS!BQ61</f>
        <v>0</v>
      </c>
      <c r="BR68" s="821">
        <f>CFS!BR61</f>
        <v>0</v>
      </c>
      <c r="BS68" s="822">
        <f>CFS!BS61</f>
        <v>0</v>
      </c>
      <c r="BT68" s="535">
        <f>CFS!BT61</f>
        <v>0</v>
      </c>
      <c r="BU68" s="535">
        <f>CFS!BU61</f>
        <v>0</v>
      </c>
      <c r="BV68" s="1422">
        <f>CFS!BV61</f>
        <v>0</v>
      </c>
      <c r="BW68" s="1423">
        <f>CFS!BW61</f>
        <v>0</v>
      </c>
      <c r="BX68" s="21"/>
      <c r="BY68" s="66">
        <f>G68</f>
        <v>0</v>
      </c>
      <c r="BZ68" s="67">
        <f>K68</f>
        <v>0</v>
      </c>
      <c r="CA68" s="67">
        <f>O68</f>
        <v>0</v>
      </c>
      <c r="CB68" s="67">
        <f>S68</f>
        <v>0</v>
      </c>
      <c r="CC68" s="67">
        <f>W68</f>
        <v>0</v>
      </c>
      <c r="CD68" s="67">
        <f>AA68</f>
        <v>0</v>
      </c>
      <c r="CE68" s="67">
        <f>AE68</f>
        <v>0</v>
      </c>
      <c r="CF68" s="67">
        <f>AI68</f>
        <v>0</v>
      </c>
      <c r="CG68" s="67">
        <f>AM68</f>
        <v>0</v>
      </c>
      <c r="CH68" s="67">
        <f>AQ68</f>
        <v>0</v>
      </c>
      <c r="CI68" s="67">
        <f>AU68</f>
        <v>0</v>
      </c>
      <c r="CJ68" s="67">
        <f>AY68</f>
        <v>0</v>
      </c>
      <c r="CK68" s="67">
        <f>BC68</f>
        <v>0</v>
      </c>
      <c r="CL68" s="67">
        <f>BG68</f>
        <v>0</v>
      </c>
      <c r="CM68" s="67">
        <f>BK68</f>
        <v>0</v>
      </c>
      <c r="CN68" s="67">
        <f>BO68</f>
        <v>0</v>
      </c>
      <c r="CO68" s="67">
        <f>BS68</f>
        <v>0</v>
      </c>
      <c r="CP68" s="68">
        <f>BW68</f>
        <v>0</v>
      </c>
      <c r="CQ68" s="1041"/>
    </row>
    <row r="69" spans="1:95" ht="14.25" customHeight="1">
      <c r="A69" s="9"/>
      <c r="B69" s="83" t="s">
        <v>179</v>
      </c>
      <c r="C69" s="84"/>
      <c r="D69" s="69">
        <v>-1397.6</v>
      </c>
      <c r="E69" s="70">
        <v>-1475</v>
      </c>
      <c r="F69" s="70">
        <v>-1491.3</v>
      </c>
      <c r="G69" s="71">
        <v>-1533.7</v>
      </c>
      <c r="H69" s="69">
        <v>-1581.3</v>
      </c>
      <c r="I69" s="70">
        <v>-1584.8</v>
      </c>
      <c r="J69" s="70">
        <v>-1569.1</v>
      </c>
      <c r="K69" s="71">
        <v>-1657.4</v>
      </c>
      <c r="L69" s="69">
        <v>-1642.6</v>
      </c>
      <c r="M69" s="70">
        <v>-1624.1</v>
      </c>
      <c r="N69" s="70">
        <v>-1600.6</v>
      </c>
      <c r="O69" s="71">
        <v>-1556.8</v>
      </c>
      <c r="P69" s="69">
        <v>-1516.4</v>
      </c>
      <c r="Q69" s="70">
        <v>-1448.9</v>
      </c>
      <c r="R69" s="70">
        <v>-1372.1</v>
      </c>
      <c r="S69" s="71">
        <v>-1284.7</v>
      </c>
      <c r="T69" s="69">
        <v>-1239.5999999999999</v>
      </c>
      <c r="U69" s="70">
        <v>-1176.3</v>
      </c>
      <c r="V69" s="70">
        <v>-1112.5</v>
      </c>
      <c r="W69" s="71">
        <v>-1051.4000000000001</v>
      </c>
      <c r="X69" s="69">
        <v>-1030.5999999999999</v>
      </c>
      <c r="Y69" s="70">
        <v>-986</v>
      </c>
      <c r="Z69" s="70">
        <v>-924.8</v>
      </c>
      <c r="AA69" s="71">
        <v>-1565.4</v>
      </c>
      <c r="AB69" s="69">
        <v>-1599.3</v>
      </c>
      <c r="AC69" s="70">
        <v>-1602.3</v>
      </c>
      <c r="AD69" s="70">
        <v>-1572.4</v>
      </c>
      <c r="AE69" s="71">
        <v>-1504.4</v>
      </c>
      <c r="AF69" s="70">
        <v>-1441.4</v>
      </c>
      <c r="AG69" s="70">
        <v>-1362.7</v>
      </c>
      <c r="AH69" s="70">
        <v>-1274.9000000000001</v>
      </c>
      <c r="AI69" s="71">
        <v>-1213.9000000000001</v>
      </c>
      <c r="AJ69" s="70">
        <v>-1139.0999999999999</v>
      </c>
      <c r="AK69" s="70">
        <v>-1090.3</v>
      </c>
      <c r="AL69" s="70">
        <v>-1159.8</v>
      </c>
      <c r="AM69" s="71">
        <v>-1202.3</v>
      </c>
      <c r="AN69" s="70">
        <v>-1174.0999999999999</v>
      </c>
      <c r="AO69" s="70">
        <v>-1167.2</v>
      </c>
      <c r="AP69" s="70">
        <v>-1154.7</v>
      </c>
      <c r="AQ69" s="71">
        <v>-1292.9000000000001</v>
      </c>
      <c r="AR69" s="70">
        <v>-1270.3</v>
      </c>
      <c r="AS69" s="70">
        <v>-1222.5999999999999</v>
      </c>
      <c r="AT69" s="70">
        <v>-1170.8</v>
      </c>
      <c r="AU69" s="71">
        <v>-1142.0999999999999</v>
      </c>
      <c r="AV69" s="70">
        <v>-1083.7</v>
      </c>
      <c r="AW69" s="70">
        <v>-995.7</v>
      </c>
      <c r="AX69" s="70">
        <v>-954.1</v>
      </c>
      <c r="AY69" s="71">
        <v>-915.6</v>
      </c>
      <c r="AZ69" s="70">
        <v>-860.5</v>
      </c>
      <c r="BA69" s="70">
        <v>-809.8</v>
      </c>
      <c r="BB69" s="70">
        <v>-763.5</v>
      </c>
      <c r="BC69" s="71">
        <v>-709.4</v>
      </c>
      <c r="BD69" s="70">
        <v>-673.4</v>
      </c>
      <c r="BE69" s="70">
        <v>-648.29999999999995</v>
      </c>
      <c r="BF69" s="70">
        <v>-638.20000000000005</v>
      </c>
      <c r="BG69" s="71">
        <v>-527.29999999999995</v>
      </c>
      <c r="BH69" s="70">
        <v>-381</v>
      </c>
      <c r="BI69" s="70">
        <v>-287.10000000000002</v>
      </c>
      <c r="BJ69" s="70">
        <v>-178.4</v>
      </c>
      <c r="BK69" s="71">
        <v>351.5</v>
      </c>
      <c r="BL69" s="535">
        <f>BK69+IS!BL110+BL68</f>
        <v>490.96389460453702</v>
      </c>
      <c r="BM69" s="535">
        <f>BL69+IS!BM110+BM68</f>
        <v>676.17971971472173</v>
      </c>
      <c r="BN69" s="821">
        <f>BM69+IS!BN110+BN68</f>
        <v>871.49103643162789</v>
      </c>
      <c r="BO69" s="822">
        <f>BN69+IS!BO110+BO68</f>
        <v>1058.330317597482</v>
      </c>
      <c r="BP69" s="535">
        <f>BO69+IS!BP110+BP68</f>
        <v>1242.8667544981704</v>
      </c>
      <c r="BQ69" s="535">
        <f>BP69+IS!BQ110+BQ68</f>
        <v>1447.2992771617885</v>
      </c>
      <c r="BR69" s="821">
        <f>BQ69+IS!BR110+BR68</f>
        <v>1669.3188974032773</v>
      </c>
      <c r="BS69" s="822">
        <f>BR69+IS!BS110+BS68</f>
        <v>1884.7446699725224</v>
      </c>
      <c r="BT69" s="535">
        <f>BS69+IS!BT110+BT68</f>
        <v>2090.7087655840442</v>
      </c>
      <c r="BU69" s="535">
        <f>BT69+IS!BU110+BU68</f>
        <v>2317.5755126389622</v>
      </c>
      <c r="BV69" s="1422">
        <f>BU69+IS!BV110+BV68</f>
        <v>2562.6985071906879</v>
      </c>
      <c r="BW69" s="1423">
        <f>BV69+IS!BW110+BW68</f>
        <v>2800.9269857437439</v>
      </c>
      <c r="BX69" s="21"/>
      <c r="BY69" s="66">
        <f>G69</f>
        <v>-1533.7</v>
      </c>
      <c r="BZ69" s="67">
        <f>K69</f>
        <v>-1657.4</v>
      </c>
      <c r="CA69" s="67">
        <f>O69</f>
        <v>-1556.8</v>
      </c>
      <c r="CB69" s="67">
        <f>S69</f>
        <v>-1284.7</v>
      </c>
      <c r="CC69" s="67">
        <f>W69</f>
        <v>-1051.4000000000001</v>
      </c>
      <c r="CD69" s="67">
        <f>AA69</f>
        <v>-1565.4</v>
      </c>
      <c r="CE69" s="67">
        <f>AE69</f>
        <v>-1504.4</v>
      </c>
      <c r="CF69" s="67">
        <f>AI69</f>
        <v>-1213.9000000000001</v>
      </c>
      <c r="CG69" s="67">
        <f>AM69</f>
        <v>-1202.3</v>
      </c>
      <c r="CH69" s="67">
        <f>AQ69</f>
        <v>-1292.9000000000001</v>
      </c>
      <c r="CI69" s="67">
        <f>AU69</f>
        <v>-1142.0999999999999</v>
      </c>
      <c r="CJ69" s="67">
        <f>AY69</f>
        <v>-915.6</v>
      </c>
      <c r="CK69" s="67">
        <f>BC69</f>
        <v>-709.4</v>
      </c>
      <c r="CL69" s="67">
        <f>BG69</f>
        <v>-527.29999999999995</v>
      </c>
      <c r="CM69" s="67">
        <f>BK69</f>
        <v>351.5</v>
      </c>
      <c r="CN69" s="67">
        <f>BO69</f>
        <v>1058.330317597482</v>
      </c>
      <c r="CO69" s="67">
        <f>BS69</f>
        <v>1884.7446699725224</v>
      </c>
      <c r="CP69" s="68">
        <f>BW69</f>
        <v>2800.9269857437439</v>
      </c>
      <c r="CQ69" s="1041"/>
    </row>
    <row r="70" spans="1:95" ht="14.25" customHeight="1">
      <c r="A70" s="9"/>
      <c r="B70" s="83" t="s">
        <v>180</v>
      </c>
      <c r="C70" s="84"/>
      <c r="D70" s="69">
        <v>-32.200000000000003</v>
      </c>
      <c r="E70" s="70">
        <v>-11.3</v>
      </c>
      <c r="F70" s="70">
        <v>-6.8</v>
      </c>
      <c r="G70" s="142">
        <v>-4.4000000000000004</v>
      </c>
      <c r="H70" s="69">
        <v>-2.5</v>
      </c>
      <c r="I70" s="70">
        <v>-1.6</v>
      </c>
      <c r="J70" s="70">
        <v>-1.4</v>
      </c>
      <c r="K70" s="142">
        <v>1.1000000000000001</v>
      </c>
      <c r="L70" s="69">
        <v>3.8</v>
      </c>
      <c r="M70" s="70">
        <v>1.2</v>
      </c>
      <c r="N70" s="70">
        <v>3</v>
      </c>
      <c r="O70" s="142">
        <v>0.7</v>
      </c>
      <c r="P70" s="69">
        <v>3.2</v>
      </c>
      <c r="Q70" s="70">
        <v>3.6</v>
      </c>
      <c r="R70" s="70">
        <v>1.5</v>
      </c>
      <c r="S70" s="142">
        <v>-0.4</v>
      </c>
      <c r="T70" s="69">
        <v>-1</v>
      </c>
      <c r="U70" s="70">
        <v>-3.3</v>
      </c>
      <c r="V70" s="70">
        <v>-0.5</v>
      </c>
      <c r="W70" s="142">
        <v>-0.5</v>
      </c>
      <c r="X70" s="69">
        <v>6</v>
      </c>
      <c r="Y70" s="70">
        <v>-1.4</v>
      </c>
      <c r="Z70" s="70">
        <v>-28.8</v>
      </c>
      <c r="AA70" s="142">
        <v>-53.6</v>
      </c>
      <c r="AB70" s="69">
        <v>-68.599999999999994</v>
      </c>
      <c r="AC70" s="70">
        <v>-67.599999999999994</v>
      </c>
      <c r="AD70" s="70">
        <v>-63.9</v>
      </c>
      <c r="AE70" s="142">
        <v>-64.900000000000006</v>
      </c>
      <c r="AF70" s="70">
        <v>-65.099999999999994</v>
      </c>
      <c r="AG70" s="70">
        <v>-63.1</v>
      </c>
      <c r="AH70" s="70">
        <v>-59.6</v>
      </c>
      <c r="AI70" s="71">
        <v>-59.1</v>
      </c>
      <c r="AJ70" s="314">
        <v>-58.7</v>
      </c>
      <c r="AK70" s="70">
        <v>-54.5</v>
      </c>
      <c r="AL70" s="70">
        <v>-48.5</v>
      </c>
      <c r="AM70" s="71">
        <v>-46.7</v>
      </c>
      <c r="AN70" s="70">
        <v>-41.6</v>
      </c>
      <c r="AO70" s="70">
        <v>-44.7</v>
      </c>
      <c r="AP70" s="70">
        <v>-45.2</v>
      </c>
      <c r="AQ70" s="142">
        <v>-41.1</v>
      </c>
      <c r="AR70" s="70">
        <v>-50.4</v>
      </c>
      <c r="AS70" s="70">
        <v>-51.1</v>
      </c>
      <c r="AT70" s="70">
        <v>-48.6</v>
      </c>
      <c r="AU70" s="142">
        <v>-47.4</v>
      </c>
      <c r="AV70" s="70">
        <v>-46.4</v>
      </c>
      <c r="AW70" s="70">
        <v>-45.3</v>
      </c>
      <c r="AX70" s="70">
        <v>-44.6</v>
      </c>
      <c r="AY70" s="142">
        <v>-41.5</v>
      </c>
      <c r="AZ70" s="70">
        <v>-45.8</v>
      </c>
      <c r="BA70" s="70">
        <v>-43.6</v>
      </c>
      <c r="BB70" s="70">
        <v>-44.1</v>
      </c>
      <c r="BC70" s="142">
        <v>-42.3</v>
      </c>
      <c r="BD70" s="70">
        <v>-41.3</v>
      </c>
      <c r="BE70" s="70">
        <v>-39.4</v>
      </c>
      <c r="BF70" s="70">
        <v>-38.6</v>
      </c>
      <c r="BG70" s="142">
        <v>-50.2</v>
      </c>
      <c r="BH70" s="70">
        <v>-43.1</v>
      </c>
      <c r="BI70" s="70">
        <v>-43.8</v>
      </c>
      <c r="BJ70" s="70">
        <v>-43.8</v>
      </c>
      <c r="BK70" s="142">
        <v>-40.6</v>
      </c>
      <c r="BL70" s="535">
        <f>BK70+CFS!BL65</f>
        <v>-40.6</v>
      </c>
      <c r="BM70" s="535">
        <f>BL70+CFS!BM65</f>
        <v>-40.6</v>
      </c>
      <c r="BN70" s="821">
        <f>BM70+CFS!BN65</f>
        <v>-40.6</v>
      </c>
      <c r="BO70" s="822">
        <f>BN70+CFS!BO65</f>
        <v>-40.6</v>
      </c>
      <c r="BP70" s="535">
        <f>BO70+CFS!BP65</f>
        <v>-40.6</v>
      </c>
      <c r="BQ70" s="535">
        <f>BP70+CFS!BQ65</f>
        <v>-40.6</v>
      </c>
      <c r="BR70" s="821">
        <f>BQ70+CFS!BR65</f>
        <v>-40.6</v>
      </c>
      <c r="BS70" s="822">
        <f>BR70+CFS!BS65</f>
        <v>-40.6</v>
      </c>
      <c r="BT70" s="535">
        <f>BS70+CFS!BT65</f>
        <v>-40.6</v>
      </c>
      <c r="BU70" s="535">
        <f>BT70+CFS!BU65</f>
        <v>-40.6</v>
      </c>
      <c r="BV70" s="1422">
        <f>BU70+CFS!BV65</f>
        <v>-40.6</v>
      </c>
      <c r="BW70" s="1423">
        <f>BV70+CFS!BW65</f>
        <v>-40.6</v>
      </c>
      <c r="BX70" s="21"/>
      <c r="BY70" s="66">
        <f>G70</f>
        <v>-4.4000000000000004</v>
      </c>
      <c r="BZ70" s="67">
        <f>K70</f>
        <v>1.1000000000000001</v>
      </c>
      <c r="CA70" s="67">
        <f>O70</f>
        <v>0.7</v>
      </c>
      <c r="CB70" s="67">
        <f>S70</f>
        <v>-0.4</v>
      </c>
      <c r="CC70" s="67">
        <f>W70</f>
        <v>-0.5</v>
      </c>
      <c r="CD70" s="67">
        <f>AA70</f>
        <v>-53.6</v>
      </c>
      <c r="CE70" s="67">
        <f>AE70</f>
        <v>-64.900000000000006</v>
      </c>
      <c r="CF70" s="67">
        <f>AI70</f>
        <v>-59.1</v>
      </c>
      <c r="CG70" s="67">
        <f>AM70</f>
        <v>-46.7</v>
      </c>
      <c r="CH70" s="67">
        <f>AQ70</f>
        <v>-41.1</v>
      </c>
      <c r="CI70" s="67">
        <f>AU70</f>
        <v>-47.4</v>
      </c>
      <c r="CJ70" s="67">
        <f>AY70</f>
        <v>-41.5</v>
      </c>
      <c r="CK70" s="67">
        <f>BC70</f>
        <v>-42.3</v>
      </c>
      <c r="CL70" s="67">
        <f>BG70</f>
        <v>-50.2</v>
      </c>
      <c r="CM70" s="67">
        <f>BK70</f>
        <v>-40.6</v>
      </c>
      <c r="CN70" s="67">
        <f>BO70</f>
        <v>-40.6</v>
      </c>
      <c r="CO70" s="67">
        <f>BS70</f>
        <v>-40.6</v>
      </c>
      <c r="CP70" s="68">
        <f>BW70</f>
        <v>-40.6</v>
      </c>
      <c r="CQ70" s="1041"/>
    </row>
    <row r="71" spans="1:95" ht="14.25" customHeight="1">
      <c r="A71" s="9"/>
      <c r="B71" s="119" t="s">
        <v>164</v>
      </c>
      <c r="C71" s="120"/>
      <c r="D71" s="114">
        <f t="shared" ref="D71:AU71" si="227">D66+D69+D70</f>
        <v>-692.5</v>
      </c>
      <c r="E71" s="114">
        <f t="shared" si="227"/>
        <v>-750.7</v>
      </c>
      <c r="F71" s="114">
        <f t="shared" si="227"/>
        <v>-603.89999999999986</v>
      </c>
      <c r="G71" s="115">
        <f t="shared" si="227"/>
        <v>-644.6</v>
      </c>
      <c r="H71" s="116">
        <f t="shared" si="227"/>
        <v>-463.09999999999991</v>
      </c>
      <c r="I71" s="114">
        <f t="shared" si="227"/>
        <v>-466.9</v>
      </c>
      <c r="J71" s="114">
        <f t="shared" si="227"/>
        <v>-452.19999999999993</v>
      </c>
      <c r="K71" s="115">
        <f t="shared" si="227"/>
        <v>-537.80000000000007</v>
      </c>
      <c r="L71" s="116">
        <f t="shared" si="227"/>
        <v>-521.79999999999995</v>
      </c>
      <c r="M71" s="114">
        <f t="shared" si="227"/>
        <v>-507.3</v>
      </c>
      <c r="N71" s="114">
        <f t="shared" si="227"/>
        <v>-482</v>
      </c>
      <c r="O71" s="115">
        <f t="shared" si="227"/>
        <v>-300.3</v>
      </c>
      <c r="P71" s="116">
        <f t="shared" si="227"/>
        <v>-249.7000000000001</v>
      </c>
      <c r="Q71" s="114">
        <f t="shared" si="227"/>
        <v>-100.00000000000014</v>
      </c>
      <c r="R71" s="114">
        <f t="shared" si="227"/>
        <v>-20.299999999999955</v>
      </c>
      <c r="S71" s="115">
        <f t="shared" si="227"/>
        <v>-225.4</v>
      </c>
      <c r="T71" s="116">
        <f t="shared" si="227"/>
        <v>-157.20000000000005</v>
      </c>
      <c r="U71" s="114">
        <f t="shared" si="227"/>
        <v>-137.09999999999997</v>
      </c>
      <c r="V71" s="114">
        <f t="shared" si="227"/>
        <v>-53.5</v>
      </c>
      <c r="W71" s="115">
        <f t="shared" si="227"/>
        <v>15.899999999999864</v>
      </c>
      <c r="X71" s="116">
        <f t="shared" si="227"/>
        <v>978.60000000000014</v>
      </c>
      <c r="Y71" s="114">
        <f t="shared" si="227"/>
        <v>1034.1999999999998</v>
      </c>
      <c r="Z71" s="114">
        <f t="shared" si="227"/>
        <v>1084.8000000000002</v>
      </c>
      <c r="AA71" s="115">
        <f t="shared" si="227"/>
        <v>838.1999999999997</v>
      </c>
      <c r="AB71" s="116">
        <f t="shared" si="227"/>
        <v>831.1</v>
      </c>
      <c r="AC71" s="114">
        <f t="shared" si="227"/>
        <v>849.89999999999975</v>
      </c>
      <c r="AD71" s="114">
        <f t="shared" si="227"/>
        <v>904.3000000000003</v>
      </c>
      <c r="AE71" s="115">
        <f t="shared" si="227"/>
        <v>984.99999999999966</v>
      </c>
      <c r="AF71" s="116">
        <f t="shared" si="227"/>
        <v>1067.4000000000001</v>
      </c>
      <c r="AG71" s="114">
        <f t="shared" si="227"/>
        <v>1178.1000000000001</v>
      </c>
      <c r="AH71" s="114">
        <f t="shared" si="227"/>
        <v>1280.7999999999997</v>
      </c>
      <c r="AI71" s="115">
        <f t="shared" si="227"/>
        <v>1366</v>
      </c>
      <c r="AJ71" s="114">
        <f t="shared" si="227"/>
        <v>1487.0000000000002</v>
      </c>
      <c r="AK71" s="114">
        <f t="shared" si="227"/>
        <v>1564.1000000000001</v>
      </c>
      <c r="AL71" s="114">
        <f t="shared" si="227"/>
        <v>1501.8</v>
      </c>
      <c r="AM71" s="115">
        <f t="shared" si="227"/>
        <v>1468.1999999999998</v>
      </c>
      <c r="AN71" s="116">
        <f t="shared" si="227"/>
        <v>1508.4</v>
      </c>
      <c r="AO71" s="114">
        <f t="shared" si="227"/>
        <v>1517.1999999999998</v>
      </c>
      <c r="AP71" s="114">
        <f t="shared" si="227"/>
        <v>1511.2999999999997</v>
      </c>
      <c r="AQ71" s="115">
        <f t="shared" si="227"/>
        <v>1361.1000000000004</v>
      </c>
      <c r="AR71" s="116">
        <f t="shared" si="227"/>
        <v>1383.6000000000001</v>
      </c>
      <c r="AS71" s="114">
        <f t="shared" si="227"/>
        <v>1434.0000000000005</v>
      </c>
      <c r="AT71" s="114">
        <f t="shared" si="227"/>
        <v>1469.3999999999999</v>
      </c>
      <c r="AU71" s="115">
        <f t="shared" si="227"/>
        <v>1454</v>
      </c>
      <c r="AV71" s="116">
        <f t="shared" ref="AV71:BC71" si="228">AV66+AV69+AV70</f>
        <v>1506.8999999999999</v>
      </c>
      <c r="AW71" s="114">
        <f t="shared" si="228"/>
        <v>1606.6999999999998</v>
      </c>
      <c r="AX71" s="114">
        <f t="shared" si="228"/>
        <v>1642.6000000000004</v>
      </c>
      <c r="AY71" s="115">
        <f t="shared" si="228"/>
        <v>1626.5</v>
      </c>
      <c r="AZ71" s="116">
        <f>AZ66+AZ69+AZ70</f>
        <v>1605.5999999999997</v>
      </c>
      <c r="BA71" s="114">
        <f>BA66+BA69+BA70</f>
        <v>1597.4000000000003</v>
      </c>
      <c r="BB71" s="114">
        <f>BB66+BB69+BB70</f>
        <v>1558.2999999999997</v>
      </c>
      <c r="BC71" s="115">
        <f t="shared" si="228"/>
        <v>1608.2</v>
      </c>
      <c r="BD71" s="116">
        <f>BD66+BD69+BD70</f>
        <v>1653.9999999999998</v>
      </c>
      <c r="BE71" s="114">
        <f>BE66+BE69+BE70</f>
        <v>1700.8999999999999</v>
      </c>
      <c r="BF71" s="114">
        <f>BF66+BF69+BF70</f>
        <v>1730.6000000000001</v>
      </c>
      <c r="BG71" s="115">
        <f t="shared" ref="BG71" si="229">BG66+BG69+BG70</f>
        <v>1823.2000000000003</v>
      </c>
      <c r="BH71" s="116">
        <f t="shared" ref="BH71:BI71" si="230">BH66+BH69+BH70</f>
        <v>1976</v>
      </c>
      <c r="BI71" s="114">
        <f t="shared" si="230"/>
        <v>2096.5</v>
      </c>
      <c r="BJ71" s="114">
        <f>BJ66+BJ69+BJ70</f>
        <v>2212.3999999999996</v>
      </c>
      <c r="BK71" s="115">
        <f t="shared" ref="BK71" si="231">BK66+BK69+BK70</f>
        <v>2778.8</v>
      </c>
      <c r="BL71" s="114">
        <f t="shared" ref="BL71:BS71" si="232">BL66+BL69+BL70</f>
        <v>2918.2638946045372</v>
      </c>
      <c r="BM71" s="114">
        <f t="shared" si="232"/>
        <v>3103.4797197147218</v>
      </c>
      <c r="BN71" s="114">
        <f t="shared" si="232"/>
        <v>3298.7910364316281</v>
      </c>
      <c r="BO71" s="115">
        <f t="shared" si="232"/>
        <v>3485.6303175974822</v>
      </c>
      <c r="BP71" s="114">
        <f t="shared" si="232"/>
        <v>3670.1667544981706</v>
      </c>
      <c r="BQ71" s="114">
        <f t="shared" si="232"/>
        <v>3874.5992771617889</v>
      </c>
      <c r="BR71" s="114">
        <f t="shared" si="232"/>
        <v>4096.6188974032775</v>
      </c>
      <c r="BS71" s="115">
        <f t="shared" si="232"/>
        <v>4312.0446699725217</v>
      </c>
      <c r="BT71" s="114">
        <f t="shared" ref="BT71:BW71" si="233">BT66+BT69+BT70</f>
        <v>4518.0087655840434</v>
      </c>
      <c r="BU71" s="114">
        <f t="shared" si="233"/>
        <v>4744.8755126389624</v>
      </c>
      <c r="BV71" s="114">
        <f t="shared" si="233"/>
        <v>4989.9985071906876</v>
      </c>
      <c r="BW71" s="115">
        <f t="shared" si="233"/>
        <v>5228.2269857437441</v>
      </c>
      <c r="BX71" s="21"/>
      <c r="BY71" s="114">
        <f t="shared" ref="BY71:CL71" si="234">BY66+BY69+BY70</f>
        <v>-644.6</v>
      </c>
      <c r="BZ71" s="114">
        <f t="shared" si="234"/>
        <v>-537.80000000000007</v>
      </c>
      <c r="CA71" s="114">
        <f t="shared" si="234"/>
        <v>-300.3</v>
      </c>
      <c r="CB71" s="114">
        <f t="shared" si="234"/>
        <v>-225.4</v>
      </c>
      <c r="CC71" s="114">
        <f t="shared" si="234"/>
        <v>15.899999999999864</v>
      </c>
      <c r="CD71" s="114">
        <f t="shared" si="234"/>
        <v>838.1999999999997</v>
      </c>
      <c r="CE71" s="114">
        <f t="shared" si="234"/>
        <v>984.99999999999966</v>
      </c>
      <c r="CF71" s="114">
        <f t="shared" si="234"/>
        <v>1366</v>
      </c>
      <c r="CG71" s="114">
        <f t="shared" si="234"/>
        <v>1468.1999999999998</v>
      </c>
      <c r="CH71" s="114">
        <f t="shared" si="234"/>
        <v>1361.1000000000004</v>
      </c>
      <c r="CI71" s="114">
        <f t="shared" si="234"/>
        <v>1454</v>
      </c>
      <c r="CJ71" s="114">
        <f t="shared" si="234"/>
        <v>1626.5</v>
      </c>
      <c r="CK71" s="114">
        <f t="shared" si="234"/>
        <v>1608.2</v>
      </c>
      <c r="CL71" s="894">
        <f t="shared" si="234"/>
        <v>1823.2000000000003</v>
      </c>
      <c r="CM71" s="894">
        <f>CM66+CM69+CM70</f>
        <v>2778.8</v>
      </c>
      <c r="CN71" s="894">
        <f>CN66+CN69+CN70</f>
        <v>3485.6303175974822</v>
      </c>
      <c r="CO71" s="894">
        <f>CO66+CO69+CO70</f>
        <v>4312.0446699725217</v>
      </c>
      <c r="CP71" s="1477">
        <f>CP66+CP69+CP70</f>
        <v>5228.2269857437441</v>
      </c>
      <c r="CQ71" s="1041"/>
    </row>
    <row r="72" spans="1:95" ht="14.25" customHeight="1">
      <c r="A72" s="9"/>
      <c r="B72" s="143"/>
      <c r="C72" s="143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144"/>
      <c r="AJ72" s="67"/>
      <c r="AK72" s="67"/>
      <c r="AL72" s="67"/>
      <c r="AM72" s="144"/>
      <c r="AN72" s="67"/>
      <c r="AO72" s="67"/>
      <c r="AP72" s="67"/>
      <c r="AQ72" s="144"/>
      <c r="AR72" s="67"/>
      <c r="AS72" s="67"/>
      <c r="AT72" s="67"/>
      <c r="AU72" s="144"/>
      <c r="AV72" s="67"/>
      <c r="AW72" s="67"/>
      <c r="AX72" s="67"/>
      <c r="AY72" s="144"/>
      <c r="AZ72" s="67"/>
      <c r="BA72" s="67"/>
      <c r="BB72" s="67"/>
      <c r="BC72" s="144"/>
      <c r="BD72" s="67"/>
      <c r="BE72" s="67"/>
      <c r="BF72" s="67"/>
      <c r="BG72" s="144"/>
      <c r="BH72" s="67"/>
      <c r="BI72" s="67"/>
      <c r="BJ72" s="67"/>
      <c r="BK72" s="144"/>
      <c r="BL72" s="67"/>
      <c r="BM72" s="67"/>
      <c r="BN72" s="67"/>
      <c r="BO72" s="144"/>
      <c r="BP72" s="67"/>
      <c r="BQ72" s="67"/>
      <c r="BR72" s="67"/>
      <c r="BS72" s="144"/>
      <c r="BT72" s="67"/>
      <c r="BU72" s="67"/>
      <c r="BV72" s="67"/>
      <c r="BW72" s="144"/>
      <c r="BX72" s="15"/>
      <c r="BY72" s="67"/>
      <c r="BZ72" s="67"/>
      <c r="CA72" s="67"/>
      <c r="CB72" s="67"/>
      <c r="CC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</row>
    <row r="73" spans="1:95" ht="14.25" customHeight="1">
      <c r="A73" s="9"/>
      <c r="B73" s="61" t="s">
        <v>181</v>
      </c>
      <c r="C73" s="62"/>
      <c r="D73" s="147">
        <f>D42</f>
        <v>-692.5</v>
      </c>
      <c r="E73" s="145">
        <f t="shared" ref="E73:AV73" si="235">E42</f>
        <v>-750.7</v>
      </c>
      <c r="F73" s="145">
        <f t="shared" si="235"/>
        <v>-603.9</v>
      </c>
      <c r="G73" s="148">
        <f t="shared" si="235"/>
        <v>-644.6</v>
      </c>
      <c r="H73" s="147">
        <f t="shared" si="235"/>
        <v>-463.1</v>
      </c>
      <c r="I73" s="145">
        <f t="shared" si="235"/>
        <v>-466.9</v>
      </c>
      <c r="J73" s="145">
        <f t="shared" si="235"/>
        <v>-452.2</v>
      </c>
      <c r="K73" s="148">
        <f t="shared" si="235"/>
        <v>-537.79999999999995</v>
      </c>
      <c r="L73" s="147">
        <f t="shared" si="235"/>
        <v>-521.79999999999995</v>
      </c>
      <c r="M73" s="145">
        <f t="shared" si="235"/>
        <v>-507.3</v>
      </c>
      <c r="N73" s="145">
        <f t="shared" si="235"/>
        <v>-482</v>
      </c>
      <c r="O73" s="148">
        <f t="shared" si="235"/>
        <v>-300.3</v>
      </c>
      <c r="P73" s="147">
        <f t="shared" si="235"/>
        <v>-249.7</v>
      </c>
      <c r="Q73" s="145">
        <f t="shared" si="235"/>
        <v>-100</v>
      </c>
      <c r="R73" s="145">
        <f t="shared" si="235"/>
        <v>-20.3</v>
      </c>
      <c r="S73" s="148">
        <f t="shared" si="235"/>
        <v>-225.4</v>
      </c>
      <c r="T73" s="147">
        <f t="shared" si="235"/>
        <v>-157.19999999999999</v>
      </c>
      <c r="U73" s="145">
        <f t="shared" si="235"/>
        <v>-137.1</v>
      </c>
      <c r="V73" s="145">
        <f t="shared" si="235"/>
        <v>-53.5</v>
      </c>
      <c r="W73" s="148">
        <f t="shared" si="235"/>
        <v>15.9</v>
      </c>
      <c r="X73" s="147">
        <f t="shared" si="235"/>
        <v>978.6</v>
      </c>
      <c r="Y73" s="145">
        <f t="shared" si="235"/>
        <v>1034.2</v>
      </c>
      <c r="Z73" s="145">
        <f t="shared" si="235"/>
        <v>1084.8</v>
      </c>
      <c r="AA73" s="148">
        <f t="shared" si="235"/>
        <v>838.2</v>
      </c>
      <c r="AB73" s="147">
        <f t="shared" si="235"/>
        <v>831.1</v>
      </c>
      <c r="AC73" s="145">
        <f t="shared" si="235"/>
        <v>849.9</v>
      </c>
      <c r="AD73" s="145">
        <f t="shared" si="235"/>
        <v>904.3</v>
      </c>
      <c r="AE73" s="148">
        <f t="shared" si="235"/>
        <v>985</v>
      </c>
      <c r="AF73" s="147">
        <f t="shared" si="235"/>
        <v>1067.4000000000001</v>
      </c>
      <c r="AG73" s="145">
        <f t="shared" si="235"/>
        <v>1178.0999999999999</v>
      </c>
      <c r="AH73" s="145">
        <f t="shared" si="235"/>
        <v>1280.8</v>
      </c>
      <c r="AI73" s="148">
        <f t="shared" si="235"/>
        <v>1366</v>
      </c>
      <c r="AJ73" s="147">
        <f t="shared" si="235"/>
        <v>1487</v>
      </c>
      <c r="AK73" s="145">
        <f t="shared" si="235"/>
        <v>1564.1</v>
      </c>
      <c r="AL73" s="145">
        <f t="shared" si="235"/>
        <v>1501.8</v>
      </c>
      <c r="AM73" s="148">
        <f t="shared" si="235"/>
        <v>1468.2</v>
      </c>
      <c r="AN73" s="147">
        <f t="shared" si="235"/>
        <v>1508.4</v>
      </c>
      <c r="AO73" s="145">
        <f t="shared" si="235"/>
        <v>1517.2</v>
      </c>
      <c r="AP73" s="145">
        <f t="shared" si="235"/>
        <v>1511.3</v>
      </c>
      <c r="AQ73" s="148">
        <f t="shared" si="235"/>
        <v>1361.1</v>
      </c>
      <c r="AR73" s="147">
        <f>AR42</f>
        <v>1383.6</v>
      </c>
      <c r="AS73" s="145">
        <f>AS42</f>
        <v>1434</v>
      </c>
      <c r="AT73" s="145">
        <f t="shared" si="235"/>
        <v>1469.4</v>
      </c>
      <c r="AU73" s="148">
        <f t="shared" si="235"/>
        <v>1454</v>
      </c>
      <c r="AV73" s="147">
        <f t="shared" si="235"/>
        <v>1506.9</v>
      </c>
      <c r="AW73" s="145">
        <f>AW42</f>
        <v>1606.7</v>
      </c>
      <c r="AX73" s="145">
        <f>AX42</f>
        <v>1642.6</v>
      </c>
      <c r="AY73" s="148">
        <f>AY42</f>
        <v>1626.5</v>
      </c>
      <c r="AZ73" s="147">
        <f>AZ42</f>
        <v>1605.6</v>
      </c>
      <c r="BA73" s="145">
        <f t="shared" ref="BA73:BE73" si="236">BA42</f>
        <v>1597.4</v>
      </c>
      <c r="BB73" s="145">
        <f>BB42</f>
        <v>1558.3</v>
      </c>
      <c r="BC73" s="148">
        <f t="shared" si="236"/>
        <v>1608.2</v>
      </c>
      <c r="BD73" s="147">
        <f>BD42</f>
        <v>1654</v>
      </c>
      <c r="BE73" s="145">
        <f t="shared" si="236"/>
        <v>1700.9</v>
      </c>
      <c r="BF73" s="145">
        <f t="shared" ref="BF73:BG73" si="237">BF42</f>
        <v>1730.6</v>
      </c>
      <c r="BG73" s="148">
        <f t="shared" si="237"/>
        <v>1823.2</v>
      </c>
      <c r="BH73" s="147">
        <f t="shared" ref="BH73:BO73" si="238">BH42</f>
        <v>1976</v>
      </c>
      <c r="BI73" s="145">
        <f t="shared" si="238"/>
        <v>2096.5</v>
      </c>
      <c r="BJ73" s="145">
        <f t="shared" si="238"/>
        <v>2212.4</v>
      </c>
      <c r="BK73" s="148">
        <f t="shared" si="238"/>
        <v>2778.8</v>
      </c>
      <c r="BL73" s="147">
        <f t="shared" si="238"/>
        <v>2918.2638946045372</v>
      </c>
      <c r="BM73" s="145">
        <f t="shared" si="238"/>
        <v>3103.4797197147218</v>
      </c>
      <c r="BN73" s="145">
        <f t="shared" si="238"/>
        <v>3298.7910364316281</v>
      </c>
      <c r="BO73" s="148">
        <f t="shared" si="238"/>
        <v>3485.6303175974822</v>
      </c>
      <c r="BP73" s="147">
        <f t="shared" ref="BP73:BS73" si="239">BP42</f>
        <v>3670.1667544981706</v>
      </c>
      <c r="BQ73" s="145">
        <f t="shared" si="239"/>
        <v>3874.5992771617889</v>
      </c>
      <c r="BR73" s="145">
        <f t="shared" si="239"/>
        <v>4096.6188974032775</v>
      </c>
      <c r="BS73" s="148">
        <f t="shared" si="239"/>
        <v>4312.0446699725217</v>
      </c>
      <c r="BT73" s="147">
        <f t="shared" ref="BT73:BW73" si="240">BT42</f>
        <v>4518.0087655840434</v>
      </c>
      <c r="BU73" s="145">
        <f t="shared" si="240"/>
        <v>4744.8755126389624</v>
      </c>
      <c r="BV73" s="145">
        <f t="shared" si="240"/>
        <v>4989.9985071906876</v>
      </c>
      <c r="BW73" s="148">
        <f t="shared" si="240"/>
        <v>5228.2269857437441</v>
      </c>
      <c r="BX73" s="149"/>
      <c r="BY73" s="145">
        <f t="shared" ref="BY73:CJ73" si="241">BY42</f>
        <v>-644.6</v>
      </c>
      <c r="BZ73" s="145">
        <f t="shared" si="241"/>
        <v>-537.79999999999995</v>
      </c>
      <c r="CA73" s="145">
        <f t="shared" si="241"/>
        <v>-300.3</v>
      </c>
      <c r="CB73" s="145">
        <f t="shared" si="241"/>
        <v>-225.4</v>
      </c>
      <c r="CC73" s="145">
        <f t="shared" si="241"/>
        <v>15.9</v>
      </c>
      <c r="CD73" s="145">
        <f t="shared" si="241"/>
        <v>838.2</v>
      </c>
      <c r="CE73" s="145">
        <f t="shared" si="241"/>
        <v>985</v>
      </c>
      <c r="CF73" s="145">
        <f t="shared" si="241"/>
        <v>1366</v>
      </c>
      <c r="CG73" s="145">
        <f t="shared" si="241"/>
        <v>1468.2</v>
      </c>
      <c r="CH73" s="145">
        <f t="shared" si="241"/>
        <v>1361.1</v>
      </c>
      <c r="CI73" s="145">
        <f t="shared" si="241"/>
        <v>1454</v>
      </c>
      <c r="CJ73" s="145">
        <f t="shared" si="241"/>
        <v>1626.5</v>
      </c>
      <c r="CK73" s="145">
        <f t="shared" ref="CK73:CP73" si="242">CK42</f>
        <v>1608.2</v>
      </c>
      <c r="CL73" s="199">
        <f t="shared" si="242"/>
        <v>1823.2</v>
      </c>
      <c r="CM73" s="199">
        <f t="shared" si="242"/>
        <v>2778.8</v>
      </c>
      <c r="CN73" s="199">
        <f t="shared" si="242"/>
        <v>3485.6303175974822</v>
      </c>
      <c r="CO73" s="199">
        <f t="shared" si="242"/>
        <v>4312.0446699725217</v>
      </c>
      <c r="CP73" s="146">
        <f t="shared" si="242"/>
        <v>5228.2269857437441</v>
      </c>
      <c r="CQ73" s="1041"/>
    </row>
    <row r="74" spans="1:95" ht="14.25" customHeight="1">
      <c r="A74" s="9"/>
      <c r="B74" s="123" t="s">
        <v>166</v>
      </c>
      <c r="C74" s="124"/>
      <c r="D74" s="127">
        <f t="shared" ref="D74:AS74" si="243">D73-D71</f>
        <v>0</v>
      </c>
      <c r="E74" s="125">
        <f t="shared" si="243"/>
        <v>0</v>
      </c>
      <c r="F74" s="125">
        <f t="shared" si="243"/>
        <v>0</v>
      </c>
      <c r="G74" s="126">
        <f t="shared" si="243"/>
        <v>0</v>
      </c>
      <c r="H74" s="127">
        <f t="shared" si="243"/>
        <v>0</v>
      </c>
      <c r="I74" s="125">
        <f t="shared" si="243"/>
        <v>0</v>
      </c>
      <c r="J74" s="125">
        <f t="shared" si="243"/>
        <v>0</v>
      </c>
      <c r="K74" s="126">
        <f t="shared" si="243"/>
        <v>0</v>
      </c>
      <c r="L74" s="127">
        <f t="shared" si="243"/>
        <v>0</v>
      </c>
      <c r="M74" s="125">
        <f t="shared" si="243"/>
        <v>0</v>
      </c>
      <c r="N74" s="125">
        <f t="shared" si="243"/>
        <v>0</v>
      </c>
      <c r="O74" s="126">
        <f t="shared" si="243"/>
        <v>0</v>
      </c>
      <c r="P74" s="127">
        <f t="shared" si="243"/>
        <v>0</v>
      </c>
      <c r="Q74" s="125">
        <f t="shared" si="243"/>
        <v>1.4210854715202004E-13</v>
      </c>
      <c r="R74" s="125">
        <f t="shared" si="243"/>
        <v>-4.6185277824406512E-14</v>
      </c>
      <c r="S74" s="126">
        <f t="shared" si="243"/>
        <v>0</v>
      </c>
      <c r="T74" s="127">
        <f t="shared" si="243"/>
        <v>0</v>
      </c>
      <c r="U74" s="125">
        <f t="shared" si="243"/>
        <v>0</v>
      </c>
      <c r="V74" s="125">
        <f t="shared" si="243"/>
        <v>0</v>
      </c>
      <c r="W74" s="126">
        <f t="shared" si="243"/>
        <v>1.3677947663381929E-13</v>
      </c>
      <c r="X74" s="127">
        <f t="shared" si="243"/>
        <v>0</v>
      </c>
      <c r="Y74" s="125">
        <f t="shared" si="243"/>
        <v>0</v>
      </c>
      <c r="Z74" s="125">
        <f t="shared" si="243"/>
        <v>0</v>
      </c>
      <c r="AA74" s="126">
        <f t="shared" si="243"/>
        <v>0</v>
      </c>
      <c r="AB74" s="127">
        <f t="shared" si="243"/>
        <v>0</v>
      </c>
      <c r="AC74" s="125">
        <f t="shared" si="243"/>
        <v>0</v>
      </c>
      <c r="AD74" s="125">
        <f t="shared" si="243"/>
        <v>0</v>
      </c>
      <c r="AE74" s="126">
        <f t="shared" si="243"/>
        <v>0</v>
      </c>
      <c r="AF74" s="127">
        <f t="shared" si="243"/>
        <v>0</v>
      </c>
      <c r="AG74" s="125">
        <f t="shared" si="243"/>
        <v>0</v>
      </c>
      <c r="AH74" s="125">
        <f t="shared" si="243"/>
        <v>0</v>
      </c>
      <c r="AI74" s="126">
        <f t="shared" si="243"/>
        <v>0</v>
      </c>
      <c r="AJ74" s="127">
        <f t="shared" si="243"/>
        <v>0</v>
      </c>
      <c r="AK74" s="125">
        <f t="shared" si="243"/>
        <v>0</v>
      </c>
      <c r="AL74" s="125">
        <f t="shared" si="243"/>
        <v>0</v>
      </c>
      <c r="AM74" s="126">
        <f t="shared" si="243"/>
        <v>0</v>
      </c>
      <c r="AN74" s="127">
        <f t="shared" si="243"/>
        <v>0</v>
      </c>
      <c r="AO74" s="125">
        <f t="shared" si="243"/>
        <v>0</v>
      </c>
      <c r="AP74" s="125">
        <f t="shared" si="243"/>
        <v>0</v>
      </c>
      <c r="AQ74" s="126">
        <f t="shared" si="243"/>
        <v>0</v>
      </c>
      <c r="AR74" s="127">
        <f t="shared" si="243"/>
        <v>0</v>
      </c>
      <c r="AS74" s="125">
        <f t="shared" si="243"/>
        <v>0</v>
      </c>
      <c r="AT74" s="125">
        <f t="shared" ref="AT74:AY74" si="244">AT73-AT71</f>
        <v>0</v>
      </c>
      <c r="AU74" s="126">
        <f t="shared" si="244"/>
        <v>0</v>
      </c>
      <c r="AV74" s="127">
        <f t="shared" si="244"/>
        <v>0</v>
      </c>
      <c r="AW74" s="125">
        <f t="shared" si="244"/>
        <v>0</v>
      </c>
      <c r="AX74" s="125">
        <f t="shared" si="244"/>
        <v>0</v>
      </c>
      <c r="AY74" s="126">
        <f t="shared" si="244"/>
        <v>0</v>
      </c>
      <c r="AZ74" s="127">
        <f>AZ73-AZ71</f>
        <v>0</v>
      </c>
      <c r="BA74" s="125">
        <f t="shared" ref="BA74:BE74" si="245">BA73-BA71</f>
        <v>0</v>
      </c>
      <c r="BB74" s="125">
        <f t="shared" si="245"/>
        <v>0</v>
      </c>
      <c r="BC74" s="126">
        <f t="shared" si="245"/>
        <v>0</v>
      </c>
      <c r="BD74" s="127">
        <f>BD73-BD71</f>
        <v>0</v>
      </c>
      <c r="BE74" s="125">
        <f t="shared" si="245"/>
        <v>0</v>
      </c>
      <c r="BF74" s="125">
        <f t="shared" ref="BF74:BG74" si="246">BF73-BF71</f>
        <v>0</v>
      </c>
      <c r="BG74" s="126">
        <f t="shared" si="246"/>
        <v>0</v>
      </c>
      <c r="BH74" s="127">
        <f t="shared" ref="BH74:BO74" si="247">BH73-BH71</f>
        <v>0</v>
      </c>
      <c r="BI74" s="125">
        <f t="shared" si="247"/>
        <v>0</v>
      </c>
      <c r="BJ74" s="125">
        <f t="shared" si="247"/>
        <v>0</v>
      </c>
      <c r="BK74" s="126">
        <f t="shared" si="247"/>
        <v>0</v>
      </c>
      <c r="BL74" s="127">
        <f t="shared" si="247"/>
        <v>0</v>
      </c>
      <c r="BM74" s="125">
        <f t="shared" si="247"/>
        <v>0</v>
      </c>
      <c r="BN74" s="125">
        <f t="shared" si="247"/>
        <v>0</v>
      </c>
      <c r="BO74" s="126">
        <f t="shared" si="247"/>
        <v>0</v>
      </c>
      <c r="BP74" s="127">
        <f t="shared" ref="BP74:BS74" si="248">BP73-BP71</f>
        <v>0</v>
      </c>
      <c r="BQ74" s="125">
        <f t="shared" si="248"/>
        <v>0</v>
      </c>
      <c r="BR74" s="125">
        <f t="shared" si="248"/>
        <v>0</v>
      </c>
      <c r="BS74" s="126">
        <f t="shared" si="248"/>
        <v>0</v>
      </c>
      <c r="BT74" s="127">
        <f t="shared" ref="BT74:BW74" si="249">BT73-BT71</f>
        <v>0</v>
      </c>
      <c r="BU74" s="125">
        <f t="shared" si="249"/>
        <v>0</v>
      </c>
      <c r="BV74" s="125">
        <f t="shared" si="249"/>
        <v>0</v>
      </c>
      <c r="BW74" s="126">
        <f t="shared" si="249"/>
        <v>0</v>
      </c>
      <c r="BX74" s="149"/>
      <c r="BY74" s="125">
        <f t="shared" ref="BY74:CL74" si="250">BY73-BY71</f>
        <v>0</v>
      </c>
      <c r="BZ74" s="125">
        <f t="shared" si="250"/>
        <v>0</v>
      </c>
      <c r="CA74" s="125">
        <f t="shared" si="250"/>
        <v>0</v>
      </c>
      <c r="CB74" s="125">
        <f t="shared" si="250"/>
        <v>0</v>
      </c>
      <c r="CC74" s="125">
        <f t="shared" si="250"/>
        <v>1.3677947663381929E-13</v>
      </c>
      <c r="CD74" s="125">
        <f t="shared" si="250"/>
        <v>0</v>
      </c>
      <c r="CE74" s="125">
        <f t="shared" si="250"/>
        <v>0</v>
      </c>
      <c r="CF74" s="125">
        <f t="shared" si="250"/>
        <v>0</v>
      </c>
      <c r="CG74" s="125">
        <f t="shared" si="250"/>
        <v>0</v>
      </c>
      <c r="CH74" s="125">
        <f t="shared" si="250"/>
        <v>0</v>
      </c>
      <c r="CI74" s="125">
        <f t="shared" si="250"/>
        <v>0</v>
      </c>
      <c r="CJ74" s="125">
        <f t="shared" si="250"/>
        <v>0</v>
      </c>
      <c r="CK74" s="125">
        <f t="shared" si="250"/>
        <v>0</v>
      </c>
      <c r="CL74" s="1309">
        <f t="shared" si="250"/>
        <v>0</v>
      </c>
      <c r="CM74" s="1309">
        <f>CM73-CM71</f>
        <v>0</v>
      </c>
      <c r="CN74" s="1309">
        <f>CN73-CN71</f>
        <v>0</v>
      </c>
      <c r="CO74" s="1309">
        <f>CO73-CO71</f>
        <v>0</v>
      </c>
      <c r="CP74" s="1310">
        <f>CP73-CP71</f>
        <v>0</v>
      </c>
      <c r="CQ74" s="1041"/>
    </row>
    <row r="75" spans="1:95" ht="14.25" customHeight="1">
      <c r="A75" s="9"/>
      <c r="B75" s="56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6"/>
      <c r="AR75" s="57"/>
      <c r="AS75" s="57"/>
      <c r="AT75" s="57"/>
      <c r="AU75" s="56"/>
      <c r="AV75" s="57"/>
      <c r="AW75" s="57"/>
      <c r="AX75" s="57"/>
      <c r="AY75" s="56"/>
      <c r="AZ75" s="57"/>
      <c r="BA75" s="57"/>
      <c r="BB75" s="57"/>
      <c r="BC75" s="56"/>
      <c r="BD75" s="57"/>
      <c r="BE75" s="57"/>
      <c r="BF75" s="57"/>
      <c r="BG75" s="56"/>
      <c r="BH75" s="57"/>
      <c r="BI75" s="57"/>
      <c r="BJ75" s="57"/>
      <c r="BK75" s="56"/>
      <c r="BL75" s="57"/>
      <c r="BM75" s="57"/>
      <c r="BN75" s="57"/>
      <c r="BO75" s="56"/>
      <c r="BP75" s="57"/>
      <c r="BQ75" s="57"/>
      <c r="BR75" s="57"/>
      <c r="BS75" s="56"/>
      <c r="BT75" s="57"/>
      <c r="BU75" s="57"/>
      <c r="BV75" s="57"/>
      <c r="BW75" s="56"/>
      <c r="BX75" s="9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</row>
    <row r="76" spans="1:95" ht="14.25" customHeight="1">
      <c r="A76" s="9"/>
      <c r="B76" s="60"/>
      <c r="C76" s="57"/>
      <c r="D76" s="150"/>
      <c r="E76" s="150"/>
      <c r="F76" s="57"/>
      <c r="G76" s="57"/>
      <c r="H76" s="150"/>
      <c r="I76" s="150"/>
      <c r="J76" s="57"/>
      <c r="K76" s="57"/>
      <c r="L76" s="150"/>
      <c r="M76" s="150"/>
      <c r="N76" s="57"/>
      <c r="O76" s="57"/>
      <c r="P76" s="150"/>
      <c r="Q76" s="150"/>
      <c r="R76" s="57"/>
      <c r="S76" s="57"/>
      <c r="T76" s="150"/>
      <c r="U76" s="150"/>
      <c r="V76" s="57"/>
      <c r="W76" s="57"/>
      <c r="X76" s="150"/>
      <c r="Y76" s="150"/>
      <c r="Z76" s="57"/>
      <c r="AA76" s="57"/>
      <c r="AB76" s="150"/>
      <c r="AC76" s="150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60"/>
      <c r="AR76" s="57"/>
      <c r="AS76" s="57"/>
      <c r="AT76" s="57"/>
      <c r="AU76" s="60"/>
      <c r="AV76" s="57"/>
      <c r="AW76" s="57"/>
      <c r="AX76" s="57"/>
      <c r="AY76" s="60"/>
      <c r="AZ76" s="57"/>
      <c r="BA76" s="57"/>
      <c r="BB76" s="57"/>
      <c r="BC76" s="60"/>
      <c r="BD76" s="57"/>
      <c r="BE76" s="57"/>
      <c r="BF76" s="57"/>
      <c r="BG76" s="60"/>
      <c r="BH76" s="57"/>
      <c r="BI76" s="57"/>
      <c r="BJ76" s="57"/>
      <c r="BK76" s="60"/>
      <c r="BL76" s="57"/>
      <c r="BM76" s="57"/>
      <c r="BN76" s="57"/>
      <c r="BO76" s="60"/>
      <c r="BP76" s="57"/>
      <c r="BQ76" s="57"/>
      <c r="BR76" s="57"/>
      <c r="BS76" s="60"/>
      <c r="BT76" s="57"/>
      <c r="BU76" s="57"/>
      <c r="BV76" s="57"/>
      <c r="BW76" s="60"/>
      <c r="BX76" s="9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</row>
    <row r="77" spans="1:95" ht="14.25" customHeight="1">
      <c r="A77" s="9"/>
      <c r="B77" s="131" t="s">
        <v>182</v>
      </c>
      <c r="C77" s="132"/>
      <c r="D77" s="18" t="str">
        <f>D$62</f>
        <v>F1Q03A</v>
      </c>
      <c r="E77" s="19" t="str">
        <f t="shared" ref="E77:BP77" si="251">E$62</f>
        <v>F2Q03A</v>
      </c>
      <c r="F77" s="19" t="str">
        <f t="shared" si="251"/>
        <v>F3Q03A</v>
      </c>
      <c r="G77" s="20" t="str">
        <f t="shared" si="251"/>
        <v>F4Q03A</v>
      </c>
      <c r="H77" s="18" t="str">
        <f t="shared" si="251"/>
        <v>F1Q04A</v>
      </c>
      <c r="I77" s="19" t="str">
        <f t="shared" si="251"/>
        <v>F2Q04A</v>
      </c>
      <c r="J77" s="19" t="str">
        <f t="shared" si="251"/>
        <v>F3Q04A</v>
      </c>
      <c r="K77" s="20" t="str">
        <f t="shared" si="251"/>
        <v>F4Q04A</v>
      </c>
      <c r="L77" s="18" t="str">
        <f t="shared" si="251"/>
        <v>F1Q05A</v>
      </c>
      <c r="M77" s="19" t="str">
        <f t="shared" si="251"/>
        <v>F2Q05A</v>
      </c>
      <c r="N77" s="19" t="str">
        <f t="shared" si="251"/>
        <v>F3Q05A</v>
      </c>
      <c r="O77" s="20" t="str">
        <f t="shared" si="251"/>
        <v>F4Q05A</v>
      </c>
      <c r="P77" s="18" t="str">
        <f t="shared" si="251"/>
        <v>F1Q06A</v>
      </c>
      <c r="Q77" s="19" t="str">
        <f t="shared" si="251"/>
        <v>F2Q06A</v>
      </c>
      <c r="R77" s="19" t="str">
        <f t="shared" si="251"/>
        <v>F3Q06A</v>
      </c>
      <c r="S77" s="20" t="str">
        <f t="shared" si="251"/>
        <v>F4Q06A</v>
      </c>
      <c r="T77" s="18" t="str">
        <f t="shared" si="251"/>
        <v>F1Q07A</v>
      </c>
      <c r="U77" s="19" t="str">
        <f t="shared" si="251"/>
        <v>F2Q07A</v>
      </c>
      <c r="V77" s="19" t="str">
        <f t="shared" si="251"/>
        <v>F3Q07A</v>
      </c>
      <c r="W77" s="20" t="str">
        <f t="shared" si="251"/>
        <v>F4Q07A</v>
      </c>
      <c r="X77" s="18" t="str">
        <f t="shared" si="251"/>
        <v>F1Q08A</v>
      </c>
      <c r="Y77" s="19" t="str">
        <f t="shared" si="251"/>
        <v>F2Q08A</v>
      </c>
      <c r="Z77" s="19" t="str">
        <f t="shared" si="251"/>
        <v>F3Q08A</v>
      </c>
      <c r="AA77" s="20" t="str">
        <f t="shared" si="251"/>
        <v>F4Q08A</v>
      </c>
      <c r="AB77" s="18" t="str">
        <f t="shared" si="251"/>
        <v>F1Q09A</v>
      </c>
      <c r="AC77" s="19" t="str">
        <f t="shared" si="251"/>
        <v>F2Q09A</v>
      </c>
      <c r="AD77" s="19" t="str">
        <f t="shared" si="251"/>
        <v>F3Q09A</v>
      </c>
      <c r="AE77" s="20" t="str">
        <f t="shared" si="251"/>
        <v>F4Q09A</v>
      </c>
      <c r="AF77" s="19" t="str">
        <f t="shared" si="251"/>
        <v>F1Q10A</v>
      </c>
      <c r="AG77" s="19" t="str">
        <f t="shared" si="251"/>
        <v>F2Q10A</v>
      </c>
      <c r="AH77" s="19" t="str">
        <f t="shared" si="251"/>
        <v>F3Q10A</v>
      </c>
      <c r="AI77" s="20" t="str">
        <f t="shared" si="251"/>
        <v>F4Q10A</v>
      </c>
      <c r="AJ77" s="18" t="str">
        <f t="shared" si="251"/>
        <v>F1Q11A</v>
      </c>
      <c r="AK77" s="19" t="str">
        <f t="shared" si="251"/>
        <v>F2Q11A</v>
      </c>
      <c r="AL77" s="19" t="str">
        <f t="shared" si="251"/>
        <v>F3Q11A</v>
      </c>
      <c r="AM77" s="20" t="str">
        <f t="shared" si="251"/>
        <v>F4Q11A</v>
      </c>
      <c r="AN77" s="18" t="str">
        <f t="shared" si="251"/>
        <v>F1Q12A</v>
      </c>
      <c r="AO77" s="19" t="str">
        <f t="shared" si="251"/>
        <v>F2Q12A</v>
      </c>
      <c r="AP77" s="19" t="str">
        <f t="shared" si="251"/>
        <v>F3Q12A</v>
      </c>
      <c r="AQ77" s="20" t="str">
        <f t="shared" si="251"/>
        <v>F4Q12A</v>
      </c>
      <c r="AR77" s="18" t="str">
        <f t="shared" si="251"/>
        <v>F1Q13A</v>
      </c>
      <c r="AS77" s="19" t="str">
        <f t="shared" si="251"/>
        <v>F2Q13A</v>
      </c>
      <c r="AT77" s="19" t="str">
        <f t="shared" si="251"/>
        <v>F3Q13A</v>
      </c>
      <c r="AU77" s="20" t="str">
        <f t="shared" si="251"/>
        <v>F4Q13A</v>
      </c>
      <c r="AV77" s="18" t="str">
        <f t="shared" si="251"/>
        <v>F1Q14A</v>
      </c>
      <c r="AW77" s="19" t="str">
        <f t="shared" si="251"/>
        <v>F2Q14A</v>
      </c>
      <c r="AX77" s="19" t="str">
        <f t="shared" si="251"/>
        <v>F3Q14A</v>
      </c>
      <c r="AY77" s="20" t="str">
        <f t="shared" si="251"/>
        <v>F4Q14A</v>
      </c>
      <c r="AZ77" s="18" t="str">
        <f t="shared" si="251"/>
        <v>F1Q15A</v>
      </c>
      <c r="BA77" s="19" t="str">
        <f t="shared" si="251"/>
        <v>F2Q15A</v>
      </c>
      <c r="BB77" s="19" t="str">
        <f t="shared" si="251"/>
        <v>F3Q15A</v>
      </c>
      <c r="BC77" s="20" t="str">
        <f t="shared" si="251"/>
        <v>F4Q15A</v>
      </c>
      <c r="BD77" s="18" t="str">
        <f t="shared" si="251"/>
        <v>F1Q16A</v>
      </c>
      <c r="BE77" s="19" t="str">
        <f t="shared" si="251"/>
        <v>F2Q16A</v>
      </c>
      <c r="BF77" s="19" t="str">
        <f t="shared" si="251"/>
        <v>F3Q16A</v>
      </c>
      <c r="BG77" s="1301" t="str">
        <f t="shared" si="251"/>
        <v>F4Q16A</v>
      </c>
      <c r="BH77" s="18" t="str">
        <f t="shared" si="251"/>
        <v>F1Q17A</v>
      </c>
      <c r="BI77" s="19" t="str">
        <f t="shared" si="251"/>
        <v>F2Q17A</v>
      </c>
      <c r="BJ77" s="19" t="str">
        <f t="shared" si="251"/>
        <v>F3Q17A</v>
      </c>
      <c r="BK77" s="20" t="str">
        <f t="shared" si="251"/>
        <v>F4Q17A</v>
      </c>
      <c r="BL77" s="18" t="str">
        <f t="shared" si="251"/>
        <v>F1Q18E</v>
      </c>
      <c r="BM77" s="19" t="str">
        <f t="shared" si="251"/>
        <v>F2Q18E</v>
      </c>
      <c r="BN77" s="19" t="str">
        <f t="shared" si="251"/>
        <v>F3Q18E</v>
      </c>
      <c r="BO77" s="20" t="str">
        <f t="shared" si="251"/>
        <v>F4Q18E</v>
      </c>
      <c r="BP77" s="1299" t="str">
        <f t="shared" si="251"/>
        <v>F1Q19E</v>
      </c>
      <c r="BQ77" s="1300" t="str">
        <f t="shared" ref="BQ77:BW77" si="252">BQ$62</f>
        <v>F2Q19E</v>
      </c>
      <c r="BR77" s="1300" t="str">
        <f t="shared" si="252"/>
        <v>F3Q19E</v>
      </c>
      <c r="BS77" s="1301" t="str">
        <f t="shared" si="252"/>
        <v>F4Q19E</v>
      </c>
      <c r="BT77" s="1390" t="str">
        <f t="shared" si="252"/>
        <v>F1Q20E</v>
      </c>
      <c r="BU77" s="1391" t="str">
        <f t="shared" si="252"/>
        <v>F2Q20E</v>
      </c>
      <c r="BV77" s="1391" t="str">
        <f t="shared" si="252"/>
        <v>F3Q20E</v>
      </c>
      <c r="BW77" s="1392" t="str">
        <f t="shared" si="252"/>
        <v>F4Q20E</v>
      </c>
      <c r="BX77" s="21"/>
      <c r="BY77" s="19" t="str">
        <f>BY$62</f>
        <v>FY2003A</v>
      </c>
      <c r="BZ77" s="19" t="str">
        <f t="shared" ref="BZ77:CP77" si="253">BZ$62</f>
        <v>FY2004A</v>
      </c>
      <c r="CA77" s="19" t="str">
        <f t="shared" si="253"/>
        <v>FY2005A</v>
      </c>
      <c r="CB77" s="19" t="str">
        <f t="shared" si="253"/>
        <v>FY2006A</v>
      </c>
      <c r="CC77" s="19" t="str">
        <f t="shared" si="253"/>
        <v>FY2007A</v>
      </c>
      <c r="CD77" s="19" t="str">
        <f t="shared" si="253"/>
        <v>FY2008A</v>
      </c>
      <c r="CE77" s="19" t="str">
        <f t="shared" si="253"/>
        <v>FY2009A</v>
      </c>
      <c r="CF77" s="19" t="str">
        <f t="shared" si="253"/>
        <v>FY2010A</v>
      </c>
      <c r="CG77" s="19" t="str">
        <f t="shared" si="253"/>
        <v>FY2011A</v>
      </c>
      <c r="CH77" s="1391" t="str">
        <f t="shared" si="253"/>
        <v>FY2012A</v>
      </c>
      <c r="CI77" s="1391" t="str">
        <f t="shared" si="253"/>
        <v>FY2013A</v>
      </c>
      <c r="CJ77" s="1391" t="str">
        <f t="shared" si="253"/>
        <v>FY2014A</v>
      </c>
      <c r="CK77" s="1391" t="str">
        <f t="shared" si="253"/>
        <v>FY2015A</v>
      </c>
      <c r="CL77" s="1391" t="str">
        <f t="shared" si="253"/>
        <v>FY2016</v>
      </c>
      <c r="CM77" s="1391" t="str">
        <f t="shared" si="253"/>
        <v>FY2017A</v>
      </c>
      <c r="CN77" s="1391" t="str">
        <f t="shared" si="253"/>
        <v>FY2018E</v>
      </c>
      <c r="CO77" s="1391" t="str">
        <f t="shared" si="253"/>
        <v>FY2019E</v>
      </c>
      <c r="CP77" s="1392" t="str">
        <f t="shared" si="253"/>
        <v>FY2020E</v>
      </c>
      <c r="CQ77" s="1041"/>
    </row>
    <row r="78" spans="1:95" ht="14.25" customHeight="1">
      <c r="A78" s="9"/>
      <c r="B78" s="61" t="s">
        <v>489</v>
      </c>
      <c r="C78" s="62"/>
      <c r="D78" s="1103">
        <f>IS!D124</f>
        <v>176.4</v>
      </c>
      <c r="E78" s="1104">
        <f>IS!E124</f>
        <v>176.8</v>
      </c>
      <c r="F78" s="1105">
        <f>IS!F124</f>
        <v>179.5</v>
      </c>
      <c r="G78" s="1106">
        <f>IS!G124</f>
        <v>216.9</v>
      </c>
      <c r="H78" s="1103">
        <f>IS!H124</f>
        <v>229.5</v>
      </c>
      <c r="I78" s="1104">
        <f>IS!I124</f>
        <v>253.3</v>
      </c>
      <c r="J78" s="1105">
        <f>IS!J124</f>
        <v>285.89999999999998</v>
      </c>
      <c r="K78" s="1106">
        <f>IS!K124</f>
        <v>254.5</v>
      </c>
      <c r="L78" s="1103">
        <f>IS!L124</f>
        <v>287.8</v>
      </c>
      <c r="M78" s="1104">
        <f>IS!M124</f>
        <v>287.8</v>
      </c>
      <c r="N78" s="1105">
        <f>IS!N124</f>
        <v>290.7</v>
      </c>
      <c r="O78" s="1106">
        <f>IS!O124</f>
        <v>320.7</v>
      </c>
      <c r="P78" s="1103">
        <f>IS!P124</f>
        <v>346.4</v>
      </c>
      <c r="Q78" s="1104">
        <f>IS!Q124</f>
        <v>355.7</v>
      </c>
      <c r="R78" s="1105">
        <f>IS!R124</f>
        <v>336.6</v>
      </c>
      <c r="S78" s="1106">
        <f>IS!S124</f>
        <v>327.10000000000002</v>
      </c>
      <c r="T78" s="1103">
        <f>IS!T124</f>
        <v>300.60000000000002</v>
      </c>
      <c r="U78" s="1104">
        <f>IS!U124</f>
        <v>306.5</v>
      </c>
      <c r="V78" s="1105">
        <f>IS!V124</f>
        <v>317.8</v>
      </c>
      <c r="W78" s="1106">
        <f>IS!W124</f>
        <v>301.3</v>
      </c>
      <c r="X78" s="1103">
        <f>IS!X124</f>
        <v>309.3</v>
      </c>
      <c r="Y78" s="1104">
        <f>IS!Y124</f>
        <v>405.8</v>
      </c>
      <c r="Z78" s="1105">
        <f>IS!Z124</f>
        <v>404.8</v>
      </c>
      <c r="AA78" s="1106">
        <f>IS!AA124</f>
        <v>409.1</v>
      </c>
      <c r="AB78" s="1103">
        <f>IS!AB124</f>
        <v>413.6</v>
      </c>
      <c r="AC78" s="1104">
        <f>IS!AC124</f>
        <v>420.7</v>
      </c>
      <c r="AD78" s="1105">
        <f>IS!AD124</f>
        <v>439.1</v>
      </c>
      <c r="AE78" s="1106">
        <f>IS!AE124</f>
        <v>442.9</v>
      </c>
      <c r="AF78" s="1103">
        <f>IS!AF124</f>
        <v>440.9</v>
      </c>
      <c r="AG78" s="1104">
        <f>IS!AG124</f>
        <v>439.6</v>
      </c>
      <c r="AH78" s="1105">
        <f>IS!AH124</f>
        <v>439.8</v>
      </c>
      <c r="AI78" s="1106">
        <f>IS!AI124</f>
        <v>447.5</v>
      </c>
      <c r="AJ78" s="1103">
        <f>IS!AJ124</f>
        <v>456</v>
      </c>
      <c r="AK78" s="1104">
        <f>IS!AK124</f>
        <v>461.5</v>
      </c>
      <c r="AL78" s="1105">
        <f>IS!AL124</f>
        <v>448.8</v>
      </c>
      <c r="AM78" s="1106">
        <f>IS!AM124</f>
        <v>450.4</v>
      </c>
      <c r="AN78" s="1103">
        <f>IS!AN124</f>
        <v>460.6</v>
      </c>
      <c r="AO78" s="1104">
        <f>IS!AO124</f>
        <v>457.5</v>
      </c>
      <c r="AP78" s="1105">
        <f>IS!AP124</f>
        <v>456.2</v>
      </c>
      <c r="AQ78" s="1106">
        <f>IS!AQ124</f>
        <v>448.6</v>
      </c>
      <c r="AR78" s="1103">
        <f>IS!AR124</f>
        <v>452.5</v>
      </c>
      <c r="AS78" s="1104">
        <f>IS!AS124</f>
        <v>453.3</v>
      </c>
      <c r="AT78" s="1105">
        <f>IS!AT124</f>
        <v>452.1</v>
      </c>
      <c r="AU78" s="1106">
        <f>IS!AU124</f>
        <v>445.2</v>
      </c>
      <c r="AV78" s="1103">
        <f>IS!AV124</f>
        <v>444.5</v>
      </c>
      <c r="AW78" s="1104">
        <f>IS!AW124</f>
        <v>444.5</v>
      </c>
      <c r="AX78" s="1105">
        <f>IS!AX124</f>
        <v>444.9</v>
      </c>
      <c r="AY78" s="1106">
        <f>IS!AY124</f>
        <v>440.2</v>
      </c>
      <c r="AZ78" s="1103">
        <f>IS!AZ124</f>
        <v>439.9</v>
      </c>
      <c r="BA78" s="1104">
        <f>IS!BA124</f>
        <v>436.3</v>
      </c>
      <c r="BB78" s="1105">
        <f>IS!BB124</f>
        <v>417.5</v>
      </c>
      <c r="BC78" s="1106">
        <f>IS!BC124</f>
        <v>416.9</v>
      </c>
      <c r="BD78" s="1103">
        <f>IS!BD124</f>
        <v>415.5</v>
      </c>
      <c r="BE78" s="1104">
        <f>IS!BE124</f>
        <v>417.6</v>
      </c>
      <c r="BF78" s="1105">
        <f>IS!BF124</f>
        <v>419.8</v>
      </c>
      <c r="BG78" s="1106">
        <f>IS!BG124</f>
        <v>426.9</v>
      </c>
      <c r="BH78" s="1103">
        <f>IS!BH124</f>
        <v>425.8</v>
      </c>
      <c r="BI78" s="1104">
        <f>IS!BI124</f>
        <v>425.9</v>
      </c>
      <c r="BJ78" s="1105">
        <f>IS!BJ124</f>
        <v>427.5</v>
      </c>
      <c r="BK78" s="1106">
        <f>IS!BK124</f>
        <v>433.3</v>
      </c>
      <c r="BL78" s="1103">
        <f>IS!BL124</f>
        <v>446</v>
      </c>
      <c r="BM78" s="1104">
        <f>IS!BM124</f>
        <v>447</v>
      </c>
      <c r="BN78" s="1105">
        <f>IS!BN124</f>
        <v>448</v>
      </c>
      <c r="BO78" s="1106">
        <f>IS!BO124</f>
        <v>449</v>
      </c>
      <c r="BP78" s="1103">
        <f>IS!BP124</f>
        <v>450</v>
      </c>
      <c r="BQ78" s="1104">
        <f>IS!BQ124</f>
        <v>451</v>
      </c>
      <c r="BR78" s="1105">
        <f>IS!BR124</f>
        <v>452</v>
      </c>
      <c r="BS78" s="1106">
        <f>IS!BS124</f>
        <v>453</v>
      </c>
      <c r="BT78" s="1103">
        <f>IS!BT124</f>
        <v>454</v>
      </c>
      <c r="BU78" s="1104">
        <f>IS!BU124</f>
        <v>455</v>
      </c>
      <c r="BV78" s="1105">
        <f>IS!BV124</f>
        <v>456</v>
      </c>
      <c r="BW78" s="1106">
        <f>IS!BW124</f>
        <v>457</v>
      </c>
      <c r="BX78" s="211"/>
      <c r="BY78" s="1150">
        <f>IS!BY124</f>
        <v>187.4</v>
      </c>
      <c r="BZ78" s="1151">
        <f>IS!BZ124</f>
        <v>247.8</v>
      </c>
      <c r="CA78" s="1151">
        <f>IS!CA124</f>
        <v>296.8</v>
      </c>
      <c r="CB78" s="1151">
        <f>IS!CB124</f>
        <v>342.1</v>
      </c>
      <c r="CC78" s="1151">
        <f>IS!CC124</f>
        <v>301.2</v>
      </c>
      <c r="CD78" s="1151">
        <f>IS!CD124</f>
        <v>379</v>
      </c>
      <c r="CE78" s="1151">
        <f>IS!CE124</f>
        <v>432.1</v>
      </c>
      <c r="CF78" s="1151">
        <f>IS!CF124</f>
        <v>444.4</v>
      </c>
      <c r="CG78" s="1151">
        <f>IS!CG124</f>
        <v>457.2</v>
      </c>
      <c r="CH78" s="1151">
        <f>IS!CH124</f>
        <v>452.6</v>
      </c>
      <c r="CI78" s="1151">
        <f>IS!CI124</f>
        <v>450.77500000000003</v>
      </c>
      <c r="CJ78" s="1151">
        <f>IS!CJ124</f>
        <v>443.52500000000003</v>
      </c>
      <c r="CK78" s="1151">
        <f>IS!CK124</f>
        <v>427.65</v>
      </c>
      <c r="CL78" s="1105">
        <f>IS!CL124</f>
        <v>419.95000000000005</v>
      </c>
      <c r="CM78" s="1105">
        <f>IS!CM124</f>
        <v>428.125</v>
      </c>
      <c r="CN78" s="1105">
        <f>IS!CN124</f>
        <v>447.5</v>
      </c>
      <c r="CO78" s="1105">
        <f>IS!CO124</f>
        <v>451.5</v>
      </c>
      <c r="CP78" s="1106">
        <f>IS!CP124</f>
        <v>455.5</v>
      </c>
      <c r="CQ78" s="1041"/>
    </row>
    <row r="79" spans="1:95" ht="14.25" customHeight="1">
      <c r="A79" s="9"/>
      <c r="B79" s="23"/>
      <c r="C79" s="24"/>
      <c r="D79" s="451"/>
      <c r="E79" s="151"/>
      <c r="F79" s="151"/>
      <c r="G79" s="152"/>
      <c r="H79" s="151"/>
      <c r="I79" s="151"/>
      <c r="J79" s="151"/>
      <c r="K79" s="151"/>
      <c r="L79" s="451"/>
      <c r="M79" s="151"/>
      <c r="N79" s="151"/>
      <c r="O79" s="152"/>
      <c r="P79" s="451"/>
      <c r="Q79" s="151"/>
      <c r="R79" s="151"/>
      <c r="S79" s="152"/>
      <c r="T79" s="451"/>
      <c r="U79" s="151"/>
      <c r="V79" s="151"/>
      <c r="W79" s="151"/>
      <c r="X79" s="451"/>
      <c r="Y79" s="151"/>
      <c r="Z79" s="151"/>
      <c r="AA79" s="152"/>
      <c r="AB79" s="451"/>
      <c r="AC79" s="151"/>
      <c r="AD79" s="151"/>
      <c r="AE79" s="152"/>
      <c r="AF79" s="151"/>
      <c r="AG79" s="151"/>
      <c r="AH79" s="151"/>
      <c r="AI79" s="151"/>
      <c r="AJ79" s="451"/>
      <c r="AK79" s="151"/>
      <c r="AL79" s="151"/>
      <c r="AM79" s="152"/>
      <c r="AN79" s="151"/>
      <c r="AO79" s="151"/>
      <c r="AP79" s="151"/>
      <c r="AQ79" s="151"/>
      <c r="AR79" s="451"/>
      <c r="AS79" s="151"/>
      <c r="AT79" s="151"/>
      <c r="AU79" s="152"/>
      <c r="AV79" s="151"/>
      <c r="AW79" s="151"/>
      <c r="AX79" s="151"/>
      <c r="AY79" s="152"/>
      <c r="AZ79" s="451"/>
      <c r="BA79" s="151"/>
      <c r="BB79" s="151"/>
      <c r="BC79" s="152"/>
      <c r="BD79" s="451"/>
      <c r="BE79" s="151"/>
      <c r="BF79" s="151"/>
      <c r="BG79" s="152"/>
      <c r="BH79" s="151"/>
      <c r="BI79" s="151"/>
      <c r="BJ79" s="151"/>
      <c r="BK79" s="152"/>
      <c r="BL79" s="151"/>
      <c r="BM79" s="151"/>
      <c r="BN79" s="151"/>
      <c r="BO79" s="152"/>
      <c r="BP79" s="151"/>
      <c r="BQ79" s="151"/>
      <c r="BR79" s="151"/>
      <c r="BS79" s="152"/>
      <c r="BT79" s="151"/>
      <c r="BU79" s="151"/>
      <c r="BV79" s="151"/>
      <c r="BW79" s="152"/>
      <c r="BX79" s="211"/>
      <c r="BY79" s="151"/>
      <c r="BZ79" s="1116"/>
      <c r="CA79" s="1116"/>
      <c r="CB79" s="1116"/>
      <c r="CC79" s="1116"/>
      <c r="CD79" s="1116"/>
      <c r="CE79" s="1116"/>
      <c r="CF79" s="1116"/>
      <c r="CG79" s="1116"/>
      <c r="CH79" s="1116"/>
      <c r="CI79" s="1116"/>
      <c r="CJ79" s="1116"/>
      <c r="CK79" s="1116"/>
      <c r="CL79" s="1116"/>
      <c r="CM79" s="1116"/>
      <c r="CN79" s="1116"/>
      <c r="CO79" s="1116"/>
      <c r="CP79" s="1117"/>
      <c r="CQ79" s="1041"/>
    </row>
    <row r="80" spans="1:95" ht="14.25" customHeight="1">
      <c r="A80" s="9"/>
      <c r="B80" s="297" t="s">
        <v>482</v>
      </c>
      <c r="C80" s="24"/>
      <c r="D80" s="451"/>
      <c r="E80" s="151"/>
      <c r="F80" s="151"/>
      <c r="G80" s="152"/>
      <c r="H80" s="151"/>
      <c r="I80" s="151"/>
      <c r="J80" s="151"/>
      <c r="K80" s="151"/>
      <c r="L80" s="451"/>
      <c r="M80" s="151"/>
      <c r="N80" s="151"/>
      <c r="O80" s="152"/>
      <c r="P80" s="451"/>
      <c r="Q80" s="151"/>
      <c r="R80" s="151"/>
      <c r="S80" s="152"/>
      <c r="T80" s="451"/>
      <c r="U80" s="151"/>
      <c r="V80" s="151"/>
      <c r="W80" s="151"/>
      <c r="X80" s="451"/>
      <c r="Y80" s="151"/>
      <c r="Z80" s="151"/>
      <c r="AA80" s="152"/>
      <c r="AB80" s="451"/>
      <c r="AC80" s="151"/>
      <c r="AD80" s="151"/>
      <c r="AE80" s="152"/>
      <c r="AF80" s="151"/>
      <c r="AG80" s="151"/>
      <c r="AH80" s="151"/>
      <c r="AI80" s="151"/>
      <c r="AJ80" s="451"/>
      <c r="AK80" s="151"/>
      <c r="AL80" s="151"/>
      <c r="AM80" s="152"/>
      <c r="AN80" s="151"/>
      <c r="AO80" s="151"/>
      <c r="AP80" s="151"/>
      <c r="AQ80" s="151"/>
      <c r="AR80" s="451"/>
      <c r="AS80" s="151"/>
      <c r="AT80" s="151"/>
      <c r="AU80" s="152"/>
      <c r="AV80" s="151"/>
      <c r="AW80" s="151"/>
      <c r="AX80" s="151"/>
      <c r="AY80" s="152"/>
      <c r="AZ80" s="451"/>
      <c r="BA80" s="151"/>
      <c r="BB80" s="151"/>
      <c r="BC80" s="152"/>
      <c r="BD80" s="451"/>
      <c r="BE80" s="151"/>
      <c r="BF80" s="151"/>
      <c r="BG80" s="152"/>
      <c r="BH80" s="151"/>
      <c r="BI80" s="151"/>
      <c r="BJ80" s="151"/>
      <c r="BK80" s="152"/>
      <c r="BL80" s="151"/>
      <c r="BM80" s="151"/>
      <c r="BN80" s="151"/>
      <c r="BO80" s="152"/>
      <c r="BP80" s="151"/>
      <c r="BQ80" s="151"/>
      <c r="BR80" s="151"/>
      <c r="BS80" s="152"/>
      <c r="BT80" s="151"/>
      <c r="BU80" s="151"/>
      <c r="BV80" s="151"/>
      <c r="BW80" s="152"/>
      <c r="BX80" s="211"/>
      <c r="BY80" s="151"/>
      <c r="BZ80" s="1116"/>
      <c r="CA80" s="1116"/>
      <c r="CB80" s="1116"/>
      <c r="CC80" s="1116"/>
      <c r="CD80" s="1116"/>
      <c r="CE80" s="1116"/>
      <c r="CF80" s="1116"/>
      <c r="CG80" s="1116"/>
      <c r="CH80" s="1116"/>
      <c r="CI80" s="1116"/>
      <c r="CJ80" s="1116"/>
      <c r="CK80" s="1116"/>
      <c r="CL80" s="1116"/>
      <c r="CM80" s="1116"/>
      <c r="CN80" s="1116"/>
      <c r="CO80" s="1116"/>
      <c r="CP80" s="1117"/>
      <c r="CQ80" s="1041"/>
    </row>
    <row r="81" spans="1:95" ht="14.25" customHeight="1">
      <c r="A81" s="9"/>
      <c r="B81" s="23" t="s">
        <v>183</v>
      </c>
      <c r="C81" s="24"/>
      <c r="D81" s="508">
        <f t="shared" ref="D81:AY81" si="254">D42/D78</f>
        <v>-3.9257369614512472</v>
      </c>
      <c r="E81" s="506">
        <f t="shared" si="254"/>
        <v>-4.2460407239819</v>
      </c>
      <c r="F81" s="506">
        <f t="shared" si="254"/>
        <v>-3.3643454038997214</v>
      </c>
      <c r="G81" s="507">
        <f t="shared" si="254"/>
        <v>-2.9718764407561089</v>
      </c>
      <c r="H81" s="506">
        <f t="shared" si="254"/>
        <v>-2.0178649237472768</v>
      </c>
      <c r="I81" s="506">
        <f t="shared" si="254"/>
        <v>-1.8432688511646267</v>
      </c>
      <c r="J81" s="506">
        <f t="shared" si="254"/>
        <v>-1.5816719132563835</v>
      </c>
      <c r="K81" s="506">
        <f t="shared" si="254"/>
        <v>-2.1131630648330058</v>
      </c>
      <c r="L81" s="508">
        <f t="shared" si="254"/>
        <v>-1.8130646282140372</v>
      </c>
      <c r="M81" s="506">
        <f t="shared" si="254"/>
        <v>-1.7626824183460736</v>
      </c>
      <c r="N81" s="506">
        <f t="shared" si="254"/>
        <v>-1.6580667354661163</v>
      </c>
      <c r="O81" s="507">
        <f t="shared" si="254"/>
        <v>-0.93638914873713763</v>
      </c>
      <c r="P81" s="508">
        <f t="shared" si="254"/>
        <v>-0.72084295612009242</v>
      </c>
      <c r="Q81" s="506">
        <f t="shared" si="254"/>
        <v>-0.281135788585887</v>
      </c>
      <c r="R81" s="506">
        <f t="shared" si="254"/>
        <v>-6.0308972073677955E-2</v>
      </c>
      <c r="S81" s="507">
        <f t="shared" si="254"/>
        <v>-0.68908590645062673</v>
      </c>
      <c r="T81" s="508">
        <f t="shared" si="254"/>
        <v>-0.52295409181636721</v>
      </c>
      <c r="U81" s="506">
        <f t="shared" si="254"/>
        <v>-0.44730831973898855</v>
      </c>
      <c r="V81" s="506">
        <f t="shared" si="254"/>
        <v>-0.16834487098804279</v>
      </c>
      <c r="W81" s="506">
        <f t="shared" si="254"/>
        <v>5.2771324261533352E-2</v>
      </c>
      <c r="X81" s="508">
        <f t="shared" si="254"/>
        <v>3.1639185257032008</v>
      </c>
      <c r="Y81" s="506">
        <f t="shared" si="254"/>
        <v>2.5485460818137016</v>
      </c>
      <c r="Z81" s="506">
        <f t="shared" si="254"/>
        <v>2.6798418972332012</v>
      </c>
      <c r="AA81" s="507">
        <f t="shared" si="254"/>
        <v>2.0488878024932777</v>
      </c>
      <c r="AB81" s="508">
        <f t="shared" si="254"/>
        <v>2.0094294003868471</v>
      </c>
      <c r="AC81" s="506">
        <f t="shared" si="254"/>
        <v>2.0202044212027572</v>
      </c>
      <c r="AD81" s="506">
        <f t="shared" si="254"/>
        <v>2.0594397631519015</v>
      </c>
      <c r="AE81" s="507">
        <f t="shared" si="254"/>
        <v>2.223978324678257</v>
      </c>
      <c r="AF81" s="506">
        <f t="shared" si="254"/>
        <v>2.4209571331367661</v>
      </c>
      <c r="AG81" s="506">
        <f t="shared" si="254"/>
        <v>2.6799363057324839</v>
      </c>
      <c r="AH81" s="506">
        <f t="shared" si="254"/>
        <v>2.912232833105957</v>
      </c>
      <c r="AI81" s="506">
        <f t="shared" si="254"/>
        <v>3.052513966480447</v>
      </c>
      <c r="AJ81" s="508">
        <f t="shared" si="254"/>
        <v>3.2609649122807016</v>
      </c>
      <c r="AK81" s="506">
        <f t="shared" si="254"/>
        <v>3.3891657638136508</v>
      </c>
      <c r="AL81" s="506">
        <f t="shared" si="254"/>
        <v>3.3462566844919786</v>
      </c>
      <c r="AM81" s="507">
        <f t="shared" si="254"/>
        <v>3.259769094138544</v>
      </c>
      <c r="AN81" s="506">
        <f t="shared" si="254"/>
        <v>3.2748588797221014</v>
      </c>
      <c r="AO81" s="506">
        <f t="shared" si="254"/>
        <v>3.3162841530054648</v>
      </c>
      <c r="AP81" s="506">
        <f t="shared" si="254"/>
        <v>3.3128014028934678</v>
      </c>
      <c r="AQ81" s="506">
        <f t="shared" si="254"/>
        <v>3.0341061078912168</v>
      </c>
      <c r="AR81" s="508">
        <f t="shared" si="254"/>
        <v>3.0576795580110496</v>
      </c>
      <c r="AS81" s="506">
        <f t="shared" si="254"/>
        <v>3.1634679020516212</v>
      </c>
      <c r="AT81" s="506">
        <f t="shared" si="254"/>
        <v>3.2501658925016588</v>
      </c>
      <c r="AU81" s="507">
        <f t="shared" si="254"/>
        <v>3.2659478885893982</v>
      </c>
      <c r="AV81" s="506">
        <f t="shared" si="254"/>
        <v>3.3901012373453319</v>
      </c>
      <c r="AW81" s="506">
        <f t="shared" si="254"/>
        <v>3.6146231721034874</v>
      </c>
      <c r="AX81" s="506">
        <f t="shared" si="254"/>
        <v>3.6920656327264552</v>
      </c>
      <c r="AY81" s="507">
        <f t="shared" si="254"/>
        <v>3.694911403907315</v>
      </c>
      <c r="AZ81" s="508">
        <f t="shared" ref="AZ81:BC81" si="255">AZ42/AZ78</f>
        <v>3.6499204364628324</v>
      </c>
      <c r="BA81" s="506">
        <f t="shared" si="255"/>
        <v>3.6612422644969058</v>
      </c>
      <c r="BB81" s="506">
        <f t="shared" si="255"/>
        <v>3.732455089820359</v>
      </c>
      <c r="BC81" s="507">
        <f t="shared" si="255"/>
        <v>3.8575197889182062</v>
      </c>
      <c r="BD81" s="508">
        <f>BD42/BD78</f>
        <v>3.980746089049338</v>
      </c>
      <c r="BE81" s="506">
        <f>BE42/BE78</f>
        <v>4.0730363984674334</v>
      </c>
      <c r="BF81" s="506">
        <f>BF42/BF78</f>
        <v>4.1224392567889465</v>
      </c>
      <c r="BG81" s="507">
        <f t="shared" ref="BG81" si="256">BG42/BG78</f>
        <v>4.2707894120402905</v>
      </c>
      <c r="BH81" s="506">
        <f>BH42/BH78</f>
        <v>4.6406763738844523</v>
      </c>
      <c r="BI81" s="506">
        <f t="shared" ref="BI81:BO81" si="257">BI42/BI78</f>
        <v>4.9225170227752999</v>
      </c>
      <c r="BJ81" s="506">
        <f t="shared" si="257"/>
        <v>5.1752046783625731</v>
      </c>
      <c r="BK81" s="507">
        <f t="shared" si="257"/>
        <v>6.4131087006692828</v>
      </c>
      <c r="BL81" s="506">
        <f t="shared" si="257"/>
        <v>6.5431925887994105</v>
      </c>
      <c r="BM81" s="506">
        <f t="shared" si="257"/>
        <v>6.9429076503685048</v>
      </c>
      <c r="BN81" s="506">
        <f t="shared" si="257"/>
        <v>7.3633728491777415</v>
      </c>
      <c r="BO81" s="507">
        <f t="shared" si="257"/>
        <v>7.763096475718223</v>
      </c>
      <c r="BP81" s="506">
        <f t="shared" ref="BP81:BS81" si="258">BP42/BP78</f>
        <v>8.1559261211070453</v>
      </c>
      <c r="BQ81" s="506">
        <f t="shared" si="258"/>
        <v>8.5911292176536342</v>
      </c>
      <c r="BR81" s="506">
        <f t="shared" si="258"/>
        <v>9.0633161446975166</v>
      </c>
      <c r="BS81" s="507">
        <f t="shared" si="258"/>
        <v>9.5188624061203573</v>
      </c>
      <c r="BT81" s="506">
        <f t="shared" ref="BT81:BW81" si="259">BT42/BT78</f>
        <v>9.9515611576741048</v>
      </c>
      <c r="BU81" s="506">
        <f t="shared" si="259"/>
        <v>10.428297829975742</v>
      </c>
      <c r="BV81" s="506">
        <f t="shared" si="259"/>
        <v>10.942979182435719</v>
      </c>
      <c r="BW81" s="507">
        <f t="shared" si="259"/>
        <v>11.440321631824386</v>
      </c>
      <c r="BX81" s="211"/>
      <c r="BY81" s="506">
        <f t="shared" ref="BY81:CJ81" si="260">BY42/BY78</f>
        <v>-3.439701173959445</v>
      </c>
      <c r="BZ81" s="506">
        <f t="shared" si="260"/>
        <v>-2.1702986279257463</v>
      </c>
      <c r="CA81" s="506">
        <f t="shared" si="260"/>
        <v>-1.0117924528301887</v>
      </c>
      <c r="CB81" s="506">
        <f t="shared" si="260"/>
        <v>-0.65887167494884535</v>
      </c>
      <c r="CC81" s="506">
        <f t="shared" si="260"/>
        <v>5.2788844621513946E-2</v>
      </c>
      <c r="CD81" s="506">
        <f t="shared" si="260"/>
        <v>2.2116094986807391</v>
      </c>
      <c r="CE81" s="506">
        <f t="shared" si="260"/>
        <v>2.2795649155288125</v>
      </c>
      <c r="CF81" s="506">
        <f t="shared" si="260"/>
        <v>3.0738073807380739</v>
      </c>
      <c r="CG81" s="506">
        <f t="shared" si="260"/>
        <v>3.2112860892388455</v>
      </c>
      <c r="CH81" s="506">
        <f t="shared" si="260"/>
        <v>3.0072912063632344</v>
      </c>
      <c r="CI81" s="506">
        <f t="shared" si="260"/>
        <v>3.2255559869114299</v>
      </c>
      <c r="CJ81" s="506">
        <f t="shared" si="260"/>
        <v>3.6672115438814044</v>
      </c>
      <c r="CK81" s="506">
        <f t="shared" ref="CK81:CP81" si="261">CK42/CK78</f>
        <v>3.7605518531509414</v>
      </c>
      <c r="CL81" s="506">
        <f t="shared" si="261"/>
        <v>4.3414692225264906</v>
      </c>
      <c r="CM81" s="506">
        <f t="shared" si="261"/>
        <v>6.4906277372262782</v>
      </c>
      <c r="CN81" s="506">
        <f t="shared" si="261"/>
        <v>7.7891180281507983</v>
      </c>
      <c r="CO81" s="506">
        <f t="shared" si="261"/>
        <v>9.550486533715441</v>
      </c>
      <c r="CP81" s="507">
        <f t="shared" si="261"/>
        <v>11.4779955779226</v>
      </c>
      <c r="CQ81" s="1041"/>
    </row>
    <row r="82" spans="1:95" ht="14.25" customHeight="1">
      <c r="A82" s="9"/>
      <c r="B82" s="23" t="s">
        <v>184</v>
      </c>
      <c r="C82" s="24"/>
      <c r="D82" s="451">
        <f t="shared" ref="D82:AY82" si="262">(D42-(D20+D21))</f>
        <v>-793.5</v>
      </c>
      <c r="E82" s="151">
        <f t="shared" si="262"/>
        <v>-828</v>
      </c>
      <c r="F82" s="151">
        <f t="shared" si="262"/>
        <v>-681.19999999999993</v>
      </c>
      <c r="G82" s="152">
        <f t="shared" si="262"/>
        <v>-721.9</v>
      </c>
      <c r="H82" s="151">
        <f t="shared" si="262"/>
        <v>-540.4</v>
      </c>
      <c r="I82" s="151">
        <f t="shared" si="262"/>
        <v>-544.19999999999993</v>
      </c>
      <c r="J82" s="151">
        <f t="shared" si="262"/>
        <v>-529.5</v>
      </c>
      <c r="K82" s="151">
        <f t="shared" si="262"/>
        <v>-615.09999999999991</v>
      </c>
      <c r="L82" s="451">
        <f t="shared" si="262"/>
        <v>-599.09999999999991</v>
      </c>
      <c r="M82" s="151">
        <f t="shared" si="262"/>
        <v>-584.6</v>
      </c>
      <c r="N82" s="151">
        <f t="shared" si="262"/>
        <v>-559.29999999999995</v>
      </c>
      <c r="O82" s="152">
        <f t="shared" si="262"/>
        <v>-377.6</v>
      </c>
      <c r="P82" s="451">
        <f t="shared" si="262"/>
        <v>-327</v>
      </c>
      <c r="Q82" s="151">
        <f t="shared" si="262"/>
        <v>-188.89999999999998</v>
      </c>
      <c r="R82" s="151">
        <f t="shared" si="262"/>
        <v>-112.2</v>
      </c>
      <c r="S82" s="152">
        <f t="shared" si="262"/>
        <v>-316.5</v>
      </c>
      <c r="T82" s="451">
        <f t="shared" si="262"/>
        <v>-248.09999999999997</v>
      </c>
      <c r="U82" s="151">
        <f t="shared" si="262"/>
        <v>-227.39999999999998</v>
      </c>
      <c r="V82" s="151">
        <f t="shared" si="262"/>
        <v>-143.30000000000001</v>
      </c>
      <c r="W82" s="151">
        <f t="shared" si="262"/>
        <v>-214</v>
      </c>
      <c r="X82" s="451">
        <f t="shared" si="262"/>
        <v>-95.100000000000023</v>
      </c>
      <c r="Y82" s="151">
        <f t="shared" si="262"/>
        <v>-26.099999999999909</v>
      </c>
      <c r="Z82" s="151">
        <f t="shared" si="262"/>
        <v>48.599999999999909</v>
      </c>
      <c r="AA82" s="152">
        <f t="shared" si="262"/>
        <v>344.60000000000008</v>
      </c>
      <c r="AB82" s="451">
        <f t="shared" si="262"/>
        <v>356.30000000000007</v>
      </c>
      <c r="AC82" s="151">
        <f t="shared" si="262"/>
        <v>382.79999999999995</v>
      </c>
      <c r="AD82" s="151">
        <f t="shared" si="262"/>
        <v>443.19999999999993</v>
      </c>
      <c r="AE82" s="152">
        <f t="shared" si="262"/>
        <v>510.9</v>
      </c>
      <c r="AF82" s="151">
        <f t="shared" si="262"/>
        <v>545.10000000000014</v>
      </c>
      <c r="AG82" s="151">
        <f t="shared" si="262"/>
        <v>653.49999999999989</v>
      </c>
      <c r="AH82" s="151">
        <f t="shared" si="262"/>
        <v>764</v>
      </c>
      <c r="AI82" s="151">
        <f t="shared" si="262"/>
        <v>871.8</v>
      </c>
      <c r="AJ82" s="451">
        <f t="shared" si="262"/>
        <v>917.1</v>
      </c>
      <c r="AK82" s="151">
        <f t="shared" si="262"/>
        <v>1005.8999999999999</v>
      </c>
      <c r="AL82" s="151">
        <f t="shared" si="262"/>
        <v>954.3</v>
      </c>
      <c r="AM82" s="152">
        <f t="shared" si="262"/>
        <v>932.30000000000007</v>
      </c>
      <c r="AN82" s="151">
        <f t="shared" si="262"/>
        <v>983.90000000000009</v>
      </c>
      <c r="AO82" s="151">
        <f t="shared" si="262"/>
        <v>1003.7</v>
      </c>
      <c r="AP82" s="151">
        <f t="shared" si="262"/>
        <v>1008.7</v>
      </c>
      <c r="AQ82" s="151">
        <f t="shared" si="262"/>
        <v>919.49999999999989</v>
      </c>
      <c r="AR82" s="451">
        <f t="shared" si="262"/>
        <v>950.49999999999989</v>
      </c>
      <c r="AS82" s="151">
        <f t="shared" si="262"/>
        <v>1009.3</v>
      </c>
      <c r="AT82" s="151">
        <f t="shared" si="262"/>
        <v>1053</v>
      </c>
      <c r="AU82" s="152">
        <f t="shared" si="262"/>
        <v>1046</v>
      </c>
      <c r="AV82" s="151">
        <f t="shared" si="262"/>
        <v>1107</v>
      </c>
      <c r="AW82" s="151">
        <f t="shared" si="262"/>
        <v>1149.5999999999999</v>
      </c>
      <c r="AX82" s="151">
        <f t="shared" si="262"/>
        <v>886.89999999999986</v>
      </c>
      <c r="AY82" s="152">
        <f t="shared" si="262"/>
        <v>904.2</v>
      </c>
      <c r="AZ82" s="451">
        <f t="shared" ref="AZ82:BC82" si="263">(AZ42-(AZ20+AZ21))</f>
        <v>917.19999999999982</v>
      </c>
      <c r="BA82" s="151">
        <f t="shared" si="263"/>
        <v>946.30000000000007</v>
      </c>
      <c r="BB82" s="151">
        <f t="shared" si="263"/>
        <v>926.89999999999986</v>
      </c>
      <c r="BC82" s="152">
        <f t="shared" si="263"/>
        <v>1011.8</v>
      </c>
      <c r="BD82" s="451">
        <f>(BD42-(BD20+BD21))</f>
        <v>1081.0999999999999</v>
      </c>
      <c r="BE82" s="151">
        <f>(BE42-(BE20+BE21))</f>
        <v>1153.5</v>
      </c>
      <c r="BF82" s="151">
        <f>(BF42-(BF20+BF21))</f>
        <v>-48.300000000000182</v>
      </c>
      <c r="BG82" s="152">
        <f t="shared" ref="BG82" si="264">(BG42-(BG20+BG21))</f>
        <v>136.39999999999986</v>
      </c>
      <c r="BH82" s="151">
        <f>(BH42-(BH20+BH21))</f>
        <v>320.79999999999995</v>
      </c>
      <c r="BI82" s="151">
        <f t="shared" ref="BI82:BO82" si="265">(BI42-(BI20+BI21))</f>
        <v>463.19999999999982</v>
      </c>
      <c r="BJ82" s="151">
        <f t="shared" si="265"/>
        <v>633</v>
      </c>
      <c r="BK82" s="152">
        <f t="shared" si="265"/>
        <v>1233.6000000000004</v>
      </c>
      <c r="BL82" s="151">
        <f t="shared" si="265"/>
        <v>1403.0638946045374</v>
      </c>
      <c r="BM82" s="151">
        <f t="shared" si="265"/>
        <v>1588.279719714722</v>
      </c>
      <c r="BN82" s="151">
        <f t="shared" si="265"/>
        <v>1783.5910364316283</v>
      </c>
      <c r="BO82" s="152">
        <f t="shared" si="265"/>
        <v>1970.4303175974824</v>
      </c>
      <c r="BP82" s="151">
        <f t="shared" ref="BP82:BS82" si="266">(BP42-(BP20+BP21))</f>
        <v>2154.9667544981708</v>
      </c>
      <c r="BQ82" s="151">
        <f t="shared" si="266"/>
        <v>2359.3992771617891</v>
      </c>
      <c r="BR82" s="151">
        <f t="shared" si="266"/>
        <v>2581.4188974032777</v>
      </c>
      <c r="BS82" s="152">
        <f t="shared" si="266"/>
        <v>2796.8446699725218</v>
      </c>
      <c r="BT82" s="151">
        <f t="shared" ref="BT82:BW82" si="267">(BT42-(BT20+BT21))</f>
        <v>3002.8087655840436</v>
      </c>
      <c r="BU82" s="151">
        <f t="shared" si="267"/>
        <v>3229.6755126389626</v>
      </c>
      <c r="BV82" s="151">
        <f t="shared" si="267"/>
        <v>3474.7985071906878</v>
      </c>
      <c r="BW82" s="152">
        <f t="shared" si="267"/>
        <v>3713.0269857437443</v>
      </c>
      <c r="BX82" s="211"/>
      <c r="BY82" s="151">
        <f t="shared" ref="BY82:CJ82" si="268">(BY42-(BY20+BY21))</f>
        <v>-721.9</v>
      </c>
      <c r="BZ82" s="151">
        <f t="shared" si="268"/>
        <v>-615.09999999999991</v>
      </c>
      <c r="CA82" s="151">
        <f t="shared" si="268"/>
        <v>-377.6</v>
      </c>
      <c r="CB82" s="151">
        <f t="shared" si="268"/>
        <v>-316.5</v>
      </c>
      <c r="CC82" s="151">
        <f t="shared" si="268"/>
        <v>-214</v>
      </c>
      <c r="CD82" s="151">
        <f t="shared" si="268"/>
        <v>344.60000000000008</v>
      </c>
      <c r="CE82" s="151">
        <f t="shared" si="268"/>
        <v>510.9</v>
      </c>
      <c r="CF82" s="151">
        <f t="shared" si="268"/>
        <v>871.8</v>
      </c>
      <c r="CG82" s="151">
        <f t="shared" si="268"/>
        <v>932.30000000000007</v>
      </c>
      <c r="CH82" s="151">
        <f t="shared" si="268"/>
        <v>919.49999999999989</v>
      </c>
      <c r="CI82" s="151">
        <f t="shared" si="268"/>
        <v>1046</v>
      </c>
      <c r="CJ82" s="151">
        <f t="shared" si="268"/>
        <v>904.2</v>
      </c>
      <c r="CK82" s="151">
        <f t="shared" ref="CK82:CP82" si="269">(CK42-(CK20+CK21))</f>
        <v>1011.8</v>
      </c>
      <c r="CL82" s="151">
        <f t="shared" si="269"/>
        <v>136.39999999999986</v>
      </c>
      <c r="CM82" s="151">
        <f t="shared" si="269"/>
        <v>1233.6000000000004</v>
      </c>
      <c r="CN82" s="151">
        <f t="shared" si="269"/>
        <v>1970.4303175974824</v>
      </c>
      <c r="CO82" s="151">
        <f t="shared" si="269"/>
        <v>2796.8446699725218</v>
      </c>
      <c r="CP82" s="152">
        <f t="shared" si="269"/>
        <v>3713.0269857437443</v>
      </c>
      <c r="CQ82" s="1041"/>
    </row>
    <row r="83" spans="1:95" ht="14.25" customHeight="1">
      <c r="A83" s="9"/>
      <c r="B83" s="23" t="s">
        <v>261</v>
      </c>
      <c r="C83" s="24"/>
      <c r="D83" s="511">
        <f t="shared" ref="D83:AQ83" si="270">D82/D78</f>
        <v>-4.4982993197278907</v>
      </c>
      <c r="E83" s="509">
        <f t="shared" si="270"/>
        <v>-4.6832579185520355</v>
      </c>
      <c r="F83" s="509">
        <f t="shared" si="270"/>
        <v>-3.7949860724233981</v>
      </c>
      <c r="G83" s="510">
        <f t="shared" si="270"/>
        <v>-3.3282618718303363</v>
      </c>
      <c r="H83" s="509">
        <f t="shared" si="270"/>
        <v>-2.3546840958605664</v>
      </c>
      <c r="I83" s="509">
        <f t="shared" si="270"/>
        <v>-2.1484405842874059</v>
      </c>
      <c r="J83" s="509">
        <f t="shared" si="270"/>
        <v>-1.852046169989507</v>
      </c>
      <c r="K83" s="509">
        <f t="shared" si="270"/>
        <v>-2.4168958742632611</v>
      </c>
      <c r="L83" s="511">
        <f t="shared" si="270"/>
        <v>-2.0816539263377343</v>
      </c>
      <c r="M83" s="509">
        <f t="shared" si="270"/>
        <v>-2.0312717164697709</v>
      </c>
      <c r="N83" s="509">
        <f t="shared" si="270"/>
        <v>-1.9239766081871343</v>
      </c>
      <c r="O83" s="510">
        <f t="shared" si="270"/>
        <v>-1.1774243841596508</v>
      </c>
      <c r="P83" s="511">
        <f t="shared" si="270"/>
        <v>-0.9439953810623557</v>
      </c>
      <c r="Q83" s="509">
        <f t="shared" si="270"/>
        <v>-0.53106550463874047</v>
      </c>
      <c r="R83" s="509">
        <f t="shared" si="270"/>
        <v>-0.33333333333333331</v>
      </c>
      <c r="S83" s="510">
        <f t="shared" si="270"/>
        <v>-0.96759400794863948</v>
      </c>
      <c r="T83" s="511">
        <f t="shared" si="270"/>
        <v>-0.82534930139720541</v>
      </c>
      <c r="U83" s="509">
        <f t="shared" si="270"/>
        <v>-0.74192495921696566</v>
      </c>
      <c r="V83" s="509">
        <f t="shared" si="270"/>
        <v>-0.45091252359974832</v>
      </c>
      <c r="W83" s="509">
        <f t="shared" si="270"/>
        <v>-0.7102555592432791</v>
      </c>
      <c r="X83" s="511">
        <f t="shared" si="270"/>
        <v>-0.30746847720659559</v>
      </c>
      <c r="Y83" s="509">
        <f t="shared" si="270"/>
        <v>-6.4317397732873108E-2</v>
      </c>
      <c r="Z83" s="509">
        <f t="shared" si="270"/>
        <v>0.12005928853754919</v>
      </c>
      <c r="AA83" s="510">
        <f t="shared" si="270"/>
        <v>0.84233683695917883</v>
      </c>
      <c r="AB83" s="511">
        <f t="shared" si="270"/>
        <v>0.86146034816247596</v>
      </c>
      <c r="AC83" s="509">
        <f t="shared" si="270"/>
        <v>0.90991205134299968</v>
      </c>
      <c r="AD83" s="509">
        <f t="shared" si="270"/>
        <v>1.0093372808016394</v>
      </c>
      <c r="AE83" s="510">
        <f t="shared" si="270"/>
        <v>1.1535335290133213</v>
      </c>
      <c r="AF83" s="509">
        <f t="shared" si="270"/>
        <v>1.2363347697890681</v>
      </c>
      <c r="AG83" s="509">
        <f t="shared" si="270"/>
        <v>1.4865787079162871</v>
      </c>
      <c r="AH83" s="509">
        <f t="shared" si="270"/>
        <v>1.7371532514779444</v>
      </c>
      <c r="AI83" s="509">
        <f t="shared" si="270"/>
        <v>1.9481564245810055</v>
      </c>
      <c r="AJ83" s="511">
        <f t="shared" si="270"/>
        <v>2.011184210526316</v>
      </c>
      <c r="AK83" s="509">
        <f t="shared" si="270"/>
        <v>2.1796316359696637</v>
      </c>
      <c r="AL83" s="509">
        <f t="shared" si="270"/>
        <v>2.1263368983957216</v>
      </c>
      <c r="AM83" s="510">
        <f t="shared" si="270"/>
        <v>2.0699378330373004</v>
      </c>
      <c r="AN83" s="509">
        <f t="shared" si="270"/>
        <v>2.1361267911419888</v>
      </c>
      <c r="AO83" s="509">
        <f t="shared" si="270"/>
        <v>2.1938797814207653</v>
      </c>
      <c r="AP83" s="509">
        <f t="shared" si="270"/>
        <v>2.2110916264796145</v>
      </c>
      <c r="AQ83" s="509">
        <f t="shared" si="270"/>
        <v>2.0497102095407933</v>
      </c>
      <c r="AR83" s="511">
        <f t="shared" ref="AR83:AY83" si="271">AR82/AR78</f>
        <v>2.1005524861878451</v>
      </c>
      <c r="AS83" s="509">
        <f t="shared" si="271"/>
        <v>2.2265607765276858</v>
      </c>
      <c r="AT83" s="509">
        <f t="shared" si="271"/>
        <v>2.329130723291307</v>
      </c>
      <c r="AU83" s="510">
        <f t="shared" si="271"/>
        <v>2.349505840071878</v>
      </c>
      <c r="AV83" s="509">
        <f t="shared" si="271"/>
        <v>2.4904386951631046</v>
      </c>
      <c r="AW83" s="509">
        <f t="shared" si="271"/>
        <v>2.5862767154105737</v>
      </c>
      <c r="AX83" s="509">
        <f t="shared" si="271"/>
        <v>1.9934816812766911</v>
      </c>
      <c r="AY83" s="510">
        <f t="shared" si="271"/>
        <v>2.05406633348478</v>
      </c>
      <c r="AZ83" s="511">
        <f t="shared" ref="AZ83:BC83" si="272">AZ82/AZ78</f>
        <v>2.085019322573312</v>
      </c>
      <c r="BA83" s="509">
        <f t="shared" si="272"/>
        <v>2.1689204675681872</v>
      </c>
      <c r="BB83" s="509">
        <f t="shared" si="272"/>
        <v>2.2201197604790415</v>
      </c>
      <c r="BC83" s="510">
        <f t="shared" si="272"/>
        <v>2.426960901894939</v>
      </c>
      <c r="BD83" s="511">
        <f>BD82/BD78</f>
        <v>2.6019253910950662</v>
      </c>
      <c r="BE83" s="509">
        <f>BE82/BE78</f>
        <v>2.7622126436781609</v>
      </c>
      <c r="BF83" s="509">
        <f>BF82/BF78</f>
        <v>-0.11505478799428343</v>
      </c>
      <c r="BG83" s="510">
        <f t="shared" ref="BG83" si="273">BG82/BG78</f>
        <v>0.31951276645584414</v>
      </c>
      <c r="BH83" s="509">
        <f>BH82/BH78</f>
        <v>0.75340535462658509</v>
      </c>
      <c r="BI83" s="509">
        <f t="shared" ref="BI83:BO83" si="274">BI82/BI78</f>
        <v>1.0875792439539795</v>
      </c>
      <c r="BJ83" s="509">
        <f t="shared" si="274"/>
        <v>1.4807017543859649</v>
      </c>
      <c r="BK83" s="510">
        <f t="shared" si="274"/>
        <v>2.8469882298638365</v>
      </c>
      <c r="BL83" s="509">
        <f t="shared" si="274"/>
        <v>3.1458831717590523</v>
      </c>
      <c r="BM83" s="509">
        <f t="shared" si="274"/>
        <v>3.5531984781089978</v>
      </c>
      <c r="BN83" s="509">
        <f t="shared" si="274"/>
        <v>3.9812299920348844</v>
      </c>
      <c r="BO83" s="510">
        <f t="shared" si="274"/>
        <v>4.3884862307293595</v>
      </c>
      <c r="BP83" s="509">
        <f t="shared" ref="BP83:BS83" si="275">BP82/BP78</f>
        <v>4.7888150099959352</v>
      </c>
      <c r="BQ83" s="509">
        <f t="shared" si="275"/>
        <v>5.23148398483767</v>
      </c>
      <c r="BR83" s="509">
        <f t="shared" si="275"/>
        <v>5.7111037553169863</v>
      </c>
      <c r="BS83" s="510">
        <f t="shared" si="275"/>
        <v>6.1740500440894523</v>
      </c>
      <c r="BT83" s="509">
        <f t="shared" ref="BT83:BW83" si="276">BT82/BT78</f>
        <v>6.6141162237533999</v>
      </c>
      <c r="BU83" s="509">
        <f t="shared" si="276"/>
        <v>7.0981879398658521</v>
      </c>
      <c r="BV83" s="509">
        <f t="shared" si="276"/>
        <v>7.6201721648918594</v>
      </c>
      <c r="BW83" s="510">
        <f t="shared" si="276"/>
        <v>8.1247855267915625</v>
      </c>
      <c r="BX83" s="211"/>
      <c r="BY83" s="509">
        <f t="shared" ref="BY83:CH83" si="277">BY82/BY78</f>
        <v>-3.8521878335112056</v>
      </c>
      <c r="BZ83" s="509">
        <f t="shared" si="277"/>
        <v>-2.4822437449556087</v>
      </c>
      <c r="CA83" s="509">
        <f t="shared" si="277"/>
        <v>-1.2722371967654986</v>
      </c>
      <c r="CB83" s="509">
        <f t="shared" si="277"/>
        <v>-0.92516807950891544</v>
      </c>
      <c r="CC83" s="509">
        <f t="shared" si="277"/>
        <v>-0.71049136786188583</v>
      </c>
      <c r="CD83" s="509">
        <f t="shared" si="277"/>
        <v>0.90923482849604242</v>
      </c>
      <c r="CE83" s="509">
        <f t="shared" si="277"/>
        <v>1.1823651932423049</v>
      </c>
      <c r="CF83" s="509">
        <f t="shared" si="277"/>
        <v>1.9617461746174618</v>
      </c>
      <c r="CG83" s="509">
        <f t="shared" si="277"/>
        <v>2.0391513560804899</v>
      </c>
      <c r="CH83" s="509">
        <f t="shared" si="277"/>
        <v>2.0315952275740163</v>
      </c>
      <c r="CI83" s="509">
        <f t="shared" ref="CI83:CN83" si="278">CI82/CI78</f>
        <v>2.3204481171316065</v>
      </c>
      <c r="CJ83" s="509">
        <f t="shared" si="278"/>
        <v>2.0386674933769235</v>
      </c>
      <c r="CK83" s="509">
        <f t="shared" si="278"/>
        <v>2.3659534666198994</v>
      </c>
      <c r="CL83" s="509">
        <f t="shared" si="278"/>
        <v>0.32480057149660641</v>
      </c>
      <c r="CM83" s="509">
        <f t="shared" si="278"/>
        <v>2.8814014598540156</v>
      </c>
      <c r="CN83" s="509">
        <f t="shared" si="278"/>
        <v>4.403196240441301</v>
      </c>
      <c r="CO83" s="509">
        <f t="shared" ref="CO83" si="279">CO82/CO78</f>
        <v>6.1945618382558623</v>
      </c>
      <c r="CP83" s="510">
        <f>CP82/CP78</f>
        <v>8.1515411322584939</v>
      </c>
      <c r="CQ83" s="1041"/>
    </row>
    <row r="84" spans="1:95" ht="14.25" customHeight="1">
      <c r="A84" s="9"/>
      <c r="B84" s="23"/>
      <c r="C84" s="24"/>
      <c r="D84" s="451"/>
      <c r="E84" s="151"/>
      <c r="F84" s="151"/>
      <c r="G84" s="152"/>
      <c r="H84" s="151"/>
      <c r="I84" s="151"/>
      <c r="J84" s="151"/>
      <c r="K84" s="151"/>
      <c r="L84" s="451"/>
      <c r="M84" s="151"/>
      <c r="N84" s="151"/>
      <c r="O84" s="152"/>
      <c r="P84" s="451"/>
      <c r="Q84" s="151"/>
      <c r="R84" s="151"/>
      <c r="S84" s="152"/>
      <c r="T84" s="451"/>
      <c r="U84" s="151"/>
      <c r="V84" s="151"/>
      <c r="W84" s="151"/>
      <c r="X84" s="451"/>
      <c r="Y84" s="151"/>
      <c r="Z84" s="151"/>
      <c r="AA84" s="152"/>
      <c r="AB84" s="451"/>
      <c r="AC84" s="151"/>
      <c r="AD84" s="151"/>
      <c r="AE84" s="152"/>
      <c r="AF84" s="151"/>
      <c r="AG84" s="151"/>
      <c r="AH84" s="151"/>
      <c r="AI84" s="151"/>
      <c r="AJ84" s="451"/>
      <c r="AK84" s="151"/>
      <c r="AL84" s="151"/>
      <c r="AM84" s="152"/>
      <c r="AN84" s="151"/>
      <c r="AO84" s="151"/>
      <c r="AP84" s="151"/>
      <c r="AQ84" s="151"/>
      <c r="AR84" s="451"/>
      <c r="AS84" s="151"/>
      <c r="AT84" s="151"/>
      <c r="AU84" s="152"/>
      <c r="AV84" s="151"/>
      <c r="AW84" s="151"/>
      <c r="AX84" s="151"/>
      <c r="AY84" s="152"/>
      <c r="AZ84" s="451"/>
      <c r="BA84" s="151"/>
      <c r="BB84" s="151"/>
      <c r="BC84" s="152"/>
      <c r="BD84" s="451"/>
      <c r="BE84" s="151"/>
      <c r="BF84" s="151"/>
      <c r="BG84" s="152"/>
      <c r="BH84" s="151"/>
      <c r="BI84" s="151"/>
      <c r="BJ84" s="151"/>
      <c r="BK84" s="152"/>
      <c r="BL84" s="151"/>
      <c r="BM84" s="151"/>
      <c r="BN84" s="151"/>
      <c r="BO84" s="152"/>
      <c r="BP84" s="151"/>
      <c r="BQ84" s="151"/>
      <c r="BR84" s="151"/>
      <c r="BS84" s="152"/>
      <c r="BT84" s="151"/>
      <c r="BU84" s="151"/>
      <c r="BV84" s="151"/>
      <c r="BW84" s="152"/>
      <c r="BX84" s="211"/>
      <c r="BY84" s="153"/>
      <c r="BZ84" s="153"/>
      <c r="CA84" s="153"/>
      <c r="CB84" s="153"/>
      <c r="CC84" s="153"/>
      <c r="CD84" s="153"/>
      <c r="CE84" s="153"/>
      <c r="CF84" s="153"/>
      <c r="CG84" s="153"/>
      <c r="CH84" s="153"/>
      <c r="CI84" s="153"/>
      <c r="CJ84" s="153"/>
      <c r="CK84" s="153"/>
      <c r="CL84" s="153"/>
      <c r="CM84" s="153"/>
      <c r="CN84" s="153"/>
      <c r="CO84" s="153"/>
      <c r="CP84" s="154"/>
      <c r="CQ84" s="1041"/>
    </row>
    <row r="85" spans="1:95" ht="14.25" customHeight="1">
      <c r="A85" s="9"/>
      <c r="B85" s="297" t="s">
        <v>481</v>
      </c>
      <c r="C85" s="24"/>
      <c r="D85" s="451"/>
      <c r="E85" s="151"/>
      <c r="F85" s="151"/>
      <c r="G85" s="152"/>
      <c r="H85" s="151"/>
      <c r="I85" s="151"/>
      <c r="J85" s="151"/>
      <c r="K85" s="151"/>
      <c r="L85" s="451"/>
      <c r="M85" s="151"/>
      <c r="N85" s="151"/>
      <c r="O85" s="152"/>
      <c r="P85" s="451"/>
      <c r="Q85" s="151"/>
      <c r="R85" s="151"/>
      <c r="S85" s="152"/>
      <c r="T85" s="451"/>
      <c r="U85" s="151"/>
      <c r="V85" s="151"/>
      <c r="W85" s="151"/>
      <c r="X85" s="451"/>
      <c r="Y85" s="151"/>
      <c r="Z85" s="151"/>
      <c r="AA85" s="152"/>
      <c r="AB85" s="451"/>
      <c r="AC85" s="151"/>
      <c r="AD85" s="151"/>
      <c r="AE85" s="152"/>
      <c r="AF85" s="151"/>
      <c r="AG85" s="151"/>
      <c r="AH85" s="151"/>
      <c r="AI85" s="151"/>
      <c r="AJ85" s="451"/>
      <c r="AK85" s="151"/>
      <c r="AL85" s="151"/>
      <c r="AM85" s="152"/>
      <c r="AN85" s="151"/>
      <c r="AO85" s="151"/>
      <c r="AP85" s="151"/>
      <c r="AQ85" s="151"/>
      <c r="AR85" s="451"/>
      <c r="AS85" s="151"/>
      <c r="AT85" s="151"/>
      <c r="AU85" s="152"/>
      <c r="AV85" s="151"/>
      <c r="AW85" s="151"/>
      <c r="AX85" s="151"/>
      <c r="AY85" s="152"/>
      <c r="AZ85" s="451"/>
      <c r="BA85" s="151"/>
      <c r="BB85" s="151"/>
      <c r="BC85" s="152"/>
      <c r="BD85" s="451"/>
      <c r="BE85" s="151"/>
      <c r="BF85" s="151"/>
      <c r="BG85" s="152"/>
      <c r="BH85" s="151"/>
      <c r="BI85" s="151"/>
      <c r="BJ85" s="151"/>
      <c r="BK85" s="152"/>
      <c r="BL85" s="151"/>
      <c r="BM85" s="151"/>
      <c r="BN85" s="151"/>
      <c r="BO85" s="152"/>
      <c r="BP85" s="151"/>
      <c r="BQ85" s="151"/>
      <c r="BR85" s="151"/>
      <c r="BS85" s="152"/>
      <c r="BT85" s="151"/>
      <c r="BU85" s="151"/>
      <c r="BV85" s="151"/>
      <c r="BW85" s="152"/>
      <c r="BX85" s="211"/>
      <c r="BY85" s="153"/>
      <c r="BZ85" s="153"/>
      <c r="CA85" s="153"/>
      <c r="CB85" s="153"/>
      <c r="CC85" s="153"/>
      <c r="CD85" s="153"/>
      <c r="CE85" s="153"/>
      <c r="CF85" s="153"/>
      <c r="CG85" s="153"/>
      <c r="CH85" s="153"/>
      <c r="CI85" s="153"/>
      <c r="CJ85" s="153"/>
      <c r="CK85" s="153"/>
      <c r="CL85" s="153"/>
      <c r="CM85" s="153"/>
      <c r="CN85" s="153"/>
      <c r="CO85" s="153"/>
      <c r="CP85" s="154"/>
      <c r="CQ85" s="1041"/>
    </row>
    <row r="86" spans="1:95" ht="14.25" customHeight="1">
      <c r="A86" s="9"/>
      <c r="B86" s="512" t="s">
        <v>156</v>
      </c>
      <c r="C86" s="24"/>
      <c r="D86" s="451">
        <f t="shared" ref="D86:AY86" si="280">D9</f>
        <v>189.1</v>
      </c>
      <c r="E86" s="151">
        <f t="shared" si="280"/>
        <v>181.2</v>
      </c>
      <c r="F86" s="151">
        <f t="shared" si="280"/>
        <v>183.6</v>
      </c>
      <c r="G86" s="152">
        <f t="shared" si="280"/>
        <v>186.6</v>
      </c>
      <c r="H86" s="151">
        <f t="shared" si="280"/>
        <v>221.4</v>
      </c>
      <c r="I86" s="151">
        <f t="shared" si="280"/>
        <v>257.7</v>
      </c>
      <c r="J86" s="151">
        <f t="shared" si="280"/>
        <v>231.8</v>
      </c>
      <c r="K86" s="151">
        <f t="shared" si="280"/>
        <v>105.7</v>
      </c>
      <c r="L86" s="451">
        <f t="shared" si="280"/>
        <v>177.5</v>
      </c>
      <c r="M86" s="151">
        <f t="shared" si="280"/>
        <v>235.6</v>
      </c>
      <c r="N86" s="151">
        <f t="shared" si="280"/>
        <v>272.3</v>
      </c>
      <c r="O86" s="152">
        <f t="shared" si="280"/>
        <v>233.3</v>
      </c>
      <c r="P86" s="451">
        <f t="shared" si="280"/>
        <v>251.3</v>
      </c>
      <c r="Q86" s="151">
        <f t="shared" si="280"/>
        <v>294.7</v>
      </c>
      <c r="R86" s="151">
        <f t="shared" si="280"/>
        <v>233.4</v>
      </c>
      <c r="S86" s="152">
        <f t="shared" si="280"/>
        <v>268.8</v>
      </c>
      <c r="T86" s="451">
        <f t="shared" si="280"/>
        <v>275.8</v>
      </c>
      <c r="U86" s="151">
        <f t="shared" si="280"/>
        <v>255.8</v>
      </c>
      <c r="V86" s="151">
        <f t="shared" si="280"/>
        <v>327.10000000000002</v>
      </c>
      <c r="W86" s="151">
        <f t="shared" si="280"/>
        <v>274.60000000000002</v>
      </c>
      <c r="X86" s="451">
        <f t="shared" si="280"/>
        <v>307.89999999999998</v>
      </c>
      <c r="Y86" s="151">
        <f t="shared" si="280"/>
        <v>321.2</v>
      </c>
      <c r="Z86" s="151">
        <f t="shared" si="280"/>
        <v>417.9</v>
      </c>
      <c r="AA86" s="152">
        <f t="shared" si="280"/>
        <v>458.7</v>
      </c>
      <c r="AB86" s="451">
        <f t="shared" si="280"/>
        <v>402.4</v>
      </c>
      <c r="AC86" s="151">
        <f t="shared" si="280"/>
        <v>403.4</v>
      </c>
      <c r="AD86" s="151">
        <f t="shared" si="280"/>
        <v>395.2</v>
      </c>
      <c r="AE86" s="152">
        <f t="shared" si="280"/>
        <v>525.70000000000005</v>
      </c>
      <c r="AF86" s="151">
        <f t="shared" si="280"/>
        <v>560.70000000000005</v>
      </c>
      <c r="AG86" s="151">
        <f t="shared" si="280"/>
        <v>467.1</v>
      </c>
      <c r="AH86" s="151">
        <f t="shared" si="280"/>
        <v>562.9</v>
      </c>
      <c r="AI86" s="151">
        <f t="shared" si="280"/>
        <v>623.29999999999995</v>
      </c>
      <c r="AJ86" s="451">
        <f t="shared" si="280"/>
        <v>766</v>
      </c>
      <c r="AK86" s="151">
        <f t="shared" si="280"/>
        <v>756.6</v>
      </c>
      <c r="AL86" s="151">
        <f t="shared" si="280"/>
        <v>659.3</v>
      </c>
      <c r="AM86" s="152">
        <f t="shared" si="280"/>
        <v>652.9</v>
      </c>
      <c r="AN86" s="151">
        <f t="shared" si="280"/>
        <v>580.1</v>
      </c>
      <c r="AO86" s="151">
        <f t="shared" si="280"/>
        <v>517.79999999999995</v>
      </c>
      <c r="AP86" s="151">
        <f t="shared" si="280"/>
        <v>421.4</v>
      </c>
      <c r="AQ86" s="151">
        <f t="shared" si="280"/>
        <v>486.9</v>
      </c>
      <c r="AR86" s="451">
        <f t="shared" si="280"/>
        <v>537</v>
      </c>
      <c r="AS86" s="151">
        <f t="shared" si="280"/>
        <v>396.1</v>
      </c>
      <c r="AT86" s="151">
        <f t="shared" si="280"/>
        <v>369.5</v>
      </c>
      <c r="AU86" s="152">
        <f t="shared" si="280"/>
        <v>509.5</v>
      </c>
      <c r="AV86" s="151">
        <f t="shared" si="280"/>
        <v>562</v>
      </c>
      <c r="AW86" s="151">
        <f t="shared" si="280"/>
        <v>598.9</v>
      </c>
      <c r="AX86" s="151">
        <f t="shared" si="280"/>
        <v>492.1</v>
      </c>
      <c r="AY86" s="152">
        <f t="shared" si="280"/>
        <v>511.7</v>
      </c>
      <c r="AZ86" s="451">
        <f t="shared" ref="AZ86:BC87" si="281">AZ9</f>
        <v>428.1</v>
      </c>
      <c r="BA86" s="151">
        <f t="shared" si="281"/>
        <v>576.6</v>
      </c>
      <c r="BB86" s="151">
        <f t="shared" si="281"/>
        <v>556.79999999999995</v>
      </c>
      <c r="BC86" s="152">
        <f t="shared" si="281"/>
        <v>617.6</v>
      </c>
      <c r="BD86" s="451">
        <f t="shared" ref="BD86:BE87" si="282">BD9</f>
        <v>619.5</v>
      </c>
      <c r="BE86" s="151">
        <f t="shared" si="282"/>
        <v>588.1</v>
      </c>
      <c r="BF86" s="151">
        <f t="shared" ref="BF86:BH86" si="283">BF9</f>
        <v>880.5</v>
      </c>
      <c r="BG86" s="152">
        <f t="shared" si="283"/>
        <v>1028.0999999999999</v>
      </c>
      <c r="BH86" s="151">
        <f t="shared" si="283"/>
        <v>728.9</v>
      </c>
      <c r="BI86" s="151">
        <f t="shared" ref="BI86:BK87" si="284">BI9</f>
        <v>871.6</v>
      </c>
      <c r="BJ86" s="151">
        <f t="shared" si="284"/>
        <v>901.2</v>
      </c>
      <c r="BK86" s="152">
        <f t="shared" si="284"/>
        <v>949.2</v>
      </c>
      <c r="BL86" s="151">
        <f t="shared" ref="BL86:BO87" si="285">BL9</f>
        <v>1062.0130009146901</v>
      </c>
      <c r="BM86" s="151">
        <f t="shared" si="285"/>
        <v>1256.9300877673031</v>
      </c>
      <c r="BN86" s="151">
        <f t="shared" si="285"/>
        <v>1453.1611455586196</v>
      </c>
      <c r="BO86" s="152">
        <f t="shared" si="285"/>
        <v>1724.2509290395133</v>
      </c>
      <c r="BP86" s="151">
        <f t="shared" ref="BP86:BS86" si="286">BP9</f>
        <v>1977.7614423440823</v>
      </c>
      <c r="BQ86" s="151">
        <f t="shared" si="286"/>
        <v>2172.8040660659144</v>
      </c>
      <c r="BR86" s="151">
        <f t="shared" si="286"/>
        <v>2410.9291342166202</v>
      </c>
      <c r="BS86" s="152">
        <f t="shared" si="286"/>
        <v>2703.1717725719636</v>
      </c>
      <c r="BT86" s="151">
        <f t="shared" ref="BT86:BW86" si="287">BT9</f>
        <v>2962.1609819360419</v>
      </c>
      <c r="BU86" s="151">
        <f t="shared" si="287"/>
        <v>3185.3270983126895</v>
      </c>
      <c r="BV86" s="151">
        <f t="shared" si="287"/>
        <v>3454.8281959573014</v>
      </c>
      <c r="BW86" s="152">
        <f t="shared" si="287"/>
        <v>3777.7918799082108</v>
      </c>
      <c r="BX86" s="211"/>
      <c r="BY86" s="151">
        <f t="shared" ref="BY86:CJ86" si="288">BY9</f>
        <v>186.6</v>
      </c>
      <c r="BZ86" s="151">
        <f t="shared" si="288"/>
        <v>105.7</v>
      </c>
      <c r="CA86" s="151">
        <f t="shared" si="288"/>
        <v>233.3</v>
      </c>
      <c r="CB86" s="151">
        <f t="shared" si="288"/>
        <v>268.8</v>
      </c>
      <c r="CC86" s="151">
        <f t="shared" si="288"/>
        <v>274.60000000000002</v>
      </c>
      <c r="CD86" s="151">
        <f t="shared" si="288"/>
        <v>458.7</v>
      </c>
      <c r="CE86" s="151">
        <f t="shared" si="288"/>
        <v>525.70000000000005</v>
      </c>
      <c r="CF86" s="151">
        <f t="shared" si="288"/>
        <v>623.29999999999995</v>
      </c>
      <c r="CG86" s="151">
        <f t="shared" si="288"/>
        <v>652.9</v>
      </c>
      <c r="CH86" s="151">
        <f t="shared" si="288"/>
        <v>486.9</v>
      </c>
      <c r="CI86" s="151">
        <f t="shared" si="288"/>
        <v>509.5</v>
      </c>
      <c r="CJ86" s="151">
        <f t="shared" si="288"/>
        <v>511.7</v>
      </c>
      <c r="CK86" s="151">
        <f t="shared" ref="CK86:CM87" si="289">CK9</f>
        <v>617.6</v>
      </c>
      <c r="CL86" s="151">
        <f t="shared" si="289"/>
        <v>1028.0999999999999</v>
      </c>
      <c r="CM86" s="151">
        <f t="shared" si="289"/>
        <v>949.2</v>
      </c>
      <c r="CN86" s="151">
        <f t="shared" ref="CN86:CP87" si="290">CN9</f>
        <v>1724.2509290395133</v>
      </c>
      <c r="CO86" s="151">
        <f t="shared" si="290"/>
        <v>2703.1717725719636</v>
      </c>
      <c r="CP86" s="152">
        <f t="shared" si="290"/>
        <v>3777.7918799082108</v>
      </c>
      <c r="CQ86" s="1041"/>
    </row>
    <row r="87" spans="1:95" ht="14.25" customHeight="1">
      <c r="A87" s="409"/>
      <c r="B87" s="513" t="s">
        <v>352</v>
      </c>
      <c r="C87" s="412"/>
      <c r="D87" s="656">
        <f t="shared" ref="D87:AQ87" si="291">D10</f>
        <v>0</v>
      </c>
      <c r="E87" s="657">
        <f t="shared" si="291"/>
        <v>0</v>
      </c>
      <c r="F87" s="657">
        <f t="shared" si="291"/>
        <v>0</v>
      </c>
      <c r="G87" s="658">
        <f t="shared" si="291"/>
        <v>0</v>
      </c>
      <c r="H87" s="657">
        <f t="shared" si="291"/>
        <v>0</v>
      </c>
      <c r="I87" s="657">
        <f t="shared" si="291"/>
        <v>0</v>
      </c>
      <c r="J87" s="657">
        <f t="shared" si="291"/>
        <v>0</v>
      </c>
      <c r="K87" s="657">
        <f t="shared" si="291"/>
        <v>80</v>
      </c>
      <c r="L87" s="656">
        <f t="shared" si="291"/>
        <v>26.6</v>
      </c>
      <c r="M87" s="657">
        <f t="shared" si="291"/>
        <v>11</v>
      </c>
      <c r="N87" s="657">
        <f t="shared" si="291"/>
        <v>0</v>
      </c>
      <c r="O87" s="658">
        <f t="shared" si="291"/>
        <v>0</v>
      </c>
      <c r="P87" s="656">
        <f t="shared" si="291"/>
        <v>0</v>
      </c>
      <c r="Q87" s="657">
        <f t="shared" si="291"/>
        <v>0</v>
      </c>
      <c r="R87" s="657">
        <f t="shared" si="291"/>
        <v>35.799999999999997</v>
      </c>
      <c r="S87" s="658">
        <f t="shared" si="291"/>
        <v>0</v>
      </c>
      <c r="T87" s="656">
        <f t="shared" si="291"/>
        <v>0</v>
      </c>
      <c r="U87" s="657">
        <f t="shared" si="291"/>
        <v>0</v>
      </c>
      <c r="V87" s="657">
        <f t="shared" si="291"/>
        <v>0</v>
      </c>
      <c r="W87" s="657">
        <f t="shared" si="291"/>
        <v>0</v>
      </c>
      <c r="X87" s="656">
        <f t="shared" si="291"/>
        <v>0</v>
      </c>
      <c r="Y87" s="657">
        <f t="shared" si="291"/>
        <v>0</v>
      </c>
      <c r="Z87" s="657">
        <f t="shared" si="291"/>
        <v>0</v>
      </c>
      <c r="AA87" s="658">
        <f t="shared" si="291"/>
        <v>0</v>
      </c>
      <c r="AB87" s="656">
        <f t="shared" si="291"/>
        <v>0</v>
      </c>
      <c r="AC87" s="657">
        <f t="shared" si="291"/>
        <v>0</v>
      </c>
      <c r="AD87" s="657">
        <f t="shared" si="291"/>
        <v>75</v>
      </c>
      <c r="AE87" s="658">
        <f t="shared" si="291"/>
        <v>45.5</v>
      </c>
      <c r="AF87" s="657">
        <f t="shared" si="291"/>
        <v>0</v>
      </c>
      <c r="AG87" s="657">
        <f t="shared" si="291"/>
        <v>0</v>
      </c>
      <c r="AH87" s="657">
        <f t="shared" si="291"/>
        <v>0</v>
      </c>
      <c r="AI87" s="657">
        <f t="shared" si="291"/>
        <v>0</v>
      </c>
      <c r="AJ87" s="656">
        <f t="shared" si="291"/>
        <v>0</v>
      </c>
      <c r="AK87" s="657">
        <f t="shared" si="291"/>
        <v>112.2</v>
      </c>
      <c r="AL87" s="657">
        <f t="shared" si="291"/>
        <v>178.4</v>
      </c>
      <c r="AM87" s="658">
        <f t="shared" si="291"/>
        <v>248.6</v>
      </c>
      <c r="AN87" s="657">
        <f t="shared" si="291"/>
        <v>312.2</v>
      </c>
      <c r="AO87" s="657">
        <f t="shared" si="291"/>
        <v>238.6</v>
      </c>
      <c r="AP87" s="657">
        <f t="shared" si="291"/>
        <v>221.6</v>
      </c>
      <c r="AQ87" s="657">
        <f t="shared" si="291"/>
        <v>144.80000000000001</v>
      </c>
      <c r="AR87" s="656">
        <f t="shared" ref="AR87:AY87" si="292">AR10</f>
        <v>77.3</v>
      </c>
      <c r="AS87" s="657">
        <f t="shared" si="292"/>
        <v>182.9</v>
      </c>
      <c r="AT87" s="657">
        <f t="shared" si="292"/>
        <v>184.1</v>
      </c>
      <c r="AU87" s="658">
        <f t="shared" si="292"/>
        <v>116.2</v>
      </c>
      <c r="AV87" s="657">
        <f t="shared" si="292"/>
        <v>55</v>
      </c>
      <c r="AW87" s="657">
        <f t="shared" si="292"/>
        <v>2.2999999999999998</v>
      </c>
      <c r="AX87" s="657">
        <f t="shared" si="292"/>
        <v>2.8</v>
      </c>
      <c r="AY87" s="658">
        <f t="shared" si="292"/>
        <v>6.1</v>
      </c>
      <c r="AZ87" s="656">
        <f t="shared" si="281"/>
        <v>1.3</v>
      </c>
      <c r="BA87" s="657">
        <f t="shared" si="281"/>
        <v>1.3</v>
      </c>
      <c r="BB87" s="657">
        <f t="shared" si="281"/>
        <v>0.8</v>
      </c>
      <c r="BC87" s="658">
        <f t="shared" si="281"/>
        <v>0</v>
      </c>
      <c r="BD87" s="656">
        <f t="shared" si="282"/>
        <v>0</v>
      </c>
      <c r="BE87" s="657">
        <f t="shared" si="282"/>
        <v>0</v>
      </c>
      <c r="BF87" s="657">
        <f t="shared" ref="BF87:BH87" si="293">BF10</f>
        <v>0</v>
      </c>
      <c r="BG87" s="658">
        <f t="shared" si="293"/>
        <v>0</v>
      </c>
      <c r="BH87" s="657">
        <f t="shared" si="293"/>
        <v>0</v>
      </c>
      <c r="BI87" s="657">
        <f t="shared" si="284"/>
        <v>0</v>
      </c>
      <c r="BJ87" s="657">
        <f t="shared" si="284"/>
        <v>0</v>
      </c>
      <c r="BK87" s="658">
        <f t="shared" si="284"/>
        <v>0</v>
      </c>
      <c r="BL87" s="657">
        <f t="shared" si="285"/>
        <v>0</v>
      </c>
      <c r="BM87" s="657">
        <f t="shared" si="285"/>
        <v>0</v>
      </c>
      <c r="BN87" s="657">
        <f t="shared" si="285"/>
        <v>0</v>
      </c>
      <c r="BO87" s="658">
        <f t="shared" si="285"/>
        <v>0</v>
      </c>
      <c r="BP87" s="657">
        <f t="shared" ref="BP87:BS87" si="294">BP10</f>
        <v>0</v>
      </c>
      <c r="BQ87" s="657">
        <f t="shared" si="294"/>
        <v>0</v>
      </c>
      <c r="BR87" s="657">
        <f t="shared" si="294"/>
        <v>0</v>
      </c>
      <c r="BS87" s="658">
        <f t="shared" si="294"/>
        <v>0</v>
      </c>
      <c r="BT87" s="657">
        <f t="shared" ref="BT87:BW87" si="295">BT10</f>
        <v>0</v>
      </c>
      <c r="BU87" s="657">
        <f t="shared" si="295"/>
        <v>0</v>
      </c>
      <c r="BV87" s="657">
        <f t="shared" si="295"/>
        <v>0</v>
      </c>
      <c r="BW87" s="658">
        <f t="shared" si="295"/>
        <v>0</v>
      </c>
      <c r="BX87" s="411"/>
      <c r="BY87" s="657">
        <f t="shared" ref="BY87:CJ87" si="296">BY10</f>
        <v>0</v>
      </c>
      <c r="BZ87" s="657">
        <f t="shared" si="296"/>
        <v>80</v>
      </c>
      <c r="CA87" s="657">
        <f t="shared" si="296"/>
        <v>0</v>
      </c>
      <c r="CB87" s="657">
        <f t="shared" si="296"/>
        <v>0</v>
      </c>
      <c r="CC87" s="657">
        <f t="shared" si="296"/>
        <v>0</v>
      </c>
      <c r="CD87" s="657">
        <f t="shared" si="296"/>
        <v>0</v>
      </c>
      <c r="CE87" s="657">
        <f t="shared" si="296"/>
        <v>45.5</v>
      </c>
      <c r="CF87" s="657">
        <f t="shared" si="296"/>
        <v>0</v>
      </c>
      <c r="CG87" s="657">
        <f t="shared" si="296"/>
        <v>248.6</v>
      </c>
      <c r="CH87" s="657">
        <f t="shared" si="296"/>
        <v>144.80000000000001</v>
      </c>
      <c r="CI87" s="657">
        <f t="shared" si="296"/>
        <v>116.2</v>
      </c>
      <c r="CJ87" s="657">
        <f t="shared" si="296"/>
        <v>6.1</v>
      </c>
      <c r="CK87" s="657">
        <f t="shared" si="289"/>
        <v>0</v>
      </c>
      <c r="CL87" s="657">
        <f t="shared" si="289"/>
        <v>0</v>
      </c>
      <c r="CM87" s="657">
        <f t="shared" si="289"/>
        <v>0</v>
      </c>
      <c r="CN87" s="657">
        <f t="shared" si="290"/>
        <v>0</v>
      </c>
      <c r="CO87" s="657">
        <f t="shared" si="290"/>
        <v>0</v>
      </c>
      <c r="CP87" s="658">
        <f t="shared" si="290"/>
        <v>0</v>
      </c>
      <c r="CQ87" s="1480"/>
    </row>
    <row r="88" spans="1:95" ht="14.25" customHeight="1">
      <c r="A88" s="91"/>
      <c r="B88" s="534" t="s">
        <v>483</v>
      </c>
      <c r="C88" s="414"/>
      <c r="D88" s="659">
        <f t="shared" ref="D88:AQ88" si="297">+SUM(D86:D87)</f>
        <v>189.1</v>
      </c>
      <c r="E88" s="660">
        <f t="shared" si="297"/>
        <v>181.2</v>
      </c>
      <c r="F88" s="660">
        <f t="shared" si="297"/>
        <v>183.6</v>
      </c>
      <c r="G88" s="661">
        <f t="shared" si="297"/>
        <v>186.6</v>
      </c>
      <c r="H88" s="660">
        <f t="shared" si="297"/>
        <v>221.4</v>
      </c>
      <c r="I88" s="660">
        <f t="shared" si="297"/>
        <v>257.7</v>
      </c>
      <c r="J88" s="660">
        <f t="shared" si="297"/>
        <v>231.8</v>
      </c>
      <c r="K88" s="660">
        <f t="shared" si="297"/>
        <v>185.7</v>
      </c>
      <c r="L88" s="659">
        <f t="shared" si="297"/>
        <v>204.1</v>
      </c>
      <c r="M88" s="660">
        <f t="shared" si="297"/>
        <v>246.6</v>
      </c>
      <c r="N88" s="660">
        <f t="shared" si="297"/>
        <v>272.3</v>
      </c>
      <c r="O88" s="661">
        <f t="shared" si="297"/>
        <v>233.3</v>
      </c>
      <c r="P88" s="659">
        <f t="shared" si="297"/>
        <v>251.3</v>
      </c>
      <c r="Q88" s="660">
        <f t="shared" si="297"/>
        <v>294.7</v>
      </c>
      <c r="R88" s="660">
        <f t="shared" si="297"/>
        <v>269.2</v>
      </c>
      <c r="S88" s="661">
        <f t="shared" si="297"/>
        <v>268.8</v>
      </c>
      <c r="T88" s="659">
        <f t="shared" si="297"/>
        <v>275.8</v>
      </c>
      <c r="U88" s="660">
        <f t="shared" si="297"/>
        <v>255.8</v>
      </c>
      <c r="V88" s="660">
        <f t="shared" si="297"/>
        <v>327.10000000000002</v>
      </c>
      <c r="W88" s="660">
        <f t="shared" si="297"/>
        <v>274.60000000000002</v>
      </c>
      <c r="X88" s="659">
        <f t="shared" si="297"/>
        <v>307.89999999999998</v>
      </c>
      <c r="Y88" s="660">
        <f t="shared" si="297"/>
        <v>321.2</v>
      </c>
      <c r="Z88" s="660">
        <f t="shared" si="297"/>
        <v>417.9</v>
      </c>
      <c r="AA88" s="661">
        <f t="shared" si="297"/>
        <v>458.7</v>
      </c>
      <c r="AB88" s="659">
        <f t="shared" si="297"/>
        <v>402.4</v>
      </c>
      <c r="AC88" s="660">
        <f t="shared" si="297"/>
        <v>403.4</v>
      </c>
      <c r="AD88" s="660">
        <f t="shared" si="297"/>
        <v>470.2</v>
      </c>
      <c r="AE88" s="661">
        <f t="shared" si="297"/>
        <v>571.20000000000005</v>
      </c>
      <c r="AF88" s="660">
        <f t="shared" si="297"/>
        <v>560.70000000000005</v>
      </c>
      <c r="AG88" s="660">
        <f t="shared" si="297"/>
        <v>467.1</v>
      </c>
      <c r="AH88" s="660">
        <f t="shared" si="297"/>
        <v>562.9</v>
      </c>
      <c r="AI88" s="660">
        <f t="shared" si="297"/>
        <v>623.29999999999995</v>
      </c>
      <c r="AJ88" s="659">
        <f t="shared" si="297"/>
        <v>766</v>
      </c>
      <c r="AK88" s="660">
        <f t="shared" si="297"/>
        <v>868.80000000000007</v>
      </c>
      <c r="AL88" s="660">
        <f t="shared" si="297"/>
        <v>837.69999999999993</v>
      </c>
      <c r="AM88" s="661">
        <f t="shared" si="297"/>
        <v>901.5</v>
      </c>
      <c r="AN88" s="660">
        <f t="shared" si="297"/>
        <v>892.3</v>
      </c>
      <c r="AO88" s="660">
        <f t="shared" si="297"/>
        <v>756.4</v>
      </c>
      <c r="AP88" s="660">
        <f t="shared" si="297"/>
        <v>643</v>
      </c>
      <c r="AQ88" s="660">
        <f t="shared" si="297"/>
        <v>631.70000000000005</v>
      </c>
      <c r="AR88" s="659">
        <f t="shared" ref="AR88:AY88" si="298">+SUM(AR86:AR87)</f>
        <v>614.29999999999995</v>
      </c>
      <c r="AS88" s="660">
        <f t="shared" si="298"/>
        <v>579</v>
      </c>
      <c r="AT88" s="660">
        <f t="shared" si="298"/>
        <v>553.6</v>
      </c>
      <c r="AU88" s="661">
        <f t="shared" si="298"/>
        <v>625.70000000000005</v>
      </c>
      <c r="AV88" s="660">
        <f t="shared" si="298"/>
        <v>617</v>
      </c>
      <c r="AW88" s="660">
        <f t="shared" si="298"/>
        <v>601.19999999999993</v>
      </c>
      <c r="AX88" s="660">
        <f t="shared" si="298"/>
        <v>494.90000000000003</v>
      </c>
      <c r="AY88" s="661">
        <f t="shared" si="298"/>
        <v>517.79999999999995</v>
      </c>
      <c r="AZ88" s="659">
        <f t="shared" ref="AZ88:BC88" si="299">+SUM(AZ86:AZ87)</f>
        <v>429.40000000000003</v>
      </c>
      <c r="BA88" s="660">
        <f t="shared" si="299"/>
        <v>577.9</v>
      </c>
      <c r="BB88" s="660">
        <f t="shared" si="299"/>
        <v>557.59999999999991</v>
      </c>
      <c r="BC88" s="661">
        <f t="shared" si="299"/>
        <v>617.6</v>
      </c>
      <c r="BD88" s="659">
        <f>+SUM(BD86:BD87)</f>
        <v>619.5</v>
      </c>
      <c r="BE88" s="660">
        <f>+SUM(BE86:BE87)</f>
        <v>588.1</v>
      </c>
      <c r="BF88" s="660">
        <f>+SUM(BF86:BF87)</f>
        <v>880.5</v>
      </c>
      <c r="BG88" s="661">
        <f t="shared" ref="BG88" si="300">+SUM(BG86:BG87)</f>
        <v>1028.0999999999999</v>
      </c>
      <c r="BH88" s="660">
        <f>+SUM(BH86:BH87)</f>
        <v>728.9</v>
      </c>
      <c r="BI88" s="660">
        <f t="shared" ref="BI88:BO88" si="301">+SUM(BI86:BI87)</f>
        <v>871.6</v>
      </c>
      <c r="BJ88" s="660">
        <f t="shared" si="301"/>
        <v>901.2</v>
      </c>
      <c r="BK88" s="661">
        <f t="shared" si="301"/>
        <v>949.2</v>
      </c>
      <c r="BL88" s="660">
        <f t="shared" si="301"/>
        <v>1062.0130009146901</v>
      </c>
      <c r="BM88" s="660">
        <f t="shared" si="301"/>
        <v>1256.9300877673031</v>
      </c>
      <c r="BN88" s="660">
        <f t="shared" si="301"/>
        <v>1453.1611455586196</v>
      </c>
      <c r="BO88" s="661">
        <f t="shared" si="301"/>
        <v>1724.2509290395133</v>
      </c>
      <c r="BP88" s="660">
        <f t="shared" ref="BP88:BS88" si="302">+SUM(BP86:BP87)</f>
        <v>1977.7614423440823</v>
      </c>
      <c r="BQ88" s="660">
        <f t="shared" si="302"/>
        <v>2172.8040660659144</v>
      </c>
      <c r="BR88" s="660">
        <f t="shared" si="302"/>
        <v>2410.9291342166202</v>
      </c>
      <c r="BS88" s="661">
        <f t="shared" si="302"/>
        <v>2703.1717725719636</v>
      </c>
      <c r="BT88" s="660">
        <f t="shared" ref="BT88:BW88" si="303">+SUM(BT86:BT87)</f>
        <v>2962.1609819360419</v>
      </c>
      <c r="BU88" s="660">
        <f t="shared" si="303"/>
        <v>3185.3270983126895</v>
      </c>
      <c r="BV88" s="660">
        <f t="shared" si="303"/>
        <v>3454.8281959573014</v>
      </c>
      <c r="BW88" s="661">
        <f t="shared" si="303"/>
        <v>3777.7918799082108</v>
      </c>
      <c r="BX88" s="287"/>
      <c r="BY88" s="660">
        <f t="shared" ref="BY88:CH88" si="304">+SUM(BY86:BY87)</f>
        <v>186.6</v>
      </c>
      <c r="BZ88" s="660">
        <f t="shared" si="304"/>
        <v>185.7</v>
      </c>
      <c r="CA88" s="660">
        <f t="shared" si="304"/>
        <v>233.3</v>
      </c>
      <c r="CB88" s="660">
        <f t="shared" si="304"/>
        <v>268.8</v>
      </c>
      <c r="CC88" s="660">
        <f t="shared" si="304"/>
        <v>274.60000000000002</v>
      </c>
      <c r="CD88" s="660">
        <f t="shared" si="304"/>
        <v>458.7</v>
      </c>
      <c r="CE88" s="660">
        <f t="shared" si="304"/>
        <v>571.20000000000005</v>
      </c>
      <c r="CF88" s="660">
        <f t="shared" si="304"/>
        <v>623.29999999999995</v>
      </c>
      <c r="CG88" s="660">
        <f t="shared" si="304"/>
        <v>901.5</v>
      </c>
      <c r="CH88" s="660">
        <f t="shared" si="304"/>
        <v>631.70000000000005</v>
      </c>
      <c r="CI88" s="660">
        <f t="shared" ref="CI88:CN88" si="305">+SUM(CI86:CI87)</f>
        <v>625.70000000000005</v>
      </c>
      <c r="CJ88" s="660">
        <f t="shared" si="305"/>
        <v>517.79999999999995</v>
      </c>
      <c r="CK88" s="660">
        <f t="shared" si="305"/>
        <v>617.6</v>
      </c>
      <c r="CL88" s="660">
        <f t="shared" si="305"/>
        <v>1028.0999999999999</v>
      </c>
      <c r="CM88" s="660">
        <f t="shared" si="305"/>
        <v>949.2</v>
      </c>
      <c r="CN88" s="660">
        <f t="shared" si="305"/>
        <v>1724.2509290395133</v>
      </c>
      <c r="CO88" s="660">
        <f t="shared" ref="CO88" si="306">+SUM(CO86:CO87)</f>
        <v>2703.1717725719636</v>
      </c>
      <c r="CP88" s="661">
        <f>+SUM(CP86:CP87)</f>
        <v>3777.7918799082108</v>
      </c>
      <c r="CQ88" s="733"/>
    </row>
    <row r="89" spans="1:95" ht="14.25" customHeight="1">
      <c r="A89" s="409"/>
      <c r="B89" s="513" t="s">
        <v>527</v>
      </c>
      <c r="C89" s="412"/>
      <c r="D89" s="656">
        <f t="shared" ref="D89:AQ89" si="307">D19</f>
        <v>0</v>
      </c>
      <c r="E89" s="657">
        <f t="shared" si="307"/>
        <v>0</v>
      </c>
      <c r="F89" s="657">
        <f t="shared" si="307"/>
        <v>0</v>
      </c>
      <c r="G89" s="658">
        <f t="shared" si="307"/>
        <v>0</v>
      </c>
      <c r="H89" s="657">
        <f t="shared" si="307"/>
        <v>0</v>
      </c>
      <c r="I89" s="657">
        <f t="shared" si="307"/>
        <v>0</v>
      </c>
      <c r="J89" s="657">
        <f t="shared" si="307"/>
        <v>0</v>
      </c>
      <c r="K89" s="657">
        <f t="shared" si="307"/>
        <v>0</v>
      </c>
      <c r="L89" s="656">
        <f t="shared" si="307"/>
        <v>0</v>
      </c>
      <c r="M89" s="657">
        <f t="shared" si="307"/>
        <v>0</v>
      </c>
      <c r="N89" s="657">
        <f t="shared" si="307"/>
        <v>0</v>
      </c>
      <c r="O89" s="658">
        <f t="shared" si="307"/>
        <v>0</v>
      </c>
      <c r="P89" s="656">
        <f t="shared" si="307"/>
        <v>0</v>
      </c>
      <c r="Q89" s="657">
        <f t="shared" si="307"/>
        <v>0</v>
      </c>
      <c r="R89" s="657">
        <f t="shared" si="307"/>
        <v>0</v>
      </c>
      <c r="S89" s="658">
        <f t="shared" si="307"/>
        <v>0</v>
      </c>
      <c r="T89" s="656">
        <f t="shared" si="307"/>
        <v>0</v>
      </c>
      <c r="U89" s="657">
        <f t="shared" si="307"/>
        <v>0</v>
      </c>
      <c r="V89" s="657">
        <f t="shared" si="307"/>
        <v>0</v>
      </c>
      <c r="W89" s="657">
        <f t="shared" si="307"/>
        <v>0</v>
      </c>
      <c r="X89" s="656">
        <f t="shared" si="307"/>
        <v>0</v>
      </c>
      <c r="Y89" s="657">
        <f t="shared" si="307"/>
        <v>0</v>
      </c>
      <c r="Z89" s="657">
        <f t="shared" si="307"/>
        <v>0</v>
      </c>
      <c r="AA89" s="658">
        <f t="shared" si="307"/>
        <v>0</v>
      </c>
      <c r="AB89" s="656">
        <f t="shared" si="307"/>
        <v>0</v>
      </c>
      <c r="AC89" s="657">
        <f t="shared" si="307"/>
        <v>0</v>
      </c>
      <c r="AD89" s="657">
        <f t="shared" si="307"/>
        <v>0</v>
      </c>
      <c r="AE89" s="658">
        <f t="shared" si="307"/>
        <v>5.9</v>
      </c>
      <c r="AF89" s="657">
        <f t="shared" si="307"/>
        <v>0.2</v>
      </c>
      <c r="AG89" s="657">
        <f t="shared" si="307"/>
        <v>0</v>
      </c>
      <c r="AH89" s="657">
        <f t="shared" si="307"/>
        <v>0</v>
      </c>
      <c r="AI89" s="657">
        <f t="shared" si="307"/>
        <v>142.1</v>
      </c>
      <c r="AJ89" s="656">
        <f t="shared" si="307"/>
        <v>0</v>
      </c>
      <c r="AK89" s="657">
        <f t="shared" si="307"/>
        <v>0</v>
      </c>
      <c r="AL89" s="657">
        <f t="shared" si="307"/>
        <v>0</v>
      </c>
      <c r="AM89" s="658">
        <f t="shared" si="307"/>
        <v>0</v>
      </c>
      <c r="AN89" s="657">
        <f t="shared" si="307"/>
        <v>0</v>
      </c>
      <c r="AO89" s="657">
        <f t="shared" si="307"/>
        <v>0</v>
      </c>
      <c r="AP89" s="657">
        <f t="shared" si="307"/>
        <v>0</v>
      </c>
      <c r="AQ89" s="657">
        <f t="shared" si="307"/>
        <v>0</v>
      </c>
      <c r="AR89" s="656">
        <f t="shared" ref="AR89:AY89" si="308">AR19</f>
        <v>0</v>
      </c>
      <c r="AS89" s="657">
        <f t="shared" si="308"/>
        <v>0</v>
      </c>
      <c r="AT89" s="657">
        <f t="shared" si="308"/>
        <v>0</v>
      </c>
      <c r="AU89" s="658">
        <f t="shared" si="308"/>
        <v>0</v>
      </c>
      <c r="AV89" s="657">
        <f t="shared" si="308"/>
        <v>0</v>
      </c>
      <c r="AW89" s="657">
        <f t="shared" si="308"/>
        <v>0</v>
      </c>
      <c r="AX89" s="657">
        <f t="shared" si="308"/>
        <v>0</v>
      </c>
      <c r="AY89" s="657">
        <f t="shared" si="308"/>
        <v>0</v>
      </c>
      <c r="AZ89" s="656">
        <f t="shared" ref="AZ89:BC89" si="309">AZ19</f>
        <v>0</v>
      </c>
      <c r="BA89" s="657">
        <f t="shared" si="309"/>
        <v>0</v>
      </c>
      <c r="BB89" s="657">
        <f t="shared" si="309"/>
        <v>0</v>
      </c>
      <c r="BC89" s="658">
        <f t="shared" si="309"/>
        <v>0</v>
      </c>
      <c r="BD89" s="656">
        <f>BD19</f>
        <v>0</v>
      </c>
      <c r="BE89" s="657">
        <f>BE19</f>
        <v>2235.8000000000002</v>
      </c>
      <c r="BF89" s="657">
        <f>BF19</f>
        <v>0</v>
      </c>
      <c r="BG89" s="658">
        <f t="shared" ref="BG89" si="310">BG19</f>
        <v>0</v>
      </c>
      <c r="BH89" s="657">
        <f>BH19</f>
        <v>0</v>
      </c>
      <c r="BI89" s="657">
        <f t="shared" ref="BI89:BO89" si="311">BI19</f>
        <v>0</v>
      </c>
      <c r="BJ89" s="657">
        <f t="shared" si="311"/>
        <v>0</v>
      </c>
      <c r="BK89" s="658">
        <f t="shared" si="311"/>
        <v>0</v>
      </c>
      <c r="BL89" s="657">
        <f t="shared" si="311"/>
        <v>0</v>
      </c>
      <c r="BM89" s="657">
        <f t="shared" si="311"/>
        <v>0</v>
      </c>
      <c r="BN89" s="657">
        <f t="shared" si="311"/>
        <v>0</v>
      </c>
      <c r="BO89" s="658">
        <f t="shared" si="311"/>
        <v>0</v>
      </c>
      <c r="BP89" s="657">
        <f t="shared" ref="BP89:BS89" si="312">BP19</f>
        <v>0</v>
      </c>
      <c r="BQ89" s="657">
        <f t="shared" si="312"/>
        <v>0</v>
      </c>
      <c r="BR89" s="657">
        <f t="shared" si="312"/>
        <v>0</v>
      </c>
      <c r="BS89" s="658">
        <f t="shared" si="312"/>
        <v>0</v>
      </c>
      <c r="BT89" s="657">
        <f t="shared" ref="BT89:BW89" si="313">BT19</f>
        <v>0</v>
      </c>
      <c r="BU89" s="657">
        <f t="shared" si="313"/>
        <v>0</v>
      </c>
      <c r="BV89" s="657">
        <f t="shared" si="313"/>
        <v>0</v>
      </c>
      <c r="BW89" s="658">
        <f t="shared" si="313"/>
        <v>0</v>
      </c>
      <c r="BX89" s="413"/>
      <c r="BY89" s="662">
        <f>G89</f>
        <v>0</v>
      </c>
      <c r="BZ89" s="663">
        <f>K89</f>
        <v>0</v>
      </c>
      <c r="CA89" s="663">
        <f>O89</f>
        <v>0</v>
      </c>
      <c r="CB89" s="663">
        <f>S89</f>
        <v>0</v>
      </c>
      <c r="CC89" s="663">
        <f>W89</f>
        <v>0</v>
      </c>
      <c r="CD89" s="663">
        <f>AA89</f>
        <v>0</v>
      </c>
      <c r="CE89" s="663">
        <f>AE89</f>
        <v>5.9</v>
      </c>
      <c r="CF89" s="663">
        <f>AI89</f>
        <v>142.1</v>
      </c>
      <c r="CG89" s="663">
        <f>AM89</f>
        <v>0</v>
      </c>
      <c r="CH89" s="663">
        <f>AQ89</f>
        <v>0</v>
      </c>
      <c r="CI89" s="663">
        <f>AU89</f>
        <v>0</v>
      </c>
      <c r="CJ89" s="663">
        <f>AY89</f>
        <v>0</v>
      </c>
      <c r="CK89" s="663">
        <f t="shared" ref="CK89:CP89" si="314">BC89</f>
        <v>0</v>
      </c>
      <c r="CL89" s="663">
        <f t="shared" si="314"/>
        <v>0</v>
      </c>
      <c r="CM89" s="663">
        <f t="shared" si="314"/>
        <v>2235.8000000000002</v>
      </c>
      <c r="CN89" s="663">
        <f t="shared" si="314"/>
        <v>0</v>
      </c>
      <c r="CO89" s="663">
        <f t="shared" si="314"/>
        <v>0</v>
      </c>
      <c r="CP89" s="933">
        <f t="shared" si="314"/>
        <v>0</v>
      </c>
      <c r="CQ89" s="1480"/>
    </row>
    <row r="90" spans="1:95" ht="14.25" customHeight="1">
      <c r="A90" s="91"/>
      <c r="B90" s="534" t="s">
        <v>488</v>
      </c>
      <c r="C90" s="414"/>
      <c r="D90" s="659">
        <f t="shared" ref="D90:AQ90" si="315">+SUM(D88:D89)</f>
        <v>189.1</v>
      </c>
      <c r="E90" s="660">
        <f t="shared" si="315"/>
        <v>181.2</v>
      </c>
      <c r="F90" s="660">
        <f t="shared" si="315"/>
        <v>183.6</v>
      </c>
      <c r="G90" s="661">
        <f t="shared" si="315"/>
        <v>186.6</v>
      </c>
      <c r="H90" s="660">
        <f t="shared" si="315"/>
        <v>221.4</v>
      </c>
      <c r="I90" s="660">
        <f t="shared" si="315"/>
        <v>257.7</v>
      </c>
      <c r="J90" s="660">
        <f t="shared" si="315"/>
        <v>231.8</v>
      </c>
      <c r="K90" s="660">
        <f t="shared" si="315"/>
        <v>185.7</v>
      </c>
      <c r="L90" s="659">
        <f t="shared" si="315"/>
        <v>204.1</v>
      </c>
      <c r="M90" s="660">
        <f t="shared" si="315"/>
        <v>246.6</v>
      </c>
      <c r="N90" s="660">
        <f t="shared" si="315"/>
        <v>272.3</v>
      </c>
      <c r="O90" s="661">
        <f t="shared" si="315"/>
        <v>233.3</v>
      </c>
      <c r="P90" s="659">
        <f t="shared" si="315"/>
        <v>251.3</v>
      </c>
      <c r="Q90" s="660">
        <f t="shared" si="315"/>
        <v>294.7</v>
      </c>
      <c r="R90" s="660">
        <f t="shared" si="315"/>
        <v>269.2</v>
      </c>
      <c r="S90" s="661">
        <f t="shared" si="315"/>
        <v>268.8</v>
      </c>
      <c r="T90" s="659">
        <f t="shared" si="315"/>
        <v>275.8</v>
      </c>
      <c r="U90" s="660">
        <f t="shared" si="315"/>
        <v>255.8</v>
      </c>
      <c r="V90" s="660">
        <f t="shared" si="315"/>
        <v>327.10000000000002</v>
      </c>
      <c r="W90" s="660">
        <f t="shared" si="315"/>
        <v>274.60000000000002</v>
      </c>
      <c r="X90" s="659">
        <f t="shared" si="315"/>
        <v>307.89999999999998</v>
      </c>
      <c r="Y90" s="660">
        <f t="shared" si="315"/>
        <v>321.2</v>
      </c>
      <c r="Z90" s="660">
        <f t="shared" si="315"/>
        <v>417.9</v>
      </c>
      <c r="AA90" s="661">
        <f t="shared" si="315"/>
        <v>458.7</v>
      </c>
      <c r="AB90" s="659">
        <f t="shared" si="315"/>
        <v>402.4</v>
      </c>
      <c r="AC90" s="660">
        <f t="shared" si="315"/>
        <v>403.4</v>
      </c>
      <c r="AD90" s="660">
        <f t="shared" si="315"/>
        <v>470.2</v>
      </c>
      <c r="AE90" s="661">
        <f t="shared" si="315"/>
        <v>577.1</v>
      </c>
      <c r="AF90" s="660">
        <f t="shared" si="315"/>
        <v>560.90000000000009</v>
      </c>
      <c r="AG90" s="660">
        <f t="shared" si="315"/>
        <v>467.1</v>
      </c>
      <c r="AH90" s="660">
        <f t="shared" si="315"/>
        <v>562.9</v>
      </c>
      <c r="AI90" s="660">
        <f t="shared" si="315"/>
        <v>765.4</v>
      </c>
      <c r="AJ90" s="659">
        <f t="shared" si="315"/>
        <v>766</v>
      </c>
      <c r="AK90" s="660">
        <f t="shared" si="315"/>
        <v>868.80000000000007</v>
      </c>
      <c r="AL90" s="660">
        <f t="shared" si="315"/>
        <v>837.69999999999993</v>
      </c>
      <c r="AM90" s="661">
        <f t="shared" si="315"/>
        <v>901.5</v>
      </c>
      <c r="AN90" s="660">
        <f t="shared" si="315"/>
        <v>892.3</v>
      </c>
      <c r="AO90" s="660">
        <f t="shared" si="315"/>
        <v>756.4</v>
      </c>
      <c r="AP90" s="660">
        <f t="shared" si="315"/>
        <v>643</v>
      </c>
      <c r="AQ90" s="660">
        <f t="shared" si="315"/>
        <v>631.70000000000005</v>
      </c>
      <c r="AR90" s="659">
        <f t="shared" ref="AR90:AY90" si="316">+SUM(AR88:AR89)</f>
        <v>614.29999999999995</v>
      </c>
      <c r="AS90" s="660">
        <f t="shared" si="316"/>
        <v>579</v>
      </c>
      <c r="AT90" s="660">
        <f t="shared" si="316"/>
        <v>553.6</v>
      </c>
      <c r="AU90" s="661">
        <f t="shared" si="316"/>
        <v>625.70000000000005</v>
      </c>
      <c r="AV90" s="660">
        <f t="shared" si="316"/>
        <v>617</v>
      </c>
      <c r="AW90" s="660">
        <f t="shared" si="316"/>
        <v>601.19999999999993</v>
      </c>
      <c r="AX90" s="660">
        <f t="shared" si="316"/>
        <v>494.90000000000003</v>
      </c>
      <c r="AY90" s="660">
        <f t="shared" si="316"/>
        <v>517.79999999999995</v>
      </c>
      <c r="AZ90" s="659">
        <f t="shared" ref="AZ90:BC90" si="317">+SUM(AZ88:AZ89)</f>
        <v>429.40000000000003</v>
      </c>
      <c r="BA90" s="660">
        <f t="shared" si="317"/>
        <v>577.9</v>
      </c>
      <c r="BB90" s="660">
        <f t="shared" si="317"/>
        <v>557.59999999999991</v>
      </c>
      <c r="BC90" s="661">
        <f t="shared" si="317"/>
        <v>617.6</v>
      </c>
      <c r="BD90" s="659">
        <f>+SUM(BD88:BD89)</f>
        <v>619.5</v>
      </c>
      <c r="BE90" s="660">
        <f>+SUM(BE88:BE89)</f>
        <v>2823.9</v>
      </c>
      <c r="BF90" s="660">
        <f>+SUM(BF88:BF89)</f>
        <v>880.5</v>
      </c>
      <c r="BG90" s="661">
        <f t="shared" ref="BG90" si="318">+SUM(BG88:BG89)</f>
        <v>1028.0999999999999</v>
      </c>
      <c r="BH90" s="660">
        <f>+SUM(BH88:BH89)</f>
        <v>728.9</v>
      </c>
      <c r="BI90" s="660">
        <f t="shared" ref="BI90:BO90" si="319">+SUM(BI88:BI89)</f>
        <v>871.6</v>
      </c>
      <c r="BJ90" s="660">
        <f t="shared" si="319"/>
        <v>901.2</v>
      </c>
      <c r="BK90" s="661">
        <f t="shared" si="319"/>
        <v>949.2</v>
      </c>
      <c r="BL90" s="660">
        <f t="shared" si="319"/>
        <v>1062.0130009146901</v>
      </c>
      <c r="BM90" s="660">
        <f t="shared" si="319"/>
        <v>1256.9300877673031</v>
      </c>
      <c r="BN90" s="660">
        <f t="shared" si="319"/>
        <v>1453.1611455586196</v>
      </c>
      <c r="BO90" s="661">
        <f t="shared" si="319"/>
        <v>1724.2509290395133</v>
      </c>
      <c r="BP90" s="660">
        <f t="shared" ref="BP90:BS90" si="320">+SUM(BP88:BP89)</f>
        <v>1977.7614423440823</v>
      </c>
      <c r="BQ90" s="660">
        <f t="shared" si="320"/>
        <v>2172.8040660659144</v>
      </c>
      <c r="BR90" s="660">
        <f t="shared" si="320"/>
        <v>2410.9291342166202</v>
      </c>
      <c r="BS90" s="660">
        <f t="shared" si="320"/>
        <v>2703.1717725719636</v>
      </c>
      <c r="BT90" s="660">
        <f t="shared" ref="BT90:BW90" si="321">+SUM(BT88:BT89)</f>
        <v>2962.1609819360419</v>
      </c>
      <c r="BU90" s="660">
        <f t="shared" si="321"/>
        <v>3185.3270983126895</v>
      </c>
      <c r="BV90" s="660">
        <f t="shared" si="321"/>
        <v>3454.8281959573014</v>
      </c>
      <c r="BW90" s="660">
        <f t="shared" si="321"/>
        <v>3777.7918799082108</v>
      </c>
      <c r="BX90" s="283"/>
      <c r="BY90" s="660">
        <f t="shared" ref="BY90:CH90" si="322">+SUM(BY88:BY89)</f>
        <v>186.6</v>
      </c>
      <c r="BZ90" s="660">
        <f t="shared" si="322"/>
        <v>185.7</v>
      </c>
      <c r="CA90" s="660">
        <f t="shared" si="322"/>
        <v>233.3</v>
      </c>
      <c r="CB90" s="660">
        <f t="shared" si="322"/>
        <v>268.8</v>
      </c>
      <c r="CC90" s="660">
        <f t="shared" si="322"/>
        <v>274.60000000000002</v>
      </c>
      <c r="CD90" s="660">
        <f t="shared" si="322"/>
        <v>458.7</v>
      </c>
      <c r="CE90" s="660">
        <f t="shared" si="322"/>
        <v>577.1</v>
      </c>
      <c r="CF90" s="660">
        <f t="shared" si="322"/>
        <v>765.4</v>
      </c>
      <c r="CG90" s="660">
        <f t="shared" si="322"/>
        <v>901.5</v>
      </c>
      <c r="CH90" s="660">
        <f t="shared" si="322"/>
        <v>631.70000000000005</v>
      </c>
      <c r="CI90" s="660">
        <f t="shared" ref="CI90:CN90" si="323">+SUM(CI88:CI89)</f>
        <v>625.70000000000005</v>
      </c>
      <c r="CJ90" s="660">
        <f t="shared" si="323"/>
        <v>517.79999999999995</v>
      </c>
      <c r="CK90" s="660">
        <f t="shared" si="323"/>
        <v>617.6</v>
      </c>
      <c r="CL90" s="660">
        <f t="shared" si="323"/>
        <v>1028.0999999999999</v>
      </c>
      <c r="CM90" s="660">
        <f t="shared" si="323"/>
        <v>3185</v>
      </c>
      <c r="CN90" s="660">
        <f t="shared" si="323"/>
        <v>1724.2509290395133</v>
      </c>
      <c r="CO90" s="660">
        <f t="shared" ref="CO90" si="324">+SUM(CO88:CO89)</f>
        <v>2703.1717725719636</v>
      </c>
      <c r="CP90" s="661">
        <f>+SUM(CP88:CP89)</f>
        <v>3777.7918799082108</v>
      </c>
      <c r="CQ90" s="733"/>
    </row>
    <row r="91" spans="1:95" ht="14.25" customHeight="1">
      <c r="A91" s="9"/>
      <c r="B91" s="514"/>
      <c r="C91" s="515"/>
      <c r="D91" s="518"/>
      <c r="E91" s="516"/>
      <c r="F91" s="516"/>
      <c r="G91" s="517"/>
      <c r="H91" s="516"/>
      <c r="I91" s="516"/>
      <c r="J91" s="516"/>
      <c r="K91" s="516"/>
      <c r="L91" s="518"/>
      <c r="M91" s="516"/>
      <c r="N91" s="516"/>
      <c r="O91" s="517"/>
      <c r="P91" s="518"/>
      <c r="Q91" s="516"/>
      <c r="R91" s="516"/>
      <c r="S91" s="517"/>
      <c r="T91" s="518"/>
      <c r="U91" s="516"/>
      <c r="V91" s="516"/>
      <c r="W91" s="516"/>
      <c r="X91" s="518"/>
      <c r="Y91" s="516"/>
      <c r="Z91" s="516"/>
      <c r="AA91" s="517"/>
      <c r="AB91" s="518"/>
      <c r="AC91" s="516"/>
      <c r="AD91" s="516"/>
      <c r="AE91" s="517"/>
      <c r="AF91" s="516"/>
      <c r="AG91" s="516"/>
      <c r="AH91" s="516"/>
      <c r="AI91" s="516"/>
      <c r="AJ91" s="518"/>
      <c r="AK91" s="516"/>
      <c r="AL91" s="516"/>
      <c r="AM91" s="517"/>
      <c r="AN91" s="516"/>
      <c r="AO91" s="516"/>
      <c r="AP91" s="516"/>
      <c r="AQ91" s="516"/>
      <c r="AR91" s="518"/>
      <c r="AS91" s="516"/>
      <c r="AT91" s="516"/>
      <c r="AU91" s="517"/>
      <c r="AV91" s="516"/>
      <c r="AW91" s="516"/>
      <c r="AX91" s="516"/>
      <c r="AY91" s="516"/>
      <c r="AZ91" s="518"/>
      <c r="BA91" s="516"/>
      <c r="BB91" s="516"/>
      <c r="BC91" s="517"/>
      <c r="BD91" s="518"/>
      <c r="BE91" s="516"/>
      <c r="BF91" s="516"/>
      <c r="BG91" s="517"/>
      <c r="BH91" s="516"/>
      <c r="BI91" s="516"/>
      <c r="BJ91" s="516"/>
      <c r="BK91" s="517"/>
      <c r="BL91" s="516"/>
      <c r="BM91" s="516"/>
      <c r="BN91" s="516"/>
      <c r="BO91" s="517"/>
      <c r="BP91" s="516"/>
      <c r="BQ91" s="516"/>
      <c r="BR91" s="516"/>
      <c r="BS91" s="517"/>
      <c r="BT91" s="516"/>
      <c r="BU91" s="516"/>
      <c r="BV91" s="516"/>
      <c r="BW91" s="517"/>
      <c r="BX91" s="21"/>
      <c r="BY91" s="838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4"/>
      <c r="CQ91" s="1041"/>
    </row>
    <row r="92" spans="1:95" ht="14.25" customHeight="1">
      <c r="A92" s="9"/>
      <c r="B92" s="23" t="s">
        <v>571</v>
      </c>
      <c r="C92" s="24"/>
      <c r="D92" s="451">
        <f>D35+D32</f>
        <v>1417.4</v>
      </c>
      <c r="E92" s="151">
        <f t="shared" ref="E92:BC92" si="325">E35+E32</f>
        <v>1441.6000000000001</v>
      </c>
      <c r="F92" s="151">
        <f t="shared" si="325"/>
        <v>1292.9000000000001</v>
      </c>
      <c r="G92" s="152">
        <f t="shared" si="325"/>
        <v>1302.9000000000001</v>
      </c>
      <c r="H92" s="151">
        <f>H35+H32</f>
        <v>1141.2</v>
      </c>
      <c r="I92" s="151">
        <f t="shared" si="325"/>
        <v>1174</v>
      </c>
      <c r="J92" s="151">
        <f t="shared" si="325"/>
        <v>1139.5999999999999</v>
      </c>
      <c r="K92" s="151">
        <f t="shared" si="325"/>
        <v>1151.8</v>
      </c>
      <c r="L92" s="451">
        <f>L35+L32</f>
        <v>1146</v>
      </c>
      <c r="M92" s="151">
        <f t="shared" si="325"/>
        <v>1142.3999999999999</v>
      </c>
      <c r="N92" s="151">
        <f t="shared" si="325"/>
        <v>1137.5</v>
      </c>
      <c r="O92" s="152">
        <f t="shared" si="325"/>
        <v>1067</v>
      </c>
      <c r="P92" s="451">
        <f>P35+P32</f>
        <v>1062</v>
      </c>
      <c r="Q92" s="151">
        <f t="shared" si="325"/>
        <v>1061</v>
      </c>
      <c r="R92" s="151">
        <f t="shared" si="325"/>
        <v>1006.7</v>
      </c>
      <c r="S92" s="152">
        <f t="shared" si="325"/>
        <v>1176</v>
      </c>
      <c r="T92" s="151">
        <f>T35+T32</f>
        <v>1150.4000000000001</v>
      </c>
      <c r="U92" s="151">
        <f t="shared" si="325"/>
        <v>1143.4000000000001</v>
      </c>
      <c r="V92" s="151">
        <f t="shared" si="325"/>
        <v>1139.5</v>
      </c>
      <c r="W92" s="151">
        <f t="shared" si="325"/>
        <v>1159.3999999999999</v>
      </c>
      <c r="X92" s="451">
        <f>X35+X32</f>
        <v>1225.0999999999999</v>
      </c>
      <c r="Y92" s="151">
        <f t="shared" si="325"/>
        <v>1232.1000000000001</v>
      </c>
      <c r="Z92" s="151">
        <f t="shared" si="325"/>
        <v>1220.8000000000002</v>
      </c>
      <c r="AA92" s="152">
        <f t="shared" si="325"/>
        <v>1009.8</v>
      </c>
      <c r="AB92" s="451">
        <f>AB35+AB32</f>
        <v>930.9</v>
      </c>
      <c r="AC92" s="151">
        <f t="shared" si="325"/>
        <v>904.3</v>
      </c>
      <c r="AD92" s="151">
        <f t="shared" si="325"/>
        <v>895.59999999999991</v>
      </c>
      <c r="AE92" s="152">
        <f t="shared" si="325"/>
        <v>933.5</v>
      </c>
      <c r="AF92" s="151">
        <f>AF35+AF32</f>
        <v>934.8</v>
      </c>
      <c r="AG92" s="151">
        <f t="shared" si="325"/>
        <v>753.4</v>
      </c>
      <c r="AH92" s="151">
        <f t="shared" si="325"/>
        <v>786</v>
      </c>
      <c r="AI92" s="151">
        <f t="shared" si="325"/>
        <v>888.8</v>
      </c>
      <c r="AJ92" s="451">
        <f>AJ35+AJ32</f>
        <v>1272</v>
      </c>
      <c r="AK92" s="151">
        <f t="shared" si="325"/>
        <v>1285.4000000000001</v>
      </c>
      <c r="AL92" s="151">
        <f t="shared" si="325"/>
        <v>1237</v>
      </c>
      <c r="AM92" s="152">
        <f t="shared" si="325"/>
        <v>1207</v>
      </c>
      <c r="AN92" s="151">
        <f>AN35+AN32</f>
        <v>1189</v>
      </c>
      <c r="AO92" s="151">
        <f t="shared" si="325"/>
        <v>1070.3</v>
      </c>
      <c r="AP92" s="151">
        <f t="shared" si="325"/>
        <v>1063.4000000000001</v>
      </c>
      <c r="AQ92" s="151">
        <f t="shared" si="325"/>
        <v>1011.9</v>
      </c>
      <c r="AR92" s="451">
        <f>AR35+AR32</f>
        <v>949.59999999999991</v>
      </c>
      <c r="AS92" s="151">
        <f t="shared" si="325"/>
        <v>917.59999999999991</v>
      </c>
      <c r="AT92" s="151">
        <f t="shared" si="325"/>
        <v>908.4</v>
      </c>
      <c r="AU92" s="152">
        <f t="shared" si="325"/>
        <v>942.2</v>
      </c>
      <c r="AV92" s="151">
        <f>AV35+AV32</f>
        <v>920.2</v>
      </c>
      <c r="AW92" s="151">
        <f t="shared" si="325"/>
        <v>904.9</v>
      </c>
      <c r="AX92" s="151">
        <f t="shared" si="325"/>
        <v>1183.5999999999999</v>
      </c>
      <c r="AY92" s="151">
        <f t="shared" si="325"/>
        <v>1192.5999999999999</v>
      </c>
      <c r="AZ92" s="451">
        <f>AZ35+AZ32</f>
        <v>1162.8</v>
      </c>
      <c r="BA92" s="151">
        <f t="shared" si="325"/>
        <v>1378.1999999999998</v>
      </c>
      <c r="BB92" s="151">
        <f>BB35+BB32</f>
        <v>1407.6999999999998</v>
      </c>
      <c r="BC92" s="152">
        <f t="shared" si="325"/>
        <v>1393.9</v>
      </c>
      <c r="BD92" s="451">
        <f>BD35+BD32</f>
        <v>1360.5</v>
      </c>
      <c r="BE92" s="151">
        <f>BE35+BE32</f>
        <v>3471.8</v>
      </c>
      <c r="BF92" s="151">
        <f>BF35+BF32</f>
        <v>3636.2999999999997</v>
      </c>
      <c r="BG92" s="152">
        <f t="shared" ref="BG92" si="326">BG35+BG32</f>
        <v>3622.3</v>
      </c>
      <c r="BH92" s="151">
        <f>BH35+BH32</f>
        <v>3259.6000000000004</v>
      </c>
      <c r="BI92" s="151">
        <f t="shared" ref="BI92:BO92" si="327">BI35+BI32</f>
        <v>3140.5</v>
      </c>
      <c r="BJ92" s="151">
        <f t="shared" si="327"/>
        <v>2942.9</v>
      </c>
      <c r="BK92" s="152">
        <f t="shared" si="327"/>
        <v>2951.7999999999997</v>
      </c>
      <c r="BL92" s="151">
        <f t="shared" si="327"/>
        <v>2951.7999999999997</v>
      </c>
      <c r="BM92" s="151">
        <f t="shared" si="327"/>
        <v>2951.7999999999997</v>
      </c>
      <c r="BN92" s="151">
        <f t="shared" si="327"/>
        <v>2951.7999999999997</v>
      </c>
      <c r="BO92" s="152">
        <f t="shared" si="327"/>
        <v>2951.7999999999997</v>
      </c>
      <c r="BP92" s="151">
        <f t="shared" ref="BP92:BS92" si="328">BP35+BP32</f>
        <v>2951.7999999999997</v>
      </c>
      <c r="BQ92" s="151">
        <f t="shared" si="328"/>
        <v>2951.7999999999997</v>
      </c>
      <c r="BR92" s="151">
        <f t="shared" si="328"/>
        <v>2951.7999999999997</v>
      </c>
      <c r="BS92" s="151">
        <f t="shared" si="328"/>
        <v>2951.7999999999997</v>
      </c>
      <c r="BT92" s="151">
        <f t="shared" ref="BT92:BW92" si="329">BT35+BT32</f>
        <v>2951.7999999999997</v>
      </c>
      <c r="BU92" s="151">
        <f t="shared" si="329"/>
        <v>2951.7999999999997</v>
      </c>
      <c r="BV92" s="151">
        <f t="shared" si="329"/>
        <v>2951.7999999999997</v>
      </c>
      <c r="BW92" s="151">
        <f t="shared" si="329"/>
        <v>2951.7999999999997</v>
      </c>
      <c r="BX92" s="839"/>
      <c r="BY92" s="151">
        <f t="shared" ref="BY92:CL92" si="330">BY35+BY32</f>
        <v>1302.9000000000001</v>
      </c>
      <c r="BZ92" s="151">
        <f t="shared" si="330"/>
        <v>1151.8</v>
      </c>
      <c r="CA92" s="151">
        <f t="shared" si="330"/>
        <v>1067</v>
      </c>
      <c r="CB92" s="151">
        <f t="shared" si="330"/>
        <v>1176</v>
      </c>
      <c r="CC92" s="151">
        <f t="shared" si="330"/>
        <v>1159.3999999999999</v>
      </c>
      <c r="CD92" s="151">
        <f t="shared" si="330"/>
        <v>1009.8</v>
      </c>
      <c r="CE92" s="151">
        <f t="shared" si="330"/>
        <v>933.5</v>
      </c>
      <c r="CF92" s="151">
        <f t="shared" si="330"/>
        <v>888.8</v>
      </c>
      <c r="CG92" s="151">
        <f t="shared" si="330"/>
        <v>1207</v>
      </c>
      <c r="CH92" s="151">
        <f t="shared" si="330"/>
        <v>1011.9</v>
      </c>
      <c r="CI92" s="151">
        <f t="shared" si="330"/>
        <v>942.2</v>
      </c>
      <c r="CJ92" s="151">
        <f t="shared" si="330"/>
        <v>1192.5999999999999</v>
      </c>
      <c r="CK92" s="151">
        <f t="shared" si="330"/>
        <v>1393.9</v>
      </c>
      <c r="CL92" s="151">
        <f t="shared" si="330"/>
        <v>3622.3</v>
      </c>
      <c r="CM92" s="151">
        <f>CM35+CM32</f>
        <v>2951.7999999999997</v>
      </c>
      <c r="CN92" s="151">
        <f>CN35+CN32</f>
        <v>2951.7999999999997</v>
      </c>
      <c r="CO92" s="151">
        <f>CO35+CO32</f>
        <v>2951.7999999999997</v>
      </c>
      <c r="CP92" s="152">
        <f>CP35+CP32</f>
        <v>2951.7999999999997</v>
      </c>
      <c r="CQ92" s="1041"/>
    </row>
    <row r="93" spans="1:95" ht="14.25" customHeight="1">
      <c r="A93" s="9"/>
      <c r="B93" s="23" t="s">
        <v>517</v>
      </c>
      <c r="C93" s="24"/>
      <c r="D93" s="451">
        <f>+D88-D92</f>
        <v>-1228.3000000000002</v>
      </c>
      <c r="E93" s="151">
        <f t="shared" ref="E93:BY93" si="331">+E88-E92</f>
        <v>-1260.4000000000001</v>
      </c>
      <c r="F93" s="151">
        <f t="shared" si="331"/>
        <v>-1109.3000000000002</v>
      </c>
      <c r="G93" s="152">
        <f t="shared" si="331"/>
        <v>-1116.3000000000002</v>
      </c>
      <c r="H93" s="151">
        <f t="shared" si="331"/>
        <v>-919.80000000000007</v>
      </c>
      <c r="I93" s="151">
        <f t="shared" si="331"/>
        <v>-916.3</v>
      </c>
      <c r="J93" s="151">
        <f t="shared" si="331"/>
        <v>-907.8</v>
      </c>
      <c r="K93" s="151">
        <f t="shared" si="331"/>
        <v>-966.09999999999991</v>
      </c>
      <c r="L93" s="451">
        <f t="shared" si="331"/>
        <v>-941.9</v>
      </c>
      <c r="M93" s="151">
        <f t="shared" si="331"/>
        <v>-895.79999999999984</v>
      </c>
      <c r="N93" s="151">
        <f t="shared" si="331"/>
        <v>-865.2</v>
      </c>
      <c r="O93" s="152">
        <f t="shared" si="331"/>
        <v>-833.7</v>
      </c>
      <c r="P93" s="451">
        <f t="shared" si="331"/>
        <v>-810.7</v>
      </c>
      <c r="Q93" s="151">
        <f t="shared" si="331"/>
        <v>-766.3</v>
      </c>
      <c r="R93" s="151">
        <f t="shared" si="331"/>
        <v>-737.5</v>
      </c>
      <c r="S93" s="152">
        <f t="shared" si="331"/>
        <v>-907.2</v>
      </c>
      <c r="T93" s="451">
        <f t="shared" si="331"/>
        <v>-874.60000000000014</v>
      </c>
      <c r="U93" s="151">
        <f t="shared" si="331"/>
        <v>-887.60000000000014</v>
      </c>
      <c r="V93" s="151">
        <f t="shared" si="331"/>
        <v>-812.4</v>
      </c>
      <c r="W93" s="151">
        <f t="shared" si="331"/>
        <v>-884.79999999999984</v>
      </c>
      <c r="X93" s="451">
        <f t="shared" si="331"/>
        <v>-917.19999999999993</v>
      </c>
      <c r="Y93" s="151">
        <f t="shared" si="331"/>
        <v>-910.90000000000009</v>
      </c>
      <c r="Z93" s="151">
        <f t="shared" si="331"/>
        <v>-802.9000000000002</v>
      </c>
      <c r="AA93" s="152">
        <f t="shared" si="331"/>
        <v>-551.09999999999991</v>
      </c>
      <c r="AB93" s="451">
        <f t="shared" si="331"/>
        <v>-528.5</v>
      </c>
      <c r="AC93" s="151">
        <f t="shared" si="331"/>
        <v>-500.9</v>
      </c>
      <c r="AD93" s="151">
        <f t="shared" si="331"/>
        <v>-425.39999999999992</v>
      </c>
      <c r="AE93" s="152">
        <f t="shared" si="331"/>
        <v>-362.29999999999995</v>
      </c>
      <c r="AF93" s="151">
        <f t="shared" si="331"/>
        <v>-374.09999999999991</v>
      </c>
      <c r="AG93" s="151">
        <f t="shared" si="331"/>
        <v>-286.29999999999995</v>
      </c>
      <c r="AH93" s="151">
        <f t="shared" si="331"/>
        <v>-223.10000000000002</v>
      </c>
      <c r="AI93" s="151">
        <f t="shared" si="331"/>
        <v>-265.5</v>
      </c>
      <c r="AJ93" s="451">
        <f t="shared" si="331"/>
        <v>-506</v>
      </c>
      <c r="AK93" s="151">
        <f t="shared" si="331"/>
        <v>-416.6</v>
      </c>
      <c r="AL93" s="151">
        <f t="shared" si="331"/>
        <v>-399.30000000000007</v>
      </c>
      <c r="AM93" s="152">
        <f t="shared" si="331"/>
        <v>-305.5</v>
      </c>
      <c r="AN93" s="151">
        <f t="shared" si="331"/>
        <v>-296.70000000000005</v>
      </c>
      <c r="AO93" s="151">
        <f t="shared" si="331"/>
        <v>-313.89999999999998</v>
      </c>
      <c r="AP93" s="151">
        <f t="shared" si="331"/>
        <v>-420.40000000000009</v>
      </c>
      <c r="AQ93" s="151">
        <f t="shared" si="331"/>
        <v>-380.19999999999993</v>
      </c>
      <c r="AR93" s="451">
        <f t="shared" si="331"/>
        <v>-335.29999999999995</v>
      </c>
      <c r="AS93" s="151">
        <f t="shared" si="331"/>
        <v>-338.59999999999991</v>
      </c>
      <c r="AT93" s="151">
        <f t="shared" si="331"/>
        <v>-354.79999999999995</v>
      </c>
      <c r="AU93" s="152">
        <f t="shared" si="331"/>
        <v>-316.5</v>
      </c>
      <c r="AV93" s="151">
        <f t="shared" si="331"/>
        <v>-303.20000000000005</v>
      </c>
      <c r="AW93" s="151">
        <f t="shared" si="331"/>
        <v>-303.70000000000005</v>
      </c>
      <c r="AX93" s="151">
        <f t="shared" si="331"/>
        <v>-688.69999999999982</v>
      </c>
      <c r="AY93" s="151">
        <f t="shared" si="331"/>
        <v>-674.8</v>
      </c>
      <c r="AZ93" s="451">
        <f t="shared" ref="AZ93:BC93" si="332">+AZ88-AZ92</f>
        <v>-733.39999999999986</v>
      </c>
      <c r="BA93" s="151">
        <f t="shared" si="332"/>
        <v>-800.29999999999984</v>
      </c>
      <c r="BB93" s="151">
        <f t="shared" si="332"/>
        <v>-850.09999999999991</v>
      </c>
      <c r="BC93" s="152">
        <f t="shared" si="332"/>
        <v>-776.30000000000007</v>
      </c>
      <c r="BD93" s="451">
        <f>+BD88-BD92</f>
        <v>-741</v>
      </c>
      <c r="BE93" s="151">
        <f>+BE88-BE92</f>
        <v>-2883.7000000000003</v>
      </c>
      <c r="BF93" s="151">
        <f>+BF88-BF92</f>
        <v>-2755.7999999999997</v>
      </c>
      <c r="BG93" s="152">
        <f t="shared" ref="BG93" si="333">+BG88-BG92</f>
        <v>-2594.2000000000003</v>
      </c>
      <c r="BH93" s="151">
        <f>+BH88-BH92</f>
        <v>-2530.7000000000003</v>
      </c>
      <c r="BI93" s="151">
        <f t="shared" ref="BI93:BO93" si="334">+BI88-BI92</f>
        <v>-2268.9</v>
      </c>
      <c r="BJ93" s="151">
        <f t="shared" si="334"/>
        <v>-2041.7</v>
      </c>
      <c r="BK93" s="152">
        <f t="shared" si="334"/>
        <v>-2002.5999999999997</v>
      </c>
      <c r="BL93" s="151">
        <f t="shared" si="334"/>
        <v>-1889.7869990853096</v>
      </c>
      <c r="BM93" s="151">
        <f t="shared" si="334"/>
        <v>-1694.8699122326966</v>
      </c>
      <c r="BN93" s="151">
        <f t="shared" si="334"/>
        <v>-1498.6388544413801</v>
      </c>
      <c r="BO93" s="152">
        <f t="shared" si="334"/>
        <v>-1227.5490709604865</v>
      </c>
      <c r="BP93" s="151">
        <f t="shared" ref="BP93:BS93" si="335">+BP88-BP92</f>
        <v>-974.03855765591743</v>
      </c>
      <c r="BQ93" s="151">
        <f t="shared" si="335"/>
        <v>-778.99593393408531</v>
      </c>
      <c r="BR93" s="151">
        <f t="shared" si="335"/>
        <v>-540.87086578337949</v>
      </c>
      <c r="BS93" s="152">
        <f t="shared" si="335"/>
        <v>-248.6282274280361</v>
      </c>
      <c r="BT93" s="151">
        <f t="shared" ref="BT93:BW93" si="336">+BT88-BT92</f>
        <v>10.360981936042208</v>
      </c>
      <c r="BU93" s="151">
        <f t="shared" si="336"/>
        <v>233.52709831268976</v>
      </c>
      <c r="BV93" s="151">
        <f t="shared" si="336"/>
        <v>503.0281959573017</v>
      </c>
      <c r="BW93" s="152">
        <f t="shared" si="336"/>
        <v>825.9918799082111</v>
      </c>
      <c r="BX93" s="211"/>
      <c r="BY93" s="153">
        <f t="shared" si="331"/>
        <v>-1116.3000000000002</v>
      </c>
      <c r="BZ93" s="153">
        <f t="shared" ref="BZ93:CL93" si="337">+BZ88-BZ92</f>
        <v>-966.09999999999991</v>
      </c>
      <c r="CA93" s="153">
        <f t="shared" si="337"/>
        <v>-833.7</v>
      </c>
      <c r="CB93" s="153">
        <f t="shared" si="337"/>
        <v>-907.2</v>
      </c>
      <c r="CC93" s="153">
        <f t="shared" si="337"/>
        <v>-884.79999999999984</v>
      </c>
      <c r="CD93" s="153">
        <f t="shared" si="337"/>
        <v>-551.09999999999991</v>
      </c>
      <c r="CE93" s="153">
        <f t="shared" si="337"/>
        <v>-362.29999999999995</v>
      </c>
      <c r="CF93" s="153">
        <f t="shared" si="337"/>
        <v>-265.5</v>
      </c>
      <c r="CG93" s="153">
        <f t="shared" si="337"/>
        <v>-305.5</v>
      </c>
      <c r="CH93" s="153">
        <f t="shared" si="337"/>
        <v>-380.19999999999993</v>
      </c>
      <c r="CI93" s="153">
        <f t="shared" si="337"/>
        <v>-316.5</v>
      </c>
      <c r="CJ93" s="153">
        <f t="shared" si="337"/>
        <v>-674.8</v>
      </c>
      <c r="CK93" s="153">
        <f t="shared" si="337"/>
        <v>-776.30000000000007</v>
      </c>
      <c r="CL93" s="153">
        <f t="shared" si="337"/>
        <v>-2594.2000000000003</v>
      </c>
      <c r="CM93" s="153">
        <f>+CM88-CM92</f>
        <v>-2002.5999999999997</v>
      </c>
      <c r="CN93" s="153">
        <f>+CN88-CN92</f>
        <v>-1227.5490709604865</v>
      </c>
      <c r="CO93" s="153">
        <f>+CO88-CO92</f>
        <v>-248.6282274280361</v>
      </c>
      <c r="CP93" s="154">
        <f>+CP88-CP92</f>
        <v>825.9918799082111</v>
      </c>
      <c r="CQ93" s="1041"/>
    </row>
    <row r="94" spans="1:95" ht="14.25" customHeight="1">
      <c r="A94" s="9"/>
      <c r="B94" s="847" t="s">
        <v>528</v>
      </c>
      <c r="C94" s="55"/>
      <c r="D94" s="849">
        <f>+D93/D78</f>
        <v>-6.9631519274376421</v>
      </c>
      <c r="E94" s="845">
        <f t="shared" ref="E94:AY94" si="338">+E93/E78</f>
        <v>-7.1289592760181</v>
      </c>
      <c r="F94" s="845">
        <f t="shared" si="338"/>
        <v>-6.1799442896935943</v>
      </c>
      <c r="G94" s="848">
        <f t="shared" si="338"/>
        <v>-5.1466113416320889</v>
      </c>
      <c r="H94" s="845">
        <f t="shared" si="338"/>
        <v>-4.0078431372549019</v>
      </c>
      <c r="I94" s="845">
        <f t="shared" si="338"/>
        <v>-3.6174496644295298</v>
      </c>
      <c r="J94" s="845">
        <f t="shared" si="338"/>
        <v>-3.175236096537251</v>
      </c>
      <c r="K94" s="845">
        <f t="shared" si="338"/>
        <v>-3.7960707269155201</v>
      </c>
      <c r="L94" s="849">
        <f t="shared" si="338"/>
        <v>-3.2727588603196662</v>
      </c>
      <c r="M94" s="845">
        <f t="shared" si="338"/>
        <v>-3.1125781792911735</v>
      </c>
      <c r="N94" s="845">
        <f t="shared" si="338"/>
        <v>-2.9762641898864812</v>
      </c>
      <c r="O94" s="848">
        <f t="shared" si="338"/>
        <v>-2.5996258185219836</v>
      </c>
      <c r="P94" s="849">
        <f t="shared" si="338"/>
        <v>-2.3403579676674369</v>
      </c>
      <c r="Q94" s="845">
        <f t="shared" si="338"/>
        <v>-2.1543435479336517</v>
      </c>
      <c r="R94" s="845">
        <f t="shared" si="338"/>
        <v>-2.191027926322044</v>
      </c>
      <c r="S94" s="848">
        <f t="shared" si="338"/>
        <v>-2.7734637725466218</v>
      </c>
      <c r="T94" s="849">
        <f t="shared" si="338"/>
        <v>-2.9095143047238858</v>
      </c>
      <c r="U94" s="845">
        <f t="shared" si="338"/>
        <v>-2.8959216965742254</v>
      </c>
      <c r="V94" s="845">
        <f t="shared" si="338"/>
        <v>-2.556324732536186</v>
      </c>
      <c r="W94" s="845">
        <f t="shared" si="338"/>
        <v>-2.936608031861931</v>
      </c>
      <c r="X94" s="849">
        <f t="shared" si="338"/>
        <v>-2.965405754930488</v>
      </c>
      <c r="Y94" s="845">
        <f t="shared" si="338"/>
        <v>-2.2447018235584033</v>
      </c>
      <c r="Z94" s="845">
        <f t="shared" si="338"/>
        <v>-1.983448616600791</v>
      </c>
      <c r="AA94" s="848">
        <f t="shared" si="338"/>
        <v>-1.3471033977022731</v>
      </c>
      <c r="AB94" s="849">
        <f t="shared" si="338"/>
        <v>-1.2778046421663443</v>
      </c>
      <c r="AC94" s="845">
        <f t="shared" si="338"/>
        <v>-1.1906346565248396</v>
      </c>
      <c r="AD94" s="845">
        <f t="shared" si="338"/>
        <v>-0.96879981780915481</v>
      </c>
      <c r="AE94" s="848">
        <f t="shared" si="338"/>
        <v>-0.81801761119891614</v>
      </c>
      <c r="AF94" s="845">
        <f t="shared" si="338"/>
        <v>-0.84849172147879326</v>
      </c>
      <c r="AG94" s="845">
        <f t="shared" si="338"/>
        <v>-0.65127388535031838</v>
      </c>
      <c r="AH94" s="845">
        <f t="shared" si="338"/>
        <v>-0.50727603456116421</v>
      </c>
      <c r="AI94" s="845">
        <f t="shared" si="338"/>
        <v>-0.59329608938547485</v>
      </c>
      <c r="AJ94" s="849">
        <f t="shared" si="338"/>
        <v>-1.1096491228070176</v>
      </c>
      <c r="AK94" s="845">
        <f t="shared" si="338"/>
        <v>-0.90270855904658731</v>
      </c>
      <c r="AL94" s="845">
        <f t="shared" si="338"/>
        <v>-0.88970588235294135</v>
      </c>
      <c r="AM94" s="850">
        <f t="shared" si="338"/>
        <v>-0.67828596802841923</v>
      </c>
      <c r="AN94" s="846">
        <f t="shared" si="338"/>
        <v>-0.64415979157620507</v>
      </c>
      <c r="AO94" s="845">
        <f t="shared" si="338"/>
        <v>-0.68612021857923489</v>
      </c>
      <c r="AP94" s="845">
        <f t="shared" si="338"/>
        <v>-0.92152564664620806</v>
      </c>
      <c r="AQ94" s="845">
        <f t="shared" si="338"/>
        <v>-0.8475256353098527</v>
      </c>
      <c r="AR94" s="851">
        <f t="shared" si="338"/>
        <v>-0.74099447513812144</v>
      </c>
      <c r="AS94" s="846">
        <f t="shared" si="338"/>
        <v>-0.74696668872711203</v>
      </c>
      <c r="AT94" s="846">
        <f t="shared" si="338"/>
        <v>-0.78478212784782109</v>
      </c>
      <c r="AU94" s="850">
        <f t="shared" si="338"/>
        <v>-0.71091644204851756</v>
      </c>
      <c r="AV94" s="846">
        <f t="shared" si="338"/>
        <v>-0.68211473565804281</v>
      </c>
      <c r="AW94" s="846">
        <f t="shared" si="338"/>
        <v>-0.68323959505061882</v>
      </c>
      <c r="AX94" s="846">
        <f t="shared" si="338"/>
        <v>-1.54798831198022</v>
      </c>
      <c r="AY94" s="846">
        <f t="shared" si="338"/>
        <v>-1.5329395729213993</v>
      </c>
      <c r="AZ94" s="851">
        <f t="shared" ref="AZ94:BC94" si="339">+AZ93/AZ78</f>
        <v>-1.6671970902477833</v>
      </c>
      <c r="BA94" s="846">
        <f t="shared" si="339"/>
        <v>-1.8342883337153331</v>
      </c>
      <c r="BB94" s="846">
        <f t="shared" si="339"/>
        <v>-2.0361676646706584</v>
      </c>
      <c r="BC94" s="850">
        <f t="shared" si="339"/>
        <v>-1.8620772367474216</v>
      </c>
      <c r="BD94" s="851">
        <f>+BD93/BD78</f>
        <v>-1.7833935018050542</v>
      </c>
      <c r="BE94" s="846">
        <f>+BE93/BE78</f>
        <v>-6.905411877394636</v>
      </c>
      <c r="BF94" s="846">
        <f>+BF93/BF78</f>
        <v>-6.564554549785611</v>
      </c>
      <c r="BG94" s="850">
        <f t="shared" ref="BG94" si="340">+BG93/BG78</f>
        <v>-6.0768329819629896</v>
      </c>
      <c r="BH94" s="846">
        <f>+BH93/BH78</f>
        <v>-5.9434006575857214</v>
      </c>
      <c r="BI94" s="846">
        <f t="shared" ref="BI94:BO94" si="341">+BI93/BI78</f>
        <v>-5.32730687954919</v>
      </c>
      <c r="BJ94" s="846">
        <f t="shared" si="341"/>
        <v>-4.7759064327485383</v>
      </c>
      <c r="BK94" s="850">
        <f t="shared" si="341"/>
        <v>-4.6217401338564494</v>
      </c>
      <c r="BL94" s="846">
        <f t="shared" si="341"/>
        <v>-4.2371905809087655</v>
      </c>
      <c r="BM94" s="846">
        <f t="shared" si="341"/>
        <v>-3.7916552846369052</v>
      </c>
      <c r="BN94" s="846">
        <f t="shared" si="341"/>
        <v>-3.3451760143780804</v>
      </c>
      <c r="BO94" s="850">
        <f t="shared" si="341"/>
        <v>-2.7339622961258052</v>
      </c>
      <c r="BP94" s="846">
        <f t="shared" ref="BP94:BS94" si="342">+BP93/BP78</f>
        <v>-2.164530128124261</v>
      </c>
      <c r="BQ94" s="846">
        <f t="shared" si="342"/>
        <v>-1.7272637116055107</v>
      </c>
      <c r="BR94" s="846">
        <f t="shared" si="342"/>
        <v>-1.1966169596977423</v>
      </c>
      <c r="BS94" s="850">
        <f t="shared" si="342"/>
        <v>-0.54884818416785008</v>
      </c>
      <c r="BT94" s="846">
        <f t="shared" ref="BT94:BW94" si="343">+BT93/BT78</f>
        <v>2.2821546114630414E-2</v>
      </c>
      <c r="BU94" s="846">
        <f t="shared" si="343"/>
        <v>0.51324636991799943</v>
      </c>
      <c r="BV94" s="846">
        <f t="shared" si="343"/>
        <v>1.1031320086782932</v>
      </c>
      <c r="BW94" s="850">
        <f t="shared" si="343"/>
        <v>1.8074220566919281</v>
      </c>
      <c r="BX94" s="841"/>
      <c r="BY94" s="849">
        <f t="shared" ref="BY94:CL94" si="344">+BY93/BY78</f>
        <v>-5.9567769477054435</v>
      </c>
      <c r="BZ94" s="845">
        <f t="shared" si="344"/>
        <v>-3.8987086359967709</v>
      </c>
      <c r="CA94" s="845">
        <f t="shared" si="344"/>
        <v>-2.8089622641509435</v>
      </c>
      <c r="CB94" s="845">
        <f t="shared" si="344"/>
        <v>-2.6518561824028062</v>
      </c>
      <c r="CC94" s="845">
        <f t="shared" si="344"/>
        <v>-2.9375830013280209</v>
      </c>
      <c r="CD94" s="845">
        <f t="shared" si="344"/>
        <v>-1.4540897097625327</v>
      </c>
      <c r="CE94" s="845">
        <f t="shared" si="344"/>
        <v>-0.83846331867623225</v>
      </c>
      <c r="CF94" s="845">
        <f t="shared" si="344"/>
        <v>-0.59743474347434744</v>
      </c>
      <c r="CG94" s="845">
        <f t="shared" si="344"/>
        <v>-0.66819772528433952</v>
      </c>
      <c r="CH94" s="845">
        <f t="shared" si="344"/>
        <v>-0.84003535130357909</v>
      </c>
      <c r="CI94" s="845">
        <f t="shared" si="344"/>
        <v>-0.70212411957184839</v>
      </c>
      <c r="CJ94" s="845">
        <f t="shared" si="344"/>
        <v>-1.5214474945042555</v>
      </c>
      <c r="CK94" s="845">
        <f t="shared" si="344"/>
        <v>-1.8152694960832458</v>
      </c>
      <c r="CL94" s="1308">
        <f t="shared" si="344"/>
        <v>-6.1774020716751998</v>
      </c>
      <c r="CM94" s="1308">
        <f>+CM93/CM78</f>
        <v>-4.6776058394160573</v>
      </c>
      <c r="CN94" s="1308">
        <f>+CN93/CN78</f>
        <v>-2.7431264155541597</v>
      </c>
      <c r="CO94" s="1308">
        <f>+CO93/CO78</f>
        <v>-0.55067160006209548</v>
      </c>
      <c r="CP94" s="1311">
        <f>+CP93/CP78</f>
        <v>1.8133740502924502</v>
      </c>
      <c r="CQ94" s="1041"/>
    </row>
    <row r="95" spans="1:95" ht="14.25" customHeight="1">
      <c r="A95" s="9"/>
      <c r="B95" s="1313" t="s">
        <v>622</v>
      </c>
      <c r="C95" s="198"/>
      <c r="D95" s="1314"/>
      <c r="E95" s="1314"/>
      <c r="F95" s="1314"/>
      <c r="G95" s="1314"/>
      <c r="H95" s="1314"/>
      <c r="I95" s="1314"/>
      <c r="J95" s="1314"/>
      <c r="K95" s="1314"/>
      <c r="L95" s="1314"/>
      <c r="M95" s="1314"/>
      <c r="N95" s="1314"/>
      <c r="O95" s="1314"/>
      <c r="P95" s="1314"/>
      <c r="Q95" s="1314"/>
      <c r="R95" s="1314"/>
      <c r="S95" s="1314"/>
      <c r="T95" s="1314"/>
      <c r="U95" s="1314"/>
      <c r="V95" s="1314"/>
      <c r="W95" s="1314"/>
      <c r="X95" s="1314"/>
      <c r="Y95" s="1314"/>
      <c r="Z95" s="1314"/>
      <c r="AA95" s="1314"/>
      <c r="AB95" s="1314"/>
      <c r="AC95" s="1314"/>
      <c r="AD95" s="1314"/>
      <c r="AE95" s="1314"/>
      <c r="AF95" s="1314"/>
      <c r="AG95" s="1314"/>
      <c r="AH95" s="1314"/>
      <c r="AI95" s="1314"/>
      <c r="AJ95" s="1314"/>
      <c r="AK95" s="1314"/>
      <c r="AL95" s="1314"/>
      <c r="AM95" s="1314"/>
      <c r="AN95" s="1314"/>
      <c r="AO95" s="1314"/>
      <c r="AP95" s="1314"/>
      <c r="AQ95" s="1314"/>
      <c r="AR95" s="1314"/>
      <c r="AS95" s="1314"/>
      <c r="AT95" s="1314"/>
      <c r="AU95" s="1314"/>
      <c r="AV95" s="1314"/>
      <c r="AW95" s="1314"/>
      <c r="AX95" s="1314"/>
      <c r="AY95" s="1314"/>
      <c r="AZ95" s="1315">
        <f>-AZ93/(IS!AZ139*4)</f>
        <v>0.96398527865404826</v>
      </c>
      <c r="BA95" s="1315">
        <f>-BA93/(IS!BA139*4)</f>
        <v>1.0156091370558376</v>
      </c>
      <c r="BB95" s="1315">
        <f>-BB93/(IS!BB139*4)</f>
        <v>1.0854187946884575</v>
      </c>
      <c r="BC95" s="1315">
        <f>-BC93/(IS!BC139*4)</f>
        <v>1.0605191256830599</v>
      </c>
      <c r="BD95" s="1315">
        <f>-BD93/(IS!BD139*4)</f>
        <v>1.1092814371257484</v>
      </c>
      <c r="BE95" s="1315">
        <f>-BE93/(IS!BE139*4)</f>
        <v>3.8387912673056444</v>
      </c>
      <c r="BF95" s="1315">
        <f>-BF93/(IS!BF139*4)</f>
        <v>3.3330914368650215</v>
      </c>
      <c r="BG95" s="1316">
        <f>-BG93/(IS!BG139*4)</f>
        <v>2.2981927710843375</v>
      </c>
      <c r="BH95" s="1315">
        <f>-BH93/(IS!BH139*4)</f>
        <v>2.2316578483245149</v>
      </c>
      <c r="BI95" s="1315">
        <f>-BI93/(IS!BI139*4)</f>
        <v>1.8116416480357715</v>
      </c>
      <c r="BJ95" s="1315">
        <f>-BJ93/(IS!BJ139*4)</f>
        <v>1.4229857819905212</v>
      </c>
      <c r="BK95" s="1316">
        <f>-BK93/(IS!BK139*4)</f>
        <v>1.49492385786802</v>
      </c>
      <c r="BL95" s="1315">
        <f>-BL93/(IS!BL139*4)</f>
        <v>1.2697733712149331</v>
      </c>
      <c r="BM95" s="1315">
        <f>-BM93/(IS!BM139*4)</f>
        <v>1.1618415734042222</v>
      </c>
      <c r="BN95" s="1315">
        <f>-BN93/(IS!BN139*4)</f>
        <v>0.99190267980482971</v>
      </c>
      <c r="BO95" s="1316">
        <f>-BO93/(IS!BO139*4)</f>
        <v>0.82928299664331495</v>
      </c>
      <c r="BP95" s="1460"/>
      <c r="BQ95" s="1461"/>
      <c r="BR95" s="1461"/>
      <c r="BS95" s="1462"/>
      <c r="BT95" s="1460"/>
      <c r="BU95" s="1461"/>
      <c r="BV95" s="1461"/>
      <c r="BW95" s="1462"/>
      <c r="BX95" s="839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312"/>
      <c r="CM95" s="1312"/>
      <c r="CN95" s="1312"/>
      <c r="CO95" s="1312"/>
      <c r="CP95" s="1051"/>
      <c r="CQ95" s="1041"/>
    </row>
    <row r="96" spans="1:95" ht="14.25" customHeight="1">
      <c r="A96" s="15"/>
      <c r="B96" s="842"/>
      <c r="C96" s="843"/>
      <c r="D96" s="516"/>
      <c r="E96" s="516"/>
      <c r="F96" s="516"/>
      <c r="G96" s="516"/>
      <c r="H96" s="516"/>
      <c r="I96" s="516"/>
      <c r="J96" s="516"/>
      <c r="K96" s="516"/>
      <c r="L96" s="516"/>
      <c r="M96" s="516"/>
      <c r="N96" s="516"/>
      <c r="O96" s="516"/>
      <c r="P96" s="516"/>
      <c r="Q96" s="516"/>
      <c r="R96" s="516"/>
      <c r="S96" s="516"/>
      <c r="T96" s="516"/>
      <c r="U96" s="516"/>
      <c r="V96" s="516"/>
      <c r="W96" s="516"/>
      <c r="X96" s="516"/>
      <c r="Y96" s="516"/>
      <c r="Z96" s="516"/>
      <c r="AA96" s="516"/>
      <c r="AB96" s="516"/>
      <c r="AC96" s="516"/>
      <c r="AD96" s="516"/>
      <c r="AE96" s="516"/>
      <c r="AF96" s="516"/>
      <c r="AG96" s="516"/>
      <c r="AH96" s="516"/>
      <c r="AI96" s="516"/>
      <c r="AJ96" s="516"/>
      <c r="AK96" s="516"/>
      <c r="AL96" s="516"/>
      <c r="AM96" s="516"/>
      <c r="AN96" s="516"/>
      <c r="AO96" s="516"/>
      <c r="AP96" s="516"/>
      <c r="AQ96" s="516"/>
      <c r="AR96" s="516"/>
      <c r="AS96" s="516"/>
      <c r="AT96" s="516"/>
      <c r="AU96" s="516"/>
      <c r="AV96" s="516"/>
      <c r="AW96" s="516"/>
      <c r="AX96" s="516"/>
      <c r="AY96" s="516"/>
      <c r="AZ96" s="516"/>
      <c r="BA96" s="516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6"/>
      <c r="BU96" s="516"/>
      <c r="BV96" s="516"/>
      <c r="BW96" s="516"/>
      <c r="BX96" s="15"/>
      <c r="BY96" s="153"/>
      <c r="BZ96" s="153"/>
      <c r="CA96" s="153"/>
      <c r="CB96" s="153"/>
      <c r="CC96" s="153"/>
      <c r="CD96" s="153"/>
      <c r="CE96" s="153"/>
      <c r="CF96" s="153"/>
      <c r="CG96" s="153"/>
      <c r="CH96" s="153"/>
      <c r="CI96" s="153"/>
      <c r="CJ96" s="153"/>
      <c r="CK96" s="153"/>
      <c r="CL96" s="153"/>
      <c r="CM96" s="153"/>
      <c r="CN96" s="153"/>
      <c r="CO96" s="153"/>
      <c r="CP96" s="153"/>
      <c r="CQ96" s="302"/>
    </row>
    <row r="97" spans="1:95" ht="14.25" customHeight="1" outlineLevel="1">
      <c r="A97" s="15"/>
      <c r="B97" s="837"/>
      <c r="C97" s="843"/>
      <c r="D97" s="516"/>
      <c r="E97" s="516"/>
      <c r="F97" s="516"/>
      <c r="G97" s="516"/>
      <c r="H97" s="516"/>
      <c r="I97" s="516"/>
      <c r="J97" s="516"/>
      <c r="K97" s="516"/>
      <c r="L97" s="516"/>
      <c r="M97" s="516"/>
      <c r="N97" s="516"/>
      <c r="O97" s="516"/>
      <c r="P97" s="516"/>
      <c r="Q97" s="516"/>
      <c r="R97" s="516"/>
      <c r="S97" s="516"/>
      <c r="T97" s="516"/>
      <c r="U97" s="516"/>
      <c r="V97" s="516"/>
      <c r="W97" s="516"/>
      <c r="X97" s="516"/>
      <c r="Y97" s="516"/>
      <c r="Z97" s="516"/>
      <c r="AA97" s="516"/>
      <c r="AB97" s="516"/>
      <c r="AC97" s="516"/>
      <c r="AD97" s="516"/>
      <c r="AE97" s="516"/>
      <c r="AF97" s="516"/>
      <c r="AG97" s="516"/>
      <c r="AH97" s="516"/>
      <c r="AI97" s="516"/>
      <c r="AJ97" s="516"/>
      <c r="AK97" s="516"/>
      <c r="AL97" s="516"/>
      <c r="AM97" s="516"/>
      <c r="AN97" s="516"/>
      <c r="AO97" s="516"/>
      <c r="AP97" s="516"/>
      <c r="AQ97" s="516"/>
      <c r="AR97" s="516"/>
      <c r="AS97" s="516"/>
      <c r="AT97" s="516"/>
      <c r="AU97" s="516"/>
      <c r="AV97" s="516"/>
      <c r="AW97" s="516"/>
      <c r="AX97" s="516"/>
      <c r="AY97" s="516"/>
      <c r="AZ97" s="516"/>
      <c r="BA97" s="516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6"/>
      <c r="BU97" s="516"/>
      <c r="BV97" s="516"/>
      <c r="BW97" s="516"/>
      <c r="BX97" s="15"/>
      <c r="BY97" s="153"/>
      <c r="BZ97" s="153"/>
      <c r="CA97" s="153"/>
      <c r="CB97" s="153"/>
      <c r="CC97" s="153"/>
      <c r="CD97" s="153"/>
      <c r="CE97" s="153"/>
      <c r="CF97" s="153"/>
      <c r="CG97" s="153"/>
      <c r="CH97" s="153"/>
      <c r="CI97" s="153"/>
      <c r="CJ97" s="153"/>
      <c r="CK97" s="153"/>
      <c r="CL97" s="153"/>
      <c r="CM97" s="153"/>
      <c r="CN97" s="153"/>
      <c r="CO97" s="153"/>
      <c r="CP97" s="153"/>
      <c r="CQ97" s="302"/>
    </row>
    <row r="98" spans="1:95" ht="14.25" customHeight="1" outlineLevel="1">
      <c r="A98" s="9"/>
      <c r="B98" s="131" t="s">
        <v>529</v>
      </c>
      <c r="C98" s="132"/>
      <c r="D98" s="18" t="str">
        <f>D$62</f>
        <v>F1Q03A</v>
      </c>
      <c r="E98" s="19" t="str">
        <f t="shared" ref="E98:BP98" si="345">E$62</f>
        <v>F2Q03A</v>
      </c>
      <c r="F98" s="19" t="str">
        <f t="shared" si="345"/>
        <v>F3Q03A</v>
      </c>
      <c r="G98" s="20" t="str">
        <f t="shared" si="345"/>
        <v>F4Q03A</v>
      </c>
      <c r="H98" s="18" t="str">
        <f t="shared" si="345"/>
        <v>F1Q04A</v>
      </c>
      <c r="I98" s="19" t="str">
        <f t="shared" si="345"/>
        <v>F2Q04A</v>
      </c>
      <c r="J98" s="19" t="str">
        <f t="shared" si="345"/>
        <v>F3Q04A</v>
      </c>
      <c r="K98" s="20" t="str">
        <f t="shared" si="345"/>
        <v>F4Q04A</v>
      </c>
      <c r="L98" s="18" t="str">
        <f t="shared" si="345"/>
        <v>F1Q05A</v>
      </c>
      <c r="M98" s="19" t="str">
        <f t="shared" si="345"/>
        <v>F2Q05A</v>
      </c>
      <c r="N98" s="19" t="str">
        <f t="shared" si="345"/>
        <v>F3Q05A</v>
      </c>
      <c r="O98" s="20" t="str">
        <f t="shared" si="345"/>
        <v>F4Q05A</v>
      </c>
      <c r="P98" s="18" t="str">
        <f t="shared" si="345"/>
        <v>F1Q06A</v>
      </c>
      <c r="Q98" s="19" t="str">
        <f t="shared" si="345"/>
        <v>F2Q06A</v>
      </c>
      <c r="R98" s="19" t="str">
        <f t="shared" si="345"/>
        <v>F3Q06A</v>
      </c>
      <c r="S98" s="20" t="str">
        <f t="shared" si="345"/>
        <v>F4Q06A</v>
      </c>
      <c r="T98" s="18" t="str">
        <f t="shared" si="345"/>
        <v>F1Q07A</v>
      </c>
      <c r="U98" s="19" t="str">
        <f t="shared" si="345"/>
        <v>F2Q07A</v>
      </c>
      <c r="V98" s="19" t="str">
        <f t="shared" si="345"/>
        <v>F3Q07A</v>
      </c>
      <c r="W98" s="20" t="str">
        <f t="shared" si="345"/>
        <v>F4Q07A</v>
      </c>
      <c r="X98" s="18" t="str">
        <f t="shared" si="345"/>
        <v>F1Q08A</v>
      </c>
      <c r="Y98" s="19" t="str">
        <f t="shared" si="345"/>
        <v>F2Q08A</v>
      </c>
      <c r="Z98" s="19" t="str">
        <f t="shared" si="345"/>
        <v>F3Q08A</v>
      </c>
      <c r="AA98" s="20" t="str">
        <f t="shared" si="345"/>
        <v>F4Q08A</v>
      </c>
      <c r="AB98" s="18" t="str">
        <f t="shared" si="345"/>
        <v>F1Q09A</v>
      </c>
      <c r="AC98" s="19" t="str">
        <f t="shared" si="345"/>
        <v>F2Q09A</v>
      </c>
      <c r="AD98" s="19" t="str">
        <f t="shared" si="345"/>
        <v>F3Q09A</v>
      </c>
      <c r="AE98" s="20" t="str">
        <f t="shared" si="345"/>
        <v>F4Q09A</v>
      </c>
      <c r="AF98" s="19" t="str">
        <f t="shared" si="345"/>
        <v>F1Q10A</v>
      </c>
      <c r="AG98" s="19" t="str">
        <f t="shared" si="345"/>
        <v>F2Q10A</v>
      </c>
      <c r="AH98" s="19" t="str">
        <f t="shared" si="345"/>
        <v>F3Q10A</v>
      </c>
      <c r="AI98" s="20" t="str">
        <f t="shared" si="345"/>
        <v>F4Q10A</v>
      </c>
      <c r="AJ98" s="18" t="str">
        <f t="shared" si="345"/>
        <v>F1Q11A</v>
      </c>
      <c r="AK98" s="19" t="str">
        <f t="shared" si="345"/>
        <v>F2Q11A</v>
      </c>
      <c r="AL98" s="19" t="str">
        <f t="shared" si="345"/>
        <v>F3Q11A</v>
      </c>
      <c r="AM98" s="20" t="str">
        <f t="shared" si="345"/>
        <v>F4Q11A</v>
      </c>
      <c r="AN98" s="18" t="str">
        <f t="shared" si="345"/>
        <v>F1Q12A</v>
      </c>
      <c r="AO98" s="19" t="str">
        <f t="shared" si="345"/>
        <v>F2Q12A</v>
      </c>
      <c r="AP98" s="19" t="str">
        <f t="shared" si="345"/>
        <v>F3Q12A</v>
      </c>
      <c r="AQ98" s="20" t="str">
        <f t="shared" si="345"/>
        <v>F4Q12A</v>
      </c>
      <c r="AR98" s="18" t="str">
        <f t="shared" si="345"/>
        <v>F1Q13A</v>
      </c>
      <c r="AS98" s="19" t="str">
        <f t="shared" si="345"/>
        <v>F2Q13A</v>
      </c>
      <c r="AT98" s="19" t="str">
        <f t="shared" si="345"/>
        <v>F3Q13A</v>
      </c>
      <c r="AU98" s="20" t="str">
        <f t="shared" si="345"/>
        <v>F4Q13A</v>
      </c>
      <c r="AV98" s="18" t="str">
        <f t="shared" si="345"/>
        <v>F1Q14A</v>
      </c>
      <c r="AW98" s="19" t="str">
        <f t="shared" si="345"/>
        <v>F2Q14A</v>
      </c>
      <c r="AX98" s="19" t="str">
        <f t="shared" si="345"/>
        <v>F3Q14A</v>
      </c>
      <c r="AY98" s="20" t="str">
        <f t="shared" si="345"/>
        <v>F4Q14A</v>
      </c>
      <c r="AZ98" s="18" t="str">
        <f t="shared" si="345"/>
        <v>F1Q15A</v>
      </c>
      <c r="BA98" s="19" t="str">
        <f t="shared" si="345"/>
        <v>F2Q15A</v>
      </c>
      <c r="BB98" s="19" t="str">
        <f t="shared" si="345"/>
        <v>F3Q15A</v>
      </c>
      <c r="BC98" s="20" t="str">
        <f t="shared" si="345"/>
        <v>F4Q15A</v>
      </c>
      <c r="BD98" s="18" t="str">
        <f t="shared" si="345"/>
        <v>F1Q16A</v>
      </c>
      <c r="BE98" s="19" t="str">
        <f t="shared" si="345"/>
        <v>F2Q16A</v>
      </c>
      <c r="BF98" s="19" t="str">
        <f t="shared" si="345"/>
        <v>F3Q16A</v>
      </c>
      <c r="BG98" s="20" t="str">
        <f t="shared" si="345"/>
        <v>F4Q16A</v>
      </c>
      <c r="BH98" s="18" t="str">
        <f t="shared" si="345"/>
        <v>F1Q17A</v>
      </c>
      <c r="BI98" s="19" t="str">
        <f t="shared" si="345"/>
        <v>F2Q17A</v>
      </c>
      <c r="BJ98" s="19" t="str">
        <f t="shared" si="345"/>
        <v>F3Q17A</v>
      </c>
      <c r="BK98" s="20" t="str">
        <f t="shared" si="345"/>
        <v>F4Q17A</v>
      </c>
      <c r="BL98" s="18" t="str">
        <f t="shared" si="345"/>
        <v>F1Q18E</v>
      </c>
      <c r="BM98" s="19" t="str">
        <f t="shared" si="345"/>
        <v>F2Q18E</v>
      </c>
      <c r="BN98" s="19" t="str">
        <f t="shared" si="345"/>
        <v>F3Q18E</v>
      </c>
      <c r="BO98" s="20" t="str">
        <f t="shared" si="345"/>
        <v>F4Q18E</v>
      </c>
      <c r="BP98" s="1299" t="str">
        <f t="shared" si="345"/>
        <v>F1Q19E</v>
      </c>
      <c r="BQ98" s="1300" t="str">
        <f t="shared" ref="BQ98:BW98" si="346">BQ$62</f>
        <v>F2Q19E</v>
      </c>
      <c r="BR98" s="1300" t="str">
        <f t="shared" si="346"/>
        <v>F3Q19E</v>
      </c>
      <c r="BS98" s="1301" t="str">
        <f t="shared" si="346"/>
        <v>F4Q19E</v>
      </c>
      <c r="BT98" s="1390" t="str">
        <f t="shared" si="346"/>
        <v>F1Q20E</v>
      </c>
      <c r="BU98" s="1391" t="str">
        <f t="shared" si="346"/>
        <v>F2Q20E</v>
      </c>
      <c r="BV98" s="1391" t="str">
        <f t="shared" si="346"/>
        <v>F3Q20E</v>
      </c>
      <c r="BW98" s="1392" t="str">
        <f t="shared" si="346"/>
        <v>F4Q20E</v>
      </c>
      <c r="BX98" s="21"/>
      <c r="BY98" s="19" t="str">
        <f>BY$62</f>
        <v>FY2003A</v>
      </c>
      <c r="BZ98" s="19" t="str">
        <f t="shared" ref="BZ98:CP98" si="347">BZ$62</f>
        <v>FY2004A</v>
      </c>
      <c r="CA98" s="19" t="str">
        <f t="shared" si="347"/>
        <v>FY2005A</v>
      </c>
      <c r="CB98" s="19" t="str">
        <f t="shared" si="347"/>
        <v>FY2006A</v>
      </c>
      <c r="CC98" s="19" t="str">
        <f t="shared" si="347"/>
        <v>FY2007A</v>
      </c>
      <c r="CD98" s="19" t="str">
        <f t="shared" si="347"/>
        <v>FY2008A</v>
      </c>
      <c r="CE98" s="19" t="str">
        <f t="shared" si="347"/>
        <v>FY2009A</v>
      </c>
      <c r="CF98" s="19" t="str">
        <f t="shared" si="347"/>
        <v>FY2010A</v>
      </c>
      <c r="CG98" s="19" t="str">
        <f t="shared" si="347"/>
        <v>FY2011A</v>
      </c>
      <c r="CH98" s="1391" t="str">
        <f t="shared" si="347"/>
        <v>FY2012A</v>
      </c>
      <c r="CI98" s="1391" t="str">
        <f t="shared" si="347"/>
        <v>FY2013A</v>
      </c>
      <c r="CJ98" s="1391" t="str">
        <f t="shared" si="347"/>
        <v>FY2014A</v>
      </c>
      <c r="CK98" s="1391" t="str">
        <f t="shared" si="347"/>
        <v>FY2015A</v>
      </c>
      <c r="CL98" s="19" t="str">
        <f t="shared" si="347"/>
        <v>FY2016</v>
      </c>
      <c r="CM98" s="19" t="str">
        <f t="shared" si="347"/>
        <v>FY2017A</v>
      </c>
      <c r="CN98" s="1300" t="str">
        <f t="shared" si="347"/>
        <v>FY2018E</v>
      </c>
      <c r="CO98" s="1391" t="str">
        <f t="shared" si="347"/>
        <v>FY2019E</v>
      </c>
      <c r="CP98" s="1392" t="str">
        <f t="shared" si="347"/>
        <v>FY2020E</v>
      </c>
      <c r="CQ98" s="1041"/>
    </row>
    <row r="99" spans="1:95" ht="14.25" customHeight="1" outlineLevel="1">
      <c r="A99" s="9"/>
      <c r="B99" s="514"/>
      <c r="C99" s="515"/>
      <c r="D99" s="518"/>
      <c r="E99" s="516"/>
      <c r="F99" s="516"/>
      <c r="G99" s="517"/>
      <c r="H99" s="518"/>
      <c r="I99" s="516"/>
      <c r="J99" s="516"/>
      <c r="K99" s="517"/>
      <c r="L99" s="518"/>
      <c r="M99" s="516"/>
      <c r="N99" s="516"/>
      <c r="O99" s="517"/>
      <c r="P99" s="518"/>
      <c r="Q99" s="516"/>
      <c r="R99" s="516"/>
      <c r="S99" s="517"/>
      <c r="T99" s="518"/>
      <c r="U99" s="516"/>
      <c r="V99" s="516"/>
      <c r="W99" s="517"/>
      <c r="X99" s="518"/>
      <c r="Y99" s="516"/>
      <c r="Z99" s="516"/>
      <c r="AA99" s="517"/>
      <c r="AB99" s="518"/>
      <c r="AC99" s="516"/>
      <c r="AD99" s="516"/>
      <c r="AE99" s="517"/>
      <c r="AF99" s="518"/>
      <c r="AG99" s="516"/>
      <c r="AH99" s="516"/>
      <c r="AI99" s="517"/>
      <c r="AJ99" s="518"/>
      <c r="AK99" s="516"/>
      <c r="AL99" s="516"/>
      <c r="AM99" s="517"/>
      <c r="AN99" s="518"/>
      <c r="AO99" s="516"/>
      <c r="AP99" s="516"/>
      <c r="AQ99" s="517"/>
      <c r="AR99" s="516"/>
      <c r="AS99" s="516"/>
      <c r="AT99" s="516"/>
      <c r="AU99" s="517"/>
      <c r="AV99" s="518"/>
      <c r="AW99" s="516"/>
      <c r="AX99" s="516"/>
      <c r="AY99" s="517"/>
      <c r="AZ99" s="518"/>
      <c r="BA99" s="516"/>
      <c r="BB99" s="516"/>
      <c r="BC99" s="517"/>
      <c r="BD99" s="518"/>
      <c r="BE99" s="516"/>
      <c r="BF99" s="516"/>
      <c r="BG99" s="517"/>
      <c r="BH99" s="518"/>
      <c r="BI99" s="516"/>
      <c r="BJ99" s="516"/>
      <c r="BK99" s="517"/>
      <c r="BL99" s="518"/>
      <c r="BM99" s="516"/>
      <c r="BN99" s="516"/>
      <c r="BO99" s="517"/>
      <c r="BP99" s="518"/>
      <c r="BQ99" s="516"/>
      <c r="BR99" s="516"/>
      <c r="BS99" s="517"/>
      <c r="BT99" s="518"/>
      <c r="BU99" s="516"/>
      <c r="BV99" s="516"/>
      <c r="BW99" s="517"/>
      <c r="BX99" s="21"/>
      <c r="BY99" s="838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  <c r="CP99" s="154"/>
      <c r="CQ99" s="1041"/>
    </row>
    <row r="100" spans="1:95" ht="14.25" customHeight="1" outlineLevel="1">
      <c r="A100" s="9"/>
      <c r="B100" s="534" t="s">
        <v>531</v>
      </c>
      <c r="C100" s="515"/>
      <c r="D100" s="518"/>
      <c r="E100" s="516"/>
      <c r="F100" s="516"/>
      <c r="G100" s="517"/>
      <c r="H100" s="518"/>
      <c r="I100" s="516"/>
      <c r="J100" s="516"/>
      <c r="K100" s="517"/>
      <c r="L100" s="518"/>
      <c r="M100" s="516"/>
      <c r="N100" s="516"/>
      <c r="O100" s="517"/>
      <c r="P100" s="518"/>
      <c r="Q100" s="516"/>
      <c r="R100" s="516"/>
      <c r="S100" s="517"/>
      <c r="T100" s="518"/>
      <c r="U100" s="516"/>
      <c r="V100" s="516"/>
      <c r="W100" s="517"/>
      <c r="X100" s="518"/>
      <c r="Y100" s="516"/>
      <c r="Z100" s="516"/>
      <c r="AA100" s="517"/>
      <c r="AB100" s="518"/>
      <c r="AC100" s="516"/>
      <c r="AD100" s="516"/>
      <c r="AE100" s="517"/>
      <c r="AF100" s="518"/>
      <c r="AG100" s="516"/>
      <c r="AH100" s="516"/>
      <c r="AI100" s="517"/>
      <c r="AJ100" s="518"/>
      <c r="AK100" s="516"/>
      <c r="AL100" s="516"/>
      <c r="AM100" s="517"/>
      <c r="AN100" s="518"/>
      <c r="AO100" s="516"/>
      <c r="AP100" s="516"/>
      <c r="AQ100" s="517"/>
      <c r="AR100" s="516"/>
      <c r="AS100" s="516"/>
      <c r="AT100" s="516"/>
      <c r="AU100" s="517"/>
      <c r="AV100" s="518"/>
      <c r="AW100" s="516"/>
      <c r="AX100" s="516"/>
      <c r="AY100" s="517"/>
      <c r="AZ100" s="518"/>
      <c r="BA100" s="516"/>
      <c r="BB100" s="516"/>
      <c r="BC100" s="517"/>
      <c r="BD100" s="518"/>
      <c r="BE100" s="516"/>
      <c r="BF100" s="516"/>
      <c r="BG100" s="517"/>
      <c r="BH100" s="518"/>
      <c r="BI100" s="516"/>
      <c r="BJ100" s="516"/>
      <c r="BK100" s="517"/>
      <c r="BL100" s="518"/>
      <c r="BM100" s="516"/>
      <c r="BN100" s="516"/>
      <c r="BO100" s="517"/>
      <c r="BP100" s="518"/>
      <c r="BQ100" s="516"/>
      <c r="BR100" s="516"/>
      <c r="BS100" s="517"/>
      <c r="BT100" s="518"/>
      <c r="BU100" s="516"/>
      <c r="BV100" s="516"/>
      <c r="BW100" s="517"/>
      <c r="BX100" s="21"/>
      <c r="BY100" s="838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  <c r="CP100" s="154"/>
      <c r="CQ100" s="1041"/>
    </row>
    <row r="101" spans="1:95" ht="14.25" customHeight="1" outlineLevel="1">
      <c r="A101" s="9"/>
      <c r="B101" s="514" t="s">
        <v>530</v>
      </c>
      <c r="C101" s="515"/>
      <c r="D101" s="518"/>
      <c r="E101" s="516"/>
      <c r="F101" s="516"/>
      <c r="G101" s="517"/>
      <c r="H101" s="518"/>
      <c r="I101" s="516"/>
      <c r="J101" s="516"/>
      <c r="K101" s="517"/>
      <c r="L101" s="518"/>
      <c r="M101" s="516"/>
      <c r="N101" s="516"/>
      <c r="O101" s="517"/>
      <c r="P101" s="518"/>
      <c r="Q101" s="516"/>
      <c r="R101" s="516"/>
      <c r="S101" s="517"/>
      <c r="T101" s="518"/>
      <c r="U101" s="516"/>
      <c r="V101" s="516"/>
      <c r="W101" s="517"/>
      <c r="X101" s="518"/>
      <c r="Y101" s="516"/>
      <c r="Z101" s="516"/>
      <c r="AA101" s="517"/>
      <c r="AB101" s="518"/>
      <c r="AC101" s="516"/>
      <c r="AD101" s="516"/>
      <c r="AE101" s="517"/>
      <c r="AF101" s="518"/>
      <c r="AG101" s="516"/>
      <c r="AH101" s="516"/>
      <c r="AI101" s="517"/>
      <c r="AJ101" s="518"/>
      <c r="AK101" s="516"/>
      <c r="AL101" s="516"/>
      <c r="AM101" s="517"/>
      <c r="AN101" s="518"/>
      <c r="AO101" s="516"/>
      <c r="AP101" s="516"/>
      <c r="AQ101" s="517"/>
      <c r="AR101" s="516"/>
      <c r="AS101" s="516"/>
      <c r="AT101" s="516"/>
      <c r="AU101" s="517"/>
      <c r="AV101" s="518"/>
      <c r="AW101" s="516"/>
      <c r="AX101" s="516"/>
      <c r="AY101" s="517"/>
      <c r="AZ101" s="518"/>
      <c r="BA101" s="516"/>
      <c r="BB101" s="516"/>
      <c r="BC101" s="517"/>
      <c r="BD101" s="518"/>
      <c r="BE101" s="516"/>
      <c r="BF101" s="516"/>
      <c r="BG101" s="517"/>
      <c r="BH101" s="518"/>
      <c r="BI101" s="516"/>
      <c r="BJ101" s="516"/>
      <c r="BK101" s="517"/>
      <c r="BL101" s="518"/>
      <c r="BM101" s="516"/>
      <c r="BN101" s="516"/>
      <c r="BO101" s="517"/>
      <c r="BP101" s="518"/>
      <c r="BQ101" s="516"/>
      <c r="BR101" s="516"/>
      <c r="BS101" s="517"/>
      <c r="BT101" s="518"/>
      <c r="BU101" s="516"/>
      <c r="BV101" s="516"/>
      <c r="BW101" s="517"/>
      <c r="BX101" s="21"/>
      <c r="BY101" s="838"/>
      <c r="BZ101" s="153"/>
      <c r="CA101" s="153"/>
      <c r="CB101" s="153"/>
      <c r="CC101" s="153"/>
      <c r="CD101" s="153"/>
      <c r="CE101" s="153"/>
      <c r="CF101" s="153"/>
      <c r="CG101" s="153"/>
      <c r="CH101" s="153"/>
      <c r="CI101" s="153"/>
      <c r="CJ101" s="153"/>
      <c r="CK101" s="153"/>
      <c r="CL101" s="153"/>
      <c r="CM101" s="153"/>
      <c r="CN101" s="153"/>
      <c r="CO101" s="153"/>
      <c r="CP101" s="154"/>
      <c r="CQ101" s="1041"/>
    </row>
    <row r="102" spans="1:95" ht="14.25" customHeight="1" outlineLevel="1">
      <c r="A102" s="9"/>
      <c r="B102" s="514" t="s">
        <v>535</v>
      </c>
      <c r="C102" s="515"/>
      <c r="D102" s="518"/>
      <c r="E102" s="516"/>
      <c r="F102" s="516"/>
      <c r="G102" s="517"/>
      <c r="H102" s="518"/>
      <c r="I102" s="516"/>
      <c r="J102" s="516"/>
      <c r="K102" s="517"/>
      <c r="L102" s="518"/>
      <c r="M102" s="516"/>
      <c r="N102" s="516"/>
      <c r="O102" s="517"/>
      <c r="P102" s="518"/>
      <c r="Q102" s="516"/>
      <c r="R102" s="516"/>
      <c r="S102" s="517"/>
      <c r="T102" s="518"/>
      <c r="U102" s="516"/>
      <c r="V102" s="516"/>
      <c r="W102" s="517"/>
      <c r="X102" s="518"/>
      <c r="Y102" s="516"/>
      <c r="Z102" s="516"/>
      <c r="AA102" s="517"/>
      <c r="AB102" s="518"/>
      <c r="AC102" s="516"/>
      <c r="AD102" s="516"/>
      <c r="AE102" s="517"/>
      <c r="AF102" s="518"/>
      <c r="AG102" s="516"/>
      <c r="AH102" s="516"/>
      <c r="AI102" s="517"/>
      <c r="AJ102" s="518"/>
      <c r="AK102" s="516"/>
      <c r="AL102" s="516"/>
      <c r="AM102" s="517"/>
      <c r="AN102" s="518"/>
      <c r="AO102" s="516"/>
      <c r="AP102" s="516"/>
      <c r="AQ102" s="517"/>
      <c r="AR102" s="516"/>
      <c r="AS102" s="516"/>
      <c r="AT102" s="516"/>
      <c r="AU102" s="517"/>
      <c r="AV102" s="518"/>
      <c r="AW102" s="516"/>
      <c r="AX102" s="516"/>
      <c r="AY102" s="517"/>
      <c r="AZ102" s="518"/>
      <c r="BA102" s="516"/>
      <c r="BB102" s="516"/>
      <c r="BC102" s="517"/>
      <c r="BD102" s="518"/>
      <c r="BE102" s="516"/>
      <c r="BF102" s="516"/>
      <c r="BG102" s="517"/>
      <c r="BH102" s="518"/>
      <c r="BI102" s="516"/>
      <c r="BJ102" s="516"/>
      <c r="BK102" s="517"/>
      <c r="BL102" s="518"/>
      <c r="BM102" s="516"/>
      <c r="BN102" s="516"/>
      <c r="BO102" s="517"/>
      <c r="BP102" s="518"/>
      <c r="BQ102" s="516"/>
      <c r="BR102" s="516"/>
      <c r="BS102" s="517"/>
      <c r="BT102" s="518"/>
      <c r="BU102" s="516"/>
      <c r="BV102" s="516"/>
      <c r="BW102" s="517"/>
      <c r="BX102" s="21"/>
      <c r="BY102" s="838"/>
      <c r="BZ102" s="153"/>
      <c r="CA102" s="153"/>
      <c r="CB102" s="153"/>
      <c r="CC102" s="153"/>
      <c r="CD102" s="153"/>
      <c r="CE102" s="153"/>
      <c r="CF102" s="153"/>
      <c r="CG102" s="153"/>
      <c r="CH102" s="153"/>
      <c r="CI102" s="153"/>
      <c r="CJ102" s="153"/>
      <c r="CK102" s="153"/>
      <c r="CL102" s="153"/>
      <c r="CM102" s="153"/>
      <c r="CN102" s="153"/>
      <c r="CO102" s="153"/>
      <c r="CP102" s="154"/>
      <c r="CQ102" s="1041"/>
    </row>
    <row r="103" spans="1:95" ht="14.25" customHeight="1" outlineLevel="1">
      <c r="A103" s="9"/>
      <c r="B103" s="514" t="s">
        <v>536</v>
      </c>
      <c r="C103" s="515"/>
      <c r="D103" s="518"/>
      <c r="E103" s="516"/>
      <c r="F103" s="516"/>
      <c r="G103" s="517"/>
      <c r="H103" s="518"/>
      <c r="I103" s="516"/>
      <c r="J103" s="516"/>
      <c r="K103" s="517"/>
      <c r="L103" s="518"/>
      <c r="M103" s="516"/>
      <c r="N103" s="516"/>
      <c r="O103" s="517"/>
      <c r="P103" s="518"/>
      <c r="Q103" s="516"/>
      <c r="R103" s="516"/>
      <c r="S103" s="517"/>
      <c r="T103" s="518"/>
      <c r="U103" s="516"/>
      <c r="V103" s="516"/>
      <c r="W103" s="517"/>
      <c r="X103" s="518"/>
      <c r="Y103" s="516"/>
      <c r="Z103" s="516"/>
      <c r="AA103" s="517"/>
      <c r="AB103" s="518"/>
      <c r="AC103" s="516"/>
      <c r="AD103" s="516"/>
      <c r="AE103" s="517"/>
      <c r="AF103" s="518"/>
      <c r="AG103" s="516"/>
      <c r="AH103" s="516"/>
      <c r="AI103" s="517"/>
      <c r="AJ103" s="518"/>
      <c r="AK103" s="516"/>
      <c r="AL103" s="516"/>
      <c r="AM103" s="517"/>
      <c r="AN103" s="518"/>
      <c r="AO103" s="516"/>
      <c r="AP103" s="516"/>
      <c r="AQ103" s="517"/>
      <c r="AR103" s="516"/>
      <c r="AS103" s="516"/>
      <c r="AT103" s="516"/>
      <c r="AU103" s="517"/>
      <c r="AV103" s="518"/>
      <c r="AW103" s="516"/>
      <c r="AX103" s="516"/>
      <c r="AY103" s="517"/>
      <c r="AZ103" s="518"/>
      <c r="BA103" s="516"/>
      <c r="BB103" s="516"/>
      <c r="BC103" s="517"/>
      <c r="BD103" s="518"/>
      <c r="BE103" s="516"/>
      <c r="BF103" s="516"/>
      <c r="BG103" s="517"/>
      <c r="BH103" s="518"/>
      <c r="BI103" s="516"/>
      <c r="BJ103" s="516"/>
      <c r="BK103" s="517"/>
      <c r="BL103" s="518"/>
      <c r="BM103" s="516"/>
      <c r="BN103" s="516"/>
      <c r="BO103" s="517"/>
      <c r="BP103" s="518"/>
      <c r="BQ103" s="516"/>
      <c r="BR103" s="516"/>
      <c r="BS103" s="517"/>
      <c r="BT103" s="518"/>
      <c r="BU103" s="516"/>
      <c r="BV103" s="516"/>
      <c r="BW103" s="517"/>
      <c r="BX103" s="21"/>
      <c r="BY103" s="838"/>
      <c r="BZ103" s="153"/>
      <c r="CA103" s="153"/>
      <c r="CB103" s="153"/>
      <c r="CC103" s="153"/>
      <c r="CD103" s="153"/>
      <c r="CE103" s="153"/>
      <c r="CF103" s="153"/>
      <c r="CG103" s="153"/>
      <c r="CH103" s="153"/>
      <c r="CI103" s="153"/>
      <c r="CJ103" s="153"/>
      <c r="CK103" s="153"/>
      <c r="CL103" s="153"/>
      <c r="CM103" s="153"/>
      <c r="CN103" s="153"/>
      <c r="CO103" s="153"/>
      <c r="CP103" s="154"/>
      <c r="CQ103" s="1041"/>
    </row>
    <row r="104" spans="1:95" ht="14.25" customHeight="1" outlineLevel="1">
      <c r="A104" s="9"/>
      <c r="B104" s="514" t="s">
        <v>537</v>
      </c>
      <c r="C104" s="515"/>
      <c r="D104" s="518"/>
      <c r="E104" s="516"/>
      <c r="F104" s="516"/>
      <c r="G104" s="517"/>
      <c r="H104" s="518"/>
      <c r="I104" s="516"/>
      <c r="J104" s="516"/>
      <c r="K104" s="517"/>
      <c r="L104" s="518"/>
      <c r="M104" s="516"/>
      <c r="N104" s="516"/>
      <c r="O104" s="517"/>
      <c r="P104" s="518"/>
      <c r="Q104" s="516"/>
      <c r="R104" s="516"/>
      <c r="S104" s="517"/>
      <c r="T104" s="518"/>
      <c r="U104" s="516"/>
      <c r="V104" s="516"/>
      <c r="W104" s="517"/>
      <c r="X104" s="518"/>
      <c r="Y104" s="516"/>
      <c r="Z104" s="516"/>
      <c r="AA104" s="517"/>
      <c r="AB104" s="518"/>
      <c r="AC104" s="516"/>
      <c r="AD104" s="516"/>
      <c r="AE104" s="517"/>
      <c r="AF104" s="518"/>
      <c r="AG104" s="516"/>
      <c r="AH104" s="516"/>
      <c r="AI104" s="517"/>
      <c r="AJ104" s="518"/>
      <c r="AK104" s="516"/>
      <c r="AL104" s="516"/>
      <c r="AM104" s="517"/>
      <c r="AN104" s="518"/>
      <c r="AO104" s="516"/>
      <c r="AP104" s="516"/>
      <c r="AQ104" s="517"/>
      <c r="AR104" s="516"/>
      <c r="AS104" s="516"/>
      <c r="AT104" s="516"/>
      <c r="AU104" s="517"/>
      <c r="AV104" s="518"/>
      <c r="AW104" s="516"/>
      <c r="AX104" s="516"/>
      <c r="AY104" s="517"/>
      <c r="AZ104" s="518"/>
      <c r="BA104" s="516"/>
      <c r="BB104" s="516"/>
      <c r="BC104" s="517"/>
      <c r="BD104" s="518"/>
      <c r="BE104" s="516"/>
      <c r="BF104" s="516"/>
      <c r="BG104" s="517"/>
      <c r="BH104" s="518"/>
      <c r="BI104" s="516"/>
      <c r="BJ104" s="516"/>
      <c r="BK104" s="517"/>
      <c r="BL104" s="518"/>
      <c r="BM104" s="516"/>
      <c r="BN104" s="516"/>
      <c r="BO104" s="517"/>
      <c r="BP104" s="518"/>
      <c r="BQ104" s="516"/>
      <c r="BR104" s="516"/>
      <c r="BS104" s="517"/>
      <c r="BT104" s="518"/>
      <c r="BU104" s="516"/>
      <c r="BV104" s="516"/>
      <c r="BW104" s="517"/>
      <c r="BX104" s="21"/>
      <c r="BY104" s="838"/>
      <c r="BZ104" s="153"/>
      <c r="CA104" s="153"/>
      <c r="CB104" s="153"/>
      <c r="CC104" s="153"/>
      <c r="CD104" s="153"/>
      <c r="CE104" s="153"/>
      <c r="CF104" s="153"/>
      <c r="CG104" s="153"/>
      <c r="CH104" s="153"/>
      <c r="CI104" s="153"/>
      <c r="CJ104" s="153"/>
      <c r="CK104" s="153"/>
      <c r="CL104" s="153"/>
      <c r="CM104" s="153"/>
      <c r="CN104" s="153"/>
      <c r="CO104" s="153"/>
      <c r="CP104" s="154"/>
      <c r="CQ104" s="1041"/>
    </row>
    <row r="105" spans="1:95" ht="14.25" customHeight="1" outlineLevel="1">
      <c r="A105" s="9"/>
      <c r="B105" s="514" t="s">
        <v>538</v>
      </c>
      <c r="C105" s="515"/>
      <c r="D105" s="518"/>
      <c r="E105" s="516"/>
      <c r="F105" s="516"/>
      <c r="G105" s="517"/>
      <c r="H105" s="518"/>
      <c r="I105" s="516"/>
      <c r="J105" s="516"/>
      <c r="K105" s="517"/>
      <c r="L105" s="518"/>
      <c r="M105" s="516"/>
      <c r="N105" s="516"/>
      <c r="O105" s="517"/>
      <c r="P105" s="518"/>
      <c r="Q105" s="516"/>
      <c r="R105" s="516"/>
      <c r="S105" s="517"/>
      <c r="T105" s="518"/>
      <c r="U105" s="516"/>
      <c r="V105" s="516"/>
      <c r="W105" s="517"/>
      <c r="X105" s="518"/>
      <c r="Y105" s="516"/>
      <c r="Z105" s="516"/>
      <c r="AA105" s="517"/>
      <c r="AB105" s="518"/>
      <c r="AC105" s="516"/>
      <c r="AD105" s="516"/>
      <c r="AE105" s="517"/>
      <c r="AF105" s="518"/>
      <c r="AG105" s="516"/>
      <c r="AH105" s="516"/>
      <c r="AI105" s="517"/>
      <c r="AJ105" s="518"/>
      <c r="AK105" s="516"/>
      <c r="AL105" s="516"/>
      <c r="AM105" s="517"/>
      <c r="AN105" s="518"/>
      <c r="AO105" s="516"/>
      <c r="AP105" s="516"/>
      <c r="AQ105" s="517"/>
      <c r="AR105" s="516"/>
      <c r="AS105" s="516"/>
      <c r="AT105" s="516"/>
      <c r="AU105" s="517"/>
      <c r="AV105" s="518"/>
      <c r="AW105" s="516"/>
      <c r="AX105" s="516"/>
      <c r="AY105" s="517"/>
      <c r="AZ105" s="518"/>
      <c r="BA105" s="516"/>
      <c r="BB105" s="516"/>
      <c r="BC105" s="517"/>
      <c r="BD105" s="518"/>
      <c r="BE105" s="516"/>
      <c r="BF105" s="516"/>
      <c r="BG105" s="517"/>
      <c r="BH105" s="518"/>
      <c r="BI105" s="516"/>
      <c r="BJ105" s="516"/>
      <c r="BK105" s="517"/>
      <c r="BL105" s="518"/>
      <c r="BM105" s="516"/>
      <c r="BN105" s="516"/>
      <c r="BO105" s="517"/>
      <c r="BP105" s="518"/>
      <c r="BQ105" s="516"/>
      <c r="BR105" s="516"/>
      <c r="BS105" s="517"/>
      <c r="BT105" s="518"/>
      <c r="BU105" s="516"/>
      <c r="BV105" s="516"/>
      <c r="BW105" s="517"/>
      <c r="BX105" s="21"/>
      <c r="BY105" s="838"/>
      <c r="BZ105" s="153"/>
      <c r="CA105" s="153"/>
      <c r="CB105" s="153"/>
      <c r="CC105" s="153"/>
      <c r="CD105" s="153"/>
      <c r="CE105" s="153"/>
      <c r="CF105" s="153"/>
      <c r="CG105" s="153"/>
      <c r="CH105" s="153"/>
      <c r="CI105" s="153"/>
      <c r="CJ105" s="153"/>
      <c r="CK105" s="153"/>
      <c r="CL105" s="153"/>
      <c r="CM105" s="153"/>
      <c r="CN105" s="153"/>
      <c r="CO105" s="153"/>
      <c r="CP105" s="154"/>
      <c r="CQ105" s="1041"/>
    </row>
    <row r="106" spans="1:95" ht="14.25" customHeight="1" outlineLevel="1">
      <c r="A106" s="9"/>
      <c r="B106" s="514" t="s">
        <v>539</v>
      </c>
      <c r="C106" s="515"/>
      <c r="D106" s="518"/>
      <c r="E106" s="516"/>
      <c r="F106" s="516"/>
      <c r="G106" s="517"/>
      <c r="H106" s="518"/>
      <c r="I106" s="516"/>
      <c r="J106" s="516"/>
      <c r="K106" s="517"/>
      <c r="L106" s="518"/>
      <c r="M106" s="516"/>
      <c r="N106" s="516"/>
      <c r="O106" s="517"/>
      <c r="P106" s="518"/>
      <c r="Q106" s="516"/>
      <c r="R106" s="516"/>
      <c r="S106" s="517"/>
      <c r="T106" s="518"/>
      <c r="U106" s="516"/>
      <c r="V106" s="516"/>
      <c r="W106" s="517"/>
      <c r="X106" s="518"/>
      <c r="Y106" s="516"/>
      <c r="Z106" s="516"/>
      <c r="AA106" s="517"/>
      <c r="AB106" s="518"/>
      <c r="AC106" s="516"/>
      <c r="AD106" s="516"/>
      <c r="AE106" s="517"/>
      <c r="AF106" s="518"/>
      <c r="AG106" s="516"/>
      <c r="AH106" s="516"/>
      <c r="AI106" s="517"/>
      <c r="AJ106" s="518"/>
      <c r="AK106" s="516"/>
      <c r="AL106" s="516"/>
      <c r="AM106" s="517"/>
      <c r="AN106" s="518"/>
      <c r="AO106" s="516"/>
      <c r="AP106" s="516"/>
      <c r="AQ106" s="517"/>
      <c r="AR106" s="516"/>
      <c r="AS106" s="516"/>
      <c r="AT106" s="516"/>
      <c r="AU106" s="517"/>
      <c r="AV106" s="518"/>
      <c r="AW106" s="516"/>
      <c r="AX106" s="516"/>
      <c r="AY106" s="517"/>
      <c r="AZ106" s="518"/>
      <c r="BA106" s="516"/>
      <c r="BB106" s="516"/>
      <c r="BC106" s="517"/>
      <c r="BD106" s="518"/>
      <c r="BE106" s="516"/>
      <c r="BF106" s="516"/>
      <c r="BG106" s="517"/>
      <c r="BH106" s="518"/>
      <c r="BI106" s="516"/>
      <c r="BJ106" s="516"/>
      <c r="BK106" s="517"/>
      <c r="BL106" s="518"/>
      <c r="BM106" s="516"/>
      <c r="BN106" s="516"/>
      <c r="BO106" s="517"/>
      <c r="BP106" s="518"/>
      <c r="BQ106" s="516"/>
      <c r="BR106" s="516"/>
      <c r="BS106" s="517"/>
      <c r="BT106" s="518"/>
      <c r="BU106" s="516"/>
      <c r="BV106" s="516"/>
      <c r="BW106" s="517"/>
      <c r="BX106" s="21"/>
      <c r="BY106" s="838"/>
      <c r="BZ106" s="153"/>
      <c r="CA106" s="153"/>
      <c r="CB106" s="153"/>
      <c r="CC106" s="153"/>
      <c r="CD106" s="153"/>
      <c r="CE106" s="153"/>
      <c r="CF106" s="153"/>
      <c r="CG106" s="153"/>
      <c r="CH106" s="153"/>
      <c r="CI106" s="153"/>
      <c r="CJ106" s="153"/>
      <c r="CK106" s="153"/>
      <c r="CL106" s="153"/>
      <c r="CM106" s="153"/>
      <c r="CN106" s="153"/>
      <c r="CO106" s="153"/>
      <c r="CP106" s="154"/>
      <c r="CQ106" s="1041"/>
    </row>
    <row r="107" spans="1:95" ht="14.25" customHeight="1" outlineLevel="1">
      <c r="A107" s="9"/>
      <c r="B107" s="534" t="s">
        <v>402</v>
      </c>
      <c r="C107" s="515"/>
      <c r="D107" s="518"/>
      <c r="E107" s="516"/>
      <c r="F107" s="516"/>
      <c r="G107" s="517"/>
      <c r="H107" s="518"/>
      <c r="I107" s="516"/>
      <c r="J107" s="516"/>
      <c r="K107" s="517"/>
      <c r="L107" s="518"/>
      <c r="M107" s="516"/>
      <c r="N107" s="516"/>
      <c r="O107" s="517"/>
      <c r="P107" s="518"/>
      <c r="Q107" s="516"/>
      <c r="R107" s="516"/>
      <c r="S107" s="517"/>
      <c r="T107" s="518"/>
      <c r="U107" s="516"/>
      <c r="V107" s="516"/>
      <c r="W107" s="517"/>
      <c r="X107" s="518"/>
      <c r="Y107" s="516"/>
      <c r="Z107" s="516"/>
      <c r="AA107" s="517"/>
      <c r="AB107" s="518"/>
      <c r="AC107" s="516"/>
      <c r="AD107" s="516"/>
      <c r="AE107" s="517"/>
      <c r="AF107" s="518"/>
      <c r="AG107" s="516"/>
      <c r="AH107" s="516"/>
      <c r="AI107" s="517"/>
      <c r="AJ107" s="518"/>
      <c r="AK107" s="516"/>
      <c r="AL107" s="516"/>
      <c r="AM107" s="517"/>
      <c r="AN107" s="518"/>
      <c r="AO107" s="516"/>
      <c r="AP107" s="516"/>
      <c r="AQ107" s="517"/>
      <c r="AR107" s="516"/>
      <c r="AS107" s="516"/>
      <c r="AT107" s="516"/>
      <c r="AU107" s="517"/>
      <c r="AV107" s="518"/>
      <c r="AW107" s="516"/>
      <c r="AX107" s="516"/>
      <c r="AY107" s="517"/>
      <c r="AZ107" s="518"/>
      <c r="BA107" s="516"/>
      <c r="BB107" s="516"/>
      <c r="BC107" s="517"/>
      <c r="BD107" s="518"/>
      <c r="BE107" s="516"/>
      <c r="BF107" s="516"/>
      <c r="BG107" s="517"/>
      <c r="BH107" s="518"/>
      <c r="BI107" s="516"/>
      <c r="BJ107" s="516"/>
      <c r="BK107" s="517"/>
      <c r="BL107" s="518"/>
      <c r="BM107" s="516"/>
      <c r="BN107" s="516"/>
      <c r="BO107" s="517"/>
      <c r="BP107" s="518"/>
      <c r="BQ107" s="516"/>
      <c r="BR107" s="516"/>
      <c r="BS107" s="517"/>
      <c r="BT107" s="518"/>
      <c r="BU107" s="516"/>
      <c r="BV107" s="516"/>
      <c r="BW107" s="517"/>
      <c r="BX107" s="21"/>
      <c r="BY107" s="838"/>
      <c r="BZ107" s="153"/>
      <c r="CA107" s="153"/>
      <c r="CB107" s="153"/>
      <c r="CC107" s="153"/>
      <c r="CD107" s="153"/>
      <c r="CE107" s="153"/>
      <c r="CF107" s="153"/>
      <c r="CG107" s="153"/>
      <c r="CH107" s="153"/>
      <c r="CI107" s="153"/>
      <c r="CJ107" s="153"/>
      <c r="CK107" s="153"/>
      <c r="CL107" s="153"/>
      <c r="CM107" s="153"/>
      <c r="CN107" s="153"/>
      <c r="CO107" s="153"/>
      <c r="CP107" s="154"/>
      <c r="CQ107" s="1041"/>
    </row>
    <row r="108" spans="1:95" ht="14.25" customHeight="1" outlineLevel="1">
      <c r="A108" s="9"/>
      <c r="B108" s="514"/>
      <c r="C108" s="515"/>
      <c r="D108" s="518"/>
      <c r="E108" s="516"/>
      <c r="F108" s="516"/>
      <c r="G108" s="517"/>
      <c r="H108" s="518"/>
      <c r="I108" s="516"/>
      <c r="J108" s="516"/>
      <c r="K108" s="517"/>
      <c r="L108" s="518"/>
      <c r="M108" s="516"/>
      <c r="N108" s="516"/>
      <c r="O108" s="517"/>
      <c r="P108" s="518"/>
      <c r="Q108" s="516"/>
      <c r="R108" s="516"/>
      <c r="S108" s="517"/>
      <c r="T108" s="518"/>
      <c r="U108" s="516"/>
      <c r="V108" s="516"/>
      <c r="W108" s="517"/>
      <c r="X108" s="518"/>
      <c r="Y108" s="516"/>
      <c r="Z108" s="516"/>
      <c r="AA108" s="517"/>
      <c r="AB108" s="518"/>
      <c r="AC108" s="516"/>
      <c r="AD108" s="516"/>
      <c r="AE108" s="517"/>
      <c r="AF108" s="518"/>
      <c r="AG108" s="516"/>
      <c r="AH108" s="516"/>
      <c r="AI108" s="517"/>
      <c r="AJ108" s="518"/>
      <c r="AK108" s="516"/>
      <c r="AL108" s="516"/>
      <c r="AM108" s="517"/>
      <c r="AN108" s="518"/>
      <c r="AO108" s="516"/>
      <c r="AP108" s="516"/>
      <c r="AQ108" s="517"/>
      <c r="AR108" s="516"/>
      <c r="AS108" s="516"/>
      <c r="AT108" s="516"/>
      <c r="AU108" s="517"/>
      <c r="AV108" s="518"/>
      <c r="AW108" s="516"/>
      <c r="AX108" s="516"/>
      <c r="AY108" s="517"/>
      <c r="AZ108" s="518"/>
      <c r="BA108" s="516"/>
      <c r="BB108" s="516"/>
      <c r="BC108" s="517"/>
      <c r="BD108" s="518"/>
      <c r="BE108" s="516"/>
      <c r="BF108" s="516"/>
      <c r="BG108" s="517"/>
      <c r="BH108" s="518"/>
      <c r="BI108" s="516"/>
      <c r="BJ108" s="516"/>
      <c r="BK108" s="517"/>
      <c r="BL108" s="518"/>
      <c r="BM108" s="516"/>
      <c r="BN108" s="516"/>
      <c r="BO108" s="517"/>
      <c r="BP108" s="518"/>
      <c r="BQ108" s="516"/>
      <c r="BR108" s="516"/>
      <c r="BS108" s="517"/>
      <c r="BT108" s="518"/>
      <c r="BU108" s="516"/>
      <c r="BV108" s="516"/>
      <c r="BW108" s="517"/>
      <c r="BX108" s="21"/>
      <c r="BY108" s="838"/>
      <c r="BZ108" s="153"/>
      <c r="CA108" s="153"/>
      <c r="CB108" s="153"/>
      <c r="CC108" s="153"/>
      <c r="CD108" s="153"/>
      <c r="CE108" s="153"/>
      <c r="CF108" s="153"/>
      <c r="CG108" s="153"/>
      <c r="CH108" s="153"/>
      <c r="CI108" s="153"/>
      <c r="CJ108" s="153"/>
      <c r="CK108" s="153"/>
      <c r="CL108" s="153"/>
      <c r="CM108" s="153"/>
      <c r="CN108" s="153"/>
      <c r="CO108" s="153"/>
      <c r="CP108" s="154"/>
      <c r="CQ108" s="1041"/>
    </row>
    <row r="109" spans="1:95" ht="14.25" customHeight="1" outlineLevel="1">
      <c r="A109" s="9"/>
      <c r="B109" s="534" t="s">
        <v>482</v>
      </c>
      <c r="C109" s="515"/>
      <c r="D109" s="518"/>
      <c r="E109" s="516"/>
      <c r="F109" s="516"/>
      <c r="G109" s="517"/>
      <c r="H109" s="518"/>
      <c r="I109" s="516"/>
      <c r="J109" s="516"/>
      <c r="K109" s="517"/>
      <c r="L109" s="518"/>
      <c r="M109" s="516"/>
      <c r="N109" s="516"/>
      <c r="O109" s="517"/>
      <c r="P109" s="518"/>
      <c r="Q109" s="516"/>
      <c r="R109" s="516"/>
      <c r="S109" s="517"/>
      <c r="T109" s="518"/>
      <c r="U109" s="516"/>
      <c r="V109" s="516"/>
      <c r="W109" s="517"/>
      <c r="X109" s="518"/>
      <c r="Y109" s="516"/>
      <c r="Z109" s="516"/>
      <c r="AA109" s="517"/>
      <c r="AB109" s="518"/>
      <c r="AC109" s="516"/>
      <c r="AD109" s="516"/>
      <c r="AE109" s="517"/>
      <c r="AF109" s="518"/>
      <c r="AG109" s="516"/>
      <c r="AH109" s="516"/>
      <c r="AI109" s="517"/>
      <c r="AJ109" s="518"/>
      <c r="AK109" s="516"/>
      <c r="AL109" s="516"/>
      <c r="AM109" s="517"/>
      <c r="AN109" s="518"/>
      <c r="AO109" s="516"/>
      <c r="AP109" s="516"/>
      <c r="AQ109" s="517"/>
      <c r="AR109" s="516"/>
      <c r="AS109" s="516"/>
      <c r="AT109" s="516"/>
      <c r="AU109" s="517"/>
      <c r="AV109" s="518"/>
      <c r="AW109" s="516"/>
      <c r="AX109" s="516"/>
      <c r="AY109" s="517"/>
      <c r="AZ109" s="518"/>
      <c r="BA109" s="516"/>
      <c r="BB109" s="516"/>
      <c r="BC109" s="517"/>
      <c r="BD109" s="518"/>
      <c r="BE109" s="516"/>
      <c r="BF109" s="516"/>
      <c r="BG109" s="517"/>
      <c r="BH109" s="518"/>
      <c r="BI109" s="516"/>
      <c r="BJ109" s="516"/>
      <c r="BK109" s="517"/>
      <c r="BL109" s="518"/>
      <c r="BM109" s="516"/>
      <c r="BN109" s="516"/>
      <c r="BO109" s="517"/>
      <c r="BP109" s="518"/>
      <c r="BQ109" s="516"/>
      <c r="BR109" s="516"/>
      <c r="BS109" s="517"/>
      <c r="BT109" s="518"/>
      <c r="BU109" s="516"/>
      <c r="BV109" s="516"/>
      <c r="BW109" s="517"/>
      <c r="BX109" s="21"/>
      <c r="BY109" s="838"/>
      <c r="BZ109" s="153"/>
      <c r="CA109" s="153"/>
      <c r="CB109" s="153"/>
      <c r="CC109" s="153"/>
      <c r="CD109" s="153"/>
      <c r="CE109" s="153"/>
      <c r="CF109" s="153"/>
      <c r="CG109" s="153"/>
      <c r="CH109" s="153"/>
      <c r="CI109" s="153"/>
      <c r="CJ109" s="153"/>
      <c r="CK109" s="153"/>
      <c r="CL109" s="153"/>
      <c r="CM109" s="153"/>
      <c r="CN109" s="153"/>
      <c r="CO109" s="153"/>
      <c r="CP109" s="154"/>
      <c r="CQ109" s="1041"/>
    </row>
    <row r="110" spans="1:95" ht="14.25" customHeight="1" outlineLevel="1">
      <c r="A110" s="9"/>
      <c r="B110" s="514" t="s">
        <v>530</v>
      </c>
      <c r="C110" s="515"/>
      <c r="D110" s="518"/>
      <c r="E110" s="516"/>
      <c r="F110" s="516"/>
      <c r="G110" s="517"/>
      <c r="H110" s="518"/>
      <c r="I110" s="516"/>
      <c r="J110" s="516"/>
      <c r="K110" s="517"/>
      <c r="L110" s="518"/>
      <c r="M110" s="516"/>
      <c r="N110" s="516"/>
      <c r="O110" s="517"/>
      <c r="P110" s="518"/>
      <c r="Q110" s="516"/>
      <c r="R110" s="516"/>
      <c r="S110" s="517"/>
      <c r="T110" s="518"/>
      <c r="U110" s="516"/>
      <c r="V110" s="516"/>
      <c r="W110" s="517"/>
      <c r="X110" s="518"/>
      <c r="Y110" s="516"/>
      <c r="Z110" s="516"/>
      <c r="AA110" s="517"/>
      <c r="AB110" s="518"/>
      <c r="AC110" s="516"/>
      <c r="AD110" s="516"/>
      <c r="AE110" s="517"/>
      <c r="AF110" s="518"/>
      <c r="AG110" s="516"/>
      <c r="AH110" s="516"/>
      <c r="AI110" s="517"/>
      <c r="AJ110" s="518"/>
      <c r="AK110" s="516"/>
      <c r="AL110" s="516"/>
      <c r="AM110" s="517"/>
      <c r="AN110" s="518"/>
      <c r="AO110" s="516"/>
      <c r="AP110" s="516"/>
      <c r="AQ110" s="517"/>
      <c r="AR110" s="516"/>
      <c r="AS110" s="516"/>
      <c r="AT110" s="516"/>
      <c r="AU110" s="517"/>
      <c r="AV110" s="518"/>
      <c r="AW110" s="516"/>
      <c r="AX110" s="516"/>
      <c r="AY110" s="517"/>
      <c r="AZ110" s="518"/>
      <c r="BA110" s="516"/>
      <c r="BB110" s="516"/>
      <c r="BC110" s="517"/>
      <c r="BD110" s="518"/>
      <c r="BE110" s="516"/>
      <c r="BF110" s="516"/>
      <c r="BG110" s="517"/>
      <c r="BH110" s="518"/>
      <c r="BI110" s="516"/>
      <c r="BJ110" s="516"/>
      <c r="BK110" s="517"/>
      <c r="BL110" s="518"/>
      <c r="BM110" s="516"/>
      <c r="BN110" s="516"/>
      <c r="BO110" s="517"/>
      <c r="BP110" s="518"/>
      <c r="BQ110" s="516"/>
      <c r="BR110" s="516"/>
      <c r="BS110" s="517"/>
      <c r="BT110" s="518"/>
      <c r="BU110" s="516"/>
      <c r="BV110" s="516"/>
      <c r="BW110" s="517"/>
      <c r="BX110" s="21"/>
      <c r="BY110" s="838"/>
      <c r="BZ110" s="153"/>
      <c r="CA110" s="153"/>
      <c r="CB110" s="153"/>
      <c r="CC110" s="153"/>
      <c r="CD110" s="153"/>
      <c r="CE110" s="153"/>
      <c r="CF110" s="153"/>
      <c r="CG110" s="153"/>
      <c r="CH110" s="153"/>
      <c r="CI110" s="153"/>
      <c r="CJ110" s="153"/>
      <c r="CK110" s="153"/>
      <c r="CL110" s="153"/>
      <c r="CM110" s="153"/>
      <c r="CN110" s="153"/>
      <c r="CO110" s="153"/>
      <c r="CP110" s="154"/>
      <c r="CQ110" s="1041"/>
    </row>
    <row r="111" spans="1:95" ht="14.25" customHeight="1" outlineLevel="1">
      <c r="A111" s="9"/>
      <c r="B111" s="514" t="s">
        <v>535</v>
      </c>
      <c r="C111" s="515"/>
      <c r="D111" s="518"/>
      <c r="E111" s="516"/>
      <c r="F111" s="516"/>
      <c r="G111" s="517"/>
      <c r="H111" s="518"/>
      <c r="I111" s="516"/>
      <c r="J111" s="516"/>
      <c r="K111" s="517"/>
      <c r="L111" s="518"/>
      <c r="M111" s="516"/>
      <c r="N111" s="516"/>
      <c r="O111" s="517"/>
      <c r="P111" s="518"/>
      <c r="Q111" s="516"/>
      <c r="R111" s="516"/>
      <c r="S111" s="517"/>
      <c r="T111" s="518"/>
      <c r="U111" s="516"/>
      <c r="V111" s="516"/>
      <c r="W111" s="517"/>
      <c r="X111" s="518"/>
      <c r="Y111" s="516"/>
      <c r="Z111" s="516"/>
      <c r="AA111" s="517"/>
      <c r="AB111" s="518"/>
      <c r="AC111" s="516"/>
      <c r="AD111" s="516"/>
      <c r="AE111" s="517"/>
      <c r="AF111" s="518"/>
      <c r="AG111" s="516"/>
      <c r="AH111" s="516"/>
      <c r="AI111" s="517"/>
      <c r="AJ111" s="518"/>
      <c r="AK111" s="516"/>
      <c r="AL111" s="516"/>
      <c r="AM111" s="517"/>
      <c r="AN111" s="518"/>
      <c r="AO111" s="516"/>
      <c r="AP111" s="516"/>
      <c r="AQ111" s="517"/>
      <c r="AR111" s="516"/>
      <c r="AS111" s="516"/>
      <c r="AT111" s="516"/>
      <c r="AU111" s="517"/>
      <c r="AV111" s="518"/>
      <c r="AW111" s="516"/>
      <c r="AX111" s="516"/>
      <c r="AY111" s="517"/>
      <c r="AZ111" s="518"/>
      <c r="BA111" s="516"/>
      <c r="BB111" s="516"/>
      <c r="BC111" s="517"/>
      <c r="BD111" s="518"/>
      <c r="BE111" s="516"/>
      <c r="BF111" s="516"/>
      <c r="BG111" s="517"/>
      <c r="BH111" s="518"/>
      <c r="BI111" s="516"/>
      <c r="BJ111" s="516"/>
      <c r="BK111" s="517"/>
      <c r="BL111" s="518"/>
      <c r="BM111" s="516"/>
      <c r="BN111" s="516"/>
      <c r="BO111" s="517"/>
      <c r="BP111" s="518"/>
      <c r="BQ111" s="516"/>
      <c r="BR111" s="516"/>
      <c r="BS111" s="517"/>
      <c r="BT111" s="518"/>
      <c r="BU111" s="516"/>
      <c r="BV111" s="516"/>
      <c r="BW111" s="517"/>
      <c r="BX111" s="21"/>
      <c r="BY111" s="838"/>
      <c r="BZ111" s="153"/>
      <c r="CA111" s="153"/>
      <c r="CB111" s="153"/>
      <c r="CC111" s="153"/>
      <c r="CD111" s="153"/>
      <c r="CE111" s="153"/>
      <c r="CF111" s="153"/>
      <c r="CG111" s="153"/>
      <c r="CH111" s="153"/>
      <c r="CI111" s="153"/>
      <c r="CJ111" s="153"/>
      <c r="CK111" s="153"/>
      <c r="CL111" s="153"/>
      <c r="CM111" s="153"/>
      <c r="CN111" s="153"/>
      <c r="CO111" s="153"/>
      <c r="CP111" s="154"/>
      <c r="CQ111" s="1041"/>
    </row>
    <row r="112" spans="1:95" ht="14.25" customHeight="1" outlineLevel="1">
      <c r="A112" s="9"/>
      <c r="B112" s="514" t="s">
        <v>536</v>
      </c>
      <c r="C112" s="515"/>
      <c r="D112" s="518"/>
      <c r="E112" s="516"/>
      <c r="F112" s="516"/>
      <c r="G112" s="517"/>
      <c r="H112" s="518"/>
      <c r="I112" s="516"/>
      <c r="J112" s="516"/>
      <c r="K112" s="517"/>
      <c r="L112" s="518"/>
      <c r="M112" s="516"/>
      <c r="N112" s="516"/>
      <c r="O112" s="517"/>
      <c r="P112" s="518"/>
      <c r="Q112" s="516"/>
      <c r="R112" s="516"/>
      <c r="S112" s="517"/>
      <c r="T112" s="518"/>
      <c r="U112" s="516"/>
      <c r="V112" s="516"/>
      <c r="W112" s="517"/>
      <c r="X112" s="518"/>
      <c r="Y112" s="516"/>
      <c r="Z112" s="516"/>
      <c r="AA112" s="517"/>
      <c r="AB112" s="518"/>
      <c r="AC112" s="516"/>
      <c r="AD112" s="516"/>
      <c r="AE112" s="517"/>
      <c r="AF112" s="518"/>
      <c r="AG112" s="516"/>
      <c r="AH112" s="516"/>
      <c r="AI112" s="517"/>
      <c r="AJ112" s="518"/>
      <c r="AK112" s="516"/>
      <c r="AL112" s="516"/>
      <c r="AM112" s="517"/>
      <c r="AN112" s="518"/>
      <c r="AO112" s="516"/>
      <c r="AP112" s="516"/>
      <c r="AQ112" s="517"/>
      <c r="AR112" s="516"/>
      <c r="AS112" s="516"/>
      <c r="AT112" s="516"/>
      <c r="AU112" s="517"/>
      <c r="AV112" s="518"/>
      <c r="AW112" s="516"/>
      <c r="AX112" s="516"/>
      <c r="AY112" s="517"/>
      <c r="AZ112" s="518"/>
      <c r="BA112" s="516"/>
      <c r="BB112" s="516"/>
      <c r="BC112" s="517"/>
      <c r="BD112" s="518"/>
      <c r="BE112" s="516"/>
      <c r="BF112" s="516"/>
      <c r="BG112" s="517"/>
      <c r="BH112" s="518"/>
      <c r="BI112" s="516"/>
      <c r="BJ112" s="516"/>
      <c r="BK112" s="517"/>
      <c r="BL112" s="518"/>
      <c r="BM112" s="516"/>
      <c r="BN112" s="516"/>
      <c r="BO112" s="517"/>
      <c r="BP112" s="518"/>
      <c r="BQ112" s="516"/>
      <c r="BR112" s="516"/>
      <c r="BS112" s="517"/>
      <c r="BT112" s="518"/>
      <c r="BU112" s="516"/>
      <c r="BV112" s="516"/>
      <c r="BW112" s="517"/>
      <c r="BX112" s="21"/>
      <c r="BY112" s="838"/>
      <c r="BZ112" s="153"/>
      <c r="CA112" s="153"/>
      <c r="CB112" s="153"/>
      <c r="CC112" s="153"/>
      <c r="CD112" s="153"/>
      <c r="CE112" s="153"/>
      <c r="CF112" s="153"/>
      <c r="CG112" s="153"/>
      <c r="CH112" s="153"/>
      <c r="CI112" s="153"/>
      <c r="CJ112" s="153"/>
      <c r="CK112" s="153"/>
      <c r="CL112" s="153"/>
      <c r="CM112" s="153"/>
      <c r="CN112" s="153"/>
      <c r="CO112" s="153"/>
      <c r="CP112" s="154"/>
      <c r="CQ112" s="1041"/>
    </row>
    <row r="113" spans="1:95" ht="14.25" customHeight="1" outlineLevel="1">
      <c r="A113" s="9"/>
      <c r="B113" s="514" t="s">
        <v>537</v>
      </c>
      <c r="C113" s="515"/>
      <c r="D113" s="518"/>
      <c r="E113" s="516"/>
      <c r="F113" s="516"/>
      <c r="G113" s="517"/>
      <c r="H113" s="518"/>
      <c r="I113" s="516"/>
      <c r="J113" s="516"/>
      <c r="K113" s="517"/>
      <c r="L113" s="518"/>
      <c r="M113" s="516"/>
      <c r="N113" s="516"/>
      <c r="O113" s="517"/>
      <c r="P113" s="518"/>
      <c r="Q113" s="516"/>
      <c r="R113" s="516"/>
      <c r="S113" s="517"/>
      <c r="T113" s="518"/>
      <c r="U113" s="516"/>
      <c r="V113" s="516"/>
      <c r="W113" s="517"/>
      <c r="X113" s="518"/>
      <c r="Y113" s="516"/>
      <c r="Z113" s="516"/>
      <c r="AA113" s="517"/>
      <c r="AB113" s="518"/>
      <c r="AC113" s="516"/>
      <c r="AD113" s="516"/>
      <c r="AE113" s="517"/>
      <c r="AF113" s="518"/>
      <c r="AG113" s="516"/>
      <c r="AH113" s="516"/>
      <c r="AI113" s="517"/>
      <c r="AJ113" s="518"/>
      <c r="AK113" s="516"/>
      <c r="AL113" s="516"/>
      <c r="AM113" s="517"/>
      <c r="AN113" s="518"/>
      <c r="AO113" s="516"/>
      <c r="AP113" s="516"/>
      <c r="AQ113" s="517"/>
      <c r="AR113" s="516"/>
      <c r="AS113" s="516"/>
      <c r="AT113" s="516"/>
      <c r="AU113" s="517"/>
      <c r="AV113" s="518"/>
      <c r="AW113" s="516"/>
      <c r="AX113" s="516"/>
      <c r="AY113" s="517"/>
      <c r="AZ113" s="518"/>
      <c r="BA113" s="516"/>
      <c r="BB113" s="516"/>
      <c r="BC113" s="517"/>
      <c r="BD113" s="518"/>
      <c r="BE113" s="516"/>
      <c r="BF113" s="516"/>
      <c r="BG113" s="517"/>
      <c r="BH113" s="518"/>
      <c r="BI113" s="516"/>
      <c r="BJ113" s="516"/>
      <c r="BK113" s="517"/>
      <c r="BL113" s="518"/>
      <c r="BM113" s="516"/>
      <c r="BN113" s="516"/>
      <c r="BO113" s="517"/>
      <c r="BP113" s="518"/>
      <c r="BQ113" s="516"/>
      <c r="BR113" s="516"/>
      <c r="BS113" s="517"/>
      <c r="BT113" s="518"/>
      <c r="BU113" s="516"/>
      <c r="BV113" s="516"/>
      <c r="BW113" s="517"/>
      <c r="BX113" s="21"/>
      <c r="BY113" s="838"/>
      <c r="BZ113" s="153"/>
      <c r="CA113" s="153"/>
      <c r="CB113" s="153"/>
      <c r="CC113" s="153"/>
      <c r="CD113" s="153"/>
      <c r="CE113" s="153"/>
      <c r="CF113" s="153"/>
      <c r="CG113" s="153"/>
      <c r="CH113" s="153"/>
      <c r="CI113" s="153"/>
      <c r="CJ113" s="153"/>
      <c r="CK113" s="153"/>
      <c r="CL113" s="153"/>
      <c r="CM113" s="153"/>
      <c r="CN113" s="153"/>
      <c r="CO113" s="153"/>
      <c r="CP113" s="154"/>
      <c r="CQ113" s="1041"/>
    </row>
    <row r="114" spans="1:95" ht="14.25" customHeight="1" outlineLevel="1">
      <c r="A114" s="9"/>
      <c r="B114" s="514" t="s">
        <v>538</v>
      </c>
      <c r="C114" s="515"/>
      <c r="D114" s="518"/>
      <c r="E114" s="516"/>
      <c r="F114" s="516"/>
      <c r="G114" s="517"/>
      <c r="H114" s="518"/>
      <c r="I114" s="516"/>
      <c r="J114" s="516"/>
      <c r="K114" s="517"/>
      <c r="L114" s="518"/>
      <c r="M114" s="516"/>
      <c r="N114" s="516"/>
      <c r="O114" s="517"/>
      <c r="P114" s="518"/>
      <c r="Q114" s="516"/>
      <c r="R114" s="516"/>
      <c r="S114" s="517"/>
      <c r="T114" s="518"/>
      <c r="U114" s="516"/>
      <c r="V114" s="516"/>
      <c r="W114" s="517"/>
      <c r="X114" s="518"/>
      <c r="Y114" s="516"/>
      <c r="Z114" s="516"/>
      <c r="AA114" s="517"/>
      <c r="AB114" s="518"/>
      <c r="AC114" s="516"/>
      <c r="AD114" s="516"/>
      <c r="AE114" s="517"/>
      <c r="AF114" s="518"/>
      <c r="AG114" s="516"/>
      <c r="AH114" s="516"/>
      <c r="AI114" s="517"/>
      <c r="AJ114" s="518"/>
      <c r="AK114" s="516"/>
      <c r="AL114" s="516"/>
      <c r="AM114" s="517"/>
      <c r="AN114" s="518"/>
      <c r="AO114" s="516"/>
      <c r="AP114" s="516"/>
      <c r="AQ114" s="517"/>
      <c r="AR114" s="516"/>
      <c r="AS114" s="516"/>
      <c r="AT114" s="516"/>
      <c r="AU114" s="517"/>
      <c r="AV114" s="518"/>
      <c r="AW114" s="516"/>
      <c r="AX114" s="516"/>
      <c r="AY114" s="517"/>
      <c r="AZ114" s="518"/>
      <c r="BA114" s="516"/>
      <c r="BB114" s="516"/>
      <c r="BC114" s="517"/>
      <c r="BD114" s="518"/>
      <c r="BE114" s="516"/>
      <c r="BF114" s="516"/>
      <c r="BG114" s="517"/>
      <c r="BH114" s="518"/>
      <c r="BI114" s="516"/>
      <c r="BJ114" s="516"/>
      <c r="BK114" s="517"/>
      <c r="BL114" s="518"/>
      <c r="BM114" s="516"/>
      <c r="BN114" s="516"/>
      <c r="BO114" s="517"/>
      <c r="BP114" s="518"/>
      <c r="BQ114" s="516"/>
      <c r="BR114" s="516"/>
      <c r="BS114" s="517"/>
      <c r="BT114" s="518"/>
      <c r="BU114" s="516"/>
      <c r="BV114" s="516"/>
      <c r="BW114" s="517"/>
      <c r="BX114" s="21"/>
      <c r="BY114" s="838"/>
      <c r="BZ114" s="153"/>
      <c r="CA114" s="153"/>
      <c r="CB114" s="153"/>
      <c r="CC114" s="153"/>
      <c r="CD114" s="153"/>
      <c r="CE114" s="153"/>
      <c r="CF114" s="153"/>
      <c r="CG114" s="153"/>
      <c r="CH114" s="153"/>
      <c r="CI114" s="153"/>
      <c r="CJ114" s="153"/>
      <c r="CK114" s="153"/>
      <c r="CL114" s="153"/>
      <c r="CM114" s="153"/>
      <c r="CN114" s="153"/>
      <c r="CO114" s="153"/>
      <c r="CP114" s="154"/>
      <c r="CQ114" s="1041"/>
    </row>
    <row r="115" spans="1:95" ht="14.25" customHeight="1" outlineLevel="1">
      <c r="A115" s="9"/>
      <c r="B115" s="514" t="s">
        <v>539</v>
      </c>
      <c r="C115" s="515"/>
      <c r="D115" s="518"/>
      <c r="E115" s="516"/>
      <c r="F115" s="516"/>
      <c r="G115" s="517"/>
      <c r="H115" s="518"/>
      <c r="I115" s="516"/>
      <c r="J115" s="516"/>
      <c r="K115" s="517"/>
      <c r="L115" s="518"/>
      <c r="M115" s="516"/>
      <c r="N115" s="516"/>
      <c r="O115" s="517"/>
      <c r="P115" s="518"/>
      <c r="Q115" s="516"/>
      <c r="R115" s="516"/>
      <c r="S115" s="517"/>
      <c r="T115" s="518"/>
      <c r="U115" s="516"/>
      <c r="V115" s="516"/>
      <c r="W115" s="517"/>
      <c r="X115" s="518"/>
      <c r="Y115" s="516"/>
      <c r="Z115" s="516"/>
      <c r="AA115" s="517"/>
      <c r="AB115" s="518"/>
      <c r="AC115" s="516"/>
      <c r="AD115" s="516"/>
      <c r="AE115" s="517"/>
      <c r="AF115" s="518"/>
      <c r="AG115" s="516"/>
      <c r="AH115" s="516"/>
      <c r="AI115" s="517"/>
      <c r="AJ115" s="518"/>
      <c r="AK115" s="516"/>
      <c r="AL115" s="516"/>
      <c r="AM115" s="517"/>
      <c r="AN115" s="518"/>
      <c r="AO115" s="516"/>
      <c r="AP115" s="516"/>
      <c r="AQ115" s="517"/>
      <c r="AR115" s="516"/>
      <c r="AS115" s="516"/>
      <c r="AT115" s="516"/>
      <c r="AU115" s="517"/>
      <c r="AV115" s="518"/>
      <c r="AW115" s="516"/>
      <c r="AX115" s="516"/>
      <c r="AY115" s="517"/>
      <c r="AZ115" s="518"/>
      <c r="BA115" s="516"/>
      <c r="BB115" s="516"/>
      <c r="BC115" s="517"/>
      <c r="BD115" s="518"/>
      <c r="BE115" s="516"/>
      <c r="BF115" s="516"/>
      <c r="BG115" s="517"/>
      <c r="BH115" s="518"/>
      <c r="BI115" s="516"/>
      <c r="BJ115" s="516"/>
      <c r="BK115" s="517"/>
      <c r="BL115" s="518"/>
      <c r="BM115" s="516"/>
      <c r="BN115" s="516"/>
      <c r="BO115" s="517"/>
      <c r="BP115" s="518"/>
      <c r="BQ115" s="516"/>
      <c r="BR115" s="516"/>
      <c r="BS115" s="517"/>
      <c r="BT115" s="518"/>
      <c r="BU115" s="516"/>
      <c r="BV115" s="516"/>
      <c r="BW115" s="517"/>
      <c r="BX115" s="21"/>
      <c r="BY115" s="838"/>
      <c r="BZ115" s="153"/>
      <c r="CA115" s="153"/>
      <c r="CB115" s="153"/>
      <c r="CC115" s="153"/>
      <c r="CD115" s="153"/>
      <c r="CE115" s="153"/>
      <c r="CF115" s="153"/>
      <c r="CG115" s="153"/>
      <c r="CH115" s="153"/>
      <c r="CI115" s="153"/>
      <c r="CJ115" s="153"/>
      <c r="CK115" s="153"/>
      <c r="CL115" s="153"/>
      <c r="CM115" s="153"/>
      <c r="CN115" s="153"/>
      <c r="CO115" s="153"/>
      <c r="CP115" s="154"/>
      <c r="CQ115" s="1041"/>
    </row>
    <row r="116" spans="1:95" ht="14.25" customHeight="1" outlineLevel="1">
      <c r="A116" s="9"/>
      <c r="B116" s="534" t="s">
        <v>402</v>
      </c>
      <c r="C116" s="515"/>
      <c r="D116" s="518"/>
      <c r="E116" s="516"/>
      <c r="F116" s="516"/>
      <c r="G116" s="517"/>
      <c r="H116" s="518"/>
      <c r="I116" s="516"/>
      <c r="J116" s="516"/>
      <c r="K116" s="517"/>
      <c r="L116" s="518"/>
      <c r="M116" s="516"/>
      <c r="N116" s="516"/>
      <c r="O116" s="517"/>
      <c r="P116" s="518"/>
      <c r="Q116" s="516"/>
      <c r="R116" s="516"/>
      <c r="S116" s="517"/>
      <c r="T116" s="518"/>
      <c r="U116" s="516"/>
      <c r="V116" s="516"/>
      <c r="W116" s="517"/>
      <c r="X116" s="518"/>
      <c r="Y116" s="516"/>
      <c r="Z116" s="516"/>
      <c r="AA116" s="517"/>
      <c r="AB116" s="518"/>
      <c r="AC116" s="516"/>
      <c r="AD116" s="516"/>
      <c r="AE116" s="517"/>
      <c r="AF116" s="518"/>
      <c r="AG116" s="516"/>
      <c r="AH116" s="516"/>
      <c r="AI116" s="517"/>
      <c r="AJ116" s="518"/>
      <c r="AK116" s="516"/>
      <c r="AL116" s="516"/>
      <c r="AM116" s="517"/>
      <c r="AN116" s="518"/>
      <c r="AO116" s="516"/>
      <c r="AP116" s="516"/>
      <c r="AQ116" s="517"/>
      <c r="AR116" s="516"/>
      <c r="AS116" s="516"/>
      <c r="AT116" s="516"/>
      <c r="AU116" s="517"/>
      <c r="AV116" s="518"/>
      <c r="AW116" s="516"/>
      <c r="AX116" s="516"/>
      <c r="AY116" s="517"/>
      <c r="AZ116" s="518"/>
      <c r="BA116" s="516"/>
      <c r="BB116" s="516"/>
      <c r="BC116" s="517"/>
      <c r="BD116" s="518"/>
      <c r="BE116" s="516"/>
      <c r="BF116" s="516"/>
      <c r="BG116" s="517"/>
      <c r="BH116" s="518"/>
      <c r="BI116" s="516"/>
      <c r="BJ116" s="516"/>
      <c r="BK116" s="517"/>
      <c r="BL116" s="518"/>
      <c r="BM116" s="516"/>
      <c r="BN116" s="516"/>
      <c r="BO116" s="517"/>
      <c r="BP116" s="518"/>
      <c r="BQ116" s="516"/>
      <c r="BR116" s="516"/>
      <c r="BS116" s="517"/>
      <c r="BT116" s="518"/>
      <c r="BU116" s="516"/>
      <c r="BV116" s="516"/>
      <c r="BW116" s="517"/>
      <c r="BX116" s="21"/>
      <c r="BY116" s="838"/>
      <c r="BZ116" s="153"/>
      <c r="CA116" s="153"/>
      <c r="CB116" s="153"/>
      <c r="CC116" s="153"/>
      <c r="CD116" s="153"/>
      <c r="CE116" s="153"/>
      <c r="CF116" s="153"/>
      <c r="CG116" s="153"/>
      <c r="CH116" s="153"/>
      <c r="CI116" s="153"/>
      <c r="CJ116" s="153"/>
      <c r="CK116" s="153"/>
      <c r="CL116" s="153"/>
      <c r="CM116" s="153"/>
      <c r="CN116" s="153"/>
      <c r="CO116" s="153"/>
      <c r="CP116" s="154"/>
      <c r="CQ116" s="1041"/>
    </row>
    <row r="117" spans="1:95" ht="14.25" customHeight="1" outlineLevel="1">
      <c r="A117" s="9"/>
      <c r="B117" s="514"/>
      <c r="C117" s="515"/>
      <c r="D117" s="518"/>
      <c r="E117" s="516"/>
      <c r="F117" s="516"/>
      <c r="G117" s="517"/>
      <c r="H117" s="518"/>
      <c r="I117" s="516"/>
      <c r="J117" s="516"/>
      <c r="K117" s="517"/>
      <c r="L117" s="518"/>
      <c r="M117" s="516"/>
      <c r="N117" s="516"/>
      <c r="O117" s="517"/>
      <c r="P117" s="518"/>
      <c r="Q117" s="516"/>
      <c r="R117" s="516"/>
      <c r="S117" s="517"/>
      <c r="T117" s="518"/>
      <c r="U117" s="516"/>
      <c r="V117" s="516"/>
      <c r="W117" s="517"/>
      <c r="X117" s="518"/>
      <c r="Y117" s="516"/>
      <c r="Z117" s="516"/>
      <c r="AA117" s="517"/>
      <c r="AB117" s="518"/>
      <c r="AC117" s="516"/>
      <c r="AD117" s="516"/>
      <c r="AE117" s="517"/>
      <c r="AF117" s="518"/>
      <c r="AG117" s="516"/>
      <c r="AH117" s="516"/>
      <c r="AI117" s="517"/>
      <c r="AJ117" s="518"/>
      <c r="AK117" s="516"/>
      <c r="AL117" s="516"/>
      <c r="AM117" s="517"/>
      <c r="AN117" s="518"/>
      <c r="AO117" s="516"/>
      <c r="AP117" s="516"/>
      <c r="AQ117" s="517"/>
      <c r="AR117" s="516"/>
      <c r="AS117" s="516"/>
      <c r="AT117" s="516"/>
      <c r="AU117" s="517"/>
      <c r="AV117" s="518"/>
      <c r="AW117" s="516"/>
      <c r="AX117" s="516"/>
      <c r="AY117" s="517"/>
      <c r="AZ117" s="518"/>
      <c r="BA117" s="516"/>
      <c r="BB117" s="516"/>
      <c r="BC117" s="517"/>
      <c r="BD117" s="518"/>
      <c r="BE117" s="516"/>
      <c r="BF117" s="516"/>
      <c r="BG117" s="517"/>
      <c r="BH117" s="518"/>
      <c r="BI117" s="516"/>
      <c r="BJ117" s="516"/>
      <c r="BK117" s="517"/>
      <c r="BL117" s="518"/>
      <c r="BM117" s="516"/>
      <c r="BN117" s="516"/>
      <c r="BO117" s="517"/>
      <c r="BP117" s="518"/>
      <c r="BQ117" s="516"/>
      <c r="BR117" s="516"/>
      <c r="BS117" s="517"/>
      <c r="BT117" s="518"/>
      <c r="BU117" s="516"/>
      <c r="BV117" s="516"/>
      <c r="BW117" s="517"/>
      <c r="BX117" s="21"/>
      <c r="BY117" s="838"/>
      <c r="BZ117" s="153"/>
      <c r="CA117" s="153"/>
      <c r="CB117" s="153"/>
      <c r="CC117" s="153"/>
      <c r="CD117" s="153"/>
      <c r="CE117" s="153"/>
      <c r="CF117" s="153"/>
      <c r="CG117" s="153"/>
      <c r="CH117" s="153"/>
      <c r="CI117" s="153"/>
      <c r="CJ117" s="153"/>
      <c r="CK117" s="153"/>
      <c r="CL117" s="153"/>
      <c r="CM117" s="153"/>
      <c r="CN117" s="153"/>
      <c r="CO117" s="153"/>
      <c r="CP117" s="154"/>
      <c r="CQ117" s="1041"/>
    </row>
    <row r="118" spans="1:95" ht="14.25" customHeight="1" outlineLevel="1">
      <c r="A118" s="9"/>
      <c r="B118" s="534" t="s">
        <v>533</v>
      </c>
      <c r="C118" s="515"/>
      <c r="D118" s="518"/>
      <c r="E118" s="516"/>
      <c r="F118" s="516"/>
      <c r="G118" s="517"/>
      <c r="H118" s="518"/>
      <c r="I118" s="516"/>
      <c r="J118" s="516"/>
      <c r="K118" s="517"/>
      <c r="L118" s="518"/>
      <c r="M118" s="516"/>
      <c r="N118" s="516"/>
      <c r="O118" s="517"/>
      <c r="P118" s="518"/>
      <c r="Q118" s="516"/>
      <c r="R118" s="516"/>
      <c r="S118" s="517"/>
      <c r="T118" s="518"/>
      <c r="U118" s="516"/>
      <c r="V118" s="516"/>
      <c r="W118" s="517"/>
      <c r="X118" s="518"/>
      <c r="Y118" s="516"/>
      <c r="Z118" s="516"/>
      <c r="AA118" s="517"/>
      <c r="AB118" s="518"/>
      <c r="AC118" s="516"/>
      <c r="AD118" s="516"/>
      <c r="AE118" s="517"/>
      <c r="AF118" s="518"/>
      <c r="AG118" s="516"/>
      <c r="AH118" s="516"/>
      <c r="AI118" s="517"/>
      <c r="AJ118" s="518"/>
      <c r="AK118" s="516"/>
      <c r="AL118" s="516"/>
      <c r="AM118" s="517"/>
      <c r="AN118" s="518"/>
      <c r="AO118" s="516"/>
      <c r="AP118" s="516"/>
      <c r="AQ118" s="517"/>
      <c r="AR118" s="516"/>
      <c r="AS118" s="516"/>
      <c r="AT118" s="516"/>
      <c r="AU118" s="517"/>
      <c r="AV118" s="518"/>
      <c r="AW118" s="516"/>
      <c r="AX118" s="516"/>
      <c r="AY118" s="517"/>
      <c r="AZ118" s="518"/>
      <c r="BA118" s="516"/>
      <c r="BB118" s="516"/>
      <c r="BC118" s="517"/>
      <c r="BD118" s="518"/>
      <c r="BE118" s="516"/>
      <c r="BF118" s="516"/>
      <c r="BG118" s="517"/>
      <c r="BH118" s="518"/>
      <c r="BI118" s="516"/>
      <c r="BJ118" s="516"/>
      <c r="BK118" s="517"/>
      <c r="BL118" s="518"/>
      <c r="BM118" s="516"/>
      <c r="BN118" s="516"/>
      <c r="BO118" s="517"/>
      <c r="BP118" s="518"/>
      <c r="BQ118" s="516"/>
      <c r="BR118" s="516"/>
      <c r="BS118" s="517"/>
      <c r="BT118" s="518"/>
      <c r="BU118" s="516"/>
      <c r="BV118" s="516"/>
      <c r="BW118" s="517"/>
      <c r="BX118" s="21"/>
      <c r="BY118" s="838"/>
      <c r="BZ118" s="153"/>
      <c r="CA118" s="153"/>
      <c r="CB118" s="153"/>
      <c r="CC118" s="153"/>
      <c r="CD118" s="153"/>
      <c r="CE118" s="153"/>
      <c r="CF118" s="153"/>
      <c r="CG118" s="153"/>
      <c r="CH118" s="153"/>
      <c r="CI118" s="153"/>
      <c r="CJ118" s="153"/>
      <c r="CK118" s="153"/>
      <c r="CL118" s="153"/>
      <c r="CM118" s="153"/>
      <c r="CN118" s="153"/>
      <c r="CO118" s="153"/>
      <c r="CP118" s="154"/>
      <c r="CQ118" s="1041"/>
    </row>
    <row r="119" spans="1:95" ht="14.25" customHeight="1" outlineLevel="1">
      <c r="A119" s="9"/>
      <c r="B119" s="514" t="s">
        <v>530</v>
      </c>
      <c r="C119" s="515"/>
      <c r="D119" s="518"/>
      <c r="E119" s="516"/>
      <c r="F119" s="516"/>
      <c r="G119" s="517"/>
      <c r="H119" s="518"/>
      <c r="I119" s="516"/>
      <c r="J119" s="516"/>
      <c r="K119" s="517"/>
      <c r="L119" s="518"/>
      <c r="M119" s="516"/>
      <c r="N119" s="516"/>
      <c r="O119" s="517"/>
      <c r="P119" s="518"/>
      <c r="Q119" s="516"/>
      <c r="R119" s="516"/>
      <c r="S119" s="517"/>
      <c r="T119" s="518"/>
      <c r="U119" s="516"/>
      <c r="V119" s="516"/>
      <c r="W119" s="517"/>
      <c r="X119" s="518"/>
      <c r="Y119" s="516"/>
      <c r="Z119" s="516"/>
      <c r="AA119" s="517"/>
      <c r="AB119" s="518"/>
      <c r="AC119" s="516"/>
      <c r="AD119" s="516"/>
      <c r="AE119" s="517"/>
      <c r="AF119" s="518"/>
      <c r="AG119" s="516"/>
      <c r="AH119" s="516"/>
      <c r="AI119" s="517"/>
      <c r="AJ119" s="518"/>
      <c r="AK119" s="516"/>
      <c r="AL119" s="516"/>
      <c r="AM119" s="517"/>
      <c r="AN119" s="518"/>
      <c r="AO119" s="516"/>
      <c r="AP119" s="516"/>
      <c r="AQ119" s="517"/>
      <c r="AR119" s="516"/>
      <c r="AS119" s="516"/>
      <c r="AT119" s="516"/>
      <c r="AU119" s="517"/>
      <c r="AV119" s="518"/>
      <c r="AW119" s="516"/>
      <c r="AX119" s="516"/>
      <c r="AY119" s="517"/>
      <c r="AZ119" s="518"/>
      <c r="BA119" s="516"/>
      <c r="BB119" s="516"/>
      <c r="BC119" s="517"/>
      <c r="BD119" s="518"/>
      <c r="BE119" s="516"/>
      <c r="BF119" s="516"/>
      <c r="BG119" s="517"/>
      <c r="BH119" s="518"/>
      <c r="BI119" s="516"/>
      <c r="BJ119" s="516"/>
      <c r="BK119" s="517"/>
      <c r="BL119" s="518"/>
      <c r="BM119" s="516"/>
      <c r="BN119" s="516"/>
      <c r="BO119" s="517"/>
      <c r="BP119" s="518"/>
      <c r="BQ119" s="516"/>
      <c r="BR119" s="516"/>
      <c r="BS119" s="517"/>
      <c r="BT119" s="518"/>
      <c r="BU119" s="516"/>
      <c r="BV119" s="516"/>
      <c r="BW119" s="517"/>
      <c r="BX119" s="21"/>
      <c r="BY119" s="838"/>
      <c r="BZ119" s="153"/>
      <c r="CA119" s="153"/>
      <c r="CB119" s="153"/>
      <c r="CC119" s="153"/>
      <c r="CD119" s="153"/>
      <c r="CE119" s="153"/>
      <c r="CF119" s="153"/>
      <c r="CG119" s="153"/>
      <c r="CH119" s="153"/>
      <c r="CI119" s="153"/>
      <c r="CJ119" s="153"/>
      <c r="CK119" s="153"/>
      <c r="CL119" s="153"/>
      <c r="CM119" s="153"/>
      <c r="CN119" s="153"/>
      <c r="CO119" s="153"/>
      <c r="CP119" s="154"/>
      <c r="CQ119" s="1041"/>
    </row>
    <row r="120" spans="1:95" ht="14.25" customHeight="1" outlineLevel="1">
      <c r="A120" s="9"/>
      <c r="B120" s="514" t="s">
        <v>535</v>
      </c>
      <c r="C120" s="515"/>
      <c r="D120" s="518"/>
      <c r="E120" s="516"/>
      <c r="F120" s="516"/>
      <c r="G120" s="517"/>
      <c r="H120" s="518"/>
      <c r="I120" s="516"/>
      <c r="J120" s="516"/>
      <c r="K120" s="517"/>
      <c r="L120" s="518"/>
      <c r="M120" s="516"/>
      <c r="N120" s="516"/>
      <c r="O120" s="517"/>
      <c r="P120" s="518"/>
      <c r="Q120" s="516"/>
      <c r="R120" s="516"/>
      <c r="S120" s="517"/>
      <c r="T120" s="518"/>
      <c r="U120" s="516"/>
      <c r="V120" s="516"/>
      <c r="W120" s="517"/>
      <c r="X120" s="518"/>
      <c r="Y120" s="516"/>
      <c r="Z120" s="516"/>
      <c r="AA120" s="517"/>
      <c r="AB120" s="518"/>
      <c r="AC120" s="516"/>
      <c r="AD120" s="516"/>
      <c r="AE120" s="517"/>
      <c r="AF120" s="518"/>
      <c r="AG120" s="516"/>
      <c r="AH120" s="516"/>
      <c r="AI120" s="517"/>
      <c r="AJ120" s="518"/>
      <c r="AK120" s="516"/>
      <c r="AL120" s="516"/>
      <c r="AM120" s="517"/>
      <c r="AN120" s="518"/>
      <c r="AO120" s="516"/>
      <c r="AP120" s="516"/>
      <c r="AQ120" s="517"/>
      <c r="AR120" s="516"/>
      <c r="AS120" s="516"/>
      <c r="AT120" s="516"/>
      <c r="AU120" s="517"/>
      <c r="AV120" s="518"/>
      <c r="AW120" s="516"/>
      <c r="AX120" s="516"/>
      <c r="AY120" s="517"/>
      <c r="AZ120" s="518"/>
      <c r="BA120" s="516"/>
      <c r="BB120" s="516"/>
      <c r="BC120" s="517"/>
      <c r="BD120" s="518"/>
      <c r="BE120" s="516"/>
      <c r="BF120" s="516"/>
      <c r="BG120" s="517"/>
      <c r="BH120" s="518"/>
      <c r="BI120" s="516"/>
      <c r="BJ120" s="516"/>
      <c r="BK120" s="517"/>
      <c r="BL120" s="518"/>
      <c r="BM120" s="516"/>
      <c r="BN120" s="516"/>
      <c r="BO120" s="517"/>
      <c r="BP120" s="518"/>
      <c r="BQ120" s="516"/>
      <c r="BR120" s="516"/>
      <c r="BS120" s="517"/>
      <c r="BT120" s="518"/>
      <c r="BU120" s="516"/>
      <c r="BV120" s="516"/>
      <c r="BW120" s="517"/>
      <c r="BX120" s="21"/>
      <c r="BY120" s="838"/>
      <c r="BZ120" s="153"/>
      <c r="CA120" s="153"/>
      <c r="CB120" s="153"/>
      <c r="CC120" s="153"/>
      <c r="CD120" s="153"/>
      <c r="CE120" s="153"/>
      <c r="CF120" s="153"/>
      <c r="CG120" s="153"/>
      <c r="CH120" s="153"/>
      <c r="CI120" s="153"/>
      <c r="CJ120" s="153"/>
      <c r="CK120" s="153"/>
      <c r="CL120" s="153"/>
      <c r="CM120" s="153"/>
      <c r="CN120" s="153"/>
      <c r="CO120" s="153"/>
      <c r="CP120" s="154"/>
      <c r="CQ120" s="1041"/>
    </row>
    <row r="121" spans="1:95" ht="14.25" customHeight="1" outlineLevel="1">
      <c r="A121" s="9"/>
      <c r="B121" s="514" t="s">
        <v>536</v>
      </c>
      <c r="C121" s="515"/>
      <c r="D121" s="518"/>
      <c r="E121" s="516"/>
      <c r="F121" s="516"/>
      <c r="G121" s="517"/>
      <c r="H121" s="518"/>
      <c r="I121" s="516"/>
      <c r="J121" s="516"/>
      <c r="K121" s="517"/>
      <c r="L121" s="518"/>
      <c r="M121" s="516"/>
      <c r="N121" s="516"/>
      <c r="O121" s="517"/>
      <c r="P121" s="518"/>
      <c r="Q121" s="516"/>
      <c r="R121" s="516"/>
      <c r="S121" s="517"/>
      <c r="T121" s="518"/>
      <c r="U121" s="516"/>
      <c r="V121" s="516"/>
      <c r="W121" s="517"/>
      <c r="X121" s="518"/>
      <c r="Y121" s="516"/>
      <c r="Z121" s="516"/>
      <c r="AA121" s="517"/>
      <c r="AB121" s="518"/>
      <c r="AC121" s="516"/>
      <c r="AD121" s="516"/>
      <c r="AE121" s="517"/>
      <c r="AF121" s="518"/>
      <c r="AG121" s="516"/>
      <c r="AH121" s="516"/>
      <c r="AI121" s="517"/>
      <c r="AJ121" s="518"/>
      <c r="AK121" s="516"/>
      <c r="AL121" s="516"/>
      <c r="AM121" s="517"/>
      <c r="AN121" s="518"/>
      <c r="AO121" s="516"/>
      <c r="AP121" s="516"/>
      <c r="AQ121" s="517"/>
      <c r="AR121" s="516"/>
      <c r="AS121" s="516"/>
      <c r="AT121" s="516"/>
      <c r="AU121" s="517"/>
      <c r="AV121" s="518"/>
      <c r="AW121" s="516"/>
      <c r="AX121" s="516"/>
      <c r="AY121" s="517"/>
      <c r="AZ121" s="518"/>
      <c r="BA121" s="516"/>
      <c r="BB121" s="516"/>
      <c r="BC121" s="517"/>
      <c r="BD121" s="518"/>
      <c r="BE121" s="516"/>
      <c r="BF121" s="516"/>
      <c r="BG121" s="517"/>
      <c r="BH121" s="518"/>
      <c r="BI121" s="516"/>
      <c r="BJ121" s="516"/>
      <c r="BK121" s="517"/>
      <c r="BL121" s="518"/>
      <c r="BM121" s="516"/>
      <c r="BN121" s="516"/>
      <c r="BO121" s="517"/>
      <c r="BP121" s="518"/>
      <c r="BQ121" s="516"/>
      <c r="BR121" s="516"/>
      <c r="BS121" s="517"/>
      <c r="BT121" s="518"/>
      <c r="BU121" s="516"/>
      <c r="BV121" s="516"/>
      <c r="BW121" s="517"/>
      <c r="BX121" s="21"/>
      <c r="BY121" s="838"/>
      <c r="BZ121" s="153"/>
      <c r="CA121" s="153"/>
      <c r="CB121" s="153"/>
      <c r="CC121" s="153"/>
      <c r="CD121" s="153"/>
      <c r="CE121" s="153"/>
      <c r="CF121" s="153"/>
      <c r="CG121" s="153"/>
      <c r="CH121" s="153"/>
      <c r="CI121" s="153"/>
      <c r="CJ121" s="153"/>
      <c r="CK121" s="153"/>
      <c r="CL121" s="153"/>
      <c r="CM121" s="153"/>
      <c r="CN121" s="153"/>
      <c r="CO121" s="153"/>
      <c r="CP121" s="154"/>
      <c r="CQ121" s="1041"/>
    </row>
    <row r="122" spans="1:95" ht="14.25" customHeight="1" outlineLevel="1">
      <c r="A122" s="9"/>
      <c r="B122" s="514" t="s">
        <v>537</v>
      </c>
      <c r="C122" s="515"/>
      <c r="D122" s="518"/>
      <c r="E122" s="516"/>
      <c r="F122" s="516"/>
      <c r="G122" s="517"/>
      <c r="H122" s="518"/>
      <c r="I122" s="516"/>
      <c r="J122" s="516"/>
      <c r="K122" s="517"/>
      <c r="L122" s="518"/>
      <c r="M122" s="516"/>
      <c r="N122" s="516"/>
      <c r="O122" s="517"/>
      <c r="P122" s="518"/>
      <c r="Q122" s="516"/>
      <c r="R122" s="516"/>
      <c r="S122" s="517"/>
      <c r="T122" s="518"/>
      <c r="U122" s="516"/>
      <c r="V122" s="516"/>
      <c r="W122" s="517"/>
      <c r="X122" s="518"/>
      <c r="Y122" s="516"/>
      <c r="Z122" s="516"/>
      <c r="AA122" s="517"/>
      <c r="AB122" s="518"/>
      <c r="AC122" s="516"/>
      <c r="AD122" s="516"/>
      <c r="AE122" s="517"/>
      <c r="AF122" s="518"/>
      <c r="AG122" s="516"/>
      <c r="AH122" s="516"/>
      <c r="AI122" s="517"/>
      <c r="AJ122" s="518"/>
      <c r="AK122" s="516"/>
      <c r="AL122" s="516"/>
      <c r="AM122" s="517"/>
      <c r="AN122" s="518"/>
      <c r="AO122" s="516"/>
      <c r="AP122" s="516"/>
      <c r="AQ122" s="517"/>
      <c r="AR122" s="516"/>
      <c r="AS122" s="516"/>
      <c r="AT122" s="516"/>
      <c r="AU122" s="517"/>
      <c r="AV122" s="518"/>
      <c r="AW122" s="516"/>
      <c r="AX122" s="516"/>
      <c r="AY122" s="517"/>
      <c r="AZ122" s="518"/>
      <c r="BA122" s="516"/>
      <c r="BB122" s="516"/>
      <c r="BC122" s="517"/>
      <c r="BD122" s="518"/>
      <c r="BE122" s="516"/>
      <c r="BF122" s="516"/>
      <c r="BG122" s="517"/>
      <c r="BH122" s="518"/>
      <c r="BI122" s="516"/>
      <c r="BJ122" s="516"/>
      <c r="BK122" s="517"/>
      <c r="BL122" s="518"/>
      <c r="BM122" s="516"/>
      <c r="BN122" s="516"/>
      <c r="BO122" s="517"/>
      <c r="BP122" s="518"/>
      <c r="BQ122" s="516"/>
      <c r="BR122" s="516"/>
      <c r="BS122" s="517"/>
      <c r="BT122" s="518"/>
      <c r="BU122" s="516"/>
      <c r="BV122" s="516"/>
      <c r="BW122" s="517"/>
      <c r="BX122" s="21"/>
      <c r="BY122" s="838"/>
      <c r="BZ122" s="153"/>
      <c r="CA122" s="153"/>
      <c r="CB122" s="153"/>
      <c r="CC122" s="153"/>
      <c r="CD122" s="153"/>
      <c r="CE122" s="153"/>
      <c r="CF122" s="153"/>
      <c r="CG122" s="153"/>
      <c r="CH122" s="153"/>
      <c r="CI122" s="153"/>
      <c r="CJ122" s="153"/>
      <c r="CK122" s="153"/>
      <c r="CL122" s="153"/>
      <c r="CM122" s="153"/>
      <c r="CN122" s="153"/>
      <c r="CO122" s="153"/>
      <c r="CP122" s="154"/>
      <c r="CQ122" s="1041"/>
    </row>
    <row r="123" spans="1:95" ht="14.25" customHeight="1" outlineLevel="1">
      <c r="A123" s="9"/>
      <c r="B123" s="514" t="s">
        <v>538</v>
      </c>
      <c r="C123" s="515"/>
      <c r="D123" s="518"/>
      <c r="E123" s="516"/>
      <c r="F123" s="516"/>
      <c r="G123" s="517"/>
      <c r="H123" s="518"/>
      <c r="I123" s="516"/>
      <c r="J123" s="516"/>
      <c r="K123" s="517"/>
      <c r="L123" s="518"/>
      <c r="M123" s="516"/>
      <c r="N123" s="516"/>
      <c r="O123" s="517"/>
      <c r="P123" s="518"/>
      <c r="Q123" s="516"/>
      <c r="R123" s="516"/>
      <c r="S123" s="517"/>
      <c r="T123" s="518"/>
      <c r="U123" s="516"/>
      <c r="V123" s="516"/>
      <c r="W123" s="517"/>
      <c r="X123" s="518"/>
      <c r="Y123" s="516"/>
      <c r="Z123" s="516"/>
      <c r="AA123" s="517"/>
      <c r="AB123" s="518"/>
      <c r="AC123" s="516"/>
      <c r="AD123" s="516"/>
      <c r="AE123" s="517"/>
      <c r="AF123" s="518"/>
      <c r="AG123" s="516"/>
      <c r="AH123" s="516"/>
      <c r="AI123" s="517"/>
      <c r="AJ123" s="518"/>
      <c r="AK123" s="516"/>
      <c r="AL123" s="516"/>
      <c r="AM123" s="517"/>
      <c r="AN123" s="518"/>
      <c r="AO123" s="516"/>
      <c r="AP123" s="516"/>
      <c r="AQ123" s="517"/>
      <c r="AR123" s="516"/>
      <c r="AS123" s="516"/>
      <c r="AT123" s="516"/>
      <c r="AU123" s="517"/>
      <c r="AV123" s="518"/>
      <c r="AW123" s="516"/>
      <c r="AX123" s="516"/>
      <c r="AY123" s="517"/>
      <c r="AZ123" s="518"/>
      <c r="BA123" s="516"/>
      <c r="BB123" s="516"/>
      <c r="BC123" s="517"/>
      <c r="BD123" s="518"/>
      <c r="BE123" s="516"/>
      <c r="BF123" s="516"/>
      <c r="BG123" s="517"/>
      <c r="BH123" s="518"/>
      <c r="BI123" s="516"/>
      <c r="BJ123" s="516"/>
      <c r="BK123" s="517"/>
      <c r="BL123" s="518"/>
      <c r="BM123" s="516"/>
      <c r="BN123" s="516"/>
      <c r="BO123" s="517"/>
      <c r="BP123" s="518"/>
      <c r="BQ123" s="516"/>
      <c r="BR123" s="516"/>
      <c r="BS123" s="517"/>
      <c r="BT123" s="518"/>
      <c r="BU123" s="516"/>
      <c r="BV123" s="516"/>
      <c r="BW123" s="517"/>
      <c r="BX123" s="21"/>
      <c r="BY123" s="838"/>
      <c r="BZ123" s="153"/>
      <c r="CA123" s="153"/>
      <c r="CB123" s="153"/>
      <c r="CC123" s="153"/>
      <c r="CD123" s="153"/>
      <c r="CE123" s="153"/>
      <c r="CF123" s="153"/>
      <c r="CG123" s="153"/>
      <c r="CH123" s="153"/>
      <c r="CI123" s="153"/>
      <c r="CJ123" s="153"/>
      <c r="CK123" s="153"/>
      <c r="CL123" s="153"/>
      <c r="CM123" s="153"/>
      <c r="CN123" s="153"/>
      <c r="CO123" s="153"/>
      <c r="CP123" s="154"/>
      <c r="CQ123" s="1041"/>
    </row>
    <row r="124" spans="1:95" ht="14.25" customHeight="1" outlineLevel="1">
      <c r="A124" s="9"/>
      <c r="B124" s="514" t="s">
        <v>539</v>
      </c>
      <c r="C124" s="515"/>
      <c r="D124" s="518"/>
      <c r="E124" s="516"/>
      <c r="F124" s="516"/>
      <c r="G124" s="517"/>
      <c r="H124" s="518"/>
      <c r="I124" s="516"/>
      <c r="J124" s="516"/>
      <c r="K124" s="517"/>
      <c r="L124" s="518"/>
      <c r="M124" s="516"/>
      <c r="N124" s="516"/>
      <c r="O124" s="517"/>
      <c r="P124" s="518"/>
      <c r="Q124" s="516"/>
      <c r="R124" s="516"/>
      <c r="S124" s="517"/>
      <c r="T124" s="518"/>
      <c r="U124" s="516"/>
      <c r="V124" s="516"/>
      <c r="W124" s="517"/>
      <c r="X124" s="518"/>
      <c r="Y124" s="516"/>
      <c r="Z124" s="516"/>
      <c r="AA124" s="517"/>
      <c r="AB124" s="518"/>
      <c r="AC124" s="516"/>
      <c r="AD124" s="516"/>
      <c r="AE124" s="517"/>
      <c r="AF124" s="518"/>
      <c r="AG124" s="516"/>
      <c r="AH124" s="516"/>
      <c r="AI124" s="517"/>
      <c r="AJ124" s="518"/>
      <c r="AK124" s="516"/>
      <c r="AL124" s="516"/>
      <c r="AM124" s="517"/>
      <c r="AN124" s="518"/>
      <c r="AO124" s="516"/>
      <c r="AP124" s="516"/>
      <c r="AQ124" s="517"/>
      <c r="AR124" s="516"/>
      <c r="AS124" s="516"/>
      <c r="AT124" s="516"/>
      <c r="AU124" s="517"/>
      <c r="AV124" s="518"/>
      <c r="AW124" s="516"/>
      <c r="AX124" s="516"/>
      <c r="AY124" s="517"/>
      <c r="AZ124" s="518"/>
      <c r="BA124" s="516"/>
      <c r="BB124" s="516"/>
      <c r="BC124" s="517"/>
      <c r="BD124" s="518"/>
      <c r="BE124" s="516"/>
      <c r="BF124" s="516"/>
      <c r="BG124" s="517"/>
      <c r="BH124" s="518"/>
      <c r="BI124" s="516"/>
      <c r="BJ124" s="516"/>
      <c r="BK124" s="517"/>
      <c r="BL124" s="518"/>
      <c r="BM124" s="516"/>
      <c r="BN124" s="516"/>
      <c r="BO124" s="517"/>
      <c r="BP124" s="518"/>
      <c r="BQ124" s="516"/>
      <c r="BR124" s="516"/>
      <c r="BS124" s="517"/>
      <c r="BT124" s="518"/>
      <c r="BU124" s="516"/>
      <c r="BV124" s="516"/>
      <c r="BW124" s="517"/>
      <c r="BX124" s="21"/>
      <c r="BY124" s="838"/>
      <c r="BZ124" s="153"/>
      <c r="CA124" s="153"/>
      <c r="CB124" s="153"/>
      <c r="CC124" s="153"/>
      <c r="CD124" s="153"/>
      <c r="CE124" s="153"/>
      <c r="CF124" s="153"/>
      <c r="CG124" s="153"/>
      <c r="CH124" s="153"/>
      <c r="CI124" s="153"/>
      <c r="CJ124" s="153"/>
      <c r="CK124" s="153"/>
      <c r="CL124" s="153"/>
      <c r="CM124" s="153"/>
      <c r="CN124" s="153"/>
      <c r="CO124" s="153"/>
      <c r="CP124" s="154"/>
      <c r="CQ124" s="1041"/>
    </row>
    <row r="125" spans="1:95" ht="14.25" customHeight="1" outlineLevel="1">
      <c r="A125" s="9"/>
      <c r="B125" s="534" t="s">
        <v>402</v>
      </c>
      <c r="C125" s="515"/>
      <c r="D125" s="518"/>
      <c r="E125" s="516"/>
      <c r="F125" s="516"/>
      <c r="G125" s="517"/>
      <c r="H125" s="518"/>
      <c r="I125" s="516"/>
      <c r="J125" s="516"/>
      <c r="K125" s="517"/>
      <c r="L125" s="518"/>
      <c r="M125" s="516"/>
      <c r="N125" s="516"/>
      <c r="O125" s="517"/>
      <c r="P125" s="518"/>
      <c r="Q125" s="516"/>
      <c r="R125" s="516"/>
      <c r="S125" s="517"/>
      <c r="T125" s="518"/>
      <c r="U125" s="516"/>
      <c r="V125" s="516"/>
      <c r="W125" s="517"/>
      <c r="X125" s="518"/>
      <c r="Y125" s="516"/>
      <c r="Z125" s="516"/>
      <c r="AA125" s="517"/>
      <c r="AB125" s="518"/>
      <c r="AC125" s="516"/>
      <c r="AD125" s="516"/>
      <c r="AE125" s="517"/>
      <c r="AF125" s="518"/>
      <c r="AG125" s="516"/>
      <c r="AH125" s="516"/>
      <c r="AI125" s="517"/>
      <c r="AJ125" s="518"/>
      <c r="AK125" s="516"/>
      <c r="AL125" s="516"/>
      <c r="AM125" s="517"/>
      <c r="AN125" s="518"/>
      <c r="AO125" s="516"/>
      <c r="AP125" s="516"/>
      <c r="AQ125" s="517"/>
      <c r="AR125" s="516"/>
      <c r="AS125" s="516"/>
      <c r="AT125" s="516"/>
      <c r="AU125" s="517"/>
      <c r="AV125" s="518"/>
      <c r="AW125" s="516"/>
      <c r="AX125" s="516"/>
      <c r="AY125" s="517"/>
      <c r="AZ125" s="518"/>
      <c r="BA125" s="516"/>
      <c r="BB125" s="516"/>
      <c r="BC125" s="517"/>
      <c r="BD125" s="518"/>
      <c r="BE125" s="516"/>
      <c r="BF125" s="516"/>
      <c r="BG125" s="517"/>
      <c r="BH125" s="518"/>
      <c r="BI125" s="516"/>
      <c r="BJ125" s="516"/>
      <c r="BK125" s="517"/>
      <c r="BL125" s="518"/>
      <c r="BM125" s="516"/>
      <c r="BN125" s="516"/>
      <c r="BO125" s="517"/>
      <c r="BP125" s="518"/>
      <c r="BQ125" s="516"/>
      <c r="BR125" s="516"/>
      <c r="BS125" s="517"/>
      <c r="BT125" s="518"/>
      <c r="BU125" s="516"/>
      <c r="BV125" s="516"/>
      <c r="BW125" s="517"/>
      <c r="BX125" s="21"/>
      <c r="BY125" s="838"/>
      <c r="BZ125" s="153"/>
      <c r="CA125" s="153"/>
      <c r="CB125" s="153"/>
      <c r="CC125" s="153"/>
      <c r="CD125" s="153"/>
      <c r="CE125" s="153"/>
      <c r="CF125" s="153"/>
      <c r="CG125" s="153"/>
      <c r="CH125" s="153"/>
      <c r="CI125" s="153"/>
      <c r="CJ125" s="153"/>
      <c r="CK125" s="153"/>
      <c r="CL125" s="153"/>
      <c r="CM125" s="153"/>
      <c r="CN125" s="153"/>
      <c r="CO125" s="153"/>
      <c r="CP125" s="154"/>
      <c r="CQ125" s="1041"/>
    </row>
    <row r="126" spans="1:95" ht="14.25" customHeight="1" outlineLevel="1">
      <c r="A126" s="9"/>
      <c r="B126" s="514"/>
      <c r="C126" s="515"/>
      <c r="D126" s="518"/>
      <c r="E126" s="516"/>
      <c r="F126" s="516"/>
      <c r="G126" s="517"/>
      <c r="H126" s="518"/>
      <c r="I126" s="516"/>
      <c r="J126" s="516"/>
      <c r="K126" s="517"/>
      <c r="L126" s="518"/>
      <c r="M126" s="516"/>
      <c r="N126" s="516"/>
      <c r="O126" s="517"/>
      <c r="P126" s="518"/>
      <c r="Q126" s="516"/>
      <c r="R126" s="516"/>
      <c r="S126" s="517"/>
      <c r="T126" s="518"/>
      <c r="U126" s="516"/>
      <c r="V126" s="516"/>
      <c r="W126" s="517"/>
      <c r="X126" s="518"/>
      <c r="Y126" s="516"/>
      <c r="Z126" s="516"/>
      <c r="AA126" s="517"/>
      <c r="AB126" s="518"/>
      <c r="AC126" s="516"/>
      <c r="AD126" s="516"/>
      <c r="AE126" s="517"/>
      <c r="AF126" s="518"/>
      <c r="AG126" s="516"/>
      <c r="AH126" s="516"/>
      <c r="AI126" s="517"/>
      <c r="AJ126" s="518"/>
      <c r="AK126" s="516"/>
      <c r="AL126" s="516"/>
      <c r="AM126" s="517"/>
      <c r="AN126" s="518"/>
      <c r="AO126" s="516"/>
      <c r="AP126" s="516"/>
      <c r="AQ126" s="517"/>
      <c r="AR126" s="516"/>
      <c r="AS126" s="516"/>
      <c r="AT126" s="516"/>
      <c r="AU126" s="517"/>
      <c r="AV126" s="518"/>
      <c r="AW126" s="516"/>
      <c r="AX126" s="516"/>
      <c r="AY126" s="517"/>
      <c r="AZ126" s="518"/>
      <c r="BA126" s="516"/>
      <c r="BB126" s="516"/>
      <c r="BC126" s="517"/>
      <c r="BD126" s="518"/>
      <c r="BE126" s="516"/>
      <c r="BF126" s="516"/>
      <c r="BG126" s="517"/>
      <c r="BH126" s="518"/>
      <c r="BI126" s="516"/>
      <c r="BJ126" s="516"/>
      <c r="BK126" s="517"/>
      <c r="BL126" s="518"/>
      <c r="BM126" s="516"/>
      <c r="BN126" s="516"/>
      <c r="BO126" s="517"/>
      <c r="BP126" s="518"/>
      <c r="BQ126" s="516"/>
      <c r="BR126" s="516"/>
      <c r="BS126" s="517"/>
      <c r="BT126" s="518"/>
      <c r="BU126" s="516"/>
      <c r="BV126" s="516"/>
      <c r="BW126" s="517"/>
      <c r="BX126" s="21"/>
      <c r="BY126" s="838"/>
      <c r="BZ126" s="153"/>
      <c r="CA126" s="153"/>
      <c r="CB126" s="153"/>
      <c r="CC126" s="153"/>
      <c r="CD126" s="153"/>
      <c r="CE126" s="153"/>
      <c r="CF126" s="153"/>
      <c r="CG126" s="153"/>
      <c r="CH126" s="153"/>
      <c r="CI126" s="153"/>
      <c r="CJ126" s="153"/>
      <c r="CK126" s="153"/>
      <c r="CL126" s="153"/>
      <c r="CM126" s="153"/>
      <c r="CN126" s="153"/>
      <c r="CO126" s="153"/>
      <c r="CP126" s="154"/>
      <c r="CQ126" s="1041"/>
    </row>
    <row r="127" spans="1:95" ht="14.25" customHeight="1" outlineLevel="1">
      <c r="A127" s="9"/>
      <c r="B127" s="534" t="s">
        <v>534</v>
      </c>
      <c r="C127" s="515"/>
      <c r="D127" s="518"/>
      <c r="E127" s="516"/>
      <c r="F127" s="516"/>
      <c r="G127" s="517"/>
      <c r="H127" s="518"/>
      <c r="I127" s="516"/>
      <c r="J127" s="516"/>
      <c r="K127" s="517"/>
      <c r="L127" s="518"/>
      <c r="M127" s="516"/>
      <c r="N127" s="516"/>
      <c r="O127" s="517"/>
      <c r="P127" s="518"/>
      <c r="Q127" s="516"/>
      <c r="R127" s="516"/>
      <c r="S127" s="517"/>
      <c r="T127" s="518"/>
      <c r="U127" s="516"/>
      <c r="V127" s="516"/>
      <c r="W127" s="517"/>
      <c r="X127" s="518"/>
      <c r="Y127" s="516"/>
      <c r="Z127" s="516"/>
      <c r="AA127" s="517"/>
      <c r="AB127" s="518"/>
      <c r="AC127" s="516"/>
      <c r="AD127" s="516"/>
      <c r="AE127" s="517"/>
      <c r="AF127" s="518"/>
      <c r="AG127" s="516"/>
      <c r="AH127" s="516"/>
      <c r="AI127" s="517"/>
      <c r="AJ127" s="518"/>
      <c r="AK127" s="516"/>
      <c r="AL127" s="516"/>
      <c r="AM127" s="517"/>
      <c r="AN127" s="518"/>
      <c r="AO127" s="516"/>
      <c r="AP127" s="516"/>
      <c r="AQ127" s="517"/>
      <c r="AR127" s="516"/>
      <c r="AS127" s="516"/>
      <c r="AT127" s="516"/>
      <c r="AU127" s="517"/>
      <c r="AV127" s="518"/>
      <c r="AW127" s="516"/>
      <c r="AX127" s="516"/>
      <c r="AY127" s="517"/>
      <c r="AZ127" s="518"/>
      <c r="BA127" s="516"/>
      <c r="BB127" s="516"/>
      <c r="BC127" s="517"/>
      <c r="BD127" s="518"/>
      <c r="BE127" s="516"/>
      <c r="BF127" s="516"/>
      <c r="BG127" s="517"/>
      <c r="BH127" s="518"/>
      <c r="BI127" s="516"/>
      <c r="BJ127" s="516"/>
      <c r="BK127" s="517"/>
      <c r="BL127" s="518"/>
      <c r="BM127" s="516"/>
      <c r="BN127" s="516"/>
      <c r="BO127" s="517"/>
      <c r="BP127" s="518"/>
      <c r="BQ127" s="516"/>
      <c r="BR127" s="516"/>
      <c r="BS127" s="517"/>
      <c r="BT127" s="518"/>
      <c r="BU127" s="516"/>
      <c r="BV127" s="516"/>
      <c r="BW127" s="517"/>
      <c r="BX127" s="21"/>
      <c r="BY127" s="838"/>
      <c r="BZ127" s="153"/>
      <c r="CA127" s="153"/>
      <c r="CB127" s="153"/>
      <c r="CC127" s="153"/>
      <c r="CD127" s="153"/>
      <c r="CE127" s="153"/>
      <c r="CF127" s="153"/>
      <c r="CG127" s="153"/>
      <c r="CH127" s="153"/>
      <c r="CI127" s="153"/>
      <c r="CJ127" s="153"/>
      <c r="CK127" s="153"/>
      <c r="CL127" s="153"/>
      <c r="CM127" s="153"/>
      <c r="CN127" s="153"/>
      <c r="CO127" s="153"/>
      <c r="CP127" s="154"/>
      <c r="CQ127" s="1041"/>
    </row>
    <row r="128" spans="1:95" ht="14.25" customHeight="1" outlineLevel="1">
      <c r="A128" s="9"/>
      <c r="B128" s="514" t="s">
        <v>530</v>
      </c>
      <c r="C128" s="515"/>
      <c r="D128" s="518"/>
      <c r="E128" s="516"/>
      <c r="F128" s="516"/>
      <c r="G128" s="517"/>
      <c r="H128" s="518"/>
      <c r="I128" s="516"/>
      <c r="J128" s="516"/>
      <c r="K128" s="517"/>
      <c r="L128" s="518"/>
      <c r="M128" s="516"/>
      <c r="N128" s="516"/>
      <c r="O128" s="517"/>
      <c r="P128" s="518"/>
      <c r="Q128" s="516"/>
      <c r="R128" s="516"/>
      <c r="S128" s="517"/>
      <c r="T128" s="518"/>
      <c r="U128" s="516"/>
      <c r="V128" s="516"/>
      <c r="W128" s="517"/>
      <c r="X128" s="518"/>
      <c r="Y128" s="516"/>
      <c r="Z128" s="516"/>
      <c r="AA128" s="517"/>
      <c r="AB128" s="518"/>
      <c r="AC128" s="516"/>
      <c r="AD128" s="516"/>
      <c r="AE128" s="517"/>
      <c r="AF128" s="518"/>
      <c r="AG128" s="516"/>
      <c r="AH128" s="516"/>
      <c r="AI128" s="517"/>
      <c r="AJ128" s="518"/>
      <c r="AK128" s="516"/>
      <c r="AL128" s="516"/>
      <c r="AM128" s="517"/>
      <c r="AN128" s="518"/>
      <c r="AO128" s="516"/>
      <c r="AP128" s="516"/>
      <c r="AQ128" s="517"/>
      <c r="AR128" s="516"/>
      <c r="AS128" s="516"/>
      <c r="AT128" s="516"/>
      <c r="AU128" s="517"/>
      <c r="AV128" s="518"/>
      <c r="AW128" s="516"/>
      <c r="AX128" s="516"/>
      <c r="AY128" s="517"/>
      <c r="AZ128" s="518"/>
      <c r="BA128" s="516"/>
      <c r="BB128" s="516"/>
      <c r="BC128" s="517"/>
      <c r="BD128" s="518"/>
      <c r="BE128" s="516"/>
      <c r="BF128" s="516"/>
      <c r="BG128" s="517"/>
      <c r="BH128" s="518"/>
      <c r="BI128" s="516"/>
      <c r="BJ128" s="516"/>
      <c r="BK128" s="517"/>
      <c r="BL128" s="518"/>
      <c r="BM128" s="516"/>
      <c r="BN128" s="516"/>
      <c r="BO128" s="517"/>
      <c r="BP128" s="518"/>
      <c r="BQ128" s="516"/>
      <c r="BR128" s="516"/>
      <c r="BS128" s="517"/>
      <c r="BT128" s="518"/>
      <c r="BU128" s="516"/>
      <c r="BV128" s="516"/>
      <c r="BW128" s="517"/>
      <c r="BX128" s="21"/>
      <c r="BY128" s="838"/>
      <c r="BZ128" s="153"/>
      <c r="CA128" s="153"/>
      <c r="CB128" s="153"/>
      <c r="CC128" s="153"/>
      <c r="CD128" s="153"/>
      <c r="CE128" s="153"/>
      <c r="CF128" s="153"/>
      <c r="CG128" s="153"/>
      <c r="CH128" s="153"/>
      <c r="CI128" s="153"/>
      <c r="CJ128" s="153"/>
      <c r="CK128" s="153"/>
      <c r="CL128" s="153"/>
      <c r="CM128" s="153"/>
      <c r="CN128" s="153"/>
      <c r="CO128" s="153"/>
      <c r="CP128" s="154"/>
      <c r="CQ128" s="1041"/>
    </row>
    <row r="129" spans="1:95" ht="14.25" customHeight="1" outlineLevel="1">
      <c r="A129" s="9"/>
      <c r="B129" s="514" t="s">
        <v>535</v>
      </c>
      <c r="C129" s="515"/>
      <c r="D129" s="518"/>
      <c r="E129" s="516"/>
      <c r="F129" s="516"/>
      <c r="G129" s="517"/>
      <c r="H129" s="518"/>
      <c r="I129" s="516"/>
      <c r="J129" s="516"/>
      <c r="K129" s="517"/>
      <c r="L129" s="518"/>
      <c r="M129" s="516"/>
      <c r="N129" s="516"/>
      <c r="O129" s="517"/>
      <c r="P129" s="518"/>
      <c r="Q129" s="516"/>
      <c r="R129" s="516"/>
      <c r="S129" s="517"/>
      <c r="T129" s="518"/>
      <c r="U129" s="516"/>
      <c r="V129" s="516"/>
      <c r="W129" s="517"/>
      <c r="X129" s="518"/>
      <c r="Y129" s="516"/>
      <c r="Z129" s="516"/>
      <c r="AA129" s="517"/>
      <c r="AB129" s="518"/>
      <c r="AC129" s="516"/>
      <c r="AD129" s="516"/>
      <c r="AE129" s="517"/>
      <c r="AF129" s="518"/>
      <c r="AG129" s="516"/>
      <c r="AH129" s="516"/>
      <c r="AI129" s="517"/>
      <c r="AJ129" s="518"/>
      <c r="AK129" s="516"/>
      <c r="AL129" s="516"/>
      <c r="AM129" s="517"/>
      <c r="AN129" s="518"/>
      <c r="AO129" s="516"/>
      <c r="AP129" s="516"/>
      <c r="AQ129" s="517"/>
      <c r="AR129" s="516"/>
      <c r="AS129" s="516"/>
      <c r="AT129" s="516"/>
      <c r="AU129" s="517"/>
      <c r="AV129" s="518"/>
      <c r="AW129" s="516"/>
      <c r="AX129" s="516"/>
      <c r="AY129" s="517"/>
      <c r="AZ129" s="518"/>
      <c r="BA129" s="516"/>
      <c r="BB129" s="516"/>
      <c r="BC129" s="517"/>
      <c r="BD129" s="518"/>
      <c r="BE129" s="516"/>
      <c r="BF129" s="516"/>
      <c r="BG129" s="517"/>
      <c r="BH129" s="518"/>
      <c r="BI129" s="516"/>
      <c r="BJ129" s="516"/>
      <c r="BK129" s="517"/>
      <c r="BL129" s="518"/>
      <c r="BM129" s="516"/>
      <c r="BN129" s="516"/>
      <c r="BO129" s="517"/>
      <c r="BP129" s="518"/>
      <c r="BQ129" s="516"/>
      <c r="BR129" s="516"/>
      <c r="BS129" s="517"/>
      <c r="BT129" s="518"/>
      <c r="BU129" s="516"/>
      <c r="BV129" s="516"/>
      <c r="BW129" s="517"/>
      <c r="BX129" s="21"/>
      <c r="BY129" s="838"/>
      <c r="BZ129" s="153"/>
      <c r="CA129" s="153"/>
      <c r="CB129" s="153"/>
      <c r="CC129" s="153"/>
      <c r="CD129" s="153"/>
      <c r="CE129" s="153"/>
      <c r="CF129" s="153"/>
      <c r="CG129" s="153"/>
      <c r="CH129" s="153"/>
      <c r="CI129" s="153"/>
      <c r="CJ129" s="153"/>
      <c r="CK129" s="153"/>
      <c r="CL129" s="153"/>
      <c r="CM129" s="153"/>
      <c r="CN129" s="153"/>
      <c r="CO129" s="153"/>
      <c r="CP129" s="154"/>
      <c r="CQ129" s="1041"/>
    </row>
    <row r="130" spans="1:95" ht="14.25" customHeight="1" outlineLevel="1">
      <c r="A130" s="9"/>
      <c r="B130" s="514" t="s">
        <v>536</v>
      </c>
      <c r="C130" s="515"/>
      <c r="D130" s="518"/>
      <c r="E130" s="516"/>
      <c r="F130" s="516"/>
      <c r="G130" s="517"/>
      <c r="H130" s="518"/>
      <c r="I130" s="516"/>
      <c r="J130" s="516"/>
      <c r="K130" s="517"/>
      <c r="L130" s="518"/>
      <c r="M130" s="516"/>
      <c r="N130" s="516"/>
      <c r="O130" s="517"/>
      <c r="P130" s="518"/>
      <c r="Q130" s="516"/>
      <c r="R130" s="516"/>
      <c r="S130" s="517"/>
      <c r="T130" s="518"/>
      <c r="U130" s="516"/>
      <c r="V130" s="516"/>
      <c r="W130" s="517"/>
      <c r="X130" s="518"/>
      <c r="Y130" s="516"/>
      <c r="Z130" s="516"/>
      <c r="AA130" s="517"/>
      <c r="AB130" s="518"/>
      <c r="AC130" s="516"/>
      <c r="AD130" s="516"/>
      <c r="AE130" s="517"/>
      <c r="AF130" s="518"/>
      <c r="AG130" s="516"/>
      <c r="AH130" s="516"/>
      <c r="AI130" s="517"/>
      <c r="AJ130" s="518"/>
      <c r="AK130" s="516"/>
      <c r="AL130" s="516"/>
      <c r="AM130" s="517"/>
      <c r="AN130" s="518"/>
      <c r="AO130" s="516"/>
      <c r="AP130" s="516"/>
      <c r="AQ130" s="517"/>
      <c r="AR130" s="516"/>
      <c r="AS130" s="516"/>
      <c r="AT130" s="516"/>
      <c r="AU130" s="517"/>
      <c r="AV130" s="518"/>
      <c r="AW130" s="516"/>
      <c r="AX130" s="516"/>
      <c r="AY130" s="517"/>
      <c r="AZ130" s="518"/>
      <c r="BA130" s="516"/>
      <c r="BB130" s="516"/>
      <c r="BC130" s="517"/>
      <c r="BD130" s="518"/>
      <c r="BE130" s="516"/>
      <c r="BF130" s="516"/>
      <c r="BG130" s="517"/>
      <c r="BH130" s="518"/>
      <c r="BI130" s="516"/>
      <c r="BJ130" s="516"/>
      <c r="BK130" s="517"/>
      <c r="BL130" s="518"/>
      <c r="BM130" s="516"/>
      <c r="BN130" s="516"/>
      <c r="BO130" s="517"/>
      <c r="BP130" s="518"/>
      <c r="BQ130" s="516"/>
      <c r="BR130" s="516"/>
      <c r="BS130" s="517"/>
      <c r="BT130" s="518"/>
      <c r="BU130" s="516"/>
      <c r="BV130" s="516"/>
      <c r="BW130" s="517"/>
      <c r="BX130" s="21"/>
      <c r="BY130" s="838"/>
      <c r="BZ130" s="153"/>
      <c r="CA130" s="153"/>
      <c r="CB130" s="153"/>
      <c r="CC130" s="153"/>
      <c r="CD130" s="153"/>
      <c r="CE130" s="153"/>
      <c r="CF130" s="153"/>
      <c r="CG130" s="153"/>
      <c r="CH130" s="153"/>
      <c r="CI130" s="153"/>
      <c r="CJ130" s="153"/>
      <c r="CK130" s="153"/>
      <c r="CL130" s="153"/>
      <c r="CM130" s="153"/>
      <c r="CN130" s="153"/>
      <c r="CO130" s="153"/>
      <c r="CP130" s="154"/>
      <c r="CQ130" s="1041"/>
    </row>
    <row r="131" spans="1:95" ht="14.25" customHeight="1" outlineLevel="1">
      <c r="A131" s="9"/>
      <c r="B131" s="514" t="s">
        <v>537</v>
      </c>
      <c r="C131" s="515"/>
      <c r="D131" s="518"/>
      <c r="E131" s="516"/>
      <c r="F131" s="516"/>
      <c r="G131" s="517"/>
      <c r="H131" s="518"/>
      <c r="I131" s="516"/>
      <c r="J131" s="516"/>
      <c r="K131" s="517"/>
      <c r="L131" s="518"/>
      <c r="M131" s="516"/>
      <c r="N131" s="516"/>
      <c r="O131" s="517"/>
      <c r="P131" s="518"/>
      <c r="Q131" s="516"/>
      <c r="R131" s="516"/>
      <c r="S131" s="517"/>
      <c r="T131" s="518"/>
      <c r="U131" s="516"/>
      <c r="V131" s="516"/>
      <c r="W131" s="517"/>
      <c r="X131" s="518"/>
      <c r="Y131" s="516"/>
      <c r="Z131" s="516"/>
      <c r="AA131" s="517"/>
      <c r="AB131" s="518"/>
      <c r="AC131" s="516"/>
      <c r="AD131" s="516"/>
      <c r="AE131" s="517"/>
      <c r="AF131" s="518"/>
      <c r="AG131" s="516"/>
      <c r="AH131" s="516"/>
      <c r="AI131" s="517"/>
      <c r="AJ131" s="518"/>
      <c r="AK131" s="516"/>
      <c r="AL131" s="516"/>
      <c r="AM131" s="517"/>
      <c r="AN131" s="518"/>
      <c r="AO131" s="516"/>
      <c r="AP131" s="516"/>
      <c r="AQ131" s="517"/>
      <c r="AR131" s="516"/>
      <c r="AS131" s="516"/>
      <c r="AT131" s="516"/>
      <c r="AU131" s="517"/>
      <c r="AV131" s="518"/>
      <c r="AW131" s="516"/>
      <c r="AX131" s="516"/>
      <c r="AY131" s="517"/>
      <c r="AZ131" s="518"/>
      <c r="BA131" s="516"/>
      <c r="BB131" s="516"/>
      <c r="BC131" s="517"/>
      <c r="BD131" s="518"/>
      <c r="BE131" s="516"/>
      <c r="BF131" s="516"/>
      <c r="BG131" s="517"/>
      <c r="BH131" s="518"/>
      <c r="BI131" s="516"/>
      <c r="BJ131" s="516"/>
      <c r="BK131" s="517"/>
      <c r="BL131" s="518"/>
      <c r="BM131" s="516"/>
      <c r="BN131" s="516"/>
      <c r="BO131" s="517"/>
      <c r="BP131" s="518"/>
      <c r="BQ131" s="516"/>
      <c r="BR131" s="516"/>
      <c r="BS131" s="517"/>
      <c r="BT131" s="518"/>
      <c r="BU131" s="516"/>
      <c r="BV131" s="516"/>
      <c r="BW131" s="517"/>
      <c r="BX131" s="21"/>
      <c r="BY131" s="838"/>
      <c r="BZ131" s="153"/>
      <c r="CA131" s="153"/>
      <c r="CB131" s="153"/>
      <c r="CC131" s="153"/>
      <c r="CD131" s="153"/>
      <c r="CE131" s="153"/>
      <c r="CF131" s="153"/>
      <c r="CG131" s="153"/>
      <c r="CH131" s="153"/>
      <c r="CI131" s="153"/>
      <c r="CJ131" s="153"/>
      <c r="CK131" s="153"/>
      <c r="CL131" s="153"/>
      <c r="CM131" s="153"/>
      <c r="CN131" s="153"/>
      <c r="CO131" s="153"/>
      <c r="CP131" s="154"/>
      <c r="CQ131" s="1041"/>
    </row>
    <row r="132" spans="1:95" ht="14.25" customHeight="1" outlineLevel="1">
      <c r="A132" s="9"/>
      <c r="B132" s="514" t="s">
        <v>538</v>
      </c>
      <c r="C132" s="515"/>
      <c r="D132" s="518"/>
      <c r="E132" s="516"/>
      <c r="F132" s="516"/>
      <c r="G132" s="517"/>
      <c r="H132" s="518"/>
      <c r="I132" s="516"/>
      <c r="J132" s="516"/>
      <c r="K132" s="517"/>
      <c r="L132" s="518"/>
      <c r="M132" s="516"/>
      <c r="N132" s="516"/>
      <c r="O132" s="517"/>
      <c r="P132" s="518"/>
      <c r="Q132" s="516"/>
      <c r="R132" s="516"/>
      <c r="S132" s="517"/>
      <c r="T132" s="518"/>
      <c r="U132" s="516"/>
      <c r="V132" s="516"/>
      <c r="W132" s="517"/>
      <c r="X132" s="518"/>
      <c r="Y132" s="516"/>
      <c r="Z132" s="516"/>
      <c r="AA132" s="517"/>
      <c r="AB132" s="518"/>
      <c r="AC132" s="516"/>
      <c r="AD132" s="516"/>
      <c r="AE132" s="517"/>
      <c r="AF132" s="518"/>
      <c r="AG132" s="516"/>
      <c r="AH132" s="516"/>
      <c r="AI132" s="517"/>
      <c r="AJ132" s="518"/>
      <c r="AK132" s="516"/>
      <c r="AL132" s="516"/>
      <c r="AM132" s="517"/>
      <c r="AN132" s="518"/>
      <c r="AO132" s="516"/>
      <c r="AP132" s="516"/>
      <c r="AQ132" s="517"/>
      <c r="AR132" s="516"/>
      <c r="AS132" s="516"/>
      <c r="AT132" s="516"/>
      <c r="AU132" s="517"/>
      <c r="AV132" s="518"/>
      <c r="AW132" s="516"/>
      <c r="AX132" s="516"/>
      <c r="AY132" s="517"/>
      <c r="AZ132" s="518"/>
      <c r="BA132" s="516"/>
      <c r="BB132" s="516"/>
      <c r="BC132" s="517"/>
      <c r="BD132" s="518"/>
      <c r="BE132" s="516"/>
      <c r="BF132" s="516"/>
      <c r="BG132" s="517"/>
      <c r="BH132" s="518"/>
      <c r="BI132" s="516"/>
      <c r="BJ132" s="516"/>
      <c r="BK132" s="517"/>
      <c r="BL132" s="518"/>
      <c r="BM132" s="516"/>
      <c r="BN132" s="516"/>
      <c r="BO132" s="517"/>
      <c r="BP132" s="518"/>
      <c r="BQ132" s="516"/>
      <c r="BR132" s="516"/>
      <c r="BS132" s="517"/>
      <c r="BT132" s="518"/>
      <c r="BU132" s="516"/>
      <c r="BV132" s="516"/>
      <c r="BW132" s="517"/>
      <c r="BX132" s="21"/>
      <c r="BY132" s="838"/>
      <c r="BZ132" s="153"/>
      <c r="CA132" s="153"/>
      <c r="CB132" s="153"/>
      <c r="CC132" s="153"/>
      <c r="CD132" s="153"/>
      <c r="CE132" s="153"/>
      <c r="CF132" s="153"/>
      <c r="CG132" s="153"/>
      <c r="CH132" s="153"/>
      <c r="CI132" s="153"/>
      <c r="CJ132" s="153"/>
      <c r="CK132" s="153"/>
      <c r="CL132" s="153"/>
      <c r="CM132" s="153"/>
      <c r="CN132" s="153"/>
      <c r="CO132" s="153"/>
      <c r="CP132" s="154"/>
      <c r="CQ132" s="1041"/>
    </row>
    <row r="133" spans="1:95" ht="14.25" customHeight="1" outlineLevel="1">
      <c r="A133" s="9"/>
      <c r="B133" s="514" t="s">
        <v>539</v>
      </c>
      <c r="C133" s="515"/>
      <c r="D133" s="518"/>
      <c r="E133" s="516"/>
      <c r="F133" s="516"/>
      <c r="G133" s="517"/>
      <c r="H133" s="518"/>
      <c r="I133" s="516"/>
      <c r="J133" s="516"/>
      <c r="K133" s="517"/>
      <c r="L133" s="518"/>
      <c r="M133" s="516"/>
      <c r="N133" s="516"/>
      <c r="O133" s="517"/>
      <c r="P133" s="518"/>
      <c r="Q133" s="516"/>
      <c r="R133" s="516"/>
      <c r="S133" s="517"/>
      <c r="T133" s="518"/>
      <c r="U133" s="516"/>
      <c r="V133" s="516"/>
      <c r="W133" s="517"/>
      <c r="X133" s="518"/>
      <c r="Y133" s="516"/>
      <c r="Z133" s="516"/>
      <c r="AA133" s="517"/>
      <c r="AB133" s="518"/>
      <c r="AC133" s="516"/>
      <c r="AD133" s="516"/>
      <c r="AE133" s="517"/>
      <c r="AF133" s="518"/>
      <c r="AG133" s="516"/>
      <c r="AH133" s="516"/>
      <c r="AI133" s="517"/>
      <c r="AJ133" s="518"/>
      <c r="AK133" s="516"/>
      <c r="AL133" s="516"/>
      <c r="AM133" s="517"/>
      <c r="AN133" s="518"/>
      <c r="AO133" s="516"/>
      <c r="AP133" s="516"/>
      <c r="AQ133" s="517"/>
      <c r="AR133" s="516"/>
      <c r="AS133" s="516"/>
      <c r="AT133" s="516"/>
      <c r="AU133" s="517"/>
      <c r="AV133" s="518"/>
      <c r="AW133" s="516"/>
      <c r="AX133" s="516"/>
      <c r="AY133" s="517"/>
      <c r="AZ133" s="518"/>
      <c r="BA133" s="516"/>
      <c r="BB133" s="516"/>
      <c r="BC133" s="517"/>
      <c r="BD133" s="518"/>
      <c r="BE133" s="516"/>
      <c r="BF133" s="516"/>
      <c r="BG133" s="517"/>
      <c r="BH133" s="518"/>
      <c r="BI133" s="516"/>
      <c r="BJ133" s="516"/>
      <c r="BK133" s="517"/>
      <c r="BL133" s="518"/>
      <c r="BM133" s="516"/>
      <c r="BN133" s="516"/>
      <c r="BO133" s="517"/>
      <c r="BP133" s="518"/>
      <c r="BQ133" s="516"/>
      <c r="BR133" s="516"/>
      <c r="BS133" s="517"/>
      <c r="BT133" s="518"/>
      <c r="BU133" s="516"/>
      <c r="BV133" s="516"/>
      <c r="BW133" s="517"/>
      <c r="BX133" s="21"/>
      <c r="BY133" s="838"/>
      <c r="BZ133" s="153"/>
      <c r="CA133" s="153"/>
      <c r="CB133" s="153"/>
      <c r="CC133" s="153"/>
      <c r="CD133" s="153"/>
      <c r="CE133" s="153"/>
      <c r="CF133" s="153"/>
      <c r="CG133" s="153"/>
      <c r="CH133" s="153"/>
      <c r="CI133" s="153"/>
      <c r="CJ133" s="153"/>
      <c r="CK133" s="153"/>
      <c r="CL133" s="153"/>
      <c r="CM133" s="153"/>
      <c r="CN133" s="153"/>
      <c r="CO133" s="153"/>
      <c r="CP133" s="154"/>
      <c r="CQ133" s="1041"/>
    </row>
    <row r="134" spans="1:95" ht="14.25" customHeight="1" outlineLevel="1">
      <c r="A134" s="9"/>
      <c r="B134" s="534" t="s">
        <v>402</v>
      </c>
      <c r="C134" s="515"/>
      <c r="D134" s="518"/>
      <c r="E134" s="516"/>
      <c r="F134" s="516"/>
      <c r="G134" s="517"/>
      <c r="H134" s="518"/>
      <c r="I134" s="516"/>
      <c r="J134" s="516"/>
      <c r="K134" s="517"/>
      <c r="L134" s="518"/>
      <c r="M134" s="516"/>
      <c r="N134" s="516"/>
      <c r="O134" s="517"/>
      <c r="P134" s="518"/>
      <c r="Q134" s="516"/>
      <c r="R134" s="516"/>
      <c r="S134" s="517"/>
      <c r="T134" s="518"/>
      <c r="U134" s="516"/>
      <c r="V134" s="516"/>
      <c r="W134" s="517"/>
      <c r="X134" s="518"/>
      <c r="Y134" s="516"/>
      <c r="Z134" s="516"/>
      <c r="AA134" s="517"/>
      <c r="AB134" s="518"/>
      <c r="AC134" s="516"/>
      <c r="AD134" s="516"/>
      <c r="AE134" s="517"/>
      <c r="AF134" s="518"/>
      <c r="AG134" s="516"/>
      <c r="AH134" s="516"/>
      <c r="AI134" s="517"/>
      <c r="AJ134" s="518"/>
      <c r="AK134" s="516"/>
      <c r="AL134" s="516"/>
      <c r="AM134" s="517"/>
      <c r="AN134" s="518"/>
      <c r="AO134" s="516"/>
      <c r="AP134" s="516"/>
      <c r="AQ134" s="517"/>
      <c r="AR134" s="516"/>
      <c r="AS134" s="516"/>
      <c r="AT134" s="516"/>
      <c r="AU134" s="517"/>
      <c r="AV134" s="518"/>
      <c r="AW134" s="516"/>
      <c r="AX134" s="516"/>
      <c r="AY134" s="517"/>
      <c r="AZ134" s="518"/>
      <c r="BA134" s="516"/>
      <c r="BB134" s="516"/>
      <c r="BC134" s="517"/>
      <c r="BD134" s="518"/>
      <c r="BE134" s="516"/>
      <c r="BF134" s="516"/>
      <c r="BG134" s="517"/>
      <c r="BH134" s="518"/>
      <c r="BI134" s="516"/>
      <c r="BJ134" s="516"/>
      <c r="BK134" s="517"/>
      <c r="BL134" s="518"/>
      <c r="BM134" s="516"/>
      <c r="BN134" s="516"/>
      <c r="BO134" s="517"/>
      <c r="BP134" s="518"/>
      <c r="BQ134" s="516"/>
      <c r="BR134" s="516"/>
      <c r="BS134" s="517"/>
      <c r="BT134" s="518"/>
      <c r="BU134" s="516"/>
      <c r="BV134" s="516"/>
      <c r="BW134" s="517"/>
      <c r="BX134" s="21"/>
      <c r="BY134" s="838"/>
      <c r="BZ134" s="153"/>
      <c r="CA134" s="153"/>
      <c r="CB134" s="153"/>
      <c r="CC134" s="153"/>
      <c r="CD134" s="153"/>
      <c r="CE134" s="153"/>
      <c r="CF134" s="153"/>
      <c r="CG134" s="153"/>
      <c r="CH134" s="153"/>
      <c r="CI134" s="153"/>
      <c r="CJ134" s="153"/>
      <c r="CK134" s="153"/>
      <c r="CL134" s="153"/>
      <c r="CM134" s="153"/>
      <c r="CN134" s="153"/>
      <c r="CO134" s="153"/>
      <c r="CP134" s="154"/>
      <c r="CQ134" s="1041"/>
    </row>
    <row r="135" spans="1:95" ht="14.25" customHeight="1" outlineLevel="1">
      <c r="A135" s="9"/>
      <c r="B135" s="514"/>
      <c r="C135" s="515"/>
      <c r="D135" s="518"/>
      <c r="E135" s="516"/>
      <c r="F135" s="516"/>
      <c r="G135" s="517"/>
      <c r="H135" s="518"/>
      <c r="I135" s="516"/>
      <c r="J135" s="516"/>
      <c r="K135" s="517"/>
      <c r="L135" s="518"/>
      <c r="M135" s="516"/>
      <c r="N135" s="516"/>
      <c r="O135" s="517"/>
      <c r="P135" s="518"/>
      <c r="Q135" s="516"/>
      <c r="R135" s="516"/>
      <c r="S135" s="517"/>
      <c r="T135" s="518"/>
      <c r="U135" s="516"/>
      <c r="V135" s="516"/>
      <c r="W135" s="517"/>
      <c r="X135" s="518"/>
      <c r="Y135" s="516"/>
      <c r="Z135" s="516"/>
      <c r="AA135" s="517"/>
      <c r="AB135" s="518"/>
      <c r="AC135" s="516"/>
      <c r="AD135" s="516"/>
      <c r="AE135" s="517"/>
      <c r="AF135" s="518"/>
      <c r="AG135" s="516"/>
      <c r="AH135" s="516"/>
      <c r="AI135" s="517"/>
      <c r="AJ135" s="518"/>
      <c r="AK135" s="516"/>
      <c r="AL135" s="516"/>
      <c r="AM135" s="517"/>
      <c r="AN135" s="518"/>
      <c r="AO135" s="516"/>
      <c r="AP135" s="516"/>
      <c r="AQ135" s="517"/>
      <c r="AR135" s="516"/>
      <c r="AS135" s="516"/>
      <c r="AT135" s="516"/>
      <c r="AU135" s="517"/>
      <c r="AV135" s="518"/>
      <c r="AW135" s="516"/>
      <c r="AX135" s="516"/>
      <c r="AY135" s="517"/>
      <c r="AZ135" s="518"/>
      <c r="BA135" s="516"/>
      <c r="BB135" s="516"/>
      <c r="BC135" s="517"/>
      <c r="BD135" s="518"/>
      <c r="BE135" s="516"/>
      <c r="BF135" s="516"/>
      <c r="BG135" s="517"/>
      <c r="BH135" s="518"/>
      <c r="BI135" s="516"/>
      <c r="BJ135" s="516"/>
      <c r="BK135" s="517"/>
      <c r="BL135" s="518"/>
      <c r="BM135" s="516"/>
      <c r="BN135" s="516"/>
      <c r="BO135" s="517"/>
      <c r="BP135" s="518"/>
      <c r="BQ135" s="516"/>
      <c r="BR135" s="516"/>
      <c r="BS135" s="517"/>
      <c r="BT135" s="518"/>
      <c r="BU135" s="516"/>
      <c r="BV135" s="516"/>
      <c r="BW135" s="517"/>
      <c r="BX135" s="21"/>
      <c r="BY135" s="838"/>
      <c r="BZ135" s="153"/>
      <c r="CA135" s="153"/>
      <c r="CB135" s="153"/>
      <c r="CC135" s="153"/>
      <c r="CD135" s="153"/>
      <c r="CE135" s="153"/>
      <c r="CF135" s="153"/>
      <c r="CG135" s="153"/>
      <c r="CH135" s="153"/>
      <c r="CI135" s="153"/>
      <c r="CJ135" s="153"/>
      <c r="CK135" s="153"/>
      <c r="CL135" s="153"/>
      <c r="CM135" s="153"/>
      <c r="CN135" s="153"/>
      <c r="CO135" s="153"/>
      <c r="CP135" s="154"/>
      <c r="CQ135" s="1041"/>
    </row>
    <row r="136" spans="1:95" ht="14.25" customHeight="1" outlineLevel="1">
      <c r="A136" s="9"/>
      <c r="B136" s="514" t="s">
        <v>540</v>
      </c>
      <c r="C136" s="515"/>
      <c r="D136" s="518"/>
      <c r="E136" s="516"/>
      <c r="F136" s="516"/>
      <c r="G136" s="517"/>
      <c r="H136" s="518"/>
      <c r="I136" s="516"/>
      <c r="J136" s="516"/>
      <c r="K136" s="517"/>
      <c r="L136" s="518"/>
      <c r="M136" s="516"/>
      <c r="N136" s="516"/>
      <c r="O136" s="517"/>
      <c r="P136" s="518"/>
      <c r="Q136" s="516"/>
      <c r="R136" s="516"/>
      <c r="S136" s="517"/>
      <c r="T136" s="518"/>
      <c r="U136" s="516"/>
      <c r="V136" s="516"/>
      <c r="W136" s="517"/>
      <c r="X136" s="518"/>
      <c r="Y136" s="516"/>
      <c r="Z136" s="516"/>
      <c r="AA136" s="517"/>
      <c r="AB136" s="518"/>
      <c r="AC136" s="516"/>
      <c r="AD136" s="516"/>
      <c r="AE136" s="517"/>
      <c r="AF136" s="518"/>
      <c r="AG136" s="516"/>
      <c r="AH136" s="516"/>
      <c r="AI136" s="517"/>
      <c r="AJ136" s="518"/>
      <c r="AK136" s="516"/>
      <c r="AL136" s="516"/>
      <c r="AM136" s="517"/>
      <c r="AN136" s="518"/>
      <c r="AO136" s="516"/>
      <c r="AP136" s="516"/>
      <c r="AQ136" s="517"/>
      <c r="AR136" s="516"/>
      <c r="AS136" s="516"/>
      <c r="AT136" s="516"/>
      <c r="AU136" s="517"/>
      <c r="AV136" s="518"/>
      <c r="AW136" s="516"/>
      <c r="AX136" s="516"/>
      <c r="AY136" s="517"/>
      <c r="AZ136" s="518"/>
      <c r="BA136" s="516"/>
      <c r="BB136" s="516"/>
      <c r="BC136" s="517"/>
      <c r="BD136" s="518"/>
      <c r="BE136" s="516"/>
      <c r="BF136" s="516"/>
      <c r="BG136" s="517"/>
      <c r="BH136" s="518"/>
      <c r="BI136" s="516"/>
      <c r="BJ136" s="516"/>
      <c r="BK136" s="517"/>
      <c r="BL136" s="518"/>
      <c r="BM136" s="516"/>
      <c r="BN136" s="516"/>
      <c r="BO136" s="517"/>
      <c r="BP136" s="518"/>
      <c r="BQ136" s="516"/>
      <c r="BR136" s="516"/>
      <c r="BS136" s="517"/>
      <c r="BT136" s="518"/>
      <c r="BU136" s="516"/>
      <c r="BV136" s="516"/>
      <c r="BW136" s="517"/>
      <c r="BX136" s="21"/>
      <c r="BY136" s="838"/>
      <c r="BZ136" s="153"/>
      <c r="CA136" s="153"/>
      <c r="CB136" s="153"/>
      <c r="CC136" s="153"/>
      <c r="CD136" s="153"/>
      <c r="CE136" s="153"/>
      <c r="CF136" s="153"/>
      <c r="CG136" s="153"/>
      <c r="CH136" s="153"/>
      <c r="CI136" s="153"/>
      <c r="CJ136" s="153"/>
      <c r="CK136" s="153"/>
      <c r="CL136" s="153"/>
      <c r="CM136" s="153"/>
      <c r="CN136" s="153"/>
      <c r="CO136" s="153"/>
      <c r="CP136" s="154"/>
      <c r="CQ136" s="1041"/>
    </row>
    <row r="137" spans="1:95" ht="14.25" customHeight="1" outlineLevel="1">
      <c r="A137" s="9"/>
      <c r="B137" s="514"/>
      <c r="C137" s="515"/>
      <c r="D137" s="518"/>
      <c r="E137" s="516"/>
      <c r="F137" s="516"/>
      <c r="G137" s="517"/>
      <c r="H137" s="518"/>
      <c r="I137" s="516"/>
      <c r="J137" s="516"/>
      <c r="K137" s="517"/>
      <c r="L137" s="518"/>
      <c r="M137" s="516"/>
      <c r="N137" s="516"/>
      <c r="O137" s="517"/>
      <c r="P137" s="518"/>
      <c r="Q137" s="516"/>
      <c r="R137" s="516"/>
      <c r="S137" s="517"/>
      <c r="T137" s="518"/>
      <c r="U137" s="516"/>
      <c r="V137" s="516"/>
      <c r="W137" s="517"/>
      <c r="X137" s="518"/>
      <c r="Y137" s="516"/>
      <c r="Z137" s="516"/>
      <c r="AA137" s="517"/>
      <c r="AB137" s="518"/>
      <c r="AC137" s="516"/>
      <c r="AD137" s="516"/>
      <c r="AE137" s="517"/>
      <c r="AF137" s="518"/>
      <c r="AG137" s="516"/>
      <c r="AH137" s="516"/>
      <c r="AI137" s="517"/>
      <c r="AJ137" s="518"/>
      <c r="AK137" s="516"/>
      <c r="AL137" s="516"/>
      <c r="AM137" s="517"/>
      <c r="AN137" s="518"/>
      <c r="AO137" s="516"/>
      <c r="AP137" s="516"/>
      <c r="AQ137" s="517"/>
      <c r="AR137" s="516"/>
      <c r="AS137" s="516"/>
      <c r="AT137" s="516"/>
      <c r="AU137" s="517"/>
      <c r="AV137" s="518"/>
      <c r="AW137" s="516"/>
      <c r="AX137" s="516"/>
      <c r="AY137" s="517"/>
      <c r="AZ137" s="518"/>
      <c r="BA137" s="516"/>
      <c r="BB137" s="516"/>
      <c r="BC137" s="517"/>
      <c r="BD137" s="518"/>
      <c r="BE137" s="516"/>
      <c r="BF137" s="516"/>
      <c r="BG137" s="517"/>
      <c r="BH137" s="518"/>
      <c r="BI137" s="516"/>
      <c r="BJ137" s="516"/>
      <c r="BK137" s="517"/>
      <c r="BL137" s="518"/>
      <c r="BM137" s="516"/>
      <c r="BN137" s="516"/>
      <c r="BO137" s="517"/>
      <c r="BP137" s="518"/>
      <c r="BQ137" s="516"/>
      <c r="BR137" s="516"/>
      <c r="BS137" s="517"/>
      <c r="BT137" s="518"/>
      <c r="BU137" s="516"/>
      <c r="BV137" s="516"/>
      <c r="BW137" s="517"/>
      <c r="BX137" s="21"/>
      <c r="BY137" s="838"/>
      <c r="BZ137" s="153"/>
      <c r="CA137" s="153"/>
      <c r="CB137" s="153"/>
      <c r="CC137" s="153"/>
      <c r="CD137" s="153"/>
      <c r="CE137" s="153"/>
      <c r="CF137" s="153"/>
      <c r="CG137" s="153"/>
      <c r="CH137" s="153"/>
      <c r="CI137" s="153"/>
      <c r="CJ137" s="153"/>
      <c r="CK137" s="153"/>
      <c r="CL137" s="153"/>
      <c r="CM137" s="153"/>
      <c r="CN137" s="153"/>
      <c r="CO137" s="153"/>
      <c r="CP137" s="154"/>
      <c r="CQ137" s="1041"/>
    </row>
    <row r="138" spans="1:95" ht="14.25" customHeight="1" outlineLevel="1">
      <c r="A138" s="9"/>
      <c r="B138" s="297" t="s">
        <v>563</v>
      </c>
      <c r="C138" s="515"/>
      <c r="D138" s="518"/>
      <c r="E138" s="516"/>
      <c r="F138" s="516"/>
      <c r="G138" s="517"/>
      <c r="H138" s="518"/>
      <c r="I138" s="516"/>
      <c r="J138" s="516"/>
      <c r="K138" s="517"/>
      <c r="L138" s="518"/>
      <c r="M138" s="516"/>
      <c r="N138" s="516"/>
      <c r="O138" s="517"/>
      <c r="P138" s="518"/>
      <c r="Q138" s="516"/>
      <c r="R138" s="516"/>
      <c r="S138" s="517"/>
      <c r="T138" s="518"/>
      <c r="U138" s="516"/>
      <c r="V138" s="516"/>
      <c r="W138" s="517"/>
      <c r="X138" s="518"/>
      <c r="Y138" s="516"/>
      <c r="Z138" s="516"/>
      <c r="AA138" s="517"/>
      <c r="AB138" s="518"/>
      <c r="AC138" s="516"/>
      <c r="AD138" s="516"/>
      <c r="AE138" s="517"/>
      <c r="AF138" s="518"/>
      <c r="AG138" s="516"/>
      <c r="AH138" s="516"/>
      <c r="AI138" s="517"/>
      <c r="AJ138" s="518"/>
      <c r="AK138" s="516"/>
      <c r="AL138" s="516"/>
      <c r="AM138" s="517"/>
      <c r="AN138" s="518"/>
      <c r="AO138" s="516"/>
      <c r="AP138" s="516"/>
      <c r="AQ138" s="517"/>
      <c r="AR138" s="516"/>
      <c r="AS138" s="516"/>
      <c r="AT138" s="516"/>
      <c r="AU138" s="517"/>
      <c r="AV138" s="518"/>
      <c r="AW138" s="516"/>
      <c r="AX138" s="516"/>
      <c r="AY138" s="517"/>
      <c r="AZ138" s="518"/>
      <c r="BA138" s="516"/>
      <c r="BB138" s="516"/>
      <c r="BC138" s="517"/>
      <c r="BD138" s="518"/>
      <c r="BE138" s="516"/>
      <c r="BF138" s="516"/>
      <c r="BG138" s="517"/>
      <c r="BH138" s="518"/>
      <c r="BI138" s="516"/>
      <c r="BJ138" s="516"/>
      <c r="BK138" s="517"/>
      <c r="BL138" s="518"/>
      <c r="BM138" s="516"/>
      <c r="BN138" s="516"/>
      <c r="BO138" s="517"/>
      <c r="BP138" s="518"/>
      <c r="BQ138" s="516"/>
      <c r="BR138" s="516"/>
      <c r="BS138" s="517"/>
      <c r="BT138" s="518"/>
      <c r="BU138" s="516"/>
      <c r="BV138" s="516"/>
      <c r="BW138" s="517"/>
      <c r="BX138" s="21"/>
      <c r="BY138" s="838"/>
      <c r="BZ138" s="153"/>
      <c r="CA138" s="153"/>
      <c r="CB138" s="153"/>
      <c r="CC138" s="153"/>
      <c r="CD138" s="153"/>
      <c r="CE138" s="153"/>
      <c r="CF138" s="153"/>
      <c r="CG138" s="153"/>
      <c r="CH138" s="153"/>
      <c r="CI138" s="153"/>
      <c r="CJ138" s="153"/>
      <c r="CK138" s="153"/>
      <c r="CL138" s="153"/>
      <c r="CM138" s="153"/>
      <c r="CN138" s="153"/>
      <c r="CO138" s="153"/>
      <c r="CP138" s="154"/>
      <c r="CQ138" s="1041"/>
    </row>
    <row r="139" spans="1:95" ht="14.25" customHeight="1" outlineLevel="1">
      <c r="A139" s="9"/>
      <c r="B139" s="300" t="s">
        <v>571</v>
      </c>
      <c r="C139" s="515"/>
      <c r="D139" s="518">
        <f t="shared" ref="D139:AM139" si="348">D32+D35</f>
        <v>1417.4</v>
      </c>
      <c r="E139" s="516">
        <f t="shared" si="348"/>
        <v>1441.6000000000001</v>
      </c>
      <c r="F139" s="516">
        <f t="shared" si="348"/>
        <v>1292.9000000000001</v>
      </c>
      <c r="G139" s="517">
        <f t="shared" si="348"/>
        <v>1302.9000000000001</v>
      </c>
      <c r="H139" s="518">
        <f t="shared" si="348"/>
        <v>1141.2</v>
      </c>
      <c r="I139" s="516">
        <f t="shared" si="348"/>
        <v>1174</v>
      </c>
      <c r="J139" s="516">
        <f t="shared" si="348"/>
        <v>1139.5999999999999</v>
      </c>
      <c r="K139" s="517">
        <f t="shared" si="348"/>
        <v>1151.8</v>
      </c>
      <c r="L139" s="518">
        <f t="shared" si="348"/>
        <v>1146</v>
      </c>
      <c r="M139" s="516">
        <f t="shared" si="348"/>
        <v>1142.3999999999999</v>
      </c>
      <c r="N139" s="516">
        <f t="shared" si="348"/>
        <v>1137.5</v>
      </c>
      <c r="O139" s="517">
        <f t="shared" si="348"/>
        <v>1067</v>
      </c>
      <c r="P139" s="518">
        <f t="shared" si="348"/>
        <v>1062</v>
      </c>
      <c r="Q139" s="516">
        <f t="shared" si="348"/>
        <v>1061</v>
      </c>
      <c r="R139" s="516">
        <f t="shared" si="348"/>
        <v>1006.7</v>
      </c>
      <c r="S139" s="517">
        <f t="shared" si="348"/>
        <v>1176</v>
      </c>
      <c r="T139" s="518">
        <f t="shared" si="348"/>
        <v>1150.4000000000001</v>
      </c>
      <c r="U139" s="516">
        <f t="shared" si="348"/>
        <v>1143.4000000000001</v>
      </c>
      <c r="V139" s="516">
        <f t="shared" si="348"/>
        <v>1139.5</v>
      </c>
      <c r="W139" s="517">
        <f t="shared" si="348"/>
        <v>1159.3999999999999</v>
      </c>
      <c r="X139" s="518">
        <f t="shared" si="348"/>
        <v>1225.0999999999999</v>
      </c>
      <c r="Y139" s="516">
        <f t="shared" si="348"/>
        <v>1232.1000000000001</v>
      </c>
      <c r="Z139" s="516">
        <f t="shared" si="348"/>
        <v>1220.8000000000002</v>
      </c>
      <c r="AA139" s="517">
        <f t="shared" si="348"/>
        <v>1009.8</v>
      </c>
      <c r="AB139" s="518">
        <f t="shared" si="348"/>
        <v>930.9</v>
      </c>
      <c r="AC139" s="516">
        <f t="shared" si="348"/>
        <v>904.3</v>
      </c>
      <c r="AD139" s="516">
        <f t="shared" si="348"/>
        <v>895.59999999999991</v>
      </c>
      <c r="AE139" s="517">
        <f t="shared" si="348"/>
        <v>933.5</v>
      </c>
      <c r="AF139" s="518">
        <f t="shared" si="348"/>
        <v>934.8</v>
      </c>
      <c r="AG139" s="516">
        <f t="shared" si="348"/>
        <v>753.4</v>
      </c>
      <c r="AH139" s="516">
        <f t="shared" si="348"/>
        <v>786</v>
      </c>
      <c r="AI139" s="517">
        <f t="shared" si="348"/>
        <v>888.8</v>
      </c>
      <c r="AJ139" s="518">
        <f t="shared" si="348"/>
        <v>1272</v>
      </c>
      <c r="AK139" s="516">
        <f t="shared" si="348"/>
        <v>1285.4000000000001</v>
      </c>
      <c r="AL139" s="516">
        <f t="shared" si="348"/>
        <v>1237</v>
      </c>
      <c r="AM139" s="517">
        <f t="shared" si="348"/>
        <v>1207</v>
      </c>
      <c r="AN139" s="518">
        <f t="shared" ref="AN139:AS139" si="349">AN32+AN35</f>
        <v>1189</v>
      </c>
      <c r="AO139" s="516">
        <f t="shared" si="349"/>
        <v>1070.3</v>
      </c>
      <c r="AP139" s="516">
        <f t="shared" si="349"/>
        <v>1063.4000000000001</v>
      </c>
      <c r="AQ139" s="517">
        <f t="shared" si="349"/>
        <v>1011.9</v>
      </c>
      <c r="AR139" s="516">
        <f t="shared" si="349"/>
        <v>949.59999999999991</v>
      </c>
      <c r="AS139" s="516">
        <f t="shared" si="349"/>
        <v>917.59999999999991</v>
      </c>
      <c r="AT139" s="516">
        <f>AT32+AT35</f>
        <v>908.4</v>
      </c>
      <c r="AU139" s="517">
        <f t="shared" ref="AU139:BC139" si="350">AU32+AU35</f>
        <v>942.2</v>
      </c>
      <c r="AV139" s="518">
        <f t="shared" si="350"/>
        <v>920.2</v>
      </c>
      <c r="AW139" s="516">
        <f t="shared" si="350"/>
        <v>904.9</v>
      </c>
      <c r="AX139" s="516">
        <f t="shared" si="350"/>
        <v>1183.5999999999999</v>
      </c>
      <c r="AY139" s="517">
        <f t="shared" si="350"/>
        <v>1192.5999999999999</v>
      </c>
      <c r="AZ139" s="518">
        <f t="shared" si="350"/>
        <v>1162.8</v>
      </c>
      <c r="BA139" s="516">
        <f t="shared" si="350"/>
        <v>1378.1999999999998</v>
      </c>
      <c r="BB139" s="516">
        <f>BB32+BB35</f>
        <v>1407.6999999999998</v>
      </c>
      <c r="BC139" s="517">
        <f t="shared" si="350"/>
        <v>1393.9</v>
      </c>
      <c r="BD139" s="518">
        <f t="shared" ref="BD139:BO139" si="351">BD32+BD35</f>
        <v>1360.5</v>
      </c>
      <c r="BE139" s="516">
        <f t="shared" si="351"/>
        <v>3471.8</v>
      </c>
      <c r="BF139" s="516">
        <f t="shared" si="351"/>
        <v>3636.2999999999997</v>
      </c>
      <c r="BG139" s="517">
        <f t="shared" si="351"/>
        <v>3622.3</v>
      </c>
      <c r="BH139" s="518">
        <f t="shared" si="351"/>
        <v>3259.6000000000004</v>
      </c>
      <c r="BI139" s="516">
        <f t="shared" si="351"/>
        <v>3140.5</v>
      </c>
      <c r="BJ139" s="516">
        <f t="shared" si="351"/>
        <v>2942.9</v>
      </c>
      <c r="BK139" s="517">
        <f t="shared" si="351"/>
        <v>2951.7999999999997</v>
      </c>
      <c r="BL139" s="518">
        <f t="shared" si="351"/>
        <v>2951.7999999999997</v>
      </c>
      <c r="BM139" s="516">
        <f t="shared" si="351"/>
        <v>2951.7999999999997</v>
      </c>
      <c r="BN139" s="516">
        <f t="shared" si="351"/>
        <v>2951.7999999999997</v>
      </c>
      <c r="BO139" s="517">
        <f t="shared" si="351"/>
        <v>2951.7999999999997</v>
      </c>
      <c r="BP139" s="518">
        <f t="shared" ref="BP139:BS139" si="352">BP32+BP35</f>
        <v>2951.7999999999997</v>
      </c>
      <c r="BQ139" s="516">
        <f t="shared" si="352"/>
        <v>2951.7999999999997</v>
      </c>
      <c r="BR139" s="516">
        <f t="shared" si="352"/>
        <v>2951.7999999999997</v>
      </c>
      <c r="BS139" s="517">
        <f t="shared" si="352"/>
        <v>2951.7999999999997</v>
      </c>
      <c r="BT139" s="518">
        <f t="shared" ref="BT139:BW139" si="353">BT32+BT35</f>
        <v>2951.7999999999997</v>
      </c>
      <c r="BU139" s="516">
        <f t="shared" si="353"/>
        <v>2951.7999999999997</v>
      </c>
      <c r="BV139" s="516">
        <f t="shared" si="353"/>
        <v>2951.7999999999997</v>
      </c>
      <c r="BW139" s="517">
        <f t="shared" si="353"/>
        <v>2951.7999999999997</v>
      </c>
      <c r="BX139" s="21"/>
      <c r="BY139" s="838">
        <f>BY32+BY35</f>
        <v>1302.9000000000001</v>
      </c>
      <c r="BZ139" s="153">
        <f>BZ32+BZ35</f>
        <v>1151.8</v>
      </c>
      <c r="CA139" s="153">
        <f t="shared" ref="CA139:CH139" si="354">CA32+CA35</f>
        <v>1067</v>
      </c>
      <c r="CB139" s="153">
        <f t="shared" si="354"/>
        <v>1176</v>
      </c>
      <c r="CC139" s="153">
        <f t="shared" si="354"/>
        <v>1159.3999999999999</v>
      </c>
      <c r="CD139" s="153">
        <f t="shared" si="354"/>
        <v>1009.8</v>
      </c>
      <c r="CE139" s="153">
        <f t="shared" si="354"/>
        <v>933.5</v>
      </c>
      <c r="CF139" s="153">
        <f t="shared" si="354"/>
        <v>888.8</v>
      </c>
      <c r="CG139" s="153">
        <f t="shared" si="354"/>
        <v>1207</v>
      </c>
      <c r="CH139" s="153">
        <f t="shared" si="354"/>
        <v>1011.9</v>
      </c>
      <c r="CI139" s="153">
        <f t="shared" ref="CI139:CN139" si="355">CI32+CI35</f>
        <v>942.2</v>
      </c>
      <c r="CJ139" s="153">
        <f t="shared" si="355"/>
        <v>1192.5999999999999</v>
      </c>
      <c r="CK139" s="153">
        <f t="shared" si="355"/>
        <v>1393.9</v>
      </c>
      <c r="CL139" s="153">
        <f t="shared" si="355"/>
        <v>3622.3</v>
      </c>
      <c r="CM139" s="153">
        <f t="shared" si="355"/>
        <v>2951.7999999999997</v>
      </c>
      <c r="CN139" s="153">
        <f t="shared" si="355"/>
        <v>2951.7999999999997</v>
      </c>
      <c r="CO139" s="153">
        <f t="shared" ref="CO139" si="356">CO32+CO35</f>
        <v>2951.7999999999997</v>
      </c>
      <c r="CP139" s="154">
        <f>CP32+CP35</f>
        <v>2951.7999999999997</v>
      </c>
      <c r="CQ139" s="1041"/>
    </row>
    <row r="140" spans="1:95" ht="14.25" customHeight="1" outlineLevel="1">
      <c r="A140" s="9"/>
      <c r="B140" s="300" t="s">
        <v>572</v>
      </c>
      <c r="C140" s="515"/>
      <c r="D140" s="518"/>
      <c r="E140" s="516">
        <f>AVERAGE(D139,E139)</f>
        <v>1429.5</v>
      </c>
      <c r="F140" s="516">
        <f t="shared" ref="F140:BE140" si="357">AVERAGE(E139,F139)</f>
        <v>1367.25</v>
      </c>
      <c r="G140" s="517">
        <f t="shared" si="357"/>
        <v>1297.9000000000001</v>
      </c>
      <c r="H140" s="518">
        <f t="shared" si="357"/>
        <v>1222.0500000000002</v>
      </c>
      <c r="I140" s="516">
        <f t="shared" si="357"/>
        <v>1157.5999999999999</v>
      </c>
      <c r="J140" s="516">
        <f t="shared" si="357"/>
        <v>1156.8</v>
      </c>
      <c r="K140" s="517">
        <f t="shared" si="357"/>
        <v>1145.6999999999998</v>
      </c>
      <c r="L140" s="518">
        <f t="shared" si="357"/>
        <v>1148.9000000000001</v>
      </c>
      <c r="M140" s="516">
        <f t="shared" si="357"/>
        <v>1144.1999999999998</v>
      </c>
      <c r="N140" s="516">
        <f t="shared" si="357"/>
        <v>1139.9499999999998</v>
      </c>
      <c r="O140" s="517">
        <f t="shared" si="357"/>
        <v>1102.25</v>
      </c>
      <c r="P140" s="518">
        <f t="shared" si="357"/>
        <v>1064.5</v>
      </c>
      <c r="Q140" s="516">
        <f t="shared" si="357"/>
        <v>1061.5</v>
      </c>
      <c r="R140" s="516">
        <f t="shared" si="357"/>
        <v>1033.8499999999999</v>
      </c>
      <c r="S140" s="517">
        <f t="shared" si="357"/>
        <v>1091.3499999999999</v>
      </c>
      <c r="T140" s="518">
        <f t="shared" si="357"/>
        <v>1163.2</v>
      </c>
      <c r="U140" s="516">
        <f t="shared" si="357"/>
        <v>1146.9000000000001</v>
      </c>
      <c r="V140" s="516">
        <f t="shared" si="357"/>
        <v>1141.45</v>
      </c>
      <c r="W140" s="517">
        <f t="shared" si="357"/>
        <v>1149.4499999999998</v>
      </c>
      <c r="X140" s="518">
        <f t="shared" si="357"/>
        <v>1192.25</v>
      </c>
      <c r="Y140" s="516">
        <f t="shared" si="357"/>
        <v>1228.5999999999999</v>
      </c>
      <c r="Z140" s="516">
        <f t="shared" si="357"/>
        <v>1226.4500000000003</v>
      </c>
      <c r="AA140" s="517">
        <f t="shared" si="357"/>
        <v>1115.3000000000002</v>
      </c>
      <c r="AB140" s="518">
        <f t="shared" si="357"/>
        <v>970.34999999999991</v>
      </c>
      <c r="AC140" s="516">
        <f t="shared" si="357"/>
        <v>917.59999999999991</v>
      </c>
      <c r="AD140" s="516">
        <f t="shared" si="357"/>
        <v>899.94999999999993</v>
      </c>
      <c r="AE140" s="517">
        <f t="shared" si="357"/>
        <v>914.55</v>
      </c>
      <c r="AF140" s="518">
        <f t="shared" si="357"/>
        <v>934.15</v>
      </c>
      <c r="AG140" s="516">
        <f t="shared" si="357"/>
        <v>844.09999999999991</v>
      </c>
      <c r="AH140" s="516">
        <f t="shared" si="357"/>
        <v>769.7</v>
      </c>
      <c r="AI140" s="517">
        <f t="shared" si="357"/>
        <v>837.4</v>
      </c>
      <c r="AJ140" s="518">
        <f t="shared" si="357"/>
        <v>1080.4000000000001</v>
      </c>
      <c r="AK140" s="516">
        <f t="shared" si="357"/>
        <v>1278.7</v>
      </c>
      <c r="AL140" s="516">
        <f t="shared" si="357"/>
        <v>1261.2</v>
      </c>
      <c r="AM140" s="517">
        <f t="shared" si="357"/>
        <v>1222</v>
      </c>
      <c r="AN140" s="518">
        <f t="shared" si="357"/>
        <v>1198</v>
      </c>
      <c r="AO140" s="516">
        <f t="shared" si="357"/>
        <v>1129.6500000000001</v>
      </c>
      <c r="AP140" s="516">
        <f t="shared" si="357"/>
        <v>1066.8499999999999</v>
      </c>
      <c r="AQ140" s="517">
        <f t="shared" si="357"/>
        <v>1037.6500000000001</v>
      </c>
      <c r="AR140" s="516">
        <f t="shared" si="357"/>
        <v>980.75</v>
      </c>
      <c r="AS140" s="516">
        <f t="shared" si="357"/>
        <v>933.59999999999991</v>
      </c>
      <c r="AT140" s="516">
        <f t="shared" si="357"/>
        <v>913</v>
      </c>
      <c r="AU140" s="517">
        <f t="shared" si="357"/>
        <v>925.3</v>
      </c>
      <c r="AV140" s="518">
        <f t="shared" si="357"/>
        <v>931.2</v>
      </c>
      <c r="AW140" s="516">
        <f t="shared" si="357"/>
        <v>912.55</v>
      </c>
      <c r="AX140" s="516">
        <f t="shared" si="357"/>
        <v>1044.25</v>
      </c>
      <c r="AY140" s="517">
        <f t="shared" si="357"/>
        <v>1188.0999999999999</v>
      </c>
      <c r="AZ140" s="518">
        <f t="shared" si="357"/>
        <v>1177.6999999999998</v>
      </c>
      <c r="BA140" s="516">
        <f t="shared" si="357"/>
        <v>1270.5</v>
      </c>
      <c r="BB140" s="516">
        <f t="shared" si="357"/>
        <v>1392.9499999999998</v>
      </c>
      <c r="BC140" s="517">
        <f t="shared" si="357"/>
        <v>1400.8</v>
      </c>
      <c r="BD140" s="518">
        <f t="shared" si="357"/>
        <v>1377.2</v>
      </c>
      <c r="BE140" s="516">
        <f t="shared" si="357"/>
        <v>2416.15</v>
      </c>
      <c r="BF140" s="516">
        <f t="shared" ref="BF140:BK140" si="358">AVERAGE(BE139,BF139)</f>
        <v>3554.05</v>
      </c>
      <c r="BG140" s="517">
        <f t="shared" si="358"/>
        <v>3629.3</v>
      </c>
      <c r="BH140" s="518">
        <f t="shared" si="358"/>
        <v>3440.9500000000003</v>
      </c>
      <c r="BI140" s="516">
        <f t="shared" si="358"/>
        <v>3200.05</v>
      </c>
      <c r="BJ140" s="516">
        <f t="shared" si="358"/>
        <v>3041.7</v>
      </c>
      <c r="BK140" s="517">
        <f t="shared" si="358"/>
        <v>2947.35</v>
      </c>
      <c r="BL140" s="518">
        <f t="shared" ref="BL140:BS140" si="359">AVERAGE(BK139,BL139)</f>
        <v>2951.7999999999997</v>
      </c>
      <c r="BM140" s="516">
        <f t="shared" si="359"/>
        <v>2951.7999999999997</v>
      </c>
      <c r="BN140" s="516">
        <f t="shared" si="359"/>
        <v>2951.7999999999997</v>
      </c>
      <c r="BO140" s="517">
        <f t="shared" si="359"/>
        <v>2951.7999999999997</v>
      </c>
      <c r="BP140" s="518">
        <f t="shared" si="359"/>
        <v>2951.7999999999997</v>
      </c>
      <c r="BQ140" s="516">
        <f t="shared" si="359"/>
        <v>2951.7999999999997</v>
      </c>
      <c r="BR140" s="516">
        <f t="shared" si="359"/>
        <v>2951.7999999999997</v>
      </c>
      <c r="BS140" s="517">
        <f t="shared" si="359"/>
        <v>2951.7999999999997</v>
      </c>
      <c r="BT140" s="518">
        <f t="shared" ref="BT140" si="360">AVERAGE(BS139,BT139)</f>
        <v>2951.7999999999997</v>
      </c>
      <c r="BU140" s="516">
        <f t="shared" ref="BU140" si="361">AVERAGE(BT139,BU139)</f>
        <v>2951.7999999999997</v>
      </c>
      <c r="BV140" s="516">
        <f t="shared" ref="BV140" si="362">AVERAGE(BU139,BV139)</f>
        <v>2951.7999999999997</v>
      </c>
      <c r="BW140" s="517">
        <f t="shared" ref="BW140" si="363">AVERAGE(BV139,BW139)</f>
        <v>2951.7999999999997</v>
      </c>
      <c r="BX140" s="21"/>
      <c r="BY140" s="838"/>
      <c r="BZ140" s="153">
        <f t="shared" ref="BZ140:CO140" si="364">AVERAGE(BY139,BZ139)</f>
        <v>1227.3499999999999</v>
      </c>
      <c r="CA140" s="153">
        <f t="shared" si="364"/>
        <v>1109.4000000000001</v>
      </c>
      <c r="CB140" s="153">
        <f t="shared" si="364"/>
        <v>1121.5</v>
      </c>
      <c r="CC140" s="153">
        <f t="shared" si="364"/>
        <v>1167.6999999999998</v>
      </c>
      <c r="CD140" s="153">
        <f t="shared" si="364"/>
        <v>1084.5999999999999</v>
      </c>
      <c r="CE140" s="153">
        <f t="shared" si="364"/>
        <v>971.65</v>
      </c>
      <c r="CF140" s="153">
        <f t="shared" si="364"/>
        <v>911.15</v>
      </c>
      <c r="CG140" s="153">
        <f t="shared" si="364"/>
        <v>1047.9000000000001</v>
      </c>
      <c r="CH140" s="153">
        <f t="shared" si="364"/>
        <v>1109.45</v>
      </c>
      <c r="CI140" s="153">
        <f t="shared" si="364"/>
        <v>977.05</v>
      </c>
      <c r="CJ140" s="153">
        <f t="shared" si="364"/>
        <v>1067.4000000000001</v>
      </c>
      <c r="CK140" s="153">
        <f t="shared" si="364"/>
        <v>1293.25</v>
      </c>
      <c r="CL140" s="153">
        <f t="shared" si="364"/>
        <v>2508.1000000000004</v>
      </c>
      <c r="CM140" s="153">
        <f t="shared" si="364"/>
        <v>3287.05</v>
      </c>
      <c r="CN140" s="153">
        <f t="shared" si="364"/>
        <v>2951.7999999999997</v>
      </c>
      <c r="CO140" s="153">
        <f t="shared" si="364"/>
        <v>2951.7999999999997</v>
      </c>
      <c r="CP140" s="154">
        <f>AVERAGE(CO139,CP139)</f>
        <v>2951.7999999999997</v>
      </c>
      <c r="CQ140" s="1041"/>
    </row>
    <row r="141" spans="1:95" ht="14.25" customHeight="1" outlineLevel="1">
      <c r="A141" s="9"/>
      <c r="B141" s="300" t="s">
        <v>563</v>
      </c>
      <c r="C141" s="515"/>
      <c r="D141" s="1103">
        <f>-IS!D76</f>
        <v>39.1</v>
      </c>
      <c r="E141" s="1104">
        <f>-IS!E76</f>
        <v>39</v>
      </c>
      <c r="F141" s="1105">
        <f>-IS!F76</f>
        <v>38.1</v>
      </c>
      <c r="G141" s="1106">
        <f>-IS!G76</f>
        <v>34.9</v>
      </c>
      <c r="H141" s="1103">
        <f>-IS!H76</f>
        <v>34.299999999999997</v>
      </c>
      <c r="I141" s="1104">
        <f>-IS!I76</f>
        <v>23.8</v>
      </c>
      <c r="J141" s="1105">
        <f>-IS!J76</f>
        <v>22</v>
      </c>
      <c r="K141" s="1106">
        <f>-IS!K76</f>
        <v>21.1</v>
      </c>
      <c r="L141" s="1103">
        <f>-IS!L76</f>
        <v>14.6</v>
      </c>
      <c r="M141" s="1104">
        <f>-IS!M76</f>
        <v>15.4</v>
      </c>
      <c r="N141" s="1105">
        <f>-IS!N76</f>
        <v>16.100000000000001</v>
      </c>
      <c r="O141" s="1106">
        <f>-IS!O76</f>
        <v>15.4</v>
      </c>
      <c r="P141" s="1103">
        <f>-IS!P76</f>
        <v>13</v>
      </c>
      <c r="Q141" s="1104">
        <f>-IS!Q76</f>
        <v>13.1</v>
      </c>
      <c r="R141" s="1105">
        <f>-IS!R76</f>
        <v>13.8</v>
      </c>
      <c r="S141" s="1106">
        <f>-IS!S76</f>
        <v>11.9</v>
      </c>
      <c r="T141" s="1103">
        <f>-IS!T76</f>
        <v>9.6999999999999993</v>
      </c>
      <c r="U141" s="1104">
        <f>-IS!U76</f>
        <v>9.4</v>
      </c>
      <c r="V141" s="1105">
        <f>-IS!V76</f>
        <v>9.6</v>
      </c>
      <c r="W141" s="1106">
        <f>-IS!W76</f>
        <v>10.1</v>
      </c>
      <c r="X141" s="1103">
        <f>-IS!X76</f>
        <v>19.100000000000001</v>
      </c>
      <c r="Y141" s="1104">
        <f>-IS!Y76</f>
        <v>20</v>
      </c>
      <c r="Z141" s="1105">
        <f>-IS!Z76</f>
        <v>20.3</v>
      </c>
      <c r="AA141" s="1106">
        <f>-IS!AA76</f>
        <v>20.5</v>
      </c>
      <c r="AB141" s="1103">
        <f>-IS!AB76</f>
        <v>17.7</v>
      </c>
      <c r="AC141" s="1104">
        <f>-IS!AC76</f>
        <v>15.7</v>
      </c>
      <c r="AD141" s="1105">
        <f>-IS!AD76</f>
        <v>15.8</v>
      </c>
      <c r="AE141" s="1106">
        <f>-IS!AE76</f>
        <v>15.4</v>
      </c>
      <c r="AF141" s="1103">
        <f>-IS!AF76</f>
        <v>16.399999999999999</v>
      </c>
      <c r="AG141" s="1104">
        <f>-IS!AG76</f>
        <v>14.5</v>
      </c>
      <c r="AH141" s="1105">
        <f>-IS!AH76</f>
        <v>14.1</v>
      </c>
      <c r="AI141" s="1106">
        <f>-IS!AI76</f>
        <v>16.399999999999999</v>
      </c>
      <c r="AJ141" s="1103">
        <f>-IS!AJ76</f>
        <v>17.8</v>
      </c>
      <c r="AK141" s="1104">
        <f>-IS!AK76</f>
        <v>17.8</v>
      </c>
      <c r="AL141" s="1105">
        <f>-IS!AL76</f>
        <v>16.899999999999999</v>
      </c>
      <c r="AM141" s="1106">
        <f>-IS!AM76</f>
        <v>16.399999999999999</v>
      </c>
      <c r="AN141" s="1103">
        <f>-IS!AN76</f>
        <v>15.7</v>
      </c>
      <c r="AO141" s="1104">
        <f>-IS!AO76</f>
        <v>14.1</v>
      </c>
      <c r="AP141" s="1105">
        <f>-IS!AP76</f>
        <v>13.6</v>
      </c>
      <c r="AQ141" s="1106">
        <f>-IS!AQ76</f>
        <v>12.7</v>
      </c>
      <c r="AR141" s="1103">
        <f>-IS!AR76</f>
        <v>10.1</v>
      </c>
      <c r="AS141" s="1104">
        <f>-IS!AS76</f>
        <v>9.3000000000000007</v>
      </c>
      <c r="AT141" s="1105">
        <f>-IS!AT76</f>
        <v>9.1999999999999993</v>
      </c>
      <c r="AU141" s="1106">
        <f>AU140*AU142/4</f>
        <v>11.56625</v>
      </c>
      <c r="AV141" s="1125">
        <f>AV140*AV142/4</f>
        <v>8.3807999999999989</v>
      </c>
      <c r="AW141" s="1126">
        <f>AW140*AW142/4</f>
        <v>9.1255000000000006</v>
      </c>
      <c r="AX141" s="1127">
        <f>AX140*AX142/4</f>
        <v>10.442500000000001</v>
      </c>
      <c r="AY141" s="1128">
        <f>AY140*AY142/4</f>
        <v>11.880999999999998</v>
      </c>
      <c r="AZ141" s="1125">
        <f>AZ140*AZ142/4-3.5</f>
        <v>8.2769999999999992</v>
      </c>
      <c r="BA141" s="1126">
        <f t="shared" ref="BA141:BK141" si="365">BA140*BA142/4-3.5</f>
        <v>9.2050000000000001</v>
      </c>
      <c r="BB141" s="1127">
        <f>BB140*BB142/4</f>
        <v>13.929499999999999</v>
      </c>
      <c r="BC141" s="1128">
        <f t="shared" si="365"/>
        <v>10.507999999999999</v>
      </c>
      <c r="BD141" s="1125">
        <f>BD140*BD142/4-3.5</f>
        <v>10.272</v>
      </c>
      <c r="BE141">
        <f>BE139*BE142/4-1.5</f>
        <v>41.897500000000008</v>
      </c>
      <c r="BF141">
        <f>BF140*BF142/4-3.5</f>
        <v>40.925625000000004</v>
      </c>
      <c r="BG141" s="1128">
        <f t="shared" si="365"/>
        <v>41.866250000000008</v>
      </c>
      <c r="BH141" s="1125">
        <f t="shared" si="365"/>
        <v>39.511875000000003</v>
      </c>
      <c r="BI141" s="1126">
        <f t="shared" si="365"/>
        <v>36.500625000000007</v>
      </c>
      <c r="BJ141" s="1127">
        <f t="shared" si="365"/>
        <v>34.521250000000002</v>
      </c>
      <c r="BK141" s="1128">
        <f t="shared" si="365"/>
        <v>33.341875000000002</v>
      </c>
      <c r="BL141" s="1125">
        <f t="shared" ref="BL141:BS141" si="366">BL140*BL142/4-3.5</f>
        <v>33.397500000000001</v>
      </c>
      <c r="BM141" s="1126">
        <f t="shared" si="366"/>
        <v>33.397500000000001</v>
      </c>
      <c r="BN141" s="1127">
        <f t="shared" si="366"/>
        <v>33.397500000000001</v>
      </c>
      <c r="BO141" s="1128">
        <f t="shared" si="366"/>
        <v>33.397500000000001</v>
      </c>
      <c r="BP141" s="1125">
        <f t="shared" si="366"/>
        <v>33.397500000000001</v>
      </c>
      <c r="BQ141" s="1126">
        <f t="shared" si="366"/>
        <v>33.397500000000001</v>
      </c>
      <c r="BR141" s="1127">
        <f t="shared" si="366"/>
        <v>33.397500000000001</v>
      </c>
      <c r="BS141" s="1128">
        <f t="shared" si="366"/>
        <v>33.397500000000001</v>
      </c>
      <c r="BT141" s="1125">
        <f t="shared" ref="BT141:BW141" si="367">BT140*BT142/4-3.5</f>
        <v>33.397500000000001</v>
      </c>
      <c r="BU141" s="1126">
        <f t="shared" si="367"/>
        <v>33.397500000000001</v>
      </c>
      <c r="BV141" s="1127">
        <f t="shared" si="367"/>
        <v>33.397500000000001</v>
      </c>
      <c r="BW141" s="1128">
        <f t="shared" si="367"/>
        <v>33.397500000000001</v>
      </c>
      <c r="BX141" s="21"/>
      <c r="BY141" s="1129">
        <f>-IS!BY76</f>
        <v>151.1</v>
      </c>
      <c r="BZ141" s="1105">
        <f>-IS!BZ76</f>
        <v>101.19999999999999</v>
      </c>
      <c r="CA141" s="1105">
        <f>-IS!CA76</f>
        <v>61.5</v>
      </c>
      <c r="CB141" s="1105">
        <f>-IS!CB76</f>
        <v>51.800000000000004</v>
      </c>
      <c r="CC141" s="1105">
        <f>-IS!CC76</f>
        <v>38.800000000000004</v>
      </c>
      <c r="CD141" s="1105">
        <f>-IS!CD76</f>
        <v>79.900000000000006</v>
      </c>
      <c r="CE141" s="1105">
        <f>-IS!CE76</f>
        <v>64.600000000000009</v>
      </c>
      <c r="CF141" s="1105">
        <f>-IS!CF76</f>
        <v>61.4</v>
      </c>
      <c r="CG141" s="1105">
        <f>-IS!CG76</f>
        <v>68.900000000000006</v>
      </c>
      <c r="CH141" s="1105">
        <f>-IS!CH76</f>
        <v>56.099999999999994</v>
      </c>
      <c r="CI141" s="1105">
        <f>-IS!CI76</f>
        <v>38.599999999999994</v>
      </c>
      <c r="CJ141" s="1105">
        <f>-IS!CJ76</f>
        <v>34.1</v>
      </c>
      <c r="CK141" s="1105">
        <f>-IS!CK76</f>
        <v>49.699999999999996</v>
      </c>
      <c r="CL141" s="1105">
        <f>-IS!CL76</f>
        <v>145.30000000000001</v>
      </c>
      <c r="CM141" s="1105">
        <f>-IS!CM76</f>
        <v>141.19999999999999</v>
      </c>
      <c r="CN141" s="1105">
        <f>-IS!CN76</f>
        <v>113.86725388601037</v>
      </c>
      <c r="CO141" s="1105">
        <f>-IS!CO76</f>
        <v>104.36725388601037</v>
      </c>
      <c r="CP141" s="1106">
        <f>-IS!CP76</f>
        <v>96.367253886010374</v>
      </c>
      <c r="CQ141" s="1041"/>
    </row>
    <row r="142" spans="1:95" ht="14.25" customHeight="1" outlineLevel="1">
      <c r="A142" s="9"/>
      <c r="B142" s="300" t="s">
        <v>520</v>
      </c>
      <c r="C142" s="515"/>
      <c r="D142" s="518"/>
      <c r="E142" s="1107">
        <f>E141/E140*4</f>
        <v>0.10912906610703044</v>
      </c>
      <c r="F142" s="1107">
        <f t="shared" ref="F142:AO142" si="368">F141/F140*4</f>
        <v>0.11146461876028525</v>
      </c>
      <c r="G142" s="1108">
        <f t="shared" si="368"/>
        <v>0.10755836351028583</v>
      </c>
      <c r="H142" s="1109">
        <f t="shared" si="368"/>
        <v>0.1122703653696657</v>
      </c>
      <c r="I142" s="1107">
        <f t="shared" si="368"/>
        <v>8.2239115411195579E-2</v>
      </c>
      <c r="J142" s="1107">
        <f t="shared" si="368"/>
        <v>7.6071922544951598E-2</v>
      </c>
      <c r="K142" s="1108">
        <f t="shared" si="368"/>
        <v>7.3666753949550509E-2</v>
      </c>
      <c r="L142" s="1109">
        <f t="shared" si="368"/>
        <v>5.083122987205152E-2</v>
      </c>
      <c r="M142" s="1107">
        <f t="shared" si="368"/>
        <v>5.3836741828351693E-2</v>
      </c>
      <c r="N142" s="1107">
        <f t="shared" si="368"/>
        <v>5.649370586429231E-2</v>
      </c>
      <c r="O142" s="1108">
        <f t="shared" si="368"/>
        <v>5.5885688364708551E-2</v>
      </c>
      <c r="P142" s="1109">
        <f t="shared" si="368"/>
        <v>4.8849224988257396E-2</v>
      </c>
      <c r="Q142" s="1107">
        <f t="shared" si="368"/>
        <v>4.9364107395195478E-2</v>
      </c>
      <c r="R142" s="1107">
        <f t="shared" si="368"/>
        <v>5.339265850945496E-2</v>
      </c>
      <c r="S142" s="1108">
        <f t="shared" si="368"/>
        <v>4.3615705319100202E-2</v>
      </c>
      <c r="T142" s="1109">
        <f t="shared" si="368"/>
        <v>3.3356258596973859E-2</v>
      </c>
      <c r="U142" s="1107">
        <f t="shared" si="368"/>
        <v>3.2784026506234194E-2</v>
      </c>
      <c r="V142" s="1107">
        <f t="shared" si="368"/>
        <v>3.3641420999605764E-2</v>
      </c>
      <c r="W142" s="1108">
        <f t="shared" si="368"/>
        <v>3.5147244334246819E-2</v>
      </c>
      <c r="X142" s="1109">
        <f t="shared" si="368"/>
        <v>6.4080520025162513E-2</v>
      </c>
      <c r="Y142" s="1107">
        <f t="shared" si="368"/>
        <v>6.5114764772912267E-2</v>
      </c>
      <c r="Z142" s="1107">
        <f t="shared" si="368"/>
        <v>6.6207346406294582E-2</v>
      </c>
      <c r="AA142" s="1108">
        <f t="shared" si="368"/>
        <v>7.3522818972473758E-2</v>
      </c>
      <c r="AB142" s="1109">
        <f t="shared" si="368"/>
        <v>7.2963363734734887E-2</v>
      </c>
      <c r="AC142" s="1107">
        <f t="shared" si="368"/>
        <v>6.8439407149084572E-2</v>
      </c>
      <c r="AD142" s="1107">
        <f t="shared" si="368"/>
        <v>7.0226123673537422E-2</v>
      </c>
      <c r="AE142" s="1108">
        <f t="shared" si="368"/>
        <v>6.7355530042097211E-2</v>
      </c>
      <c r="AF142" s="1109">
        <f t="shared" si="368"/>
        <v>7.0224268051169506E-2</v>
      </c>
      <c r="AG142" s="1107">
        <f t="shared" si="368"/>
        <v>6.871223788650635E-2</v>
      </c>
      <c r="AH142" s="1107">
        <f t="shared" si="368"/>
        <v>7.3275302065739886E-2</v>
      </c>
      <c r="AI142" s="1108">
        <f t="shared" si="368"/>
        <v>7.8337711965607834E-2</v>
      </c>
      <c r="AJ142" s="1109">
        <f t="shared" si="368"/>
        <v>6.590151795631248E-2</v>
      </c>
      <c r="AK142" s="1107">
        <f t="shared" si="368"/>
        <v>5.5681551575819194E-2</v>
      </c>
      <c r="AL142" s="1107">
        <f t="shared" si="368"/>
        <v>5.3599746273390418E-2</v>
      </c>
      <c r="AM142" s="1108">
        <f t="shared" si="368"/>
        <v>5.368248772504091E-2</v>
      </c>
      <c r="AN142" s="1109">
        <f t="shared" si="368"/>
        <v>5.2420701168614352E-2</v>
      </c>
      <c r="AO142" s="1107">
        <f t="shared" si="368"/>
        <v>4.992696853007568E-2</v>
      </c>
      <c r="AP142" s="1107">
        <f>AP141/AP140*4</f>
        <v>5.0991235881332898E-2</v>
      </c>
      <c r="AQ142" s="1108">
        <f>AQ141/AQ140*4</f>
        <v>4.8956777333397573E-2</v>
      </c>
      <c r="AR142" s="1107">
        <f>AR141/AR140*4</f>
        <v>4.1192964567932706E-2</v>
      </c>
      <c r="AS142" s="1107">
        <f>AS141/AS140*4</f>
        <v>3.9845758354755789E-2</v>
      </c>
      <c r="AT142" s="1110">
        <f>AT141/AT140*4</f>
        <v>4.0306681270536687E-2</v>
      </c>
      <c r="AU142" s="1110">
        <v>0.05</v>
      </c>
      <c r="AV142" s="1143">
        <v>3.5999999999999997E-2</v>
      </c>
      <c r="AW142" s="1143">
        <v>0.04</v>
      </c>
      <c r="AX142" s="1143">
        <v>0.04</v>
      </c>
      <c r="AY142" s="1144">
        <v>0.04</v>
      </c>
      <c r="AZ142" s="1143">
        <v>0.04</v>
      </c>
      <c r="BA142" s="1143">
        <v>0.04</v>
      </c>
      <c r="BB142" s="1143">
        <v>0.04</v>
      </c>
      <c r="BC142" s="1144">
        <f>BB142</f>
        <v>0.04</v>
      </c>
      <c r="BD142" s="1143">
        <v>0.04</v>
      </c>
      <c r="BE142" s="1143">
        <v>0.05</v>
      </c>
      <c r="BF142" s="1143">
        <f>BE142</f>
        <v>0.05</v>
      </c>
      <c r="BG142" s="1144">
        <f t="shared" ref="BG142:BO142" si="369">BF142</f>
        <v>0.05</v>
      </c>
      <c r="BH142" s="1143">
        <f t="shared" si="369"/>
        <v>0.05</v>
      </c>
      <c r="BI142" s="1143">
        <f t="shared" si="369"/>
        <v>0.05</v>
      </c>
      <c r="BJ142" s="1143">
        <f t="shared" si="369"/>
        <v>0.05</v>
      </c>
      <c r="BK142" s="1144">
        <f t="shared" si="369"/>
        <v>0.05</v>
      </c>
      <c r="BL142" s="1143">
        <f t="shared" si="369"/>
        <v>0.05</v>
      </c>
      <c r="BM142" s="1143">
        <f t="shared" si="369"/>
        <v>0.05</v>
      </c>
      <c r="BN142" s="1143">
        <f t="shared" si="369"/>
        <v>0.05</v>
      </c>
      <c r="BO142" s="1144">
        <f t="shared" si="369"/>
        <v>0.05</v>
      </c>
      <c r="BP142" s="1143">
        <f t="shared" ref="BP142" si="370">BO142</f>
        <v>0.05</v>
      </c>
      <c r="BQ142" s="1143">
        <f t="shared" ref="BQ142" si="371">BP142</f>
        <v>0.05</v>
      </c>
      <c r="BR142" s="1143">
        <f t="shared" ref="BR142" si="372">BQ142</f>
        <v>0.05</v>
      </c>
      <c r="BS142" s="1144">
        <f t="shared" ref="BS142" si="373">BR142</f>
        <v>0.05</v>
      </c>
      <c r="BT142" s="1143">
        <f t="shared" ref="BT142" si="374">BS142</f>
        <v>0.05</v>
      </c>
      <c r="BU142" s="1143">
        <f t="shared" ref="BU142" si="375">BT142</f>
        <v>0.05</v>
      </c>
      <c r="BV142" s="1143">
        <f t="shared" ref="BV142" si="376">BU142</f>
        <v>0.05</v>
      </c>
      <c r="BW142" s="1144">
        <f t="shared" ref="BW142" si="377">BV142</f>
        <v>0.05</v>
      </c>
      <c r="BX142" s="211"/>
      <c r="BY142" s="838"/>
      <c r="BZ142" s="991">
        <f>BZ141/BZ140</f>
        <v>8.2454067706848086E-2</v>
      </c>
      <c r="CA142" s="991">
        <f t="shared" ref="CA142:CH142" si="378">CA141/CA140</f>
        <v>5.5435370470524603E-2</v>
      </c>
      <c r="CB142" s="991">
        <f t="shared" si="378"/>
        <v>4.6188140882746323E-2</v>
      </c>
      <c r="CC142" s="991">
        <f t="shared" si="378"/>
        <v>3.3227712597413729E-2</v>
      </c>
      <c r="CD142" s="991">
        <f t="shared" si="378"/>
        <v>7.3667711598746091E-2</v>
      </c>
      <c r="CE142" s="991">
        <f t="shared" si="378"/>
        <v>6.6484845366129794E-2</v>
      </c>
      <c r="CF142" s="991">
        <f t="shared" si="378"/>
        <v>6.7387367612358015E-2</v>
      </c>
      <c r="CG142" s="991">
        <f t="shared" si="378"/>
        <v>6.5750548716480575E-2</v>
      </c>
      <c r="CH142" s="991">
        <f t="shared" si="378"/>
        <v>5.0565595565370221E-2</v>
      </c>
      <c r="CI142" s="991">
        <f t="shared" ref="CI142:CN142" si="379">CI141/CI140</f>
        <v>3.9506678266209502E-2</v>
      </c>
      <c r="CJ142" s="991">
        <f t="shared" si="379"/>
        <v>3.1946786584223348E-2</v>
      </c>
      <c r="CK142" s="991">
        <f t="shared" si="379"/>
        <v>3.8430311231393774E-2</v>
      </c>
      <c r="CL142" s="991">
        <f t="shared" si="379"/>
        <v>5.7932299350105652E-2</v>
      </c>
      <c r="CM142" s="991">
        <f t="shared" si="379"/>
        <v>4.2956450312590308E-2</v>
      </c>
      <c r="CN142" s="991">
        <f t="shared" si="379"/>
        <v>3.8575531501460258E-2</v>
      </c>
      <c r="CO142" s="991">
        <f t="shared" ref="CO142" si="380">CO141/CO140</f>
        <v>3.5357156272786225E-2</v>
      </c>
      <c r="CP142" s="992">
        <f>CP141/CP140</f>
        <v>3.264694555390283E-2</v>
      </c>
      <c r="CQ142" s="1041"/>
    </row>
    <row r="143" spans="1:95" ht="14.25" customHeight="1" outlineLevel="1">
      <c r="A143" s="9"/>
      <c r="B143" s="300"/>
      <c r="C143" s="515"/>
      <c r="D143" s="518"/>
      <c r="E143" s="516"/>
      <c r="F143" s="516"/>
      <c r="G143" s="517"/>
      <c r="H143" s="518"/>
      <c r="I143" s="516"/>
      <c r="J143" s="516"/>
      <c r="K143" s="517"/>
      <c r="L143" s="518"/>
      <c r="M143" s="516"/>
      <c r="N143" s="516"/>
      <c r="O143" s="517"/>
      <c r="P143" s="518"/>
      <c r="Q143" s="516"/>
      <c r="R143" s="516"/>
      <c r="S143" s="517"/>
      <c r="T143" s="518"/>
      <c r="U143" s="516"/>
      <c r="V143" s="516"/>
      <c r="W143" s="517"/>
      <c r="X143" s="518"/>
      <c r="Y143" s="516"/>
      <c r="Z143" s="516"/>
      <c r="AA143" s="517"/>
      <c r="AB143" s="518"/>
      <c r="AC143" s="516"/>
      <c r="AD143" s="516"/>
      <c r="AE143" s="517"/>
      <c r="AF143" s="518"/>
      <c r="AG143" s="516"/>
      <c r="AH143" s="516"/>
      <c r="AI143" s="517"/>
      <c r="AJ143" s="518"/>
      <c r="AK143" s="516"/>
      <c r="AL143" s="516"/>
      <c r="AM143" s="517"/>
      <c r="AN143" s="518"/>
      <c r="AO143" s="516"/>
      <c r="AP143" s="516"/>
      <c r="AQ143" s="517"/>
      <c r="AR143" s="516"/>
      <c r="AS143" s="516"/>
      <c r="AT143" s="516"/>
      <c r="AU143" s="517"/>
      <c r="AV143" s="518"/>
      <c r="AW143" s="516"/>
      <c r="AX143" s="516"/>
      <c r="AY143" s="517"/>
      <c r="AZ143" s="518"/>
      <c r="BA143" s="516"/>
      <c r="BB143" s="516"/>
      <c r="BC143" s="517"/>
      <c r="BD143" s="518"/>
      <c r="BE143" s="516"/>
      <c r="BF143" s="516"/>
      <c r="BG143" s="517"/>
      <c r="BH143" s="518"/>
      <c r="BI143" s="516"/>
      <c r="BJ143" s="516"/>
      <c r="BK143" s="517"/>
      <c r="BL143" s="518"/>
      <c r="BM143" s="516"/>
      <c r="BN143" s="516"/>
      <c r="BO143" s="517"/>
      <c r="BP143" s="518"/>
      <c r="BQ143" s="516"/>
      <c r="BR143" s="516"/>
      <c r="BS143" s="517"/>
      <c r="BT143" s="518"/>
      <c r="BU143" s="516"/>
      <c r="BV143" s="516"/>
      <c r="BW143" s="517"/>
      <c r="BX143" s="21"/>
      <c r="BY143" s="153"/>
      <c r="BZ143" s="153"/>
      <c r="CA143" s="153"/>
      <c r="CB143" s="153"/>
      <c r="CC143" s="153"/>
      <c r="CD143" s="153"/>
      <c r="CE143" s="153"/>
      <c r="CF143" s="153"/>
      <c r="CG143" s="153"/>
      <c r="CH143" s="153"/>
      <c r="CI143" s="153"/>
      <c r="CJ143" s="153"/>
      <c r="CK143" s="153"/>
      <c r="CL143" s="153"/>
      <c r="CM143" s="153"/>
      <c r="CN143" s="153"/>
      <c r="CO143" s="153"/>
      <c r="CP143" s="154"/>
      <c r="CQ143" s="1041"/>
    </row>
    <row r="144" spans="1:95" ht="14.25" customHeight="1" outlineLevel="1">
      <c r="A144" s="9"/>
      <c r="B144" s="534" t="s">
        <v>518</v>
      </c>
      <c r="C144" s="24"/>
      <c r="D144" s="451"/>
      <c r="E144" s="151"/>
      <c r="F144" s="151"/>
      <c r="G144" s="152"/>
      <c r="H144" s="451"/>
      <c r="I144" s="151"/>
      <c r="J144" s="151"/>
      <c r="K144" s="152"/>
      <c r="L144" s="451"/>
      <c r="M144" s="151"/>
      <c r="N144" s="151"/>
      <c r="O144" s="152"/>
      <c r="P144" s="451"/>
      <c r="Q144" s="151"/>
      <c r="R144" s="151"/>
      <c r="S144" s="152"/>
      <c r="T144" s="451"/>
      <c r="U144" s="151"/>
      <c r="V144" s="151"/>
      <c r="W144" s="152"/>
      <c r="X144" s="451"/>
      <c r="Y144" s="151"/>
      <c r="Z144" s="151"/>
      <c r="AA144" s="152"/>
      <c r="AB144" s="451"/>
      <c r="AC144" s="151"/>
      <c r="AD144" s="151"/>
      <c r="AE144" s="152"/>
      <c r="AF144" s="451"/>
      <c r="AG144" s="151"/>
      <c r="AH144" s="151"/>
      <c r="AI144" s="152"/>
      <c r="AJ144" s="451"/>
      <c r="AK144" s="151"/>
      <c r="AL144" s="151"/>
      <c r="AM144" s="152"/>
      <c r="AN144" s="451"/>
      <c r="AO144" s="151"/>
      <c r="AP144" s="151"/>
      <c r="AQ144" s="152"/>
      <c r="AR144" s="151"/>
      <c r="AS144" s="151"/>
      <c r="AT144" s="151"/>
      <c r="AU144" s="152"/>
      <c r="AV144" s="451"/>
      <c r="AW144" s="151"/>
      <c r="AX144" s="151"/>
      <c r="AY144" s="152"/>
      <c r="AZ144" s="451"/>
      <c r="BA144" s="151"/>
      <c r="BB144" s="151"/>
      <c r="BC144" s="152"/>
      <c r="BD144" s="451"/>
      <c r="BE144" s="151"/>
      <c r="BF144" s="151"/>
      <c r="BG144" s="152"/>
      <c r="BH144" s="451"/>
      <c r="BI144" s="151"/>
      <c r="BJ144" s="151"/>
      <c r="BK144" s="152"/>
      <c r="BL144" s="451"/>
      <c r="BM144" s="151"/>
      <c r="BN144" s="151"/>
      <c r="BO144" s="152"/>
      <c r="BP144" s="451"/>
      <c r="BQ144" s="151"/>
      <c r="BR144" s="151"/>
      <c r="BS144" s="152"/>
      <c r="BT144" s="451"/>
      <c r="BU144" s="151"/>
      <c r="BV144" s="151"/>
      <c r="BW144" s="152"/>
      <c r="BX144" s="21"/>
      <c r="BY144" s="153"/>
      <c r="BZ144" s="153"/>
      <c r="CA144" s="153"/>
      <c r="CB144" s="153"/>
      <c r="CC144" s="153"/>
      <c r="CD144" s="153"/>
      <c r="CE144" s="153"/>
      <c r="CF144" s="153"/>
      <c r="CG144" s="153"/>
      <c r="CH144" s="153"/>
      <c r="CI144" s="153"/>
      <c r="CJ144" s="153"/>
      <c r="CK144" s="153"/>
      <c r="CL144" s="153"/>
      <c r="CM144" s="153"/>
      <c r="CN144" s="153"/>
      <c r="CO144" s="153"/>
      <c r="CP144" s="154"/>
      <c r="CQ144" s="1041"/>
    </row>
    <row r="145" spans="1:95" ht="14.25" customHeight="1" outlineLevel="1">
      <c r="A145" s="9"/>
      <c r="B145" s="300" t="s">
        <v>519</v>
      </c>
      <c r="C145" s="24"/>
      <c r="D145" s="451"/>
      <c r="E145" s="151">
        <f>D88</f>
        <v>189.1</v>
      </c>
      <c r="F145" s="151">
        <f t="shared" ref="F145:AY145" si="381">E88</f>
        <v>181.2</v>
      </c>
      <c r="G145" s="152">
        <f t="shared" si="381"/>
        <v>183.6</v>
      </c>
      <c r="H145" s="451">
        <f t="shared" si="381"/>
        <v>186.6</v>
      </c>
      <c r="I145" s="151">
        <f t="shared" si="381"/>
        <v>221.4</v>
      </c>
      <c r="J145" s="151">
        <f t="shared" si="381"/>
        <v>257.7</v>
      </c>
      <c r="K145" s="152">
        <f t="shared" si="381"/>
        <v>231.8</v>
      </c>
      <c r="L145" s="451">
        <f t="shared" si="381"/>
        <v>185.7</v>
      </c>
      <c r="M145" s="151">
        <f t="shared" si="381"/>
        <v>204.1</v>
      </c>
      <c r="N145" s="151">
        <f t="shared" si="381"/>
        <v>246.6</v>
      </c>
      <c r="O145" s="152">
        <f t="shared" si="381"/>
        <v>272.3</v>
      </c>
      <c r="P145" s="451">
        <f t="shared" si="381"/>
        <v>233.3</v>
      </c>
      <c r="Q145" s="151">
        <f t="shared" si="381"/>
        <v>251.3</v>
      </c>
      <c r="R145" s="151">
        <f t="shared" si="381"/>
        <v>294.7</v>
      </c>
      <c r="S145" s="152">
        <f t="shared" si="381"/>
        <v>269.2</v>
      </c>
      <c r="T145" s="451">
        <f t="shared" si="381"/>
        <v>268.8</v>
      </c>
      <c r="U145" s="151">
        <f t="shared" si="381"/>
        <v>275.8</v>
      </c>
      <c r="V145" s="151">
        <f t="shared" si="381"/>
        <v>255.8</v>
      </c>
      <c r="W145" s="152">
        <f t="shared" si="381"/>
        <v>327.10000000000002</v>
      </c>
      <c r="X145" s="451">
        <f t="shared" si="381"/>
        <v>274.60000000000002</v>
      </c>
      <c r="Y145" s="151">
        <f t="shared" si="381"/>
        <v>307.89999999999998</v>
      </c>
      <c r="Z145" s="151">
        <f t="shared" si="381"/>
        <v>321.2</v>
      </c>
      <c r="AA145" s="152">
        <f t="shared" si="381"/>
        <v>417.9</v>
      </c>
      <c r="AB145" s="451">
        <f t="shared" si="381"/>
        <v>458.7</v>
      </c>
      <c r="AC145" s="151">
        <f t="shared" si="381"/>
        <v>402.4</v>
      </c>
      <c r="AD145" s="151">
        <f t="shared" si="381"/>
        <v>403.4</v>
      </c>
      <c r="AE145" s="152">
        <f t="shared" si="381"/>
        <v>470.2</v>
      </c>
      <c r="AF145" s="451">
        <f t="shared" si="381"/>
        <v>571.20000000000005</v>
      </c>
      <c r="AG145" s="151">
        <f t="shared" si="381"/>
        <v>560.70000000000005</v>
      </c>
      <c r="AH145" s="151">
        <f t="shared" si="381"/>
        <v>467.1</v>
      </c>
      <c r="AI145" s="152">
        <f t="shared" si="381"/>
        <v>562.9</v>
      </c>
      <c r="AJ145" s="451">
        <f t="shared" si="381"/>
        <v>623.29999999999995</v>
      </c>
      <c r="AK145" s="151">
        <f t="shared" si="381"/>
        <v>766</v>
      </c>
      <c r="AL145" s="151">
        <f t="shared" si="381"/>
        <v>868.80000000000007</v>
      </c>
      <c r="AM145" s="152">
        <f t="shared" si="381"/>
        <v>837.69999999999993</v>
      </c>
      <c r="AN145" s="451">
        <f t="shared" si="381"/>
        <v>901.5</v>
      </c>
      <c r="AO145" s="151">
        <f t="shared" si="381"/>
        <v>892.3</v>
      </c>
      <c r="AP145" s="151">
        <f t="shared" si="381"/>
        <v>756.4</v>
      </c>
      <c r="AQ145" s="152">
        <f t="shared" si="381"/>
        <v>643</v>
      </c>
      <c r="AR145" s="151">
        <f t="shared" si="381"/>
        <v>631.70000000000005</v>
      </c>
      <c r="AS145" s="151">
        <f t="shared" si="381"/>
        <v>614.29999999999995</v>
      </c>
      <c r="AT145" s="151">
        <f t="shared" si="381"/>
        <v>579</v>
      </c>
      <c r="AU145" s="152">
        <f t="shared" si="381"/>
        <v>553.6</v>
      </c>
      <c r="AV145" s="451">
        <f t="shared" si="381"/>
        <v>625.70000000000005</v>
      </c>
      <c r="AW145" s="151">
        <f t="shared" si="381"/>
        <v>617</v>
      </c>
      <c r="AX145" s="151">
        <f t="shared" si="381"/>
        <v>601.19999999999993</v>
      </c>
      <c r="AY145" s="152">
        <f t="shared" si="381"/>
        <v>494.90000000000003</v>
      </c>
      <c r="AZ145" s="451">
        <f t="shared" ref="AZ145:BG145" si="382">AY88</f>
        <v>517.79999999999995</v>
      </c>
      <c r="BA145" s="151">
        <f t="shared" si="382"/>
        <v>429.40000000000003</v>
      </c>
      <c r="BB145" s="151">
        <f t="shared" si="382"/>
        <v>577.9</v>
      </c>
      <c r="BC145" s="152">
        <f t="shared" si="382"/>
        <v>557.59999999999991</v>
      </c>
      <c r="BD145" s="451">
        <f t="shared" si="382"/>
        <v>617.6</v>
      </c>
      <c r="BE145" s="151">
        <f t="shared" si="382"/>
        <v>619.5</v>
      </c>
      <c r="BF145" s="151">
        <f t="shared" si="382"/>
        <v>588.1</v>
      </c>
      <c r="BG145" s="152">
        <f t="shared" si="382"/>
        <v>880.5</v>
      </c>
      <c r="BH145" s="451">
        <f t="shared" ref="BH145:BO145" si="383">BG88</f>
        <v>1028.0999999999999</v>
      </c>
      <c r="BI145" s="151">
        <f t="shared" si="383"/>
        <v>728.9</v>
      </c>
      <c r="BJ145" s="151">
        <f t="shared" si="383"/>
        <v>871.6</v>
      </c>
      <c r="BK145" s="152">
        <f t="shared" si="383"/>
        <v>901.2</v>
      </c>
      <c r="BL145" s="451">
        <f t="shared" si="383"/>
        <v>949.2</v>
      </c>
      <c r="BM145" s="151">
        <f t="shared" si="383"/>
        <v>1062.0130009146901</v>
      </c>
      <c r="BN145" s="151">
        <f t="shared" si="383"/>
        <v>1256.9300877673031</v>
      </c>
      <c r="BO145" s="152">
        <f t="shared" si="383"/>
        <v>1453.1611455586196</v>
      </c>
      <c r="BP145" s="451">
        <f t="shared" ref="BP145" si="384">BO88</f>
        <v>1724.2509290395133</v>
      </c>
      <c r="BQ145" s="151">
        <f t="shared" ref="BQ145" si="385">BP88</f>
        <v>1977.7614423440823</v>
      </c>
      <c r="BR145" s="151">
        <f t="shared" ref="BR145" si="386">BQ88</f>
        <v>2172.8040660659144</v>
      </c>
      <c r="BS145" s="152">
        <f t="shared" ref="BS145" si="387">BR88</f>
        <v>2410.9291342166202</v>
      </c>
      <c r="BT145" s="451">
        <f t="shared" ref="BT145" si="388">BS88</f>
        <v>2703.1717725719636</v>
      </c>
      <c r="BU145" s="151">
        <f t="shared" ref="BU145" si="389">BT88</f>
        <v>2962.1609819360419</v>
      </c>
      <c r="BV145" s="151">
        <f t="shared" ref="BV145" si="390">BU88</f>
        <v>3185.3270983126895</v>
      </c>
      <c r="BW145" s="152">
        <f t="shared" ref="BW145" si="391">BV88</f>
        <v>3454.8281959573014</v>
      </c>
      <c r="BX145" s="21"/>
      <c r="BY145" s="151"/>
      <c r="BZ145" s="151">
        <f t="shared" ref="BZ145:CO145" si="392">BY88</f>
        <v>186.6</v>
      </c>
      <c r="CA145" s="151">
        <f t="shared" si="392"/>
        <v>185.7</v>
      </c>
      <c r="CB145" s="151">
        <f t="shared" si="392"/>
        <v>233.3</v>
      </c>
      <c r="CC145" s="151">
        <f t="shared" si="392"/>
        <v>268.8</v>
      </c>
      <c r="CD145" s="151">
        <f t="shared" si="392"/>
        <v>274.60000000000002</v>
      </c>
      <c r="CE145" s="151">
        <f t="shared" si="392"/>
        <v>458.7</v>
      </c>
      <c r="CF145" s="151">
        <f t="shared" si="392"/>
        <v>571.20000000000005</v>
      </c>
      <c r="CG145" s="151">
        <f t="shared" si="392"/>
        <v>623.29999999999995</v>
      </c>
      <c r="CH145" s="151">
        <f t="shared" si="392"/>
        <v>901.5</v>
      </c>
      <c r="CI145" s="151">
        <f t="shared" si="392"/>
        <v>631.70000000000005</v>
      </c>
      <c r="CJ145" s="151">
        <f t="shared" si="392"/>
        <v>625.70000000000005</v>
      </c>
      <c r="CK145" s="151">
        <f t="shared" si="392"/>
        <v>517.79999999999995</v>
      </c>
      <c r="CL145" s="151">
        <f t="shared" si="392"/>
        <v>617.6</v>
      </c>
      <c r="CM145" s="151">
        <f t="shared" si="392"/>
        <v>1028.0999999999999</v>
      </c>
      <c r="CN145" s="151">
        <f t="shared" si="392"/>
        <v>949.2</v>
      </c>
      <c r="CO145" s="151">
        <f t="shared" si="392"/>
        <v>1724.2509290395133</v>
      </c>
      <c r="CP145" s="152">
        <f>CO88</f>
        <v>2703.1717725719636</v>
      </c>
      <c r="CQ145" s="1041"/>
    </row>
    <row r="146" spans="1:95" ht="14.25" customHeight="1" outlineLevel="1">
      <c r="A146" s="9"/>
      <c r="B146" s="300" t="s">
        <v>403</v>
      </c>
      <c r="C146" s="24"/>
      <c r="D146" s="1103">
        <f>IS!D77</f>
        <v>0.7</v>
      </c>
      <c r="E146" s="1104">
        <f>IS!E77</f>
        <v>0.5</v>
      </c>
      <c r="F146" s="1105">
        <f>IS!F77</f>
        <v>0.3</v>
      </c>
      <c r="G146" s="1106">
        <f>IS!G77</f>
        <v>0.5</v>
      </c>
      <c r="H146" s="1103">
        <f>IS!H77</f>
        <v>0.4</v>
      </c>
      <c r="I146" s="1104">
        <f>IS!I77</f>
        <v>0.6</v>
      </c>
      <c r="J146" s="1105">
        <f>IS!J77</f>
        <v>0.6</v>
      </c>
      <c r="K146" s="1106">
        <f>IS!K77</f>
        <v>0.6</v>
      </c>
      <c r="L146" s="1103">
        <f>IS!L77</f>
        <v>0.9</v>
      </c>
      <c r="M146" s="1104">
        <f>IS!M77</f>
        <v>1.2</v>
      </c>
      <c r="N146" s="1105">
        <f>IS!N77</f>
        <v>1.7</v>
      </c>
      <c r="O146" s="1106">
        <f>IS!O77</f>
        <v>1.7</v>
      </c>
      <c r="P146" s="1103">
        <f>IS!P77</f>
        <v>2</v>
      </c>
      <c r="Q146" s="1104">
        <f>IS!Q77</f>
        <v>2.8</v>
      </c>
      <c r="R146" s="1105">
        <f>IS!R77</f>
        <v>3.6</v>
      </c>
      <c r="S146" s="1106">
        <f>IS!S77</f>
        <v>3.4</v>
      </c>
      <c r="T146" s="1103">
        <f>IS!T77</f>
        <v>2.8</v>
      </c>
      <c r="U146" s="1104">
        <f>IS!U77</f>
        <v>2.9</v>
      </c>
      <c r="V146" s="1105">
        <f>IS!V77</f>
        <v>3.1</v>
      </c>
      <c r="W146" s="1106">
        <f>IS!W77</f>
        <v>4.2</v>
      </c>
      <c r="X146" s="1103">
        <f>IS!X77</f>
        <v>2</v>
      </c>
      <c r="Y146" s="1104">
        <f>IS!Y77</f>
        <v>1.8</v>
      </c>
      <c r="Z146" s="1105">
        <f>IS!Z77</f>
        <v>1.7</v>
      </c>
      <c r="AA146" s="1106">
        <f>IS!AA77</f>
        <v>1.4</v>
      </c>
      <c r="AB146" s="1103">
        <f>IS!AB77</f>
        <v>0.4</v>
      </c>
      <c r="AC146" s="1104">
        <f>IS!AC77</f>
        <v>0.2</v>
      </c>
      <c r="AD146" s="1105">
        <f>IS!AD77</f>
        <v>0.1</v>
      </c>
      <c r="AE146" s="1106">
        <f>IS!AE77</f>
        <v>0.1</v>
      </c>
      <c r="AF146" s="1103">
        <f>IS!AF77</f>
        <v>0.1</v>
      </c>
      <c r="AG146" s="1104">
        <f>IS!AG77</f>
        <v>0.1</v>
      </c>
      <c r="AH146" s="1105">
        <f>IS!AH77</f>
        <v>0.2</v>
      </c>
      <c r="AI146" s="1106">
        <f>IS!AI77</f>
        <v>0.1</v>
      </c>
      <c r="AJ146" s="1103">
        <f>IS!AJ77</f>
        <v>0.3</v>
      </c>
      <c r="AK146" s="1104">
        <f>IS!AK77</f>
        <v>0.2</v>
      </c>
      <c r="AL146" s="1105">
        <f>IS!AL77</f>
        <v>0.3</v>
      </c>
      <c r="AM146" s="1106">
        <f>IS!AM77</f>
        <v>0.3</v>
      </c>
      <c r="AN146" s="1103">
        <f>IS!AN77</f>
        <v>0.5</v>
      </c>
      <c r="AO146" s="1104">
        <f>IS!AO77</f>
        <v>0.3</v>
      </c>
      <c r="AP146" s="1105">
        <f>IS!AP77</f>
        <v>0.3</v>
      </c>
      <c r="AQ146" s="1106">
        <f>IS!AQ77</f>
        <v>0.4</v>
      </c>
      <c r="AR146" s="1103">
        <f>IS!AR77</f>
        <v>0.3</v>
      </c>
      <c r="AS146" s="1104">
        <f>IS!AS77</f>
        <v>0.4</v>
      </c>
      <c r="AT146" s="1105">
        <f>IS!AT77</f>
        <v>0.3</v>
      </c>
      <c r="AU146" s="1106">
        <f>AU145*AU147/4</f>
        <v>0.28683937823834199</v>
      </c>
      <c r="AV146" s="1125">
        <f>AV145*AV147/4</f>
        <v>0.32419689119170986</v>
      </c>
      <c r="AW146" s="1126">
        <f>AW145*AW147/4</f>
        <v>0.31968911917098441</v>
      </c>
      <c r="AX146" s="1127">
        <f>AX145*AX147/4</f>
        <v>0.31150259067357505</v>
      </c>
      <c r="AY146" s="1128">
        <f>AY145*AY147/4</f>
        <v>0.25642487046632123</v>
      </c>
      <c r="AZ146" s="1125">
        <f t="shared" ref="AZ146:BG146" si="393">AZ145*AZ147/4</f>
        <v>0.26829015544041446</v>
      </c>
      <c r="BA146" s="1126">
        <f t="shared" si="393"/>
        <v>0.22248704663212435</v>
      </c>
      <c r="BB146" s="1127">
        <f>BB145*BB147/4</f>
        <v>0.29943005181347149</v>
      </c>
      <c r="BC146" s="1128">
        <f t="shared" si="393"/>
        <v>0.28891191709844555</v>
      </c>
      <c r="BD146" s="1125">
        <f>BD145*BD147/4</f>
        <v>0.32</v>
      </c>
      <c r="BE146" s="1126">
        <f>BE145*BE147/4</f>
        <v>0.32098445595854919</v>
      </c>
      <c r="BF146" s="1127">
        <f t="shared" si="393"/>
        <v>0.30471502590673577</v>
      </c>
      <c r="BG146" s="1128">
        <f t="shared" si="393"/>
        <v>0.45621761658031085</v>
      </c>
      <c r="BH146" s="1125">
        <f t="shared" ref="BH146:BO146" si="394">BH145*BH147/4</f>
        <v>0.5326943005181346</v>
      </c>
      <c r="BI146" s="1126">
        <f t="shared" si="394"/>
        <v>0.37766839378238337</v>
      </c>
      <c r="BJ146" s="1127">
        <f t="shared" si="394"/>
        <v>0.45160621761658032</v>
      </c>
      <c r="BK146" s="1128">
        <f t="shared" si="394"/>
        <v>0.46694300518134713</v>
      </c>
      <c r="BL146" s="1125">
        <f t="shared" si="394"/>
        <v>0.49181347150259069</v>
      </c>
      <c r="BM146" s="1126">
        <f t="shared" si="394"/>
        <v>0.55026580358274091</v>
      </c>
      <c r="BN146" s="1127">
        <f t="shared" si="394"/>
        <v>0.65125911283279947</v>
      </c>
      <c r="BO146" s="1128">
        <f t="shared" si="394"/>
        <v>0.75293323604073548</v>
      </c>
      <c r="BP146" s="1125">
        <f t="shared" ref="BP146:BS146" si="395">BP145*BP147/4</f>
        <v>0.89339426375104314</v>
      </c>
      <c r="BQ146" s="1126">
        <f t="shared" si="395"/>
        <v>1.0247468613181774</v>
      </c>
      <c r="BR146" s="1127">
        <f t="shared" si="395"/>
        <v>1.1258052155781939</v>
      </c>
      <c r="BS146" s="1128">
        <f t="shared" si="395"/>
        <v>1.2491860799049845</v>
      </c>
      <c r="BT146" s="1125">
        <f t="shared" ref="BT146:BW146" si="396">BT145*BT147/4</f>
        <v>1.4006071360476495</v>
      </c>
      <c r="BU146" s="1126">
        <f t="shared" si="396"/>
        <v>1.5347984362362912</v>
      </c>
      <c r="BV146" s="1127">
        <f t="shared" si="396"/>
        <v>1.6504285483485437</v>
      </c>
      <c r="BW146" s="1128">
        <f t="shared" si="396"/>
        <v>1.7900664227758039</v>
      </c>
      <c r="BX146" s="21"/>
      <c r="BY146" s="1129">
        <f>IS!BY77</f>
        <v>2</v>
      </c>
      <c r="BZ146" s="1105">
        <f>IS!BZ77</f>
        <v>2.2000000000000002</v>
      </c>
      <c r="CA146" s="1105">
        <f>IS!CA77</f>
        <v>5.5</v>
      </c>
      <c r="CB146" s="1105">
        <f>IS!CB77</f>
        <v>11.8</v>
      </c>
      <c r="CC146" s="1105">
        <f>IS!CC77</f>
        <v>13</v>
      </c>
      <c r="CD146" s="1105">
        <f>IS!CD77</f>
        <v>6.9</v>
      </c>
      <c r="CE146" s="1105">
        <f>IS!CE77</f>
        <v>0.8</v>
      </c>
      <c r="CF146" s="1105">
        <f>IS!CF77</f>
        <v>0.5</v>
      </c>
      <c r="CG146" s="1105">
        <f>IS!CG77</f>
        <v>1.1000000000000001</v>
      </c>
      <c r="CH146" s="1105">
        <f>IS!CH77</f>
        <v>1.5</v>
      </c>
      <c r="CI146" s="1105">
        <f>IS!CI77</f>
        <v>1.3</v>
      </c>
      <c r="CJ146" s="1105">
        <f>IS!CJ77</f>
        <v>1.5</v>
      </c>
      <c r="CK146" s="1105">
        <f>IS!CK77</f>
        <v>1.1000000000000001</v>
      </c>
      <c r="CL146" s="1105">
        <f>IS!CL77</f>
        <v>4.5</v>
      </c>
      <c r="CM146" s="1105">
        <f>IS!CM77</f>
        <v>3</v>
      </c>
      <c r="CN146" s="1105">
        <f>IS!CN77</f>
        <v>2.4462716239588667</v>
      </c>
      <c r="CO146" s="1105">
        <f>IS!CO77</f>
        <v>4.2931324205523991</v>
      </c>
      <c r="CP146" s="1106">
        <f>IS!CP77</f>
        <v>6.3759005434082878</v>
      </c>
      <c r="CQ146" s="1041"/>
    </row>
    <row r="147" spans="1:95" ht="14.25" customHeight="1" outlineLevel="1">
      <c r="A147" s="9"/>
      <c r="B147" s="23" t="s">
        <v>520</v>
      </c>
      <c r="C147" s="24"/>
      <c r="D147" s="1111"/>
      <c r="E147" s="1112">
        <f t="shared" ref="E147:AQ147" si="397">E146/E145*4</f>
        <v>1.0576414595452142E-2</v>
      </c>
      <c r="F147" s="1112">
        <f t="shared" si="397"/>
        <v>6.6225165562913907E-3</v>
      </c>
      <c r="G147" s="1113">
        <f t="shared" si="397"/>
        <v>1.0893246187363835E-2</v>
      </c>
      <c r="H147" s="1111">
        <f t="shared" si="397"/>
        <v>8.5744908896034297E-3</v>
      </c>
      <c r="I147" s="1112">
        <f t="shared" si="397"/>
        <v>1.0840108401084011E-2</v>
      </c>
      <c r="J147" s="1112">
        <f t="shared" si="397"/>
        <v>9.3131548311990685E-3</v>
      </c>
      <c r="K147" s="1113">
        <f t="shared" si="397"/>
        <v>1.0353753235547885E-2</v>
      </c>
      <c r="L147" s="1111">
        <f t="shared" si="397"/>
        <v>1.9386106623586433E-2</v>
      </c>
      <c r="M147" s="1112">
        <f t="shared" si="397"/>
        <v>2.3517883390494855E-2</v>
      </c>
      <c r="N147" s="1112">
        <f t="shared" si="397"/>
        <v>2.7575020275750203E-2</v>
      </c>
      <c r="O147" s="1113">
        <f t="shared" si="397"/>
        <v>2.4972456849063532E-2</v>
      </c>
      <c r="P147" s="1111">
        <f t="shared" si="397"/>
        <v>3.4290612944706388E-2</v>
      </c>
      <c r="Q147" s="1112">
        <f t="shared" si="397"/>
        <v>4.4568245125348183E-2</v>
      </c>
      <c r="R147" s="1112">
        <f t="shared" si="397"/>
        <v>4.8863250763488297E-2</v>
      </c>
      <c r="S147" s="1113">
        <f t="shared" si="397"/>
        <v>5.0520059435364043E-2</v>
      </c>
      <c r="T147" s="1111">
        <f t="shared" si="397"/>
        <v>4.1666666666666664E-2</v>
      </c>
      <c r="U147" s="1112">
        <f t="shared" si="397"/>
        <v>4.205946337926033E-2</v>
      </c>
      <c r="V147" s="1112">
        <f t="shared" si="397"/>
        <v>4.8475371383893663E-2</v>
      </c>
      <c r="W147" s="1113">
        <f t="shared" si="397"/>
        <v>5.1360440232344845E-2</v>
      </c>
      <c r="X147" s="1111">
        <f t="shared" si="397"/>
        <v>2.91332847778587E-2</v>
      </c>
      <c r="Y147" s="1112">
        <f t="shared" si="397"/>
        <v>2.3384215654433261E-2</v>
      </c>
      <c r="Z147" s="1112">
        <f t="shared" si="397"/>
        <v>2.1170610211706103E-2</v>
      </c>
      <c r="AA147" s="1113">
        <f t="shared" si="397"/>
        <v>1.340033500837521E-2</v>
      </c>
      <c r="AB147" s="1111">
        <f t="shared" si="397"/>
        <v>3.4881185960322653E-3</v>
      </c>
      <c r="AC147" s="1112">
        <f t="shared" si="397"/>
        <v>1.988071570576541E-3</v>
      </c>
      <c r="AD147" s="1112">
        <f t="shared" si="397"/>
        <v>9.9157164105106608E-4</v>
      </c>
      <c r="AE147" s="1113">
        <f t="shared" si="397"/>
        <v>8.507018290089324E-4</v>
      </c>
      <c r="AF147" s="1111">
        <f t="shared" si="397"/>
        <v>7.0028011204481793E-4</v>
      </c>
      <c r="AG147" s="1112">
        <f t="shared" si="397"/>
        <v>7.1339397182093806E-4</v>
      </c>
      <c r="AH147" s="1112">
        <f t="shared" si="397"/>
        <v>1.7126953543138515E-3</v>
      </c>
      <c r="AI147" s="1113">
        <f t="shared" si="397"/>
        <v>7.1060579143720029E-4</v>
      </c>
      <c r="AJ147" s="1111">
        <f t="shared" si="397"/>
        <v>1.9252366436707845E-3</v>
      </c>
      <c r="AK147" s="1112">
        <f t="shared" si="397"/>
        <v>1.0443864229765013E-3</v>
      </c>
      <c r="AL147" s="1112">
        <f t="shared" si="397"/>
        <v>1.3812154696132596E-3</v>
      </c>
      <c r="AM147" s="1113">
        <f t="shared" si="397"/>
        <v>1.4324937328399189E-3</v>
      </c>
      <c r="AN147" s="1111">
        <f t="shared" si="397"/>
        <v>2.2185246810870773E-3</v>
      </c>
      <c r="AO147" s="1112">
        <f t="shared" si="397"/>
        <v>1.3448391796481004E-3</v>
      </c>
      <c r="AP147" s="1112">
        <f t="shared" si="397"/>
        <v>1.5864621893178213E-3</v>
      </c>
      <c r="AQ147" s="1113">
        <f t="shared" si="397"/>
        <v>2.4883359253499225E-3</v>
      </c>
      <c r="AR147" s="1114">
        <f>AR146/AR145*4</f>
        <v>1.8996359031185686E-3</v>
      </c>
      <c r="AS147" s="1114">
        <f>AS146/AS145*4</f>
        <v>2.6045905909164906E-3</v>
      </c>
      <c r="AT147" s="1115">
        <f>AT146/AT145*4</f>
        <v>2.0725388601036268E-3</v>
      </c>
      <c r="AU147" s="1115">
        <f>AT147</f>
        <v>2.0725388601036268E-3</v>
      </c>
      <c r="AV147" s="1143">
        <f>AU147</f>
        <v>2.0725388601036268E-3</v>
      </c>
      <c r="AW147" s="1143">
        <f>AV147</f>
        <v>2.0725388601036268E-3</v>
      </c>
      <c r="AX147" s="1143">
        <f>AW147</f>
        <v>2.0725388601036268E-3</v>
      </c>
      <c r="AY147" s="1144">
        <f>AX147</f>
        <v>2.0725388601036268E-3</v>
      </c>
      <c r="AZ147" s="1143">
        <f t="shared" ref="AZ147:BG147" si="398">AY147</f>
        <v>2.0725388601036268E-3</v>
      </c>
      <c r="BA147" s="1143">
        <f t="shared" si="398"/>
        <v>2.0725388601036268E-3</v>
      </c>
      <c r="BB147" s="1143">
        <f>BA147</f>
        <v>2.0725388601036268E-3</v>
      </c>
      <c r="BC147" s="1144">
        <f t="shared" si="398"/>
        <v>2.0725388601036268E-3</v>
      </c>
      <c r="BD147" s="1143">
        <f t="shared" si="398"/>
        <v>2.0725388601036268E-3</v>
      </c>
      <c r="BE147" s="1143">
        <f t="shared" si="398"/>
        <v>2.0725388601036268E-3</v>
      </c>
      <c r="BF147" s="1143">
        <f t="shared" si="398"/>
        <v>2.0725388601036268E-3</v>
      </c>
      <c r="BG147" s="1144">
        <f t="shared" si="398"/>
        <v>2.0725388601036268E-3</v>
      </c>
      <c r="BH147" s="1143">
        <f t="shared" ref="BH147:BO147" si="399">BG147</f>
        <v>2.0725388601036268E-3</v>
      </c>
      <c r="BI147" s="1143">
        <f t="shared" si="399"/>
        <v>2.0725388601036268E-3</v>
      </c>
      <c r="BJ147" s="1143">
        <f t="shared" si="399"/>
        <v>2.0725388601036268E-3</v>
      </c>
      <c r="BK147" s="1144">
        <f t="shared" si="399"/>
        <v>2.0725388601036268E-3</v>
      </c>
      <c r="BL147" s="1143">
        <f t="shared" si="399"/>
        <v>2.0725388601036268E-3</v>
      </c>
      <c r="BM147" s="1143">
        <f t="shared" si="399"/>
        <v>2.0725388601036268E-3</v>
      </c>
      <c r="BN147" s="1143">
        <f t="shared" si="399"/>
        <v>2.0725388601036268E-3</v>
      </c>
      <c r="BO147" s="1144">
        <f t="shared" si="399"/>
        <v>2.0725388601036268E-3</v>
      </c>
      <c r="BP147" s="1143">
        <f t="shared" ref="BP147" si="400">BO147</f>
        <v>2.0725388601036268E-3</v>
      </c>
      <c r="BQ147" s="1143">
        <f t="shared" ref="BQ147" si="401">BP147</f>
        <v>2.0725388601036268E-3</v>
      </c>
      <c r="BR147" s="1143">
        <f t="shared" ref="BR147" si="402">BQ147</f>
        <v>2.0725388601036268E-3</v>
      </c>
      <c r="BS147" s="1144">
        <f t="shared" ref="BS147" si="403">BR147</f>
        <v>2.0725388601036268E-3</v>
      </c>
      <c r="BT147" s="1143">
        <f t="shared" ref="BT147" si="404">BS147</f>
        <v>2.0725388601036268E-3</v>
      </c>
      <c r="BU147" s="1143">
        <f t="shared" ref="BU147" si="405">BT147</f>
        <v>2.0725388601036268E-3</v>
      </c>
      <c r="BV147" s="1143">
        <f t="shared" ref="BV147" si="406">BU147</f>
        <v>2.0725388601036268E-3</v>
      </c>
      <c r="BW147" s="1144">
        <f t="shared" ref="BW147" si="407">BV147</f>
        <v>2.0725388601036268E-3</v>
      </c>
      <c r="BX147" s="21"/>
      <c r="BY147" s="271"/>
      <c r="BZ147" s="271">
        <f t="shared" ref="BZ147:CL147" si="408">BZ146/BZ145</f>
        <v>1.1789924973204717E-2</v>
      </c>
      <c r="CA147" s="271">
        <f t="shared" si="408"/>
        <v>2.9617662897145937E-2</v>
      </c>
      <c r="CB147" s="271">
        <f t="shared" si="408"/>
        <v>5.0578654093441922E-2</v>
      </c>
      <c r="CC147" s="271">
        <f t="shared" si="408"/>
        <v>4.8363095238095233E-2</v>
      </c>
      <c r="CD147" s="271">
        <f t="shared" si="408"/>
        <v>2.512745812090313E-2</v>
      </c>
      <c r="CE147" s="271">
        <f t="shared" si="408"/>
        <v>1.7440592980161327E-3</v>
      </c>
      <c r="CF147" s="271">
        <f t="shared" si="408"/>
        <v>8.7535014005602233E-4</v>
      </c>
      <c r="CG147" s="271">
        <f t="shared" si="408"/>
        <v>1.7648002566982195E-3</v>
      </c>
      <c r="CH147" s="271">
        <f t="shared" si="408"/>
        <v>1.6638935108153079E-3</v>
      </c>
      <c r="CI147" s="271">
        <f t="shared" si="408"/>
        <v>2.0579388950451162E-3</v>
      </c>
      <c r="CJ147" s="271">
        <f t="shared" si="408"/>
        <v>2.3973150071919446E-3</v>
      </c>
      <c r="CK147" s="271">
        <f t="shared" si="408"/>
        <v>2.1243723445345695E-3</v>
      </c>
      <c r="CL147" s="271">
        <f t="shared" si="408"/>
        <v>7.2862694300518133E-3</v>
      </c>
      <c r="CM147" s="271">
        <f>CM146/CM145</f>
        <v>2.9180040852057197E-3</v>
      </c>
      <c r="CN147" s="271">
        <f>CN146/CN145</f>
        <v>2.5771930298765979E-3</v>
      </c>
      <c r="CO147" s="271">
        <f>CO146/CO145</f>
        <v>2.4898536217949846E-3</v>
      </c>
      <c r="CP147" s="272">
        <f>CP146/CP145</f>
        <v>2.3586738394141579E-3</v>
      </c>
      <c r="CQ147" s="1041"/>
    </row>
    <row r="148" spans="1:95" ht="14.25" customHeight="1" outlineLevel="1">
      <c r="A148" s="9"/>
      <c r="B148" s="23"/>
      <c r="C148" s="24"/>
      <c r="D148" s="451"/>
      <c r="E148" s="151"/>
      <c r="F148" s="151"/>
      <c r="G148" s="152"/>
      <c r="H148" s="451"/>
      <c r="I148" s="151"/>
      <c r="J148" s="151"/>
      <c r="K148" s="152"/>
      <c r="L148" s="451"/>
      <c r="M148" s="151"/>
      <c r="N148" s="151"/>
      <c r="O148" s="152"/>
      <c r="P148" s="451"/>
      <c r="Q148" s="151"/>
      <c r="R148" s="151"/>
      <c r="S148" s="152"/>
      <c r="T148" s="451"/>
      <c r="U148" s="151"/>
      <c r="V148" s="151"/>
      <c r="W148" s="152"/>
      <c r="X148" s="451"/>
      <c r="Y148" s="151"/>
      <c r="Z148" s="151"/>
      <c r="AA148" s="152"/>
      <c r="AB148" s="451"/>
      <c r="AC148" s="151"/>
      <c r="AD148" s="151"/>
      <c r="AE148" s="152"/>
      <c r="AF148" s="451"/>
      <c r="AG148" s="151"/>
      <c r="AH148" s="151"/>
      <c r="AI148" s="152"/>
      <c r="AJ148" s="451"/>
      <c r="AK148" s="151"/>
      <c r="AL148" s="151"/>
      <c r="AM148" s="152"/>
      <c r="AN148" s="451"/>
      <c r="AO148" s="151"/>
      <c r="AP148" s="151"/>
      <c r="AQ148" s="152"/>
      <c r="AR148" s="451"/>
      <c r="AS148" s="151"/>
      <c r="AT148" s="151"/>
      <c r="AU148" s="152"/>
      <c r="AV148" s="451"/>
      <c r="AW148" s="151"/>
      <c r="AX148" s="151"/>
      <c r="AY148" s="152"/>
      <c r="AZ148" s="451"/>
      <c r="BA148" s="151"/>
      <c r="BB148" s="151"/>
      <c r="BC148" s="152"/>
      <c r="BD148" s="451"/>
      <c r="BE148" s="151"/>
      <c r="BF148" s="151"/>
      <c r="BG148" s="152"/>
      <c r="BH148" s="451"/>
      <c r="BI148" s="151"/>
      <c r="BJ148" s="151"/>
      <c r="BK148" s="152"/>
      <c r="BL148" s="451"/>
      <c r="BM148" s="151"/>
      <c r="BN148" s="151"/>
      <c r="BO148" s="152"/>
      <c r="BP148" s="451"/>
      <c r="BQ148" s="151"/>
      <c r="BR148" s="151"/>
      <c r="BS148" s="152"/>
      <c r="BT148" s="451"/>
      <c r="BU148" s="151"/>
      <c r="BV148" s="151"/>
      <c r="BW148" s="152"/>
      <c r="BX148" s="21"/>
      <c r="BY148" s="153"/>
      <c r="BZ148" s="153"/>
      <c r="CA148" s="153"/>
      <c r="CB148" s="153"/>
      <c r="CC148" s="153"/>
      <c r="CD148" s="153"/>
      <c r="CE148" s="153"/>
      <c r="CF148" s="153"/>
      <c r="CG148" s="153"/>
      <c r="CH148" s="153"/>
      <c r="CI148" s="153"/>
      <c r="CJ148" s="153"/>
      <c r="CK148" s="153"/>
      <c r="CL148" s="153"/>
      <c r="CM148" s="153"/>
      <c r="CN148" s="153"/>
      <c r="CO148" s="153"/>
      <c r="CP148" s="154"/>
      <c r="CQ148" s="1041"/>
    </row>
    <row r="149" spans="1:95" ht="14.25" customHeight="1" outlineLevel="1">
      <c r="A149" s="9"/>
      <c r="B149" s="297" t="s">
        <v>351</v>
      </c>
      <c r="C149" s="24"/>
      <c r="D149" s="451"/>
      <c r="E149" s="151"/>
      <c r="F149" s="151"/>
      <c r="G149" s="152"/>
      <c r="H149" s="451"/>
      <c r="I149" s="151"/>
      <c r="J149" s="151"/>
      <c r="K149" s="152"/>
      <c r="L149" s="451"/>
      <c r="M149" s="151"/>
      <c r="N149" s="151"/>
      <c r="O149" s="152"/>
      <c r="P149" s="451"/>
      <c r="Q149" s="151"/>
      <c r="R149" s="151"/>
      <c r="S149" s="152"/>
      <c r="T149" s="451"/>
      <c r="U149" s="151"/>
      <c r="V149" s="151"/>
      <c r="W149" s="152"/>
      <c r="X149" s="451"/>
      <c r="Y149" s="151"/>
      <c r="Z149" s="151"/>
      <c r="AA149" s="152"/>
      <c r="AB149" s="451"/>
      <c r="AC149" s="151"/>
      <c r="AD149" s="151"/>
      <c r="AE149" s="152"/>
      <c r="AF149" s="451"/>
      <c r="AG149" s="151"/>
      <c r="AH149" s="151"/>
      <c r="AI149" s="152"/>
      <c r="AJ149" s="451"/>
      <c r="AK149" s="151"/>
      <c r="AL149" s="151"/>
      <c r="AM149" s="152"/>
      <c r="AN149" s="451"/>
      <c r="AO149" s="151"/>
      <c r="AP149" s="151"/>
      <c r="AQ149" s="152"/>
      <c r="AR149" s="451"/>
      <c r="AS149" s="151"/>
      <c r="AT149" s="151"/>
      <c r="AU149" s="152"/>
      <c r="AV149" s="451"/>
      <c r="AW149" s="151"/>
      <c r="AX149" s="151"/>
      <c r="AY149" s="152"/>
      <c r="AZ149" s="451"/>
      <c r="BA149" s="151"/>
      <c r="BB149" s="151"/>
      <c r="BC149" s="152"/>
      <c r="BD149" s="451"/>
      <c r="BE149" s="151"/>
      <c r="BF149" s="151"/>
      <c r="BG149" s="152"/>
      <c r="BH149" s="451"/>
      <c r="BI149" s="151"/>
      <c r="BJ149" s="151"/>
      <c r="BK149" s="152"/>
      <c r="BL149" s="451"/>
      <c r="BM149" s="151"/>
      <c r="BN149" s="151"/>
      <c r="BO149" s="152"/>
      <c r="BP149" s="451"/>
      <c r="BQ149" s="151"/>
      <c r="BR149" s="151"/>
      <c r="BS149" s="152"/>
      <c r="BT149" s="451"/>
      <c r="BU149" s="151"/>
      <c r="BV149" s="151"/>
      <c r="BW149" s="152"/>
      <c r="BX149" s="21"/>
      <c r="BY149" s="153"/>
      <c r="BZ149" s="153"/>
      <c r="CA149" s="153"/>
      <c r="CB149" s="153"/>
      <c r="CC149" s="153"/>
      <c r="CD149" s="153"/>
      <c r="CE149" s="153"/>
      <c r="CF149" s="153"/>
      <c r="CG149" s="153"/>
      <c r="CH149" s="153"/>
      <c r="CI149" s="153"/>
      <c r="CJ149" s="153"/>
      <c r="CK149" s="153"/>
      <c r="CL149" s="153"/>
      <c r="CM149" s="153"/>
      <c r="CN149" s="153"/>
      <c r="CO149" s="153"/>
      <c r="CP149" s="154"/>
      <c r="CQ149" s="1041"/>
    </row>
    <row r="150" spans="1:95" ht="14.25" customHeight="1" outlineLevel="1">
      <c r="A150" s="9"/>
      <c r="B150" s="22" t="s">
        <v>432</v>
      </c>
      <c r="C150" s="15"/>
      <c r="D150" s="1111"/>
      <c r="E150" s="1112"/>
      <c r="F150" s="1112"/>
      <c r="G150" s="1113">
        <f>SUM(IS!D110:G110)/AVERAGE(D23:G23)</f>
        <v>-0.1410649685840614</v>
      </c>
      <c r="H150" s="1111">
        <f>SUM(IS!E110:H110)/AVERAGE(E23:H23)</f>
        <v>-0.13809383298908229</v>
      </c>
      <c r="I150" s="1112">
        <f>SUM(IS!F110:I110)/AVERAGE(F23:I23)</f>
        <v>-9.0942974282519518E-2</v>
      </c>
      <c r="J150" s="1112">
        <f>SUM(IS!G110:J110)/AVERAGE(G23:J23)</f>
        <v>-6.4023700290081656E-2</v>
      </c>
      <c r="K150" s="1113">
        <f>SUM(IS!H110:K110)/AVERAGE(H23:K23)</f>
        <v>-0.10294821380271728</v>
      </c>
      <c r="L150" s="1111">
        <f>SUM(IS!I110:L110)/AVERAGE(I23:L23)</f>
        <v>-5.2112556320666512E-2</v>
      </c>
      <c r="M150" s="1112">
        <f>SUM(IS!J110:M110)/AVERAGE(J23:M23)</f>
        <v>-3.4359153698199009E-2</v>
      </c>
      <c r="N150" s="1112">
        <f>SUM(IS!K110:N110)/AVERAGE(K23:N23)</f>
        <v>-2.7845303867403304E-2</v>
      </c>
      <c r="O150" s="1113">
        <f>SUM(IS!L110:O110)/AVERAGE(L23:O23)</f>
        <v>8.8179865889468398E-2</v>
      </c>
      <c r="P150" s="1111">
        <f>SUM(IS!M110:P110)/AVERAGE(M23:P23)</f>
        <v>0.10827738572746189</v>
      </c>
      <c r="Q150" s="1112">
        <f>SUM(IS!N110:Q110)/AVERAGE(N23:Q23)</f>
        <v>0.14149000605693524</v>
      </c>
      <c r="R150" s="1112">
        <f>SUM(IS!O110:R110)/AVERAGE(O23:R23)</f>
        <v>0.1757962763502077</v>
      </c>
      <c r="S150" s="1113">
        <f>SUM(IS!P110:S110)/AVERAGE(P23:S23)</f>
        <v>0.19907813871817381</v>
      </c>
      <c r="T150" s="1111">
        <f>SUM(IS!Q110:T110)/AVERAGE(Q23:T23)</f>
        <v>0.20060032649335605</v>
      </c>
      <c r="U150" s="1112">
        <f>SUM(IS!R110:U110)/AVERAGE(R23:U23)</f>
        <v>0.19748842430195032</v>
      </c>
      <c r="V150" s="1112">
        <f>SUM(IS!S110:V110)/AVERAGE(S23:V23)</f>
        <v>0.18481552863436124</v>
      </c>
      <c r="W150" s="1113">
        <f>SUM(IS!T110:W110)/AVERAGE(T23:W23)</f>
        <v>0.16060209207101767</v>
      </c>
      <c r="X150" s="1111">
        <f>SUM(IS!U110:X110)/AVERAGE(U23:X23)</f>
        <v>0.10675384182531916</v>
      </c>
      <c r="Y150" s="1112">
        <f>SUM(IS!V110:Y110)/AVERAGE(V23:Y23)</f>
        <v>7.6670836009600715E-2</v>
      </c>
      <c r="Z150" s="1112">
        <f>SUM(IS!W110:Z110)/AVERAGE(W23:Z23)</f>
        <v>6.1187481719801116E-2</v>
      </c>
      <c r="AA150" s="1113">
        <f>SUM(IS!X110:AA110)/AVERAGE(X23:AA23)</f>
        <v>-0.15626337793403713</v>
      </c>
      <c r="AB150" s="1111">
        <f>SUM(IS!Y110:AB110)/AVERAGE(Y23:AB23)</f>
        <v>-0.18368612855702873</v>
      </c>
      <c r="AC150" s="1112">
        <f>SUM(IS!Z110:AC110)/AVERAGE(Z23:AC23)</f>
        <v>-0.21064130177148921</v>
      </c>
      <c r="AD150" s="1112">
        <f>SUM(IS!AA110:AD110)/AVERAGE(AA23:AD23)</f>
        <v>-0.23450541938187075</v>
      </c>
      <c r="AE150" s="1113">
        <f>SUM(IS!AB110:AE110)/AVERAGE(AB23:AE23)</f>
        <v>2.6742363630385461E-2</v>
      </c>
      <c r="AF150" s="1111">
        <f>SUM(IS!AC110:AF110)/AVERAGE(AC23:AF23)</f>
        <v>6.67730920085845E-2</v>
      </c>
      <c r="AG150" s="1112">
        <f>SUM(IS!AD110:AG110)/AVERAGE(AD23:AG23)</f>
        <v>9.803901510889243E-2</v>
      </c>
      <c r="AH150" s="1112">
        <f>SUM(IS!AE110:AH110)/AVERAGE(AE23:AH23)</f>
        <v>0.11671701518302015</v>
      </c>
      <c r="AI150" s="1113">
        <f>SUM(IS!AF110:AI110)/AVERAGE(AF23:AI23)</f>
        <v>0.1085930563992337</v>
      </c>
      <c r="AJ150" s="1111">
        <f>SUM(IS!AG110:AJ110)/AVERAGE(AG23:AJ23)</f>
        <v>8.6431417655999668E-2</v>
      </c>
      <c r="AK150" s="1112">
        <f>SUM(IS!AH110:AK110)/AVERAGE(AH23:AK23)</f>
        <v>6.3452900154568476E-2</v>
      </c>
      <c r="AL150" s="1112">
        <f>SUM(IS!AI110:AL110)/AVERAGE(AI23:AL23)</f>
        <v>2.1566198824986574E-2</v>
      </c>
      <c r="AM150" s="1113">
        <f>SUM(IS!AJ110:AM110)/AVERAGE(AJ23:AM23)</f>
        <v>2.8888058772257082E-3</v>
      </c>
      <c r="AN150" s="1111">
        <f>SUM(IS!AK110:AN110)/AVERAGE(AK23:AN23)</f>
        <v>1.0835055183187634E-3</v>
      </c>
      <c r="AO150" s="1112">
        <f>SUM(IS!AL110:AO110)/AVERAGE(AL23:AO23)</f>
        <v>-5.9630984879286376E-3</v>
      </c>
      <c r="AP150" s="1112">
        <f>SUM(IS!AM110:AP110)/AVERAGE(AM23:AP23)</f>
        <v>1.0241993493166452E-2</v>
      </c>
      <c r="AQ150" s="1113">
        <f>SUM(IS!AN110:AQ110)/AVERAGE(AN23:AQ23)</f>
        <v>-2.4824978421997265E-2</v>
      </c>
      <c r="AR150" s="1111">
        <f>SUM(IS!AO110:AR110)/AVERAGE(AO23:AR23)</f>
        <v>-2.7482377139918746E-2</v>
      </c>
      <c r="AS150" s="1112">
        <f>SUM(IS!AP110:AS110)/AVERAGE(AP23:AS23)</f>
        <v>-1.6448442742198879E-2</v>
      </c>
      <c r="AT150" s="1112">
        <f>SUM(IS!AQ110:AT110)/AVERAGE(AQ23:AT23)</f>
        <v>-4.9344121613338213E-3</v>
      </c>
      <c r="AU150" s="1113">
        <f>SUM(IS!AR110:AU110)/AVERAGE(AR23:AU23)</f>
        <v>4.6472210665803773E-2</v>
      </c>
      <c r="AV150" s="1111">
        <f>SUM(IS!AS110:AV110)/AVERAGE(AS23:AV23)</f>
        <v>5.7266491736868749E-2</v>
      </c>
      <c r="AW150" s="1112">
        <f>SUM(IS!AT110:AW110)/AVERAGE(AT23:AW23)</f>
        <v>6.8701365549398971E-2</v>
      </c>
      <c r="AX150" s="1112">
        <f>SUM(IS!AU110:AX110)/AVERAGE(AU23:AX23)</f>
        <v>6.2610605086569918E-2</v>
      </c>
      <c r="AY150" s="1113">
        <f>SUM(IS!AV110:AY110)/AVERAGE(AV23:AY23)</f>
        <v>5.3545033760574061E-2</v>
      </c>
      <c r="AZ150" s="1111">
        <f>SUM(IS!AW110:AZ110)/AVERAGE(AW23:AZ23)</f>
        <v>5.100236047317068E-2</v>
      </c>
      <c r="BA150" s="1112">
        <f>SUM(IS!AX110:BA110)/AVERAGE(AX23:BA23)</f>
        <v>3.9643649662586489E-2</v>
      </c>
      <c r="BB150" s="1112">
        <f>SUM(IS!AY110:BB110)/AVERAGE(AY23:BB23)</f>
        <v>4.0687278098841588E-2</v>
      </c>
      <c r="BC150" s="1113">
        <f>SUM(IS!AZ110:BC110)/AVERAGE(AZ23:BC23)</f>
        <v>5.3276835428320429E-2</v>
      </c>
      <c r="BD150" s="1111">
        <f>SUM(IS!BA110:BD110)/AVERAGE(BA23:BD23)</f>
        <v>4.8004515657271853E-2</v>
      </c>
      <c r="BE150" s="1112">
        <f>SUM(IS!BB110:BE110)/AVERAGE(BB23:BE23)</f>
        <v>3.6348086380158219E-2</v>
      </c>
      <c r="BF150" s="1112">
        <f>SUM(IS!BC110:BF110)/AVERAGE(BC23:BF23)</f>
        <v>2.4314281001678519E-2</v>
      </c>
      <c r="BG150" s="1113">
        <f>SUM(IS!BD110:BG110)/AVERAGE(BD23:BG23)</f>
        <v>3.0775470884984925E-2</v>
      </c>
      <c r="BH150" s="1111">
        <f>SUM(IS!BE110:BH110)/AVERAGE(BE23:BH23)</f>
        <v>3.3919963705790077E-2</v>
      </c>
      <c r="BI150" s="1112">
        <f>SUM(IS!BF110:BI110)/AVERAGE(BF23:BI23)</f>
        <v>4.312355169750251E-2</v>
      </c>
      <c r="BJ150" s="1112">
        <f>SUM(IS!BG110:BJ110)/AVERAGE(BG23:BJ23)</f>
        <v>5.7481638013897163E-2</v>
      </c>
      <c r="BK150" s="1113">
        <f>SUM(IS!BH110:BK110)/AVERAGE(BH23:BK23)</f>
        <v>0.11779963019605423</v>
      </c>
      <c r="BL150" s="1111">
        <f>SUM(IS!BI110:BL110)/AVERAGE(BI23:BL23)</f>
        <v>0.12389001303628697</v>
      </c>
      <c r="BM150" s="1112">
        <f>SUM(IS!BJ110:BM110)/AVERAGE(BJ23:BM23)</f>
        <v>0.13385922522214558</v>
      </c>
      <c r="BN150" s="1112">
        <f>SUM(IS!BK110:BN110)/AVERAGE(BK23:BN23)</f>
        <v>0.14188930066534741</v>
      </c>
      <c r="BO150" s="1113">
        <f>SUM(IS!BL110:BO110)/AVERAGE(BL23:BO23)</f>
        <v>9.3444812252382103E-2</v>
      </c>
      <c r="BP150" s="1111">
        <f>SUM(IS!BM110:BP110)/AVERAGE(BM23:BP23)</f>
        <v>9.6920748525971753E-2</v>
      </c>
      <c r="BQ150" s="1112">
        <f>SUM(IS!BN110:BQ110)/AVERAGE(BN23:BQ23)</f>
        <v>9.6925803823991755E-2</v>
      </c>
      <c r="BR150" s="1112">
        <f>SUM(IS!BO110:BR110)/AVERAGE(BO23:BR23)</f>
        <v>9.7785619510320332E-2</v>
      </c>
      <c r="BS150" s="1113">
        <f>SUM(IS!BP110:BS110)/AVERAGE(BP23:BS23)</f>
        <v>9.8747615772675643E-2</v>
      </c>
      <c r="BT150" s="1111">
        <f>SUM(IS!BQ110:BT110)/AVERAGE(BQ23:BT23)</f>
        <v>9.8750687520295352E-2</v>
      </c>
      <c r="BU150" s="1112">
        <f>SUM(IS!BR110:BU110)/AVERAGE(BR23:BU23)</f>
        <v>9.8803972919015548E-2</v>
      </c>
      <c r="BV150" s="1112">
        <f>SUM(IS!BS110:BV110)/AVERAGE(BS23:BV23)</f>
        <v>9.8866933593438178E-2</v>
      </c>
      <c r="BW150" s="1113">
        <f>SUM(IS!BT110:BW110)/AVERAGE(BT23:BW23)</f>
        <v>9.8833609583537319E-2</v>
      </c>
      <c r="BX150" s="21"/>
      <c r="BY150" s="153"/>
      <c r="BZ150" s="153"/>
      <c r="CA150" s="153"/>
      <c r="CB150" s="153"/>
      <c r="CC150" s="153"/>
      <c r="CD150" s="153"/>
      <c r="CE150" s="153"/>
      <c r="CF150" s="153"/>
      <c r="CG150" s="153"/>
      <c r="CH150" s="153"/>
      <c r="CI150" s="153"/>
      <c r="CJ150" s="153"/>
      <c r="CK150" s="153"/>
      <c r="CL150" s="153"/>
      <c r="CM150" s="153"/>
      <c r="CN150" s="153"/>
      <c r="CO150" s="153"/>
      <c r="CP150" s="154"/>
      <c r="CQ150" s="1041"/>
    </row>
    <row r="151" spans="1:95" ht="14.25" customHeight="1" outlineLevel="1">
      <c r="A151" s="9"/>
      <c r="B151" s="22" t="s">
        <v>433</v>
      </c>
      <c r="C151" s="15"/>
      <c r="D151" s="1116">
        <f>D23-D9-D10</f>
        <v>1006.5999999999998</v>
      </c>
      <c r="E151" s="1116">
        <f t="shared" ref="E151:AY151" si="409">E23-E9-E10</f>
        <v>996.09999999999991</v>
      </c>
      <c r="F151" s="1116">
        <f t="shared" si="409"/>
        <v>1005.8000000000001</v>
      </c>
      <c r="G151" s="1117">
        <f t="shared" si="409"/>
        <v>977.9</v>
      </c>
      <c r="H151" s="1118">
        <f t="shared" si="409"/>
        <v>992.00000000000011</v>
      </c>
      <c r="I151" s="1116">
        <f t="shared" si="409"/>
        <v>1004.3999999999999</v>
      </c>
      <c r="J151" s="1116">
        <f t="shared" si="409"/>
        <v>988.90000000000009</v>
      </c>
      <c r="K151" s="1117">
        <f t="shared" si="409"/>
        <v>924.39999999999986</v>
      </c>
      <c r="L151" s="1118">
        <f t="shared" si="409"/>
        <v>908.1999999999997</v>
      </c>
      <c r="M151" s="1116">
        <f t="shared" si="409"/>
        <v>885.49999999999989</v>
      </c>
      <c r="N151" s="1116">
        <f t="shared" si="409"/>
        <v>898.2</v>
      </c>
      <c r="O151" s="1117">
        <f t="shared" si="409"/>
        <v>915.2</v>
      </c>
      <c r="P151" s="1118">
        <f t="shared" si="409"/>
        <v>959.7</v>
      </c>
      <c r="Q151" s="1116">
        <f t="shared" si="409"/>
        <v>1128.3</v>
      </c>
      <c r="R151" s="1116">
        <f t="shared" si="409"/>
        <v>1147.5000000000002</v>
      </c>
      <c r="S151" s="1117">
        <f t="shared" si="409"/>
        <v>1147.7</v>
      </c>
      <c r="T151" s="1118">
        <f t="shared" si="409"/>
        <v>1164.9000000000001</v>
      </c>
      <c r="U151" s="1116">
        <f t="shared" si="409"/>
        <v>1171.8999999999999</v>
      </c>
      <c r="V151" s="1116">
        <f t="shared" si="409"/>
        <v>1199.2000000000003</v>
      </c>
      <c r="W151" s="1117">
        <f t="shared" si="409"/>
        <v>1363</v>
      </c>
      <c r="X151" s="1118">
        <f t="shared" si="409"/>
        <v>2564.4</v>
      </c>
      <c r="Y151" s="1116">
        <f t="shared" si="409"/>
        <v>2516.9</v>
      </c>
      <c r="Z151" s="1116">
        <f t="shared" si="409"/>
        <v>2491.1</v>
      </c>
      <c r="AA151" s="1117">
        <f t="shared" si="409"/>
        <v>1900.8</v>
      </c>
      <c r="AB151" s="1118">
        <f t="shared" si="409"/>
        <v>1808.6</v>
      </c>
      <c r="AC151" s="1116">
        <f t="shared" si="409"/>
        <v>1820.7999999999997</v>
      </c>
      <c r="AD151" s="1116">
        <f t="shared" si="409"/>
        <v>1804.3999999999999</v>
      </c>
      <c r="AE151" s="1117">
        <f t="shared" si="409"/>
        <v>1843.1000000000001</v>
      </c>
      <c r="AF151" s="1118">
        <f t="shared" si="409"/>
        <v>1985.1000000000001</v>
      </c>
      <c r="AG151" s="1116">
        <f t="shared" si="409"/>
        <v>2073.9</v>
      </c>
      <c r="AH151" s="1116">
        <f t="shared" si="409"/>
        <v>2131.6</v>
      </c>
      <c r="AI151" s="1117">
        <f t="shared" si="409"/>
        <v>2295.8999999999996</v>
      </c>
      <c r="AJ151" s="1118">
        <f t="shared" si="409"/>
        <v>3250.8</v>
      </c>
      <c r="AK151" s="1116">
        <f t="shared" si="409"/>
        <v>3281.0000000000005</v>
      </c>
      <c r="AL151" s="1116">
        <f t="shared" si="409"/>
        <v>3174.1999999999994</v>
      </c>
      <c r="AM151" s="1117">
        <f t="shared" si="409"/>
        <v>2982</v>
      </c>
      <c r="AN151" s="1118">
        <f t="shared" si="409"/>
        <v>2936.9</v>
      </c>
      <c r="AO151" s="1116">
        <f t="shared" si="409"/>
        <v>3014.2999999999997</v>
      </c>
      <c r="AP151" s="1116">
        <f t="shared" si="409"/>
        <v>3026.8999999999996</v>
      </c>
      <c r="AQ151" s="1117">
        <f t="shared" si="409"/>
        <v>2696.7</v>
      </c>
      <c r="AR151" s="1118">
        <f t="shared" si="409"/>
        <v>2618.3999999999996</v>
      </c>
      <c r="AS151" s="1116">
        <f t="shared" si="409"/>
        <v>2662.4</v>
      </c>
      <c r="AT151" s="1116">
        <f>AT23-AT9-AT10</f>
        <v>2695.1</v>
      </c>
      <c r="AU151" s="1117">
        <f t="shared" si="409"/>
        <v>2631.3</v>
      </c>
      <c r="AV151" s="1118">
        <f t="shared" si="409"/>
        <v>2669.7</v>
      </c>
      <c r="AW151" s="1116">
        <f t="shared" si="409"/>
        <v>2817.1999999999994</v>
      </c>
      <c r="AX151" s="1116">
        <f t="shared" si="409"/>
        <v>3387.2999999999997</v>
      </c>
      <c r="AY151" s="1117">
        <f t="shared" si="409"/>
        <v>3305.2000000000003</v>
      </c>
      <c r="AZ151" s="1118">
        <f t="shared" ref="AZ151:BG151" si="410">AZ23-AZ9-AZ10</f>
        <v>3316.9</v>
      </c>
      <c r="BA151" s="1116">
        <f t="shared" si="410"/>
        <v>3337.4999999999995</v>
      </c>
      <c r="BB151" s="1116">
        <f t="shared" si="410"/>
        <v>3392.5</v>
      </c>
      <c r="BC151" s="1117">
        <f t="shared" si="410"/>
        <v>3251.9999999999995</v>
      </c>
      <c r="BD151" s="1118">
        <f>BD23-BD9-BD10</f>
        <v>3235.6</v>
      </c>
      <c r="BE151" s="1116">
        <f>BE23-BE9-BE10</f>
        <v>5509.7</v>
      </c>
      <c r="BF151" s="1116">
        <f t="shared" si="410"/>
        <v>5910.4</v>
      </c>
      <c r="BG151" s="1117">
        <f t="shared" si="410"/>
        <v>5896.2999999999993</v>
      </c>
      <c r="BH151" s="1118">
        <f t="shared" ref="BH151:BO151" si="411">BH23-BH9-BH10</f>
        <v>5908.5</v>
      </c>
      <c r="BI151" s="1116">
        <f t="shared" si="411"/>
        <v>5962.6999999999989</v>
      </c>
      <c r="BJ151" s="1116">
        <f t="shared" si="411"/>
        <v>5960.1</v>
      </c>
      <c r="BK151" s="1117">
        <f t="shared" si="411"/>
        <v>6245.9000000000005</v>
      </c>
      <c r="BL151" s="1118">
        <f t="shared" si="411"/>
        <v>6200.125899800958</v>
      </c>
      <c r="BM151" s="1116">
        <f t="shared" si="411"/>
        <v>6209.3896752696419</v>
      </c>
      <c r="BN151" s="1116">
        <f t="shared" si="411"/>
        <v>6220.7489641192869</v>
      </c>
      <c r="BO151" s="1117">
        <f t="shared" si="411"/>
        <v>6129.9692107133742</v>
      </c>
      <c r="BP151" s="1118">
        <f t="shared" ref="BP151:BS151" si="412">BP23-BP9-BP10</f>
        <v>6059.4457013293795</v>
      </c>
      <c r="BQ151" s="1116">
        <f t="shared" si="412"/>
        <v>6084.9449440067719</v>
      </c>
      <c r="BR151" s="1116">
        <f t="shared" si="412"/>
        <v>6075.6896909089846</v>
      </c>
      <c r="BS151" s="1117">
        <f t="shared" si="412"/>
        <v>5991.0732330107103</v>
      </c>
      <c r="BT151" s="1118">
        <f t="shared" ref="BT151:BW151" si="413">BT23-BT9-BT10</f>
        <v>5941.9546129356331</v>
      </c>
      <c r="BU151" s="1116">
        <f t="shared" si="413"/>
        <v>5962.1324060881834</v>
      </c>
      <c r="BV151" s="1116">
        <f t="shared" si="413"/>
        <v>5944.0798632540282</v>
      </c>
      <c r="BW151" s="1117">
        <f t="shared" si="413"/>
        <v>5851.5126828824323</v>
      </c>
      <c r="BX151" s="21"/>
      <c r="BY151" s="153"/>
      <c r="BZ151" s="153"/>
      <c r="CA151" s="153"/>
      <c r="CB151" s="153"/>
      <c r="CC151" s="153"/>
      <c r="CD151" s="153"/>
      <c r="CE151" s="153"/>
      <c r="CF151" s="153"/>
      <c r="CG151" s="153"/>
      <c r="CH151" s="153"/>
      <c r="CI151" s="153"/>
      <c r="CJ151" s="153"/>
      <c r="CK151" s="153"/>
      <c r="CL151" s="153"/>
      <c r="CM151" s="153"/>
      <c r="CN151" s="153"/>
      <c r="CO151" s="153"/>
      <c r="CP151" s="154"/>
      <c r="CQ151" s="1041"/>
    </row>
    <row r="152" spans="1:95" ht="14.25" customHeight="1" outlineLevel="1">
      <c r="A152" s="9"/>
      <c r="B152" s="22"/>
      <c r="C152" s="15"/>
      <c r="D152" s="1111"/>
      <c r="E152" s="1112"/>
      <c r="F152" s="1112"/>
      <c r="G152" s="1113"/>
      <c r="H152" s="1111"/>
      <c r="I152" s="1112"/>
      <c r="J152" s="1112"/>
      <c r="K152" s="1113"/>
      <c r="L152" s="1111"/>
      <c r="M152" s="1112"/>
      <c r="N152" s="1112"/>
      <c r="O152" s="1113"/>
      <c r="P152" s="1111"/>
      <c r="Q152" s="1112"/>
      <c r="R152" s="1112"/>
      <c r="S152" s="1113"/>
      <c r="T152" s="1111"/>
      <c r="U152" s="1112"/>
      <c r="V152" s="1112"/>
      <c r="W152" s="1113"/>
      <c r="X152" s="1111"/>
      <c r="Y152" s="1112"/>
      <c r="Z152" s="1112"/>
      <c r="AA152" s="1113"/>
      <c r="AB152" s="1111"/>
      <c r="AC152" s="1112"/>
      <c r="AD152" s="1112"/>
      <c r="AE152" s="1113"/>
      <c r="AF152" s="1111"/>
      <c r="AG152" s="1112"/>
      <c r="AH152" s="1112"/>
      <c r="AI152" s="1113"/>
      <c r="AJ152" s="1111"/>
      <c r="AK152" s="1112"/>
      <c r="AL152" s="1112"/>
      <c r="AM152" s="1113"/>
      <c r="AN152" s="1111"/>
      <c r="AO152" s="1112"/>
      <c r="AP152" s="1112"/>
      <c r="AQ152" s="1113"/>
      <c r="AR152" s="1111"/>
      <c r="AS152" s="1112"/>
      <c r="AT152" s="1112"/>
      <c r="AU152" s="1113"/>
      <c r="AV152" s="1111"/>
      <c r="AW152" s="1112"/>
      <c r="AX152" s="1112"/>
      <c r="AY152" s="1113"/>
      <c r="AZ152" s="1111"/>
      <c r="BA152" s="1112"/>
      <c r="BB152" s="1112"/>
      <c r="BC152" s="1113"/>
      <c r="BD152" s="1111"/>
      <c r="BE152" s="1112"/>
      <c r="BF152" s="1112"/>
      <c r="BG152" s="1113"/>
      <c r="BH152" s="1111"/>
      <c r="BI152" s="1112"/>
      <c r="BJ152" s="1112"/>
      <c r="BK152" s="1113"/>
      <c r="BL152" s="1111"/>
      <c r="BM152" s="1112"/>
      <c r="BN152" s="1112"/>
      <c r="BO152" s="1113"/>
      <c r="BP152" s="1111"/>
      <c r="BQ152" s="1112"/>
      <c r="BR152" s="1112"/>
      <c r="BS152" s="1113"/>
      <c r="BT152" s="1111"/>
      <c r="BU152" s="1112"/>
      <c r="BV152" s="1112"/>
      <c r="BW152" s="1113"/>
      <c r="BX152" s="21"/>
      <c r="BY152" s="153"/>
      <c r="BZ152" s="153"/>
      <c r="CA152" s="153"/>
      <c r="CB152" s="153"/>
      <c r="CC152" s="153"/>
      <c r="CD152" s="153"/>
      <c r="CE152" s="153"/>
      <c r="CF152" s="153"/>
      <c r="CG152" s="153"/>
      <c r="CH152" s="153"/>
      <c r="CI152" s="153"/>
      <c r="CJ152" s="153"/>
      <c r="CK152" s="153"/>
      <c r="CL152" s="153"/>
      <c r="CM152" s="153"/>
      <c r="CN152" s="153"/>
      <c r="CO152" s="153"/>
      <c r="CP152" s="154"/>
      <c r="CQ152" s="1041"/>
    </row>
    <row r="153" spans="1:95" ht="14.25" customHeight="1" outlineLevel="1">
      <c r="A153" s="9"/>
      <c r="B153" s="22" t="s">
        <v>434</v>
      </c>
      <c r="C153" s="15"/>
      <c r="D153" s="1116">
        <f>D42-D9-D10</f>
        <v>-881.6</v>
      </c>
      <c r="E153" s="1116">
        <f t="shared" ref="E153:AY153" si="414">E42-E9-E10</f>
        <v>-931.90000000000009</v>
      </c>
      <c r="F153" s="1116">
        <f t="shared" si="414"/>
        <v>-787.5</v>
      </c>
      <c r="G153" s="1117">
        <f t="shared" si="414"/>
        <v>-831.2</v>
      </c>
      <c r="H153" s="1118">
        <f t="shared" si="414"/>
        <v>-684.5</v>
      </c>
      <c r="I153" s="1116">
        <f t="shared" si="414"/>
        <v>-724.59999999999991</v>
      </c>
      <c r="J153" s="1116">
        <f t="shared" si="414"/>
        <v>-684</v>
      </c>
      <c r="K153" s="1117">
        <f t="shared" si="414"/>
        <v>-723.5</v>
      </c>
      <c r="L153" s="1118">
        <f t="shared" si="414"/>
        <v>-725.9</v>
      </c>
      <c r="M153" s="1116">
        <f t="shared" si="414"/>
        <v>-753.9</v>
      </c>
      <c r="N153" s="1116">
        <f t="shared" si="414"/>
        <v>-754.3</v>
      </c>
      <c r="O153" s="1117">
        <f t="shared" si="414"/>
        <v>-533.6</v>
      </c>
      <c r="P153" s="1118">
        <f t="shared" si="414"/>
        <v>-501</v>
      </c>
      <c r="Q153" s="1116">
        <f t="shared" si="414"/>
        <v>-394.7</v>
      </c>
      <c r="R153" s="1116">
        <f t="shared" si="414"/>
        <v>-289.5</v>
      </c>
      <c r="S153" s="1117">
        <f t="shared" si="414"/>
        <v>-494.20000000000005</v>
      </c>
      <c r="T153" s="1118">
        <f t="shared" si="414"/>
        <v>-433</v>
      </c>
      <c r="U153" s="1116">
        <f t="shared" si="414"/>
        <v>-392.9</v>
      </c>
      <c r="V153" s="1116">
        <f t="shared" si="414"/>
        <v>-380.6</v>
      </c>
      <c r="W153" s="1117">
        <f t="shared" si="414"/>
        <v>-258.70000000000005</v>
      </c>
      <c r="X153" s="1118">
        <f t="shared" si="414"/>
        <v>670.7</v>
      </c>
      <c r="Y153" s="1116">
        <f t="shared" si="414"/>
        <v>713</v>
      </c>
      <c r="Z153" s="1116">
        <f t="shared" si="414"/>
        <v>666.9</v>
      </c>
      <c r="AA153" s="1117">
        <f t="shared" si="414"/>
        <v>379.50000000000006</v>
      </c>
      <c r="AB153" s="1118">
        <f t="shared" si="414"/>
        <v>428.70000000000005</v>
      </c>
      <c r="AC153" s="1116">
        <f t="shared" si="414"/>
        <v>446.5</v>
      </c>
      <c r="AD153" s="1116">
        <f t="shared" si="414"/>
        <v>434.09999999999997</v>
      </c>
      <c r="AE153" s="1117">
        <f t="shared" si="414"/>
        <v>413.79999999999995</v>
      </c>
      <c r="AF153" s="1118">
        <f t="shared" si="414"/>
        <v>506.70000000000005</v>
      </c>
      <c r="AG153" s="1116">
        <f t="shared" si="414"/>
        <v>710.99999999999989</v>
      </c>
      <c r="AH153" s="1116">
        <f t="shared" si="414"/>
        <v>717.9</v>
      </c>
      <c r="AI153" s="1117">
        <f t="shared" si="414"/>
        <v>742.7</v>
      </c>
      <c r="AJ153" s="1118">
        <f t="shared" si="414"/>
        <v>721</v>
      </c>
      <c r="AK153" s="1116">
        <f t="shared" si="414"/>
        <v>695.29999999999984</v>
      </c>
      <c r="AL153" s="1116">
        <f t="shared" si="414"/>
        <v>664.1</v>
      </c>
      <c r="AM153" s="1117">
        <f t="shared" si="414"/>
        <v>566.70000000000005</v>
      </c>
      <c r="AN153" s="1118">
        <f t="shared" si="414"/>
        <v>616.10000000000014</v>
      </c>
      <c r="AO153" s="1116">
        <f t="shared" si="414"/>
        <v>760.80000000000007</v>
      </c>
      <c r="AP153" s="1116">
        <f t="shared" si="414"/>
        <v>868.30000000000007</v>
      </c>
      <c r="AQ153" s="1117">
        <f t="shared" si="414"/>
        <v>729.39999999999986</v>
      </c>
      <c r="AR153" s="1118">
        <f t="shared" si="414"/>
        <v>769.3</v>
      </c>
      <c r="AS153" s="1116">
        <f t="shared" si="414"/>
        <v>855.00000000000011</v>
      </c>
      <c r="AT153" s="1116">
        <f>AT42-AT9-AT10</f>
        <v>915.80000000000007</v>
      </c>
      <c r="AU153" s="1117">
        <f t="shared" si="414"/>
        <v>828.3</v>
      </c>
      <c r="AV153" s="1118">
        <f t="shared" si="414"/>
        <v>889.90000000000009</v>
      </c>
      <c r="AW153" s="1116">
        <f t="shared" si="414"/>
        <v>1005.5000000000001</v>
      </c>
      <c r="AX153" s="1116">
        <f t="shared" si="414"/>
        <v>1147.7</v>
      </c>
      <c r="AY153" s="1117">
        <f t="shared" si="414"/>
        <v>1108.7</v>
      </c>
      <c r="AZ153" s="1118">
        <f t="shared" ref="AZ153:BG153" si="415">AZ42-AZ9-AZ10</f>
        <v>1176.2</v>
      </c>
      <c r="BA153" s="1116">
        <f t="shared" si="415"/>
        <v>1019.5000000000001</v>
      </c>
      <c r="BB153" s="1116">
        <f t="shared" si="415"/>
        <v>1000.7</v>
      </c>
      <c r="BC153" s="1117">
        <f t="shared" si="415"/>
        <v>990.6</v>
      </c>
      <c r="BD153" s="1118">
        <f>BD42-BD9-BD10</f>
        <v>1034.5</v>
      </c>
      <c r="BE153" s="1116">
        <f>BE42-BE9-BE10</f>
        <v>1112.8000000000002</v>
      </c>
      <c r="BF153" s="1116">
        <f t="shared" si="415"/>
        <v>850.09999999999991</v>
      </c>
      <c r="BG153" s="1117">
        <f t="shared" si="415"/>
        <v>795.10000000000014</v>
      </c>
      <c r="BH153" s="1118">
        <f t="shared" ref="BH153:BO153" si="416">BH42-BH9-BH10</f>
        <v>1247.0999999999999</v>
      </c>
      <c r="BI153" s="1116">
        <f t="shared" si="416"/>
        <v>1224.9000000000001</v>
      </c>
      <c r="BJ153" s="1116">
        <f t="shared" si="416"/>
        <v>1311.2</v>
      </c>
      <c r="BK153" s="1117">
        <f t="shared" si="416"/>
        <v>1829.6000000000001</v>
      </c>
      <c r="BL153" s="1118">
        <f t="shared" si="416"/>
        <v>1856.2508936898471</v>
      </c>
      <c r="BM153" s="1116">
        <f t="shared" si="416"/>
        <v>1846.5496319474187</v>
      </c>
      <c r="BN153" s="1116">
        <f t="shared" si="416"/>
        <v>1845.6298908730084</v>
      </c>
      <c r="BO153" s="1117">
        <f t="shared" si="416"/>
        <v>1761.3793885579689</v>
      </c>
      <c r="BP153" s="1118">
        <f t="shared" ref="BP153:BS153" si="417">BP42-BP9-BP10</f>
        <v>1692.4053121540883</v>
      </c>
      <c r="BQ153" s="1116">
        <f t="shared" si="417"/>
        <v>1701.7952110958745</v>
      </c>
      <c r="BR153" s="1116">
        <f t="shared" si="417"/>
        <v>1685.6897631866573</v>
      </c>
      <c r="BS153" s="1117">
        <f t="shared" si="417"/>
        <v>1608.872897400558</v>
      </c>
      <c r="BT153" s="1118">
        <f t="shared" ref="BT153:BW153" si="418">BT42-BT9-BT10</f>
        <v>1555.8477836480015</v>
      </c>
      <c r="BU153" s="1116">
        <f t="shared" si="418"/>
        <v>1559.5484143262729</v>
      </c>
      <c r="BV153" s="1116">
        <f t="shared" si="418"/>
        <v>1535.1703112333862</v>
      </c>
      <c r="BW153" s="1117">
        <f t="shared" si="418"/>
        <v>1450.4351058355332</v>
      </c>
      <c r="BX153" s="21"/>
      <c r="BY153" s="153"/>
      <c r="BZ153" s="153"/>
      <c r="CA153" s="153"/>
      <c r="CB153" s="153"/>
      <c r="CC153" s="153"/>
      <c r="CD153" s="153"/>
      <c r="CE153" s="153"/>
      <c r="CF153" s="153"/>
      <c r="CG153" s="153"/>
      <c r="CH153" s="153"/>
      <c r="CI153" s="153"/>
      <c r="CJ153" s="153"/>
      <c r="CK153" s="153"/>
      <c r="CL153" s="153"/>
      <c r="CM153" s="153"/>
      <c r="CN153" s="153"/>
      <c r="CO153" s="153"/>
      <c r="CP153" s="154"/>
      <c r="CQ153" s="1041"/>
    </row>
    <row r="154" spans="1:95" ht="14.25" customHeight="1" outlineLevel="1">
      <c r="A154" s="9"/>
      <c r="B154" s="16" t="s">
        <v>435</v>
      </c>
      <c r="C154" s="203"/>
      <c r="D154" s="1119"/>
      <c r="E154" s="1120"/>
      <c r="F154" s="1121"/>
      <c r="G154" s="1122">
        <f>SUM(IS!D110:G110)/AVERAGE(D153:G153)</f>
        <v>0.1942777227434298</v>
      </c>
      <c r="H154" s="1119">
        <f>SUM(IS!E110:H110)/AVERAGE(E153:H153)</f>
        <v>0.20252851534728439</v>
      </c>
      <c r="I154" s="1120">
        <f>SUM(IS!F110:I110)/AVERAGE(F153:I153)</f>
        <v>0.1450558161041019</v>
      </c>
      <c r="J154" s="1121">
        <f>SUM(IS!G110:J110)/AVERAGE(G153:J153)</f>
        <v>0.10641863009951094</v>
      </c>
      <c r="K154" s="1122">
        <f>SUM(IS!H110:K110)/AVERAGE(H153:K153)</f>
        <v>0.17567279698927787</v>
      </c>
      <c r="L154" s="1119">
        <f>SUM(IS!I110:L110)/AVERAGE(I153:L153)</f>
        <v>8.5794261721483564E-2</v>
      </c>
      <c r="M154" s="1120">
        <f>SUM(IS!J110:M110)/AVERAGE(J153:M153)</f>
        <v>5.44453295466353E-2</v>
      </c>
      <c r="N154" s="1121">
        <f>SUM(IS!K110:N110)/AVERAGE(K153:N153)</f>
        <v>4.2602109818771952E-2</v>
      </c>
      <c r="O154" s="1122">
        <f>SUM(IS!L110:O110)/AVERAGE(L153:O153)</f>
        <v>-0.14539148029049392</v>
      </c>
      <c r="P154" s="1119">
        <f>SUM(IS!M110:P110)/AVERAGE(M153:P153)</f>
        <v>-0.19852131508573231</v>
      </c>
      <c r="Q154" s="1120">
        <f>SUM(IS!N110:Q110)/AVERAGE(N153:Q153)</f>
        <v>-0.32093790071441664</v>
      </c>
      <c r="R154" s="1121">
        <f>SUM(IS!O110:R110)/AVERAGE(O153:R153)</f>
        <v>-0.53176634861531302</v>
      </c>
      <c r="S154" s="1122">
        <f>SUM(IS!P110:S110)/AVERAGE(P153:S153)</f>
        <v>-0.64808860307252592</v>
      </c>
      <c r="T154" s="1119">
        <f>SUM(IS!Q110:T110)/AVERAGE(Q153:T153)</f>
        <v>-0.70919697157751027</v>
      </c>
      <c r="U154" s="1120">
        <f>SUM(IS!R110:U110)/AVERAGE(R153:U153)</f>
        <v>-0.69955268389662029</v>
      </c>
      <c r="V154" s="1121">
        <f>SUM(IS!S110:V110)/AVERAGE(S153:V153)</f>
        <v>-0.6315046745457753</v>
      </c>
      <c r="W154" s="1122">
        <f>SUM(IS!T110:W110)/AVERAGE(T153:W153)</f>
        <v>-0.66120666120666105</v>
      </c>
      <c r="X154" s="1119">
        <f>SUM(IS!U110:X110)/AVERAGE(U153:X153)</f>
        <v>-2.2041493775933603</v>
      </c>
      <c r="Y154" s="1120">
        <f>SUM(IS!V110:Y110)/AVERAGE(V153:Y153)</f>
        <v>0.91402471789360529</v>
      </c>
      <c r="Z154" s="1121">
        <f>SUM(IS!W110:Z110)/AVERAGE(W153:Z153)</f>
        <v>0.3502427590825381</v>
      </c>
      <c r="AA154" s="1122">
        <f>SUM(IS!X110:AA110)/AVERAGE(X153:AA153)</f>
        <v>-0.70597917781161279</v>
      </c>
      <c r="AB154" s="1119">
        <f>SUM(IS!Y110:AB110)/AVERAGE(Y153:AB153)</f>
        <v>-0.86613957314565126</v>
      </c>
      <c r="AC154" s="1120">
        <f>SUM(IS!Z110:AC110)/AVERAGE(Z153:AC153)</f>
        <v>-1.0636969192339716</v>
      </c>
      <c r="AD154" s="1121">
        <f>SUM(IS!AA110:AD110)/AVERAGE(AA153:AD153)</f>
        <v>-1.2593557555660826</v>
      </c>
      <c r="AE154" s="1122">
        <f>SUM(IS!AB110:AE110)/AVERAGE(AB153:AE153)</f>
        <v>0.14160524635830768</v>
      </c>
      <c r="AF154" s="1119">
        <f>SUM(IS!AC110:AF110)/AVERAGE(AC153:AF153)</f>
        <v>0.35067458775192933</v>
      </c>
      <c r="AG154" s="1120">
        <f>SUM(IS!AD110:AG110)/AVERAGE(AD153:AG153)</f>
        <v>0.46398140975987595</v>
      </c>
      <c r="AH154" s="1121">
        <f>SUM(IS!AE110:AH110)/AVERAGE(AE153:AH153)</f>
        <v>0.50651230101302469</v>
      </c>
      <c r="AI154" s="1122">
        <f>SUM(IS!AF110:AI110)/AVERAGE(AF153:AI153)</f>
        <v>0.43385729753948404</v>
      </c>
      <c r="AJ154" s="1119">
        <f>SUM(IS!AG110:AJ110)/AVERAGE(AG153:AJ153)</f>
        <v>0.36368664868976008</v>
      </c>
      <c r="AK154" s="1120">
        <f>SUM(IS!AH110:AK110)/AVERAGE(AH153:AK153)</f>
        <v>0.30393826688449377</v>
      </c>
      <c r="AL154" s="1121">
        <f>SUM(IS!AI110:AL110)/AVERAGE(AI153:AL153)</f>
        <v>0.11533420707732628</v>
      </c>
      <c r="AM154" s="1122">
        <f>SUM(IS!AJ110:AM110)/AVERAGE(AJ153:AM153)</f>
        <v>1.7528616221525191E-2</v>
      </c>
      <c r="AN154" s="1119">
        <f>SUM(IS!AK110:AN110)/AVERAGE(AK153:AN153)</f>
        <v>6.765793407284784E-3</v>
      </c>
      <c r="AO154" s="1120">
        <f>SUM(IS!AL110:AO110)/AVERAGE(AL153:AO153)</f>
        <v>-3.5433523794915295E-2</v>
      </c>
      <c r="AP154" s="1121">
        <f>SUM(IS!AM110:AP110)/AVERAGE(AM153:AP153)</f>
        <v>5.5193996941569456E-2</v>
      </c>
      <c r="AQ154" s="1122">
        <f>SUM(IS!AN110:AQ110)/AVERAGE(AN153:AQ153)</f>
        <v>-0.12183150675721119</v>
      </c>
      <c r="AR154" s="1119">
        <f>SUM(IS!AO110:AR110)/AVERAGE(AO153:AR153)</f>
        <v>-0.12302576891105578</v>
      </c>
      <c r="AS154" s="1120">
        <f>SUM(IS!AP110:AS110)/AVERAGE(AP153:AS153)</f>
        <v>-6.8777157045313522E-2</v>
      </c>
      <c r="AT154" s="1121">
        <f>SUM(IS!AQ110:AT110)/AVERAGE(AQ153:AT153)</f>
        <v>-1.9697201406942949E-2</v>
      </c>
      <c r="AU154" s="1122">
        <f>SUM(IS!AR110:AU110)/AVERAGE(AR153:AU153)</f>
        <v>0.17907611922574507</v>
      </c>
      <c r="AV154" s="1119">
        <f>SUM(IS!AS110:AV110)/AVERAGE(AS153:AV153)</f>
        <v>0.2139294926913155</v>
      </c>
      <c r="AW154" s="1120">
        <f>SUM(IS!AT110:AW110)/AVERAGE(AT153:AW153)</f>
        <v>0.24937491413655719</v>
      </c>
      <c r="AX154" s="1121">
        <f>SUM(IS!AU110:AX110)/AVERAGE(AU153:AX153)</f>
        <v>0.22389833135299886</v>
      </c>
      <c r="AY154" s="1122">
        <f>SUM(IS!AV110:AY110)/AVERAGE(AV153:AY153)</f>
        <v>0.18584710246158301</v>
      </c>
      <c r="AZ154" s="1119">
        <f>SUM(IS!AW110:AZ110)/AVERAGE(AW153:AZ153)</f>
        <v>0.1708839368198104</v>
      </c>
      <c r="BA154" s="1120">
        <f>SUM(IS!AX110:BA110)/AVERAGE(AX153:BA153)</f>
        <v>0.13683430291323201</v>
      </c>
      <c r="BB154" s="1121">
        <f>SUM(IS!AY110:BB110)/AVERAGE(AY153:BB153)</f>
        <v>0.14587349887342924</v>
      </c>
      <c r="BC154" s="1122">
        <f>SUM(IS!AZ110:BC110)/AVERAGE(AZ153:BC153)</f>
        <v>0.19699068545497958</v>
      </c>
      <c r="BD154" s="1119">
        <f>SUM(IS!BA110:BD110)/AVERAGE(BA153:BD153)</f>
        <v>0.18500482040886945</v>
      </c>
      <c r="BE154" s="1120">
        <f>SUM(IS!BB110:BE110)/AVERAGE(BB153:BE153)</f>
        <v>0.15609143188517852</v>
      </c>
      <c r="BF154" s="1121">
        <f>SUM(IS!BC110:BF110)/AVERAGE(BC153:BF153)</f>
        <v>0.12567703109327982</v>
      </c>
      <c r="BG154" s="1122">
        <f>SUM(IS!BD110:BG110)/AVERAGE(BD153:BG153)</f>
        <v>0.19206328279499013</v>
      </c>
      <c r="BH154" s="1119">
        <f>SUM(IS!BE110:BH110)/AVERAGE(BE153:BH153)</f>
        <v>0.22401438166337931</v>
      </c>
      <c r="BI154" s="1120">
        <f>SUM(IS!BF110:BI110)/AVERAGE(BF153:BI153)</f>
        <v>0.28475663071990681</v>
      </c>
      <c r="BJ154" s="1121">
        <f>SUM(IS!BG110:BJ110)/AVERAGE(BG153:BJ153)</f>
        <v>0.34222309590896194</v>
      </c>
      <c r="BK154" s="1122">
        <f>SUM(IS!BH110:BK110)/AVERAGE(BH153:BK153)</f>
        <v>0.5777508551881414</v>
      </c>
      <c r="BL154" s="1119">
        <f>SUM(IS!BI110:BL110)/AVERAGE(BI153:BL153)</f>
        <v>0.56057266249970683</v>
      </c>
      <c r="BM154" s="1120">
        <f>SUM(IS!BJ110:BM110)/AVERAGE(BJ153:BM153)</f>
        <v>0.5630251012496218</v>
      </c>
      <c r="BN154" s="1121">
        <f>SUM(IS!BK110:BN110)/AVERAGE(BK153:BN153)</f>
        <v>0.56919854061984987</v>
      </c>
      <c r="BO154" s="1122">
        <f>SUM(IS!BL110:BO110)/AVERAGE(BL153:BO153)</f>
        <v>0.38678451913066325</v>
      </c>
      <c r="BP154" s="1119">
        <f>SUM(IS!BM110:BP110)/AVERAGE(BM153:BP153)</f>
        <v>0.42088252130763848</v>
      </c>
      <c r="BQ154" s="1120">
        <f>SUM(IS!BN110:BQ110)/AVERAGE(BN153:BQ153)</f>
        <v>0.44056360496540797</v>
      </c>
      <c r="BR154" s="1121">
        <f>SUM(IS!BO110:BR110)/AVERAGE(BO153:BR153)</f>
        <v>0.46647941032804291</v>
      </c>
      <c r="BS154" s="1122">
        <f>SUM(IS!BP110:BS110)/AVERAGE(BP153:BS153)</f>
        <v>0.49421056160098475</v>
      </c>
      <c r="BT154" s="1119">
        <f>SUM(IS!BQ110:BT110)/AVERAGE(BQ153:BT153)</f>
        <v>0.51759181911272367</v>
      </c>
      <c r="BU154" s="1120">
        <f>SUM(IS!BR110:BU110)/AVERAGE(BR153:BU153)</f>
        <v>0.54307757954782232</v>
      </c>
      <c r="BV154" s="1121">
        <f>SUM(IS!BS110:BV110)/AVERAGE(BS153:BV153)</f>
        <v>0.57090071602530512</v>
      </c>
      <c r="BW154" s="1122">
        <f>SUM(IS!BT110:BW110)/AVERAGE(BT153:BW153)</f>
        <v>0.60067665841110274</v>
      </c>
      <c r="BX154" s="21"/>
      <c r="BY154" s="155"/>
      <c r="BZ154" s="155"/>
      <c r="CA154" s="155"/>
      <c r="CB154" s="155"/>
      <c r="CC154" s="155"/>
      <c r="CD154" s="155"/>
      <c r="CE154" s="155"/>
      <c r="CF154" s="155"/>
      <c r="CG154" s="155"/>
      <c r="CH154" s="155"/>
      <c r="CI154" s="155"/>
      <c r="CJ154" s="155"/>
      <c r="CK154" s="155"/>
      <c r="CL154" s="155"/>
      <c r="CM154" s="155"/>
      <c r="CN154" s="155"/>
      <c r="CO154" s="155"/>
      <c r="CP154" s="156"/>
      <c r="CQ154" s="1041"/>
    </row>
    <row r="155" spans="1:95" ht="14.25" customHeight="1" outlineLevel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15"/>
      <c r="CM155" s="9"/>
      <c r="CN155" s="9"/>
      <c r="CO155" s="9"/>
      <c r="CP155" s="9"/>
    </row>
    <row r="156" spans="1:95" ht="14.25" customHeight="1" outlineLevel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15"/>
      <c r="CM156" s="9"/>
      <c r="CN156" s="9"/>
      <c r="CO156" s="9"/>
      <c r="CP156" s="9"/>
    </row>
    <row r="157" spans="1:95" ht="14.25" customHeight="1" outlineLevel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15"/>
      <c r="CM157" s="9"/>
      <c r="CN157" s="9"/>
      <c r="CO157" s="9"/>
      <c r="CP157" s="9"/>
    </row>
    <row r="158" spans="1:95" ht="14.25" customHeight="1" outlineLevel="1">
      <c r="BP158"/>
      <c r="BQ158"/>
      <c r="BR158"/>
      <c r="BS158"/>
      <c r="BT158"/>
      <c r="BU158"/>
      <c r="BV158"/>
      <c r="BW158"/>
      <c r="CH158"/>
      <c r="CI158"/>
      <c r="CJ158"/>
      <c r="CK158"/>
      <c r="CN158"/>
      <c r="CO158"/>
      <c r="CP158"/>
    </row>
    <row r="159" spans="1:95" ht="14.25" customHeight="1" outlineLevel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295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15"/>
      <c r="CM159" s="9"/>
      <c r="CN159" s="9"/>
      <c r="CO159" s="9"/>
      <c r="CP159" s="9"/>
    </row>
    <row r="160" spans="1:95" ht="14.25" customHeight="1" outlineLevel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295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15"/>
      <c r="CM160" s="9"/>
      <c r="CN160" s="9"/>
      <c r="CO160" s="9"/>
      <c r="CP160" s="9"/>
    </row>
    <row r="161" spans="1:94" ht="14.25" customHeight="1" outlineLevel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15"/>
      <c r="CM161" s="9"/>
      <c r="CN161" s="9"/>
      <c r="CO161" s="9"/>
      <c r="CP161" s="9"/>
    </row>
    <row r="162" spans="1:94" ht="14.25" customHeight="1" outlineLevel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</row>
    <row r="163" spans="1:94" ht="14.25" customHeight="1" outlineLevel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</row>
    <row r="164" spans="1:94" ht="14.25" customHeight="1" outlineLevel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</row>
    <row r="165" spans="1:94" ht="14.25" customHeight="1" outlineLevel="1"/>
    <row r="166" spans="1:94" ht="14.25" customHeight="1" outlineLevel="1">
      <c r="A166" s="9"/>
      <c r="B166" s="88" t="s">
        <v>139</v>
      </c>
      <c r="C166" s="88"/>
      <c r="D166" s="89" t="str">
        <f>IS!D160</f>
        <v>A</v>
      </c>
      <c r="E166" s="89" t="str">
        <f>IS!E160</f>
        <v>A</v>
      </c>
      <c r="F166" s="89" t="str">
        <f>IS!F160</f>
        <v>A</v>
      </c>
      <c r="G166" s="89" t="str">
        <f>IS!G160</f>
        <v>A</v>
      </c>
      <c r="H166" s="89" t="str">
        <f>IS!H160</f>
        <v>A</v>
      </c>
      <c r="I166" s="89" t="str">
        <f>IS!I160</f>
        <v>A</v>
      </c>
      <c r="J166" s="89" t="str">
        <f>IS!J160</f>
        <v>A</v>
      </c>
      <c r="K166" s="89" t="str">
        <f>IS!K160</f>
        <v>A</v>
      </c>
      <c r="L166" s="89" t="str">
        <f>IS!L160</f>
        <v>A</v>
      </c>
      <c r="M166" s="89" t="str">
        <f>IS!M160</f>
        <v>A</v>
      </c>
      <c r="N166" s="89" t="str">
        <f>IS!N160</f>
        <v>A</v>
      </c>
      <c r="O166" s="89" t="str">
        <f>IS!O160</f>
        <v>A</v>
      </c>
      <c r="P166" s="89" t="str">
        <f>IS!P160</f>
        <v>A</v>
      </c>
      <c r="Q166" s="89" t="str">
        <f>IS!Q160</f>
        <v>A</v>
      </c>
      <c r="R166" s="89" t="str">
        <f>IS!R160</f>
        <v>A</v>
      </c>
      <c r="S166" s="89" t="str">
        <f>IS!S160</f>
        <v>A</v>
      </c>
      <c r="T166" s="89" t="str">
        <f>IS!T160</f>
        <v>A</v>
      </c>
      <c r="U166" s="89" t="str">
        <f>IS!U160</f>
        <v>A</v>
      </c>
      <c r="V166" s="89" t="str">
        <f>IS!V160</f>
        <v>A</v>
      </c>
      <c r="W166" s="89" t="str">
        <f>IS!W160</f>
        <v>A</v>
      </c>
      <c r="X166" s="89" t="str">
        <f>IS!X160</f>
        <v>A</v>
      </c>
      <c r="Y166" s="89" t="str">
        <f>IS!Y160</f>
        <v>A</v>
      </c>
      <c r="Z166" s="89" t="str">
        <f>IS!Z160</f>
        <v>A</v>
      </c>
      <c r="AA166" s="89" t="str">
        <f>IS!AA160</f>
        <v>A</v>
      </c>
      <c r="AB166" s="89" t="str">
        <f>IS!AB160</f>
        <v>A</v>
      </c>
      <c r="AC166" s="89" t="str">
        <f>IS!AC160</f>
        <v>A</v>
      </c>
      <c r="AD166" s="89" t="str">
        <f>IS!AD160</f>
        <v>A</v>
      </c>
      <c r="AE166" s="89" t="str">
        <f>IS!AE160</f>
        <v>A</v>
      </c>
      <c r="AF166" s="89" t="str">
        <f>IS!AF160</f>
        <v>A</v>
      </c>
      <c r="AG166" s="89" t="str">
        <f>IS!AG160</f>
        <v>A</v>
      </c>
      <c r="AH166" s="89" t="str">
        <f>IS!AH160</f>
        <v>A</v>
      </c>
      <c r="AI166" s="89" t="str">
        <f>IS!AI160</f>
        <v>A</v>
      </c>
      <c r="AJ166" s="89" t="str">
        <f>IS!AJ160</f>
        <v>A</v>
      </c>
      <c r="AK166" s="89" t="str">
        <f>IS!AK160</f>
        <v>A</v>
      </c>
      <c r="AL166" s="89" t="str">
        <f>IS!AL160</f>
        <v>A</v>
      </c>
      <c r="AM166" s="89" t="str">
        <f>IS!AM160</f>
        <v>A</v>
      </c>
      <c r="AN166" s="89" t="str">
        <f>IS!AN160</f>
        <v>A</v>
      </c>
      <c r="AO166" s="89" t="str">
        <f>IS!AO160</f>
        <v>A</v>
      </c>
      <c r="AP166" s="89" t="str">
        <f>IS!AP160</f>
        <v>A</v>
      </c>
      <c r="AQ166" s="89" t="str">
        <f>IS!AQ160</f>
        <v>A</v>
      </c>
      <c r="AR166" s="89" t="str">
        <f>IS!AR160</f>
        <v>A</v>
      </c>
      <c r="AS166" s="89" t="str">
        <f>IS!AS160</f>
        <v>A</v>
      </c>
      <c r="AT166" s="89" t="str">
        <f>IS!AT160</f>
        <v>A</v>
      </c>
      <c r="AU166" s="89" t="str">
        <f>IS!AU160</f>
        <v>A</v>
      </c>
      <c r="AV166" s="89" t="str">
        <f>IS!AV160</f>
        <v>A</v>
      </c>
      <c r="AW166" s="89" t="str">
        <f>IS!AW160</f>
        <v>A</v>
      </c>
      <c r="AX166" s="89" t="str">
        <f>IS!AX160</f>
        <v>A</v>
      </c>
      <c r="AY166" s="89" t="str">
        <f>IS!AY160</f>
        <v>A</v>
      </c>
      <c r="AZ166" s="89" t="str">
        <f>IS!AZ160</f>
        <v>A</v>
      </c>
      <c r="BA166" s="89" t="str">
        <f>IS!BA160</f>
        <v>A</v>
      </c>
      <c r="BB166" s="89" t="str">
        <f>IS!BB160</f>
        <v>A</v>
      </c>
      <c r="BC166" s="89" t="str">
        <f>IS!BC160</f>
        <v>A</v>
      </c>
      <c r="BD166" s="89" t="str">
        <f>IS!BD160</f>
        <v>A</v>
      </c>
      <c r="BE166" s="89" t="str">
        <f>IS!BE160</f>
        <v>A</v>
      </c>
      <c r="BF166" s="89" t="str">
        <f>IS!BF160</f>
        <v>A</v>
      </c>
      <c r="BG166" s="89" t="str">
        <f>IS!BG160</f>
        <v>A</v>
      </c>
      <c r="BH166" s="89" t="str">
        <f>IS!BH160</f>
        <v>A</v>
      </c>
      <c r="BI166" s="89" t="str">
        <f>IS!BI160</f>
        <v>A</v>
      </c>
      <c r="BJ166" s="89" t="str">
        <f>IS!BJ160</f>
        <v>A</v>
      </c>
      <c r="BK166" s="89" t="str">
        <f>IS!BK160</f>
        <v>A</v>
      </c>
      <c r="BL166" s="89" t="str">
        <f>IS!BL160</f>
        <v>E</v>
      </c>
      <c r="BM166" s="89" t="str">
        <f>IS!BM160</f>
        <v>E</v>
      </c>
      <c r="BN166" s="89" t="str">
        <f>IS!BN160</f>
        <v>E</v>
      </c>
      <c r="BO166" s="89" t="str">
        <f>IS!BO160</f>
        <v>E</v>
      </c>
      <c r="BP166" s="89" t="str">
        <f>IS!BP160</f>
        <v>E</v>
      </c>
      <c r="BQ166" s="89" t="str">
        <f>IS!BQ160</f>
        <v>E</v>
      </c>
      <c r="BR166" s="89" t="str">
        <f>IS!BR160</f>
        <v>E</v>
      </c>
      <c r="BS166" s="89" t="str">
        <f>IS!BS160</f>
        <v>E</v>
      </c>
      <c r="BT166" s="89" t="str">
        <f>IS!BT160</f>
        <v>E</v>
      </c>
      <c r="BU166" s="89" t="str">
        <f>IS!BU160</f>
        <v>E</v>
      </c>
      <c r="BV166" s="89" t="str">
        <f>IS!BV160</f>
        <v>E</v>
      </c>
      <c r="BW166" s="89" t="str">
        <f>IS!BW160</f>
        <v>E</v>
      </c>
      <c r="BX166" s="89"/>
      <c r="BY166" s="89" t="str">
        <f>IS!BY160</f>
        <v>A</v>
      </c>
      <c r="BZ166" s="89" t="str">
        <f>IS!BZ160</f>
        <v>A</v>
      </c>
      <c r="CA166" s="89" t="str">
        <f>IS!CA160</f>
        <v>A</v>
      </c>
      <c r="CB166" s="89" t="str">
        <f>IS!CB160</f>
        <v>A</v>
      </c>
      <c r="CC166" s="89" t="str">
        <f>IS!CC160</f>
        <v>A</v>
      </c>
      <c r="CD166" s="89" t="str">
        <f>IS!CD160</f>
        <v>A</v>
      </c>
      <c r="CE166" s="89" t="str">
        <f>IS!CE160</f>
        <v>A</v>
      </c>
      <c r="CF166" s="89" t="str">
        <f>IS!CF160</f>
        <v>A</v>
      </c>
      <c r="CG166" s="89" t="str">
        <f>IS!CG160</f>
        <v>A</v>
      </c>
      <c r="CH166" s="89" t="str">
        <f>IS!CH160</f>
        <v>A</v>
      </c>
      <c r="CI166" s="89" t="str">
        <f>IS!CI160</f>
        <v>A</v>
      </c>
      <c r="CJ166" s="89" t="str">
        <f>IS!CJ160</f>
        <v>A</v>
      </c>
      <c r="CK166" s="89" t="str">
        <f>IS!CK160</f>
        <v>A</v>
      </c>
      <c r="CL166" s="89" t="str">
        <f>IS!CL160</f>
        <v>E</v>
      </c>
      <c r="CM166" s="89" t="str">
        <f>IS!CM160</f>
        <v>A</v>
      </c>
      <c r="CN166" s="89" t="str">
        <f>IS!CN160</f>
        <v>E</v>
      </c>
      <c r="CO166" s="89" t="str">
        <f>IS!CO160</f>
        <v>E</v>
      </c>
      <c r="CP166" s="89" t="str">
        <f>IS!CP160</f>
        <v>E</v>
      </c>
    </row>
    <row r="167" spans="1:94" ht="14.25" customHeight="1" outlineLevel="2">
      <c r="A167" s="9"/>
      <c r="B167" s="57" t="s">
        <v>262</v>
      </c>
      <c r="C167" s="57"/>
      <c r="D167" s="157" t="s">
        <v>263</v>
      </c>
      <c r="E167" s="157" t="s">
        <v>263</v>
      </c>
      <c r="F167" s="157" t="s">
        <v>263</v>
      </c>
      <c r="G167" s="157" t="s">
        <v>263</v>
      </c>
      <c r="H167" s="157" t="s">
        <v>263</v>
      </c>
      <c r="I167" s="157" t="s">
        <v>263</v>
      </c>
      <c r="J167" s="157" t="s">
        <v>263</v>
      </c>
      <c r="K167" s="157" t="s">
        <v>263</v>
      </c>
      <c r="L167" s="157" t="s">
        <v>263</v>
      </c>
      <c r="M167" s="157" t="s">
        <v>263</v>
      </c>
      <c r="N167" s="157" t="s">
        <v>263</v>
      </c>
      <c r="O167" s="157" t="s">
        <v>263</v>
      </c>
      <c r="P167" s="157" t="s">
        <v>263</v>
      </c>
      <c r="Q167" s="157" t="s">
        <v>263</v>
      </c>
      <c r="R167" s="157" t="s">
        <v>263</v>
      </c>
      <c r="S167" s="157" t="s">
        <v>263</v>
      </c>
      <c r="T167" s="157" t="s">
        <v>263</v>
      </c>
      <c r="U167" s="157" t="s">
        <v>263</v>
      </c>
      <c r="V167" s="157" t="s">
        <v>263</v>
      </c>
      <c r="W167" s="157" t="s">
        <v>263</v>
      </c>
      <c r="X167" s="157" t="s">
        <v>263</v>
      </c>
      <c r="Y167" s="157" t="s">
        <v>263</v>
      </c>
      <c r="Z167" s="157" t="s">
        <v>263</v>
      </c>
      <c r="AA167" s="157" t="s">
        <v>263</v>
      </c>
      <c r="AB167" s="157" t="s">
        <v>263</v>
      </c>
      <c r="AC167" s="157" t="s">
        <v>263</v>
      </c>
      <c r="AD167" s="157" t="s">
        <v>263</v>
      </c>
      <c r="AE167" s="157" t="s">
        <v>263</v>
      </c>
      <c r="AF167" s="157" t="s">
        <v>263</v>
      </c>
      <c r="AG167" s="157" t="s">
        <v>263</v>
      </c>
      <c r="AH167" s="157" t="s">
        <v>263</v>
      </c>
      <c r="AI167" s="157" t="s">
        <v>263</v>
      </c>
      <c r="AJ167" s="157" t="s">
        <v>263</v>
      </c>
      <c r="AK167" s="157" t="s">
        <v>263</v>
      </c>
      <c r="AL167" s="157" t="s">
        <v>263</v>
      </c>
      <c r="AM167" s="157" t="s">
        <v>263</v>
      </c>
      <c r="AN167" s="157" t="s">
        <v>263</v>
      </c>
      <c r="AO167" s="157" t="s">
        <v>263</v>
      </c>
      <c r="AP167" s="157" t="s">
        <v>263</v>
      </c>
      <c r="AQ167" s="157" t="s">
        <v>263</v>
      </c>
      <c r="AR167" s="157" t="s">
        <v>263</v>
      </c>
      <c r="AS167" s="157" t="s">
        <v>263</v>
      </c>
      <c r="AT167" s="157" t="s">
        <v>263</v>
      </c>
      <c r="AU167" s="157" t="s">
        <v>263</v>
      </c>
      <c r="AV167" s="157" t="s">
        <v>263</v>
      </c>
      <c r="AW167" s="157" t="s">
        <v>263</v>
      </c>
      <c r="AX167" s="157" t="s">
        <v>263</v>
      </c>
      <c r="AY167" s="157" t="s">
        <v>263</v>
      </c>
      <c r="AZ167" s="157" t="s">
        <v>263</v>
      </c>
      <c r="BA167" s="157" t="s">
        <v>263</v>
      </c>
      <c r="BB167" s="157" t="s">
        <v>263</v>
      </c>
      <c r="BC167" s="157" t="s">
        <v>263</v>
      </c>
      <c r="BD167" s="157" t="s">
        <v>263</v>
      </c>
      <c r="BE167" s="157" t="s">
        <v>263</v>
      </c>
      <c r="BF167" s="157" t="s">
        <v>263</v>
      </c>
      <c r="BG167" s="157" t="s">
        <v>263</v>
      </c>
      <c r="BH167" s="157" t="s">
        <v>263</v>
      </c>
      <c r="BI167" s="157" t="s">
        <v>263</v>
      </c>
      <c r="BJ167" s="157" t="s">
        <v>263</v>
      </c>
      <c r="BK167" s="157" t="s">
        <v>263</v>
      </c>
      <c r="BL167" s="157" t="s">
        <v>263</v>
      </c>
      <c r="BM167" s="157" t="s">
        <v>263</v>
      </c>
      <c r="BN167" s="157" t="s">
        <v>263</v>
      </c>
      <c r="BO167" s="157" t="s">
        <v>263</v>
      </c>
      <c r="BP167" s="157" t="s">
        <v>263</v>
      </c>
      <c r="BQ167" s="157" t="s">
        <v>263</v>
      </c>
      <c r="BR167" s="157" t="s">
        <v>263</v>
      </c>
      <c r="BS167" s="157" t="s">
        <v>263</v>
      </c>
      <c r="BT167" s="157" t="s">
        <v>263</v>
      </c>
      <c r="BU167" s="157" t="s">
        <v>263</v>
      </c>
      <c r="BV167" s="157" t="s">
        <v>263</v>
      </c>
      <c r="BW167" s="157" t="s">
        <v>263</v>
      </c>
      <c r="BX167" s="9"/>
      <c r="BY167" s="157" t="s">
        <v>263</v>
      </c>
      <c r="BZ167" s="157" t="s">
        <v>263</v>
      </c>
      <c r="CA167" s="157" t="s">
        <v>263</v>
      </c>
      <c r="CB167" s="157" t="s">
        <v>263</v>
      </c>
      <c r="CC167" s="157" t="s">
        <v>263</v>
      </c>
      <c r="CD167" s="157" t="s">
        <v>263</v>
      </c>
      <c r="CE167" s="157" t="s">
        <v>263</v>
      </c>
      <c r="CF167" s="157" t="s">
        <v>263</v>
      </c>
      <c r="CG167" s="157" t="s">
        <v>263</v>
      </c>
      <c r="CH167" s="157" t="s">
        <v>263</v>
      </c>
      <c r="CI167" s="157" t="s">
        <v>263</v>
      </c>
      <c r="CJ167" s="157" t="s">
        <v>263</v>
      </c>
      <c r="CK167" s="157" t="s">
        <v>263</v>
      </c>
      <c r="CL167" s="157" t="s">
        <v>263</v>
      </c>
      <c r="CM167" s="157" t="s">
        <v>263</v>
      </c>
      <c r="CN167" s="157" t="s">
        <v>263</v>
      </c>
      <c r="CO167" s="157" t="s">
        <v>263</v>
      </c>
      <c r="CP167" s="157" t="s">
        <v>263</v>
      </c>
    </row>
    <row r="168" spans="1:94" ht="14.25" customHeight="1" outlineLevel="1">
      <c r="A168" s="9"/>
      <c r="B168" s="57" t="s">
        <v>264</v>
      </c>
      <c r="C168" s="57"/>
      <c r="D168" s="158"/>
      <c r="E168" s="158">
        <f>E66-D66+E69-D69-IS!E110</f>
        <v>-21.600000000000115</v>
      </c>
      <c r="F168" s="158">
        <f>F66-E66+F69-E69-IS!F110</f>
        <v>158.60000000000016</v>
      </c>
      <c r="G168" s="158">
        <f>G66-F66+G69-F69-IS!G110</f>
        <v>-0.70000000000018758</v>
      </c>
      <c r="H168" s="158">
        <f>H66-G66+H69-G69-IS!H110</f>
        <v>227.20000000000016</v>
      </c>
      <c r="I168" s="158">
        <f>I66-H66+I69-H69-IS!I110</f>
        <v>-1.2000000000000597</v>
      </c>
      <c r="J168" s="158">
        <f>J66-I66+J69-I69-IS!J110</f>
        <v>-1.1999999999999726</v>
      </c>
      <c r="K168" s="158">
        <f>K66-J66+K69-J69-IS!K110</f>
        <v>0.19999999999984652</v>
      </c>
      <c r="L168" s="158">
        <f>L66-K66+L69-K69-IS!L110</f>
        <v>-1.499999999999801</v>
      </c>
      <c r="M168" s="158">
        <f>M66-L66+M69-L69-IS!M110</f>
        <v>-1.4000000000000945</v>
      </c>
      <c r="N168" s="158">
        <f>N66-M66+N69-M69-IS!N110</f>
        <v>0</v>
      </c>
      <c r="O168" s="158">
        <f>O66-N66+O69-N69-IS!O110</f>
        <v>140.19999999999999</v>
      </c>
      <c r="P168" s="158">
        <f>P66-O66+P69-O69-IS!P110</f>
        <v>7.6999999999999176</v>
      </c>
      <c r="Q168" s="158">
        <f>Q66-P66+Q69-P69-IS!Q110</f>
        <v>81.79999999999994</v>
      </c>
      <c r="R168" s="158">
        <f>R66-Q66+R69-Q69-IS!R110</f>
        <v>5.000000000000199</v>
      </c>
      <c r="S168" s="158">
        <f>S66-R66+S69-R69-IS!S110</f>
        <v>-290.60000000000008</v>
      </c>
      <c r="T168" s="158">
        <f>T66-S66+T69-S69-IS!T110</f>
        <v>14.799999999999969</v>
      </c>
      <c r="U168" s="158">
        <f>U66-T66+U69-T69-IS!U110</f>
        <v>-40.899999999999913</v>
      </c>
      <c r="V168" s="158">
        <f>V66-U66+V69-U69-IS!V110</f>
        <v>17</v>
      </c>
      <c r="W168" s="158">
        <f>W66-V66+W69-V69-IS!W110</f>
        <v>8.2999999999998693</v>
      </c>
      <c r="X168" s="158">
        <f>X66-W66+X69-W69-IS!X110</f>
        <v>945.20000000000027</v>
      </c>
      <c r="Y168" s="158">
        <f>Y66-X66+Y69-X69-IS!Y110</f>
        <v>28.799999999999763</v>
      </c>
      <c r="Z168" s="158">
        <f>Z66-Y66+Z69-Y69-IS!Z110</f>
        <v>27.400000000000205</v>
      </c>
      <c r="AA168" s="158">
        <f>AA66-Z66+AA69-Z69-IS!AA110</f>
        <v>302.89999999999964</v>
      </c>
      <c r="AB168" s="158">
        <f>AB66-AA66+AB69-AA69-IS!AB110</f>
        <v>41.800000000000281</v>
      </c>
      <c r="AC168" s="158">
        <f>AC66-AB66+AC69-AB69-IS!AC110</f>
        <v>20.799999999999738</v>
      </c>
      <c r="AD168" s="158">
        <f>AD66-AC66+AD69-AC69-IS!AD110</f>
        <v>20.800000000000555</v>
      </c>
      <c r="AE168" s="158">
        <f>AE66-AD66+AE69-AD69-IS!AE110</f>
        <v>13.699999999999349</v>
      </c>
      <c r="AF168" s="158">
        <f>AF66-AE66+AF69-AE69-IS!AF110</f>
        <v>19.600000000000342</v>
      </c>
      <c r="AG168" s="158">
        <f>AG66-AF66+AG69-AF69-IS!AG110</f>
        <v>30.000000000000085</v>
      </c>
      <c r="AH168" s="158">
        <f>AH66-AG66+AH69-AG69-IS!AH110</f>
        <v>11.399999999999537</v>
      </c>
      <c r="AI168" s="158">
        <f>AI66-AH66+AI69-AH69-IS!AI110</f>
        <v>23.700000000000252</v>
      </c>
      <c r="AJ168" s="158">
        <f>AJ66-AI66+AJ69-AI69-IS!AJ110</f>
        <v>85.100000000000378</v>
      </c>
      <c r="AK168" s="158">
        <f>AK66-AJ66+AK69-AJ69-IS!AK110</f>
        <v>38.599999999999945</v>
      </c>
      <c r="AL168" s="158">
        <f>AL66-AK66+AL69-AK69-IS!AL110</f>
        <v>-18.900000000000198</v>
      </c>
      <c r="AM168" s="158">
        <f>AM66-AL66+AM69-AL69-IS!AM110</f>
        <v>-26.600000000000009</v>
      </c>
      <c r="AN168" s="158">
        <f>AN66-AM66+AN69-AM69-IS!AN110</f>
        <v>6.9000000000001442</v>
      </c>
      <c r="AO168" s="158">
        <f>AO66-AN66+AO69-AN69-IS!AO110</f>
        <v>4.9999999999999423</v>
      </c>
      <c r="AP168" s="158">
        <f>AP66-AO66+AP69-AO69-IS!AP110</f>
        <v>-17.900000000000055</v>
      </c>
      <c r="AQ168" s="158">
        <f>AQ66-AP66+AQ69-AP69-IS!AQ110</f>
        <v>-16.099999999999511</v>
      </c>
      <c r="AR168" s="158">
        <f>AR66-AQ66+AR69-AQ69-IS!AR110</f>
        <v>9.1999999999999353</v>
      </c>
      <c r="AS168" s="158">
        <f>AS66-AR66+AS69-AR69-IS!AS110</f>
        <v>3.4000000000001833</v>
      </c>
      <c r="AT168" s="158">
        <f>AT66-AS66+AT69-AS69-IS!AT110</f>
        <v>-18.900000000000603</v>
      </c>
      <c r="AU168" s="158">
        <f>AU66-AT66+AU69-AT69-IS!AU110</f>
        <v>-45.299999999999656</v>
      </c>
      <c r="AV168" s="158">
        <f>AV66-AU66+AV69-AU69-IS!AV110</f>
        <v>-6.5000000000001421</v>
      </c>
      <c r="AW168" s="158">
        <f>AW66-AV66+AW69-AV69-IS!AW110</f>
        <v>10.699999999999832</v>
      </c>
      <c r="AX168" s="158">
        <f>AX66-AW66+AX69-AW69-IS!AX110</f>
        <v>-6.3999999999996433</v>
      </c>
      <c r="AY168" s="158">
        <f>AY66-AX66+AY69-AX69-IS!AY110</f>
        <v>-24.100000000000353</v>
      </c>
      <c r="AZ168" s="158">
        <f>AZ66-AY66+AZ69-AY69-IS!AZ110</f>
        <v>-71.700000000000259</v>
      </c>
      <c r="BA168" s="158">
        <f>BA66-AZ66+BA69-AZ69-IS!BA110</f>
        <v>-61.099999999999355</v>
      </c>
      <c r="BB168" s="158">
        <f>BB66-BA66+BB69-BA69-IS!BB110</f>
        <v>-84.900000000000603</v>
      </c>
      <c r="BC168" s="158">
        <f>BC66-BB66+BC69-BB69-IS!BC110</f>
        <v>-5.9999999999994955</v>
      </c>
      <c r="BD168" s="158">
        <f>BD66-BC66+BD69-BC69-IS!BD110</f>
        <v>8.79999999999972</v>
      </c>
      <c r="BE168" s="158">
        <f>BE66-BD66+BE69-BD69-IS!BE110</f>
        <v>19.90000000000013</v>
      </c>
      <c r="BF168" s="158">
        <f>BF66-BE66+BF69-BE69-IS!BF110</f>
        <v>18.800000000000054</v>
      </c>
      <c r="BG168" s="158">
        <f>BG66-BF66+BG69-BF69-IS!BG110</f>
        <v>-6.6999999999997186</v>
      </c>
      <c r="BH168" s="158">
        <f>BH66-BG66+BH69-BG69-IS!BH110</f>
        <v>67.499999999999488</v>
      </c>
      <c r="BI168" s="158">
        <f>BI66-BH66+BI69-BH69-IS!BI110</f>
        <v>27.300000000000168</v>
      </c>
      <c r="BJ168" s="158">
        <f>BJ66-BI66+BJ69-BI69-IS!BJ110</f>
        <v>7.1999999999997755</v>
      </c>
      <c r="BK168" s="158">
        <f>BK66-BJ66+BK69-BJ69-IS!BK110</f>
        <v>33.300000000000182</v>
      </c>
      <c r="BL168" s="158">
        <f>BL66-BK66+BL69-BK69-IS!BL110</f>
        <v>0</v>
      </c>
      <c r="BM168" s="158">
        <f>BM66-BL66+BM69-BL69-IS!BM110</f>
        <v>0</v>
      </c>
      <c r="BN168" s="158">
        <f>BN66-BM66+BN69-BM69-IS!BN110</f>
        <v>0</v>
      </c>
      <c r="BO168" s="158">
        <f>BO66-BN66+BO69-BN69-IS!BO110</f>
        <v>0</v>
      </c>
      <c r="BP168" s="158">
        <f>BP66-BO66+BP69-BO69-IS!BP110</f>
        <v>0</v>
      </c>
      <c r="BQ168" s="158">
        <f>BQ66-BP66+BQ69-BP69-IS!BQ110</f>
        <v>0</v>
      </c>
      <c r="BR168" s="158">
        <f>BR66-BQ66+BR69-BQ69-IS!BR110</f>
        <v>0</v>
      </c>
      <c r="BS168" s="158">
        <f>BS66-BR66+BS69-BR69-IS!BS110</f>
        <v>0</v>
      </c>
      <c r="BT168" s="158">
        <f>BT66-BS66+BT69-BS69-IS!BT110</f>
        <v>0</v>
      </c>
      <c r="BU168" s="158">
        <f>BU66-BT66+BU69-BT69-IS!BU110</f>
        <v>0</v>
      </c>
      <c r="BV168" s="158">
        <f>BV66-BU66+BV69-BU69-IS!BV110</f>
        <v>0</v>
      </c>
      <c r="BW168" s="158">
        <f>BW66-BV66+BW69-BV69-IS!BW110</f>
        <v>0</v>
      </c>
      <c r="BX168" s="9"/>
      <c r="BY168" s="158">
        <f>BY66-BX66+BY69-BX69-IS!BY110</f>
        <v>-473.49999999999989</v>
      </c>
      <c r="BZ168" s="158">
        <f>BZ66-BY66+BZ69-BY69-IS!BZ110</f>
        <v>224.99999999999983</v>
      </c>
      <c r="CA168" s="158">
        <f>CA66-BZ66+CA69-BZ69-IS!CA110</f>
        <v>137.29999999999998</v>
      </c>
      <c r="CB168" s="158">
        <f>CB66-CA66+CB69-CA69-IS!CB110</f>
        <v>-196.0999999999998</v>
      </c>
      <c r="CC168" s="158">
        <f>CC66-CB66+CC69-CB69-IS!CC110</f>
        <v>-0.80000000000001137</v>
      </c>
      <c r="CD168" s="158">
        <f>CD66-CC66+CD69-CC69-IS!CD110</f>
        <v>1304.3000000000004</v>
      </c>
      <c r="CE168" s="158">
        <f>CE66-CD66+CE69-CD69-IS!CE110</f>
        <v>97.099999999999895</v>
      </c>
      <c r="CF168" s="158">
        <f>CF66-CE66+CF69-CE69-IS!CF110</f>
        <v>84.700000000000216</v>
      </c>
      <c r="CG168" s="158">
        <f>CG66-CF66+CG69-CF69-IS!CG110</f>
        <v>78.199999999999775</v>
      </c>
      <c r="CH168" s="158">
        <f>CH66-CG66+CH69-CG69-IS!CH110</f>
        <v>-22.099999999999184</v>
      </c>
      <c r="CI168" s="158">
        <f>CI66-CH66+CI69-CH69-IS!CI110</f>
        <v>-51.599999999999767</v>
      </c>
      <c r="CJ168" s="158">
        <f>CJ66-CI66+CJ69-CI69-IS!CJ110</f>
        <v>-26.30000000000058</v>
      </c>
      <c r="CK168" s="158">
        <f>CK66-CJ66+CK69-CJ69-IS!CK110</f>
        <v>-223.70000000000013</v>
      </c>
      <c r="CL168" s="158">
        <f>CL66-CK66+CL69-CK69-IS!CL110</f>
        <v>40.800000000000296</v>
      </c>
      <c r="CM168" s="158">
        <f>CM66-CL66+CM69-CL69-IS!CM110</f>
        <v>135.29999999999939</v>
      </c>
      <c r="CN168" s="158">
        <f>CN66-CM66+CN69-CM69-IS!CN110</f>
        <v>0</v>
      </c>
      <c r="CO168" s="158">
        <f>CO66-CN66+CO69-CN69-IS!CO110</f>
        <v>0</v>
      </c>
      <c r="CP168" s="158">
        <f>CP66-CO66+CP69-CO69-IS!CP110</f>
        <v>0</v>
      </c>
    </row>
    <row r="169" spans="1:94" ht="14.25" customHeight="1" outlineLevel="1">
      <c r="B169" s="57" t="s">
        <v>497</v>
      </c>
      <c r="D169" s="158">
        <f>CFS!D52+CFS!D53+CFS!D54+CFS!D56</f>
        <v>0.2</v>
      </c>
      <c r="E169" s="158">
        <f>CFS!E52+CFS!E53+CFS!E54+CFS!E56</f>
        <v>0.5</v>
      </c>
      <c r="F169" s="158">
        <f>CFS!F52+CFS!F53+CFS!F54+CFS!F56</f>
        <v>162.19999999999999</v>
      </c>
      <c r="G169" s="158">
        <f>CFS!G52+CFS!G53+CFS!G54+CFS!G56</f>
        <v>1.0999999999999943</v>
      </c>
      <c r="H169" s="158">
        <f>CFS!H52+CFS!H53+CFS!H54+CFS!H56</f>
        <v>233.3</v>
      </c>
      <c r="I169" s="158">
        <f>CFS!I52+CFS!I53+CFS!I54+CFS!I56</f>
        <v>0.50000000000000577</v>
      </c>
      <c r="J169" s="158">
        <f>CFS!J52+CFS!J53+CFS!J54+CFS!J56</f>
        <v>0.89999999999997682</v>
      </c>
      <c r="K169" s="158">
        <f>CFS!K52+CFS!K53+CFS!K54+CFS!K56</f>
        <v>1.3000000000000007</v>
      </c>
      <c r="L169" s="158">
        <f>CFS!L52+CFS!L53+CFS!L54+CFS!L56</f>
        <v>1</v>
      </c>
      <c r="M169" s="158">
        <f>CFS!M52+CFS!M53+CFS!M54+CFS!M56</f>
        <v>0.9</v>
      </c>
      <c r="N169" s="158">
        <f>CFS!N52+CFS!N53+CFS!N54+CFS!N56</f>
        <v>2.6</v>
      </c>
      <c r="O169" s="158">
        <f>CFS!O52+CFS!O53+CFS!O54+CFS!O56</f>
        <v>1.8</v>
      </c>
      <c r="P169" s="158">
        <f>CFS!P52+CFS!P53+CFS!P54+CFS!P56</f>
        <v>5.7</v>
      </c>
      <c r="Q169" s="158">
        <f>CFS!Q52+CFS!Q53+CFS!Q54+CFS!Q56</f>
        <v>80.7</v>
      </c>
      <c r="R169" s="158">
        <f>CFS!R52+CFS!R53+CFS!R54+CFS!R56</f>
        <v>1.9999999999999911</v>
      </c>
      <c r="S169" s="158">
        <f>CFS!S52+CFS!S53+CFS!S54+CFS!S56</f>
        <v>-294.8</v>
      </c>
      <c r="T169" s="158">
        <f>CFS!T52+CFS!T53+CFS!T54+CFS!T56</f>
        <v>20.3</v>
      </c>
      <c r="U169" s="158">
        <f>CFS!U52+CFS!U53+CFS!U54+CFS!U56</f>
        <v>-44.400000000000006</v>
      </c>
      <c r="V169" s="158">
        <f>CFS!V52+CFS!V53+CFS!V54+CFS!V56</f>
        <v>12.5</v>
      </c>
      <c r="W169" s="158">
        <f>CFS!W52+CFS!W53+CFS!W54+CFS!W56</f>
        <v>3.1999999999999984</v>
      </c>
      <c r="X169" s="158">
        <f>CFS!X52+CFS!X53+CFS!X54+CFS!X56</f>
        <v>9.9999999999999978E-2</v>
      </c>
      <c r="Y169" s="158">
        <f>CFS!Y52+CFS!Y53+CFS!Y54+CFS!Y56</f>
        <v>10.100000000000001</v>
      </c>
      <c r="Z169" s="158">
        <f>CFS!Z52+CFS!Z53+CFS!Z54+CFS!Z56</f>
        <v>5.3999999999999986</v>
      </c>
      <c r="AA169" s="158">
        <f>CFS!AA52+CFS!AA53+CFS!AA54+CFS!AA56</f>
        <v>1.9000000000000012</v>
      </c>
      <c r="AB169" s="158">
        <f>CFS!AB52+CFS!AB53+CFS!AB54+CFS!AB56</f>
        <v>0.59999999999999987</v>
      </c>
      <c r="AC169" s="158">
        <f>CFS!AC52+CFS!AC53+CFS!AC54+CFS!AC56</f>
        <v>4.7000000000000011</v>
      </c>
      <c r="AD169" s="158">
        <f>CFS!AD52+CFS!AD53+CFS!AD54+CFS!AD56</f>
        <v>7.3</v>
      </c>
      <c r="AE169" s="158">
        <f>CFS!AE52+CFS!AE53+CFS!AE54+CFS!AE56</f>
        <v>1.8000000000000016</v>
      </c>
      <c r="AF169" s="158">
        <f>CFS!AF52+CFS!AF53+CFS!AF54+CFS!AF56</f>
        <v>2.2999999999999998</v>
      </c>
      <c r="AG169" s="158">
        <f>CFS!AG52+CFS!AG53+CFS!AG54+CFS!AG56</f>
        <v>1.2999999999999998</v>
      </c>
      <c r="AH169" s="158">
        <f>CFS!AH52+CFS!AH53+CFS!AH54+CFS!AH56</f>
        <v>-0.79999999999999893</v>
      </c>
      <c r="AI169" s="158">
        <f>CFS!AI52+CFS!AI53+CFS!AI54+CFS!AI56</f>
        <v>12.5</v>
      </c>
      <c r="AJ169" s="158">
        <f>CFS!AJ52+CFS!AJ53+CFS!AJ54+CFS!AJ56</f>
        <v>35.4</v>
      </c>
      <c r="AK169" s="158">
        <f>CFS!AK52+CFS!AK53+CFS!AK54+CFS!AK56</f>
        <v>13.600000000000001</v>
      </c>
      <c r="AL169" s="158">
        <f>CFS!AL52+CFS!AL53+CFS!AL54+CFS!AL56</f>
        <v>15.399999999999995</v>
      </c>
      <c r="AM169" s="158">
        <f>CFS!AM52+CFS!AM53+CFS!AM54+CFS!AM56</f>
        <v>3.1000000000000019</v>
      </c>
      <c r="AN169" s="158">
        <f>CFS!AN52+CFS!AN53+CFS!AN54+CFS!AN56</f>
        <v>-0.5</v>
      </c>
      <c r="AO169" s="158">
        <f>CFS!AO52+CFS!AO53+CFS!AO54+CFS!AO56</f>
        <v>-0.20000000000000107</v>
      </c>
      <c r="AP169" s="158">
        <f>CFS!AP52+CFS!AP53+CFS!AP54+CFS!AP56</f>
        <v>-11.5</v>
      </c>
      <c r="AQ169" s="158">
        <f>CFS!AQ52+CFS!AQ53+CFS!AQ54+CFS!AQ56</f>
        <v>-25.599999999999998</v>
      </c>
      <c r="AR169" s="158">
        <f>CFS!AR52+CFS!AR53+CFS!AR54+CFS!AR56</f>
        <v>1.5999999999999996</v>
      </c>
      <c r="AS169" s="158">
        <f>CFS!AS52+CFS!AS53+CFS!AS54+CFS!AS56</f>
        <v>-2.2999999999999998</v>
      </c>
      <c r="AT169" s="158">
        <f>CFS!AT52+CFS!AT53+CFS!AT54+CFS!AT56</f>
        <v>-21.499999999999993</v>
      </c>
      <c r="AU169" s="158">
        <f>CFS!AU52+CFS!AU53+CFS!AU54+CFS!AU56</f>
        <v>-58.4</v>
      </c>
      <c r="AV169" s="158">
        <f>CFS!AV52+CFS!AV53+CFS!AV54+CFS!AV56</f>
        <v>-9.7999999999999989</v>
      </c>
      <c r="AW169" s="158">
        <f>CFS!AW52+CFS!AW53+CFS!AW54+CFS!AW56</f>
        <v>-3.1000000000000014</v>
      </c>
      <c r="AX169" s="158">
        <f>CFS!AX52+CFS!AX53+CFS!AX54+CFS!AX56</f>
        <v>-15.600000000000005</v>
      </c>
      <c r="AY169" s="158">
        <f>CFS!AY52+CFS!AY53+CFS!AY54+CFS!AY56</f>
        <v>-58.399999999999991</v>
      </c>
      <c r="AZ169" s="158">
        <f>CFS!AZ52+CFS!AZ53+CFS!AZ54+CFS!AZ56</f>
        <v>-69.8</v>
      </c>
      <c r="BA169" s="158">
        <f>CFS!BA52+CFS!BA53+CFS!BA54+CFS!BA56</f>
        <v>-124.6</v>
      </c>
      <c r="BB169" s="158">
        <f>CFS!BB52+CFS!BB53+CFS!BB54+CFS!BB56</f>
        <v>-97.8</v>
      </c>
      <c r="BC169" s="158">
        <f>CFS!BC52+CFS!BC53+CFS!BC54+CFS!BC56</f>
        <v>-14.3</v>
      </c>
      <c r="BD169" s="158">
        <f>CFS!BD52+CFS!BD53+CFS!BD54+CFS!BD56</f>
        <v>5.2</v>
      </c>
      <c r="BE169" s="158">
        <f>CFS!BE52+CFS!BE53+CFS!BE54+CFS!BE56</f>
        <v>4</v>
      </c>
      <c r="BF169" s="158">
        <f>CFS!BF52+CFS!BF53+CFS!BF54+CFS!BF56</f>
        <v>6.8000000000000007</v>
      </c>
      <c r="BG169" s="158">
        <f>CFS!BG52+CFS!BG53+CFS!BG54+CFS!BG56</f>
        <v>13.9</v>
      </c>
      <c r="BH169" s="158">
        <f>CFS!BH52+CFS!BH53+CFS!BH54+CFS!BH56</f>
        <v>-11.6</v>
      </c>
      <c r="BI169" s="158">
        <f>CFS!BI52+CFS!BI53+CFS!BI54+CFS!BI56</f>
        <v>7.1</v>
      </c>
      <c r="BJ169" s="158">
        <f>CFS!BJ52+CFS!BJ53+CFS!BJ54+CFS!BJ56</f>
        <v>1.8000000000000007</v>
      </c>
      <c r="BK169" s="158">
        <f>CFS!BK52+CFS!BK53+CFS!BK54+CFS!BK56</f>
        <v>19.300000000000004</v>
      </c>
      <c r="BL169" s="158">
        <f>CFS!BL52+CFS!BL53+CFS!BL54+CFS!BL56</f>
        <v>0</v>
      </c>
      <c r="BM169" s="158">
        <f>CFS!BM52+CFS!BM53+CFS!BM54+CFS!BM56</f>
        <v>0</v>
      </c>
      <c r="BN169" s="158">
        <f>CFS!BN52+CFS!BN53+CFS!BN54+CFS!BN56</f>
        <v>0</v>
      </c>
      <c r="BO169" s="158">
        <f>CFS!BO52+CFS!BO53+CFS!BO54+CFS!BO56</f>
        <v>0</v>
      </c>
      <c r="BP169" s="158">
        <f>CFS!BP52+CFS!BP53+CFS!BP54+CFS!BP56</f>
        <v>0</v>
      </c>
      <c r="BQ169" s="158">
        <f>CFS!BQ52+CFS!BQ53+CFS!BQ54+CFS!BQ56</f>
        <v>0</v>
      </c>
      <c r="BR169" s="158">
        <f>CFS!BR52+CFS!BR53+CFS!BR54+CFS!BR56</f>
        <v>0</v>
      </c>
      <c r="BS169" s="158">
        <f>CFS!BS52+CFS!BS53+CFS!BS54+CFS!BS56</f>
        <v>0</v>
      </c>
      <c r="BT169" s="158">
        <f>CFS!BT52+CFS!BT53+CFS!BT54+CFS!BT56</f>
        <v>0</v>
      </c>
      <c r="BU169" s="158">
        <f>CFS!BU52+CFS!BU53+CFS!BU54+CFS!BU56</f>
        <v>0</v>
      </c>
      <c r="BV169" s="158">
        <f>CFS!BV52+CFS!BV53+CFS!BV54+CFS!BV56</f>
        <v>0</v>
      </c>
      <c r="BW169" s="158">
        <f>CFS!BW52+CFS!BW53+CFS!BW54+CFS!BW56</f>
        <v>0</v>
      </c>
      <c r="BY169" s="158">
        <f>CFS!BY52+CFS!BY53+CFS!BY54+CFS!BY56</f>
        <v>164</v>
      </c>
      <c r="BZ169" s="158">
        <f>CFS!BZ52+CFS!BZ53+CFS!BZ54+CFS!BZ56</f>
        <v>236</v>
      </c>
      <c r="CA169" s="158">
        <f>CFS!CA52+CFS!CA53+CFS!CA54+CFS!CA56</f>
        <v>6.3</v>
      </c>
      <c r="CB169" s="158">
        <f>CFS!CB52+CFS!CB53+CFS!CB54+CFS!CB56</f>
        <v>-206.4</v>
      </c>
      <c r="CC169" s="158">
        <f>CFS!CC52+CFS!CC53+CFS!CC54+CFS!CC56</f>
        <v>-8.4000000000000057</v>
      </c>
      <c r="CD169" s="158">
        <f>CFS!CD52+CFS!CD53+CFS!CD54+CFS!CD56</f>
        <v>17.5</v>
      </c>
      <c r="CE169" s="158">
        <f>CFS!CE52+CFS!CE53+CFS!CE54+CFS!CE56</f>
        <v>14.399999999999999</v>
      </c>
      <c r="CF169" s="158">
        <f>CFS!CF52+CFS!CF53+CFS!CF54+CFS!CF56</f>
        <v>15.299999999999997</v>
      </c>
      <c r="CG169" s="158">
        <f>CFS!CG52+CFS!CG53+CFS!CG54+CFS!CG56</f>
        <v>67.5</v>
      </c>
      <c r="CH169" s="158">
        <f>CFS!CH52+CFS!CH53+CFS!CH54+CFS!CH56</f>
        <v>-37.799999999999997</v>
      </c>
      <c r="CI169" s="158">
        <f>CFS!CI52+CFS!CI53+CFS!CI54+CFS!CI56</f>
        <v>-80.599999999999994</v>
      </c>
      <c r="CJ169" s="158">
        <f>CFS!CJ52+CFS!CJ53+CFS!CJ54+CFS!CJ56</f>
        <v>-86.9</v>
      </c>
      <c r="CK169" s="158">
        <f>CFS!CK52+CFS!CK53+CFS!CK54+CFS!CK56</f>
        <v>-306.5</v>
      </c>
      <c r="CL169" s="158">
        <f>CFS!CL52+CFS!CL53+CFS!CL54+CFS!CL56</f>
        <v>29.9</v>
      </c>
      <c r="CM169" s="158">
        <f>CFS!CM52+CFS!CM53+CFS!CM54+CFS!CM56</f>
        <v>16.600000000000001</v>
      </c>
      <c r="CN169" s="158">
        <f>CFS!CN52+CFS!CN53+CFS!CN54+CFS!CN56</f>
        <v>0</v>
      </c>
      <c r="CO169" s="158">
        <f>CFS!CO52+CFS!CO53+CFS!CO54+CFS!CO56</f>
        <v>0</v>
      </c>
      <c r="CP169" s="158">
        <f>CFS!CQ52+CFS!CQ53+CFS!CQ54+CFS!CQ56</f>
        <v>0</v>
      </c>
    </row>
    <row r="170" spans="1:94" ht="14.25" customHeight="1" outlineLevel="1"/>
  </sheetData>
  <phoneticPr fontId="27" type="noConversion"/>
  <conditionalFormatting sqref="B4">
    <cfRule type="cellIs" dxfId="60" priority="1" stopIfTrue="1" operator="equal">
      <formula>"Bear Case"</formula>
    </cfRule>
    <cfRule type="cellIs" dxfId="59" priority="2" stopIfTrue="1" operator="equal">
      <formula>"Bull Case"</formula>
    </cfRule>
    <cfRule type="cellIs" dxfId="58" priority="3" stopIfTrue="1" operator="equal">
      <formula>"Base Case"</formula>
    </cfRule>
  </conditionalFormatting>
  <pageMargins left="0" right="0" top="0" bottom="0" header="0" footer="0"/>
  <pageSetup paperSize="5" scale="24" orientation="landscape" r:id="rId1"/>
  <headerFooter alignWithMargins="0"/>
  <cellWatches>
    <cellWatch r="AR48"/>
    <cellWatch r="AS48"/>
    <cellWatch r="AT48"/>
    <cellWatch r="AU48"/>
    <cellWatch r="AV48"/>
    <cellWatch r="AW48"/>
    <cellWatch r="AX48"/>
    <cellWatch r="AY48"/>
    <cellWatch r="CK48"/>
    <cellWatch r="CL48"/>
  </cellWatches>
  <ignoredErrors>
    <ignoredError sqref="BX26 BX63 BX19 CQ63 AZ89:BA89 BC89" formula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"/>
  <sheetViews>
    <sheetView workbookViewId="0"/>
  </sheetViews>
  <sheetFormatPr defaultRowHeight="12.75"/>
  <sheetData>
    <row r="1" spans="1:38">
      <c r="A1" t="s">
        <v>626</v>
      </c>
    </row>
    <row r="2" spans="1:38">
      <c r="A2" s="250" t="s">
        <v>335</v>
      </c>
      <c r="B2" s="250" t="s">
        <v>144</v>
      </c>
      <c r="C2" s="250" t="s">
        <v>296</v>
      </c>
      <c r="D2" s="250" t="s">
        <v>310</v>
      </c>
      <c r="E2" s="250" t="s">
        <v>371</v>
      </c>
      <c r="F2" s="250" t="s">
        <v>314</v>
      </c>
      <c r="G2" s="250" t="s">
        <v>313</v>
      </c>
      <c r="H2" s="250" t="s">
        <v>314</v>
      </c>
      <c r="I2" s="250" t="s">
        <v>372</v>
      </c>
      <c r="J2" s="250" t="s">
        <v>314</v>
      </c>
      <c r="K2" s="250" t="s">
        <v>312</v>
      </c>
      <c r="L2" s="250" t="s">
        <v>314</v>
      </c>
      <c r="M2" s="250" t="s">
        <v>295</v>
      </c>
      <c r="N2" s="250" t="s">
        <v>144</v>
      </c>
      <c r="O2" s="250" t="s">
        <v>294</v>
      </c>
      <c r="P2" s="250" t="s">
        <v>309</v>
      </c>
      <c r="Q2" s="250" t="s">
        <v>334</v>
      </c>
      <c r="R2" s="250" t="s">
        <v>496</v>
      </c>
      <c r="S2" s="250" t="s">
        <v>369</v>
      </c>
      <c r="T2" s="250" t="s">
        <v>314</v>
      </c>
      <c r="U2" s="250" t="s">
        <v>311</v>
      </c>
      <c r="V2" s="250" t="s">
        <v>314</v>
      </c>
      <c r="W2" s="250" t="s">
        <v>350</v>
      </c>
      <c r="X2" s="250" t="s">
        <v>436</v>
      </c>
      <c r="Y2" s="250" t="s">
        <v>370</v>
      </c>
      <c r="Z2" s="250" t="s">
        <v>314</v>
      </c>
      <c r="AA2" s="250" t="s">
        <v>600</v>
      </c>
      <c r="AB2" s="250" t="s">
        <v>144</v>
      </c>
      <c r="AC2" s="250" t="s">
        <v>524</v>
      </c>
      <c r="AD2" s="250" t="s">
        <v>314</v>
      </c>
      <c r="AE2" s="250" t="s">
        <v>526</v>
      </c>
      <c r="AF2" s="250" t="s">
        <v>314</v>
      </c>
      <c r="AG2" s="1160" t="s">
        <v>525</v>
      </c>
      <c r="AH2" s="1160" t="s">
        <v>314</v>
      </c>
      <c r="AI2" s="1160" t="s">
        <v>601</v>
      </c>
      <c r="AJ2" s="1160" t="s">
        <v>496</v>
      </c>
      <c r="AK2" s="1160" t="s">
        <v>596</v>
      </c>
      <c r="AL2" s="1160" t="s">
        <v>597</v>
      </c>
    </row>
  </sheetData>
  <phoneticPr fontId="27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  <pageSetUpPr fitToPage="1"/>
  </sheetPr>
  <dimension ref="A1:CX192"/>
  <sheetViews>
    <sheetView zoomScale="80" zoomScaleNormal="80" workbookViewId="0">
      <pane xSplit="3" ySplit="7" topLeftCell="BH29" activePane="bottomRight" state="frozen"/>
      <selection activeCell="CB8" sqref="CB8"/>
      <selection pane="topRight" activeCell="CB8" sqref="CB8"/>
      <selection pane="bottomLeft" activeCell="CB8" sqref="CB8"/>
      <selection pane="bottomRight" activeCell="BR52" sqref="BR52"/>
    </sheetView>
  </sheetViews>
  <sheetFormatPr defaultRowHeight="14.25" customHeight="1" outlineLevelRow="1" outlineLevelCol="1"/>
  <cols>
    <col min="1" max="1" width="1.5703125" customWidth="1"/>
    <col min="2" max="2" width="55.85546875" customWidth="1"/>
    <col min="3" max="3" width="1.7109375" customWidth="1"/>
    <col min="4" max="51" width="11.42578125" hidden="1" customWidth="1" outlineLevel="1"/>
    <col min="52" max="52" width="11.42578125" hidden="1" customWidth="1" outlineLevel="1" collapsed="1"/>
    <col min="53" max="59" width="11.42578125" hidden="1" customWidth="1" outlineLevel="1"/>
    <col min="60" max="60" width="11.42578125" customWidth="1" collapsed="1"/>
    <col min="61" max="67" width="11.42578125" customWidth="1"/>
    <col min="68" max="71" width="11.42578125" style="1372" customWidth="1"/>
    <col min="72" max="75" width="11.42578125" style="1463" hidden="1" customWidth="1" outlineLevel="1"/>
    <col min="76" max="76" width="2.7109375" customWidth="1" collapsed="1"/>
    <col min="77" max="82" width="11.42578125" hidden="1" customWidth="1" outlineLevel="1"/>
    <col min="83" max="90" width="11.42578125" style="1458" hidden="1" customWidth="1" outlineLevel="1"/>
    <col min="91" max="91" width="11.42578125" style="1458" customWidth="1" collapsed="1"/>
    <col min="92" max="92" width="11.42578125" style="1458" customWidth="1"/>
    <col min="93" max="93" width="11.42578125" style="1463" customWidth="1"/>
    <col min="94" max="94" width="11.42578125" style="1463" hidden="1" customWidth="1" outlineLevel="1"/>
    <col min="95" max="95" width="11.42578125" customWidth="1" collapsed="1"/>
    <col min="96" max="96" width="41.85546875" hidden="1" customWidth="1" outlineLevel="1"/>
    <col min="97" max="101" width="9.140625" hidden="1" customWidth="1" outlineLevel="1"/>
    <col min="102" max="102" width="9.140625" collapsed="1"/>
  </cols>
  <sheetData>
    <row r="1" spans="1:95" ht="67.5" customHeight="1">
      <c r="A1" s="2"/>
      <c r="B1" s="273"/>
      <c r="C1" s="2"/>
      <c r="D1" s="3"/>
      <c r="E1" s="3"/>
      <c r="F1" s="3"/>
      <c r="G1" s="3"/>
      <c r="H1" s="3"/>
      <c r="I1" s="3"/>
      <c r="J1" s="3"/>
      <c r="K1" s="2"/>
      <c r="L1" s="3"/>
      <c r="M1" s="2"/>
      <c r="N1" s="3"/>
      <c r="O1" s="2"/>
      <c r="P1" s="3"/>
      <c r="Q1" s="2"/>
      <c r="R1" s="3"/>
      <c r="S1" s="2"/>
      <c r="T1" s="3"/>
      <c r="U1" s="2"/>
      <c r="V1" s="3"/>
      <c r="W1" s="2"/>
      <c r="X1" s="3"/>
      <c r="Y1" s="2"/>
      <c r="Z1" s="3"/>
      <c r="AA1" s="2"/>
      <c r="AB1" s="3"/>
      <c r="AC1" s="2"/>
      <c r="AD1" s="3"/>
      <c r="AE1" s="2"/>
      <c r="AF1" s="3"/>
      <c r="AG1" s="2"/>
      <c r="AH1" s="3"/>
      <c r="AI1" s="2"/>
      <c r="AJ1" s="3"/>
      <c r="AK1" s="2"/>
      <c r="AL1" s="3"/>
      <c r="AM1" s="2"/>
      <c r="AN1" s="3"/>
      <c r="AO1" s="2"/>
      <c r="AP1" s="3"/>
      <c r="AQ1" s="2"/>
      <c r="AR1" s="3"/>
      <c r="AS1" s="2"/>
      <c r="AT1" s="3"/>
      <c r="AU1" s="2"/>
      <c r="AV1" s="3"/>
      <c r="AW1" s="2"/>
      <c r="AX1" s="3"/>
      <c r="AY1" s="2"/>
      <c r="AZ1" s="3"/>
      <c r="BA1" s="2"/>
      <c r="BB1" s="3"/>
      <c r="BC1" s="2"/>
      <c r="BD1" s="3"/>
      <c r="BE1" s="2"/>
      <c r="BF1" s="3"/>
      <c r="BG1" s="2"/>
      <c r="BH1" s="3"/>
      <c r="BI1" s="2"/>
      <c r="BJ1" s="3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3"/>
      <c r="BY1" s="3"/>
      <c r="BZ1" s="2"/>
      <c r="CA1" s="3"/>
      <c r="CB1" s="2"/>
      <c r="CC1" s="3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3"/>
      <c r="CQ1" s="160"/>
    </row>
    <row r="2" spans="1:95" ht="18" customHeight="1">
      <c r="A2" s="2"/>
      <c r="B2" s="5" t="s">
        <v>338</v>
      </c>
      <c r="C2" s="5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417"/>
      <c r="AR2" s="2"/>
      <c r="AS2" s="2"/>
      <c r="AT2" s="2"/>
      <c r="AU2" s="2"/>
      <c r="AV2" s="2"/>
      <c r="AW2" s="2"/>
      <c r="AX2" s="2"/>
      <c r="AY2" s="2"/>
      <c r="AZ2" s="160"/>
      <c r="BA2" s="1169"/>
      <c r="BB2" s="160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160"/>
    </row>
    <row r="3" spans="1:95" ht="14.2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523"/>
      <c r="AM3" s="523"/>
      <c r="AN3" s="523"/>
      <c r="AO3" s="523"/>
      <c r="AP3" s="523"/>
      <c r="AQ3" s="417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1037"/>
      <c r="BJ3" s="2"/>
      <c r="BK3" s="1037"/>
      <c r="BL3" s="7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160"/>
    </row>
    <row r="4" spans="1:95" ht="14.25" customHeight="1">
      <c r="A4" s="2"/>
      <c r="B4" s="306" t="str">
        <f>'Segment Results'!$B$4</f>
        <v>Base Case</v>
      </c>
      <c r="C4" s="8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417"/>
      <c r="AM4" s="417"/>
      <c r="AN4" s="417"/>
      <c r="AO4" s="417"/>
      <c r="AP4" s="2"/>
      <c r="AQ4" s="417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1037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1062"/>
      <c r="CQ4" s="160"/>
    </row>
    <row r="5" spans="1:95" ht="14.25" customHeight="1">
      <c r="A5" s="9"/>
      <c r="B5" s="10" t="s">
        <v>0</v>
      </c>
      <c r="C5" s="11"/>
      <c r="D5" s="397" t="str">
        <f>IS!D5</f>
        <v>C1Q03A</v>
      </c>
      <c r="E5" s="398" t="str">
        <f>IS!E5</f>
        <v>C2Q03A</v>
      </c>
      <c r="F5" s="398" t="str">
        <f>IS!F5</f>
        <v>C3Q03A</v>
      </c>
      <c r="G5" s="405" t="str">
        <f>IS!G5</f>
        <v>C4Q03A</v>
      </c>
      <c r="H5" s="397" t="str">
        <f>IS!H5</f>
        <v>C1Q04A</v>
      </c>
      <c r="I5" s="398" t="str">
        <f>IS!I5</f>
        <v>C2Q04A</v>
      </c>
      <c r="J5" s="398" t="str">
        <f>IS!J5</f>
        <v>C3Q04A</v>
      </c>
      <c r="K5" s="405" t="str">
        <f>IS!K5</f>
        <v>C4Q04A</v>
      </c>
      <c r="L5" s="397" t="str">
        <f>IS!L5</f>
        <v>C1Q05A</v>
      </c>
      <c r="M5" s="398" t="str">
        <f>IS!M5</f>
        <v>C2Q05A</v>
      </c>
      <c r="N5" s="398" t="str">
        <f>IS!N5</f>
        <v>C3Q05A</v>
      </c>
      <c r="O5" s="405" t="str">
        <f>IS!O5</f>
        <v>C4Q05A</v>
      </c>
      <c r="P5" s="397" t="str">
        <f>IS!P5</f>
        <v>C1Q06A</v>
      </c>
      <c r="Q5" s="398" t="str">
        <f>IS!Q5</f>
        <v>C2Q06A</v>
      </c>
      <c r="R5" s="398" t="str">
        <f>IS!R5</f>
        <v>C3Q06A</v>
      </c>
      <c r="S5" s="405" t="str">
        <f>IS!S5</f>
        <v>C4Q06A</v>
      </c>
      <c r="T5" s="397" t="str">
        <f>IS!T5</f>
        <v>C1Q07A</v>
      </c>
      <c r="U5" s="398" t="str">
        <f>IS!U5</f>
        <v>C2Q07A</v>
      </c>
      <c r="V5" s="398" t="str">
        <f>IS!V5</f>
        <v>C3Q07A</v>
      </c>
      <c r="W5" s="405" t="str">
        <f>IS!W5</f>
        <v>C4Q07A</v>
      </c>
      <c r="X5" s="397" t="str">
        <f>IS!X5</f>
        <v>C1Q08A</v>
      </c>
      <c r="Y5" s="398" t="str">
        <f>IS!Y5</f>
        <v>C2Q08A</v>
      </c>
      <c r="Z5" s="398" t="str">
        <f>IS!Z5</f>
        <v>C3Q08A</v>
      </c>
      <c r="AA5" s="405" t="str">
        <f>IS!AA5</f>
        <v>C4Q08A</v>
      </c>
      <c r="AB5" s="397" t="str">
        <f>IS!AB5</f>
        <v>C1Q09A</v>
      </c>
      <c r="AC5" s="398" t="str">
        <f>IS!AC5</f>
        <v>C2Q09A</v>
      </c>
      <c r="AD5" s="398" t="str">
        <f>IS!AD5</f>
        <v>C3Q09A</v>
      </c>
      <c r="AE5" s="405" t="str">
        <f>IS!AE5</f>
        <v>C4Q09A</v>
      </c>
      <c r="AF5" s="397" t="str">
        <f>IS!AF5</f>
        <v>C1Q10A</v>
      </c>
      <c r="AG5" s="398" t="str">
        <f>IS!AG5</f>
        <v>C2Q10A</v>
      </c>
      <c r="AH5" s="398" t="str">
        <f>IS!AH5</f>
        <v>C3Q10A</v>
      </c>
      <c r="AI5" s="405" t="str">
        <f>IS!AI5</f>
        <v>C4Q10A</v>
      </c>
      <c r="AJ5" s="397" t="str">
        <f>IS!AJ5</f>
        <v>C1Q11A</v>
      </c>
      <c r="AK5" s="398" t="str">
        <f>IS!AK5</f>
        <v>C2Q11A</v>
      </c>
      <c r="AL5" s="398" t="str">
        <f>IS!AL5</f>
        <v>C3Q11A</v>
      </c>
      <c r="AM5" s="405" t="str">
        <f>IS!AM5</f>
        <v>C4Q11A</v>
      </c>
      <c r="AN5" s="397" t="str">
        <f>IS!AN5</f>
        <v>C1Q12A</v>
      </c>
      <c r="AO5" s="398" t="str">
        <f>IS!AO5</f>
        <v>C2Q12A</v>
      </c>
      <c r="AP5" s="398" t="str">
        <f>IS!AP5</f>
        <v>C3Q12A</v>
      </c>
      <c r="AQ5" s="405" t="str">
        <f>IS!AQ5</f>
        <v>C4Q12A</v>
      </c>
      <c r="AR5" s="397" t="str">
        <f>IS!AR5</f>
        <v>C1Q13A</v>
      </c>
      <c r="AS5" s="398" t="str">
        <f>IS!AS5</f>
        <v>C2Q13A</v>
      </c>
      <c r="AT5" s="398" t="str">
        <f>IS!AT5</f>
        <v>C3Q13A</v>
      </c>
      <c r="AU5" s="405" t="str">
        <f>IS!AU5</f>
        <v>C4Q13A</v>
      </c>
      <c r="AV5" s="397" t="str">
        <f>IS!AV5</f>
        <v>C1Q14A</v>
      </c>
      <c r="AW5" s="398" t="str">
        <f>IS!AW5</f>
        <v>C2Q14A</v>
      </c>
      <c r="AX5" s="398" t="str">
        <f>IS!AX5</f>
        <v>C3Q14A</v>
      </c>
      <c r="AY5" s="405" t="str">
        <f>IS!AY5</f>
        <v>C4Q14A</v>
      </c>
      <c r="AZ5" s="397" t="str">
        <f>IS!AZ5</f>
        <v>C1Q15A</v>
      </c>
      <c r="BA5" s="398" t="str">
        <f>IS!BA5</f>
        <v>C2Q15E</v>
      </c>
      <c r="BB5" s="398" t="str">
        <f>IS!BB5</f>
        <v>C3Q15A</v>
      </c>
      <c r="BC5" s="405" t="str">
        <f>IS!BC5</f>
        <v>C4Q15A</v>
      </c>
      <c r="BD5" s="397" t="str">
        <f>IS!BD5</f>
        <v>C1Q16A</v>
      </c>
      <c r="BE5" s="398" t="str">
        <f>IS!BE5</f>
        <v>C2Q16A</v>
      </c>
      <c r="BF5" s="398" t="str">
        <f>IS!BF5</f>
        <v>C3Q16A</v>
      </c>
      <c r="BG5" s="405" t="str">
        <f>IS!BG5</f>
        <v>C4Q16A</v>
      </c>
      <c r="BH5" s="397" t="str">
        <f>IS!BH5</f>
        <v>C1Q17A</v>
      </c>
      <c r="BI5" s="398" t="str">
        <f>IS!BI5</f>
        <v>C2Q17A</v>
      </c>
      <c r="BJ5" s="398" t="str">
        <f>IS!BJ5</f>
        <v>C3Q17A</v>
      </c>
      <c r="BK5" s="405" t="str">
        <f>IS!BK5</f>
        <v>C4Q17A</v>
      </c>
      <c r="BL5" s="397" t="str">
        <f>IS!BL5</f>
        <v>C1Q18E</v>
      </c>
      <c r="BM5" s="398" t="str">
        <f>IS!BM5</f>
        <v>C2Q18E</v>
      </c>
      <c r="BN5" s="398" t="str">
        <f>IS!BN5</f>
        <v>C3Q18E</v>
      </c>
      <c r="BO5" s="405" t="str">
        <f>IS!BO5</f>
        <v>C4Q18E</v>
      </c>
      <c r="BP5" s="1251" t="str">
        <f>IS!BP5</f>
        <v>C1Q19E</v>
      </c>
      <c r="BQ5" s="1252" t="str">
        <f>IS!BQ5</f>
        <v>C2Q19E</v>
      </c>
      <c r="BR5" s="1252" t="str">
        <f>IS!BR5</f>
        <v>C3Q19E</v>
      </c>
      <c r="BS5" s="1255" t="str">
        <f>IS!BS5</f>
        <v>C4Q19E</v>
      </c>
      <c r="BT5" s="1251" t="str">
        <f>IS!BT5</f>
        <v>C1Q20E</v>
      </c>
      <c r="BU5" s="1252" t="str">
        <f>IS!BU5</f>
        <v>C2Q20E</v>
      </c>
      <c r="BV5" s="1252" t="str">
        <f>IS!BV5</f>
        <v>C3Q20E</v>
      </c>
      <c r="BW5" s="1255" t="str">
        <f>IS!BW5</f>
        <v>C4Q20E</v>
      </c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160"/>
    </row>
    <row r="6" spans="1:95" ht="14.25" customHeight="1">
      <c r="A6" s="9"/>
      <c r="B6" s="13" t="s">
        <v>317</v>
      </c>
      <c r="C6" s="14"/>
      <c r="D6" s="397">
        <f>IS!D6</f>
        <v>37711</v>
      </c>
      <c r="E6" s="398">
        <f>IS!E6</f>
        <v>37802</v>
      </c>
      <c r="F6" s="398">
        <f>IS!F6</f>
        <v>37894</v>
      </c>
      <c r="G6" s="405">
        <f>IS!G6</f>
        <v>37986</v>
      </c>
      <c r="H6" s="397">
        <f>IS!H6</f>
        <v>38077</v>
      </c>
      <c r="I6" s="398">
        <f>IS!I6</f>
        <v>38168</v>
      </c>
      <c r="J6" s="398">
        <f>IS!J6</f>
        <v>38260</v>
      </c>
      <c r="K6" s="405">
        <f>IS!K6</f>
        <v>38352</v>
      </c>
      <c r="L6" s="397">
        <f>IS!L6</f>
        <v>38442</v>
      </c>
      <c r="M6" s="398">
        <f>IS!M6</f>
        <v>38533</v>
      </c>
      <c r="N6" s="398">
        <f>IS!N6</f>
        <v>38625</v>
      </c>
      <c r="O6" s="405">
        <f>IS!O6</f>
        <v>38717</v>
      </c>
      <c r="P6" s="397">
        <f>IS!P6</f>
        <v>38807</v>
      </c>
      <c r="Q6" s="398">
        <f>IS!Q6</f>
        <v>38898</v>
      </c>
      <c r="R6" s="398">
        <f>IS!R6</f>
        <v>38990</v>
      </c>
      <c r="S6" s="405">
        <f>IS!S6</f>
        <v>39082</v>
      </c>
      <c r="T6" s="397">
        <f>IS!T6</f>
        <v>39172</v>
      </c>
      <c r="U6" s="398">
        <f>IS!U6</f>
        <v>39263</v>
      </c>
      <c r="V6" s="398">
        <f>IS!V6</f>
        <v>39355</v>
      </c>
      <c r="W6" s="405">
        <f>IS!W6</f>
        <v>39447</v>
      </c>
      <c r="X6" s="397">
        <f>IS!X6</f>
        <v>39538</v>
      </c>
      <c r="Y6" s="398">
        <f>IS!Y6</f>
        <v>39629</v>
      </c>
      <c r="Z6" s="398">
        <f>IS!Z6</f>
        <v>39721</v>
      </c>
      <c r="AA6" s="405">
        <f>IS!AA6</f>
        <v>39813</v>
      </c>
      <c r="AB6" s="397">
        <f>IS!AB6</f>
        <v>39903</v>
      </c>
      <c r="AC6" s="398">
        <f>IS!AC6</f>
        <v>39994</v>
      </c>
      <c r="AD6" s="398">
        <f>IS!AD6</f>
        <v>40086</v>
      </c>
      <c r="AE6" s="405">
        <f>IS!AE6</f>
        <v>40178</v>
      </c>
      <c r="AF6" s="397">
        <f>IS!AF6</f>
        <v>40268</v>
      </c>
      <c r="AG6" s="398">
        <f>IS!AG6</f>
        <v>40359</v>
      </c>
      <c r="AH6" s="398">
        <f>IS!AH6</f>
        <v>40451</v>
      </c>
      <c r="AI6" s="405">
        <f>IS!AI6</f>
        <v>40543</v>
      </c>
      <c r="AJ6" s="397">
        <f>IS!AJ6</f>
        <v>40633</v>
      </c>
      <c r="AK6" s="398">
        <f>IS!AK6</f>
        <v>40724</v>
      </c>
      <c r="AL6" s="398">
        <f>IS!AL6</f>
        <v>40816</v>
      </c>
      <c r="AM6" s="405">
        <f>IS!AM6</f>
        <v>40908</v>
      </c>
      <c r="AN6" s="397">
        <f>IS!AN6</f>
        <v>40999</v>
      </c>
      <c r="AO6" s="398">
        <f>IS!AO6</f>
        <v>41090</v>
      </c>
      <c r="AP6" s="398">
        <f>IS!AP6</f>
        <v>41182</v>
      </c>
      <c r="AQ6" s="405">
        <f>IS!AQ6</f>
        <v>41274</v>
      </c>
      <c r="AR6" s="397">
        <f>IS!AR6</f>
        <v>41364</v>
      </c>
      <c r="AS6" s="398">
        <f>IS!AS6</f>
        <v>41455</v>
      </c>
      <c r="AT6" s="398">
        <f>IS!AT6</f>
        <v>41547</v>
      </c>
      <c r="AU6" s="405">
        <f>IS!AU6</f>
        <v>41639</v>
      </c>
      <c r="AV6" s="397">
        <f>IS!AV6</f>
        <v>41729</v>
      </c>
      <c r="AW6" s="398">
        <f>IS!AW6</f>
        <v>41820</v>
      </c>
      <c r="AX6" s="398">
        <f>IS!AX6</f>
        <v>41912</v>
      </c>
      <c r="AY6" s="405">
        <f>IS!AY6</f>
        <v>42004</v>
      </c>
      <c r="AZ6" s="397">
        <f>IS!AZ6</f>
        <v>42094</v>
      </c>
      <c r="BA6" s="398">
        <f>IS!BA6</f>
        <v>42185</v>
      </c>
      <c r="BB6" s="398">
        <f>IS!BB6</f>
        <v>42277</v>
      </c>
      <c r="BC6" s="405">
        <f>IS!BC6</f>
        <v>42369</v>
      </c>
      <c r="BD6" s="397">
        <f>IS!BD6</f>
        <v>42460</v>
      </c>
      <c r="BE6" s="398">
        <f>IS!BE6</f>
        <v>42551</v>
      </c>
      <c r="BF6" s="398">
        <f>IS!BF6</f>
        <v>42643</v>
      </c>
      <c r="BG6" s="405">
        <f>IS!BG6</f>
        <v>42735</v>
      </c>
      <c r="BH6" s="397">
        <f>IS!BH6</f>
        <v>42825</v>
      </c>
      <c r="BI6" s="398">
        <f>IS!BI6</f>
        <v>42916</v>
      </c>
      <c r="BJ6" s="398">
        <f>IS!BJ6</f>
        <v>43008</v>
      </c>
      <c r="BK6" s="405">
        <f>IS!BK6</f>
        <v>43100</v>
      </c>
      <c r="BL6" s="397">
        <f>IS!BL6</f>
        <v>43190</v>
      </c>
      <c r="BM6" s="398">
        <f>IS!BM6</f>
        <v>43281</v>
      </c>
      <c r="BN6" s="398">
        <f>IS!BN6</f>
        <v>43373</v>
      </c>
      <c r="BO6" s="405">
        <f>IS!BO6</f>
        <v>43465</v>
      </c>
      <c r="BP6" s="1251">
        <f>IS!BP6</f>
        <v>43555</v>
      </c>
      <c r="BQ6" s="1252">
        <f>IS!BQ6</f>
        <v>43646</v>
      </c>
      <c r="BR6" s="1252">
        <f>IS!BR6</f>
        <v>43738</v>
      </c>
      <c r="BS6" s="1255">
        <f>IS!BS6</f>
        <v>43830</v>
      </c>
      <c r="BT6" s="1251">
        <f>IS!BT6</f>
        <v>43921</v>
      </c>
      <c r="BU6" s="1252">
        <f>IS!BU6</f>
        <v>44012</v>
      </c>
      <c r="BV6" s="1252">
        <f>IS!BV6</f>
        <v>44104</v>
      </c>
      <c r="BW6" s="1255">
        <f>IS!BW6</f>
        <v>44196</v>
      </c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15"/>
    </row>
    <row r="7" spans="1:95" ht="14.25" customHeight="1">
      <c r="A7" s="9"/>
      <c r="B7" s="13"/>
      <c r="C7" s="161"/>
      <c r="D7" s="18" t="str">
        <f>IS!D7</f>
        <v>F1Q03A</v>
      </c>
      <c r="E7" s="19" t="str">
        <f>IS!E7</f>
        <v>F2Q03A</v>
      </c>
      <c r="F7" s="19" t="str">
        <f>IS!F7</f>
        <v>F3Q03A</v>
      </c>
      <c r="G7" s="20" t="str">
        <f>IS!G7</f>
        <v>F4Q03A</v>
      </c>
      <c r="H7" s="18" t="str">
        <f>IS!H7</f>
        <v>F1Q04A</v>
      </c>
      <c r="I7" s="19" t="str">
        <f>IS!I7</f>
        <v>F2Q04A</v>
      </c>
      <c r="J7" s="19" t="str">
        <f>IS!J7</f>
        <v>F3Q04A</v>
      </c>
      <c r="K7" s="20" t="str">
        <f>IS!K7</f>
        <v>F4Q04A</v>
      </c>
      <c r="L7" s="18" t="str">
        <f>IS!L7</f>
        <v>F1Q05A</v>
      </c>
      <c r="M7" s="19" t="str">
        <f>IS!M7</f>
        <v>F2Q05A</v>
      </c>
      <c r="N7" s="19" t="str">
        <f>IS!N7</f>
        <v>F3Q05A</v>
      </c>
      <c r="O7" s="20" t="str">
        <f>IS!O7</f>
        <v>F4Q05A</v>
      </c>
      <c r="P7" s="18" t="str">
        <f>IS!P7</f>
        <v>F1Q06A</v>
      </c>
      <c r="Q7" s="19" t="str">
        <f>IS!Q7</f>
        <v>F2Q06A</v>
      </c>
      <c r="R7" s="19" t="str">
        <f>IS!R7</f>
        <v>F3Q06A</v>
      </c>
      <c r="S7" s="20" t="str">
        <f>IS!S7</f>
        <v>F4Q06A</v>
      </c>
      <c r="T7" s="18" t="str">
        <f>IS!T7</f>
        <v>F1Q07A</v>
      </c>
      <c r="U7" s="19" t="str">
        <f>IS!U7</f>
        <v>F2Q07A</v>
      </c>
      <c r="V7" s="19" t="str">
        <f>IS!V7</f>
        <v>F3Q07A</v>
      </c>
      <c r="W7" s="20" t="str">
        <f>IS!W7</f>
        <v>F4Q07A</v>
      </c>
      <c r="X7" s="18" t="str">
        <f>IS!X7</f>
        <v>F1Q08A</v>
      </c>
      <c r="Y7" s="19" t="str">
        <f>IS!Y7</f>
        <v>F2Q08A</v>
      </c>
      <c r="Z7" s="19" t="str">
        <f>IS!Z7</f>
        <v>F3Q08A</v>
      </c>
      <c r="AA7" s="20" t="str">
        <f>IS!AA7</f>
        <v>F4Q08A</v>
      </c>
      <c r="AB7" s="18" t="str">
        <f>IS!AB7</f>
        <v>F1Q09A</v>
      </c>
      <c r="AC7" s="19" t="str">
        <f>IS!AC7</f>
        <v>F2Q09A</v>
      </c>
      <c r="AD7" s="19" t="str">
        <f>IS!AD7</f>
        <v>F3Q09A</v>
      </c>
      <c r="AE7" s="20" t="str">
        <f>IS!AE7</f>
        <v>F4Q09A</v>
      </c>
      <c r="AF7" s="18" t="str">
        <f>IS!AF7</f>
        <v>F1Q10A</v>
      </c>
      <c r="AG7" s="19" t="str">
        <f>IS!AG7</f>
        <v>F2Q10A</v>
      </c>
      <c r="AH7" s="19" t="str">
        <f>IS!AH7</f>
        <v>F3Q10A</v>
      </c>
      <c r="AI7" s="20" t="str">
        <f>IS!AI7</f>
        <v>F4Q10A</v>
      </c>
      <c r="AJ7" s="18" t="str">
        <f>IS!AJ7</f>
        <v>F1Q11A</v>
      </c>
      <c r="AK7" s="19" t="str">
        <f>IS!AK7</f>
        <v>F2Q11A</v>
      </c>
      <c r="AL7" s="19" t="str">
        <f>IS!AL7</f>
        <v>F3Q11A</v>
      </c>
      <c r="AM7" s="20" t="str">
        <f>IS!AM7</f>
        <v>F4Q11A</v>
      </c>
      <c r="AN7" s="18" t="str">
        <f>IS!AN7</f>
        <v>F1Q12A</v>
      </c>
      <c r="AO7" s="19" t="str">
        <f>IS!AO7</f>
        <v>F2Q12A</v>
      </c>
      <c r="AP7" s="19" t="str">
        <f>IS!AP7</f>
        <v>F3Q12A</v>
      </c>
      <c r="AQ7" s="20" t="str">
        <f>IS!AQ7</f>
        <v>F4Q12A</v>
      </c>
      <c r="AR7" s="18" t="str">
        <f>IS!AR7</f>
        <v>F1Q13A</v>
      </c>
      <c r="AS7" s="19" t="str">
        <f>IS!AS7</f>
        <v>F2Q13A</v>
      </c>
      <c r="AT7" s="19" t="str">
        <f>IS!AT7</f>
        <v>F3Q13A</v>
      </c>
      <c r="AU7" s="20" t="str">
        <f>IS!AU7</f>
        <v>F4Q13A</v>
      </c>
      <c r="AV7" s="18" t="str">
        <f>IS!AV7</f>
        <v>F1Q14A</v>
      </c>
      <c r="AW7" s="19" t="str">
        <f>IS!AW7</f>
        <v>F2Q14A</v>
      </c>
      <c r="AX7" s="19" t="str">
        <f>IS!AX7</f>
        <v>F3Q14A</v>
      </c>
      <c r="AY7" s="20" t="str">
        <f>IS!AY7</f>
        <v>F4Q14A</v>
      </c>
      <c r="AZ7" s="18" t="str">
        <f>IS!AZ7</f>
        <v>F1Q15A</v>
      </c>
      <c r="BA7" s="19" t="str">
        <f>IS!BA7</f>
        <v>F2Q15A</v>
      </c>
      <c r="BB7" s="19" t="str">
        <f>IS!BB7</f>
        <v>F3Q15A</v>
      </c>
      <c r="BC7" s="20" t="str">
        <f>IS!BC7</f>
        <v>F4Q15A</v>
      </c>
      <c r="BD7" s="18" t="str">
        <f>IS!BD7</f>
        <v>F1Q16A</v>
      </c>
      <c r="BE7" s="19" t="str">
        <f>IS!BE7</f>
        <v>F2Q16A</v>
      </c>
      <c r="BF7" s="19" t="str">
        <f>IS!BF7</f>
        <v>F3Q16A</v>
      </c>
      <c r="BG7" s="20" t="str">
        <f>IS!BG7</f>
        <v>F4Q16A</v>
      </c>
      <c r="BH7" s="18" t="str">
        <f>IS!BH7</f>
        <v>F1Q17A</v>
      </c>
      <c r="BI7" s="19" t="str">
        <f>IS!BI7</f>
        <v>F2Q17A</v>
      </c>
      <c r="BJ7" s="19" t="str">
        <f>IS!BJ7</f>
        <v>F3Q17A</v>
      </c>
      <c r="BK7" s="20" t="str">
        <f>IS!BK7</f>
        <v>F4Q17A</v>
      </c>
      <c r="BL7" s="18" t="str">
        <f>IS!BL7</f>
        <v>F1Q18E</v>
      </c>
      <c r="BM7" s="19" t="str">
        <f>IS!BM7</f>
        <v>F2Q18E</v>
      </c>
      <c r="BN7" s="19" t="str">
        <f>IS!BN7</f>
        <v>F3Q18E</v>
      </c>
      <c r="BO7" s="20" t="str">
        <f>IS!BO7</f>
        <v>F4Q18E</v>
      </c>
      <c r="BP7" s="1299" t="str">
        <f>IS!BP7</f>
        <v>F1Q19E</v>
      </c>
      <c r="BQ7" s="1300" t="str">
        <f>IS!BQ7</f>
        <v>F2Q19E</v>
      </c>
      <c r="BR7" s="1300" t="str">
        <f>IS!BR7</f>
        <v>F3Q19E</v>
      </c>
      <c r="BS7" s="1301" t="str">
        <f>IS!BS7</f>
        <v>F4Q19E</v>
      </c>
      <c r="BT7" s="1390" t="str">
        <f>IS!BT7</f>
        <v>F1Q20E</v>
      </c>
      <c r="BU7" s="1391" t="str">
        <f>IS!BU7</f>
        <v>F2Q20E</v>
      </c>
      <c r="BV7" s="1391" t="str">
        <f>IS!BV7</f>
        <v>F3Q20E</v>
      </c>
      <c r="BW7" s="1392" t="str">
        <f>IS!BW7</f>
        <v>F4Q20E</v>
      </c>
      <c r="BX7" s="21"/>
      <c r="BY7" s="18" t="str">
        <f>IS!BY7</f>
        <v>FY2003A</v>
      </c>
      <c r="BZ7" s="19" t="str">
        <f>IS!BZ7</f>
        <v>FY2004A</v>
      </c>
      <c r="CA7" s="19" t="str">
        <f>IS!CA7</f>
        <v>FY2005A</v>
      </c>
      <c r="CB7" s="19" t="str">
        <f>IS!CB7</f>
        <v>FY2006A</v>
      </c>
      <c r="CC7" s="19" t="str">
        <f>IS!CC7</f>
        <v>FY2007A</v>
      </c>
      <c r="CD7" s="19" t="str">
        <f>IS!CD7</f>
        <v>FY2008A</v>
      </c>
      <c r="CE7" s="1391" t="str">
        <f>IS!CE7</f>
        <v>FY2009A</v>
      </c>
      <c r="CF7" s="1391" t="str">
        <f>IS!CF7</f>
        <v>FY2010A</v>
      </c>
      <c r="CG7" s="1391" t="str">
        <f>IS!CG7</f>
        <v>FY2011A</v>
      </c>
      <c r="CH7" s="1391" t="str">
        <f>IS!CH7</f>
        <v>FY2012A</v>
      </c>
      <c r="CI7" s="1391" t="str">
        <f>IS!CI7</f>
        <v>FY2013A</v>
      </c>
      <c r="CJ7" s="1391" t="str">
        <f>IS!CJ7</f>
        <v>FY2014A</v>
      </c>
      <c r="CK7" s="1391" t="str">
        <f>IS!CK7</f>
        <v>FY2015A</v>
      </c>
      <c r="CL7" s="1391" t="str">
        <f>IS!CL7</f>
        <v>FY2016</v>
      </c>
      <c r="CM7" s="1391" t="str">
        <f>IS!CM7</f>
        <v>FY2017A</v>
      </c>
      <c r="CN7" s="1391" t="s">
        <v>399</v>
      </c>
      <c r="CO7" s="1391" t="s">
        <v>400</v>
      </c>
      <c r="CP7" s="1264" t="s">
        <v>674</v>
      </c>
      <c r="CQ7" s="22"/>
    </row>
    <row r="8" spans="1:95" ht="14.25" customHeight="1">
      <c r="A8" s="9"/>
      <c r="B8" s="162" t="str">
        <f t="shared" ref="B8:B16" si="0">B118</f>
        <v>Cash flows provided by (used for) operating activities:</v>
      </c>
      <c r="C8" s="46"/>
      <c r="D8" s="165"/>
      <c r="E8" s="163"/>
      <c r="F8" s="163"/>
      <c r="G8" s="163"/>
      <c r="H8" s="165"/>
      <c r="I8" s="163"/>
      <c r="J8" s="163"/>
      <c r="K8" s="163"/>
      <c r="L8" s="165"/>
      <c r="M8" s="163"/>
      <c r="N8" s="163"/>
      <c r="O8" s="163"/>
      <c r="P8" s="165"/>
      <c r="Q8" s="163"/>
      <c r="R8" s="163"/>
      <c r="S8" s="163"/>
      <c r="T8" s="165"/>
      <c r="U8" s="163"/>
      <c r="V8" s="163"/>
      <c r="W8" s="163"/>
      <c r="X8" s="165"/>
      <c r="Y8" s="163"/>
      <c r="Z8" s="163"/>
      <c r="AA8" s="163"/>
      <c r="AB8" s="165"/>
      <c r="AC8" s="163"/>
      <c r="AD8" s="163"/>
      <c r="AE8" s="163"/>
      <c r="AF8" s="165"/>
      <c r="AG8" s="163"/>
      <c r="AH8" s="163"/>
      <c r="AI8" s="163"/>
      <c r="AJ8" s="165"/>
      <c r="AK8" s="163"/>
      <c r="AL8" s="163"/>
      <c r="AM8" s="163"/>
      <c r="AN8" s="646"/>
      <c r="AO8" s="163"/>
      <c r="AP8" s="163"/>
      <c r="AQ8" s="166"/>
      <c r="AR8" s="646"/>
      <c r="AS8" s="163"/>
      <c r="AT8" s="163"/>
      <c r="AU8" s="164"/>
      <c r="AV8" s="646"/>
      <c r="AW8" s="166"/>
      <c r="AX8" s="166"/>
      <c r="AY8" s="167"/>
      <c r="AZ8" s="165"/>
      <c r="BA8" s="163"/>
      <c r="BB8" s="163"/>
      <c r="BC8" s="163"/>
      <c r="BD8" s="165"/>
      <c r="BE8" s="163"/>
      <c r="BF8" s="163"/>
      <c r="BG8" s="163"/>
      <c r="BH8" s="165"/>
      <c r="BI8" s="163"/>
      <c r="BJ8" s="163"/>
      <c r="BK8" s="167"/>
      <c r="BL8" s="163"/>
      <c r="BM8" s="163"/>
      <c r="BN8" s="163"/>
      <c r="BO8" s="167"/>
      <c r="BP8" s="163"/>
      <c r="BQ8" s="163"/>
      <c r="BR8" s="163"/>
      <c r="BS8" s="167"/>
      <c r="BT8" s="163"/>
      <c r="BU8" s="163"/>
      <c r="BV8" s="163"/>
      <c r="BW8" s="163"/>
      <c r="BX8" s="21"/>
      <c r="BY8" s="166"/>
      <c r="BZ8" s="163"/>
      <c r="CA8" s="166"/>
      <c r="CB8" s="163"/>
      <c r="CC8" s="163"/>
      <c r="CD8" s="163"/>
      <c r="CE8" s="163"/>
      <c r="CF8" s="163"/>
      <c r="CG8" s="163"/>
      <c r="CH8" s="163"/>
      <c r="CI8" s="163"/>
      <c r="CJ8" s="163"/>
      <c r="CK8" s="163"/>
      <c r="CL8" s="163"/>
      <c r="CM8" s="163"/>
      <c r="CN8" s="163"/>
      <c r="CO8" s="163"/>
      <c r="CP8" s="164"/>
      <c r="CQ8" s="22"/>
    </row>
    <row r="9" spans="1:95" ht="14.25" customHeight="1">
      <c r="A9" s="9"/>
      <c r="B9" s="23" t="str">
        <f t="shared" si="0"/>
        <v>Net income</v>
      </c>
      <c r="C9" s="24"/>
      <c r="D9" s="85">
        <f>D119</f>
        <v>-50.5</v>
      </c>
      <c r="E9" s="86">
        <f>E119-D9</f>
        <v>-57.5</v>
      </c>
      <c r="F9" s="86">
        <f>F119-D9-E9</f>
        <v>-16.299999999999997</v>
      </c>
      <c r="G9" s="86">
        <f>G119-D9-E9-F9</f>
        <v>-42.399999999999991</v>
      </c>
      <c r="H9" s="85">
        <f>H119</f>
        <v>-47.6</v>
      </c>
      <c r="I9" s="86">
        <f>I119-H9</f>
        <v>-3.5</v>
      </c>
      <c r="J9" s="86">
        <f>J119-H9-I9</f>
        <v>15.700000000000003</v>
      </c>
      <c r="K9" s="86">
        <f>K119-H9-I9-J9</f>
        <v>-88.3</v>
      </c>
      <c r="L9" s="85">
        <f>L119</f>
        <v>14.8</v>
      </c>
      <c r="M9" s="86">
        <f>M119-L9</f>
        <v>18.499999999999996</v>
      </c>
      <c r="N9" s="86">
        <f>N119-L9-M9</f>
        <v>23.500000000000004</v>
      </c>
      <c r="O9" s="86">
        <f>O119-L9-M9-N9</f>
        <v>43.8</v>
      </c>
      <c r="P9" s="85">
        <f>P119</f>
        <v>40.4</v>
      </c>
      <c r="Q9" s="86">
        <f>Q119-P9</f>
        <v>67.5</v>
      </c>
      <c r="R9" s="86">
        <f>R119-P9-Q9</f>
        <v>76.799999999999983</v>
      </c>
      <c r="S9" s="86">
        <f>S119-P9-Q9-R9</f>
        <v>87.400000000000034</v>
      </c>
      <c r="T9" s="85">
        <f>T119</f>
        <v>54</v>
      </c>
      <c r="U9" s="86">
        <f>U119-T9</f>
        <v>63.3</v>
      </c>
      <c r="V9" s="86">
        <f>V119-T9-U9</f>
        <v>63.8</v>
      </c>
      <c r="W9" s="86">
        <f>W119-T9-U9-V9</f>
        <v>61.099999999999994</v>
      </c>
      <c r="X9" s="85">
        <f>X119</f>
        <v>10.7</v>
      </c>
      <c r="Y9" s="86">
        <f>Y119-X9</f>
        <v>33.5</v>
      </c>
      <c r="Z9" s="86">
        <f>Z119-X9-Y9</f>
        <v>51</v>
      </c>
      <c r="AA9" s="86">
        <f>AA119-X9-Y9-Z9</f>
        <v>-523.79999999999995</v>
      </c>
      <c r="AB9" s="85">
        <f>AB119</f>
        <v>-33.5</v>
      </c>
      <c r="AC9" s="86">
        <f>AC119-AB9</f>
        <v>-2.2000000000000028</v>
      </c>
      <c r="AD9" s="86">
        <f>AD119-AB9-AC9</f>
        <v>30.6</v>
      </c>
      <c r="AE9" s="86">
        <f>AE119-AB9-AC9-AD9</f>
        <v>68.400000000000006</v>
      </c>
      <c r="AF9" s="85">
        <f>AF119</f>
        <v>63.7</v>
      </c>
      <c r="AG9" s="86">
        <f>AG119-AF9</f>
        <v>79.600000000000009</v>
      </c>
      <c r="AH9" s="86">
        <f>AH119-AF9-AG9</f>
        <v>88.399999999999991</v>
      </c>
      <c r="AI9" s="86">
        <f>AI119-AF9-AG9-AH9</f>
        <v>61.199999999999974</v>
      </c>
      <c r="AJ9" s="85">
        <f>AJ119</f>
        <v>36.200000000000003</v>
      </c>
      <c r="AK9" s="86">
        <f>AK119-AJ9</f>
        <v>35.099999999999994</v>
      </c>
      <c r="AL9" s="86">
        <f>AL119-AJ9-AK9</f>
        <v>-49</v>
      </c>
      <c r="AM9" s="86">
        <f>AM119-AJ9-AK9-AL9</f>
        <v>-7.3999999999999986</v>
      </c>
      <c r="AN9" s="85">
        <f>AN119</f>
        <v>29</v>
      </c>
      <c r="AO9" s="86">
        <f>AO119-AN9</f>
        <v>8.2000000000000028</v>
      </c>
      <c r="AP9" s="86">
        <f>AP119-AN9-AO9</f>
        <v>13.399999999999999</v>
      </c>
      <c r="AQ9" s="86">
        <f>AQ119-AN9-AO9-AP9</f>
        <v>-136.9</v>
      </c>
      <c r="AR9" s="85">
        <f>AR119</f>
        <v>23.3</v>
      </c>
      <c r="AS9" s="86">
        <f>AS119-AR9</f>
        <v>48.7</v>
      </c>
      <c r="AT9" s="86">
        <f>AT119-AR9-AS9</f>
        <v>52.8</v>
      </c>
      <c r="AU9" s="86">
        <f>AU119-AR9-AS9-AT9</f>
        <v>29.199999999999989</v>
      </c>
      <c r="AV9" s="85">
        <f>AV119</f>
        <v>58.6</v>
      </c>
      <c r="AW9" s="86">
        <f>AW119-AV9</f>
        <v>89</v>
      </c>
      <c r="AX9" s="86">
        <f>AX119-AV9-AW9</f>
        <v>42</v>
      </c>
      <c r="AY9" s="87">
        <f>AY119-AV9-AW9-AX9</f>
        <v>2.5</v>
      </c>
      <c r="AZ9" s="85">
        <f>AZ119</f>
        <v>55.8</v>
      </c>
      <c r="BA9" s="86">
        <f>BA119-AZ9</f>
        <v>51.400000000000006</v>
      </c>
      <c r="BB9" s="86">
        <f>BB119-AZ9-BA9</f>
        <v>46.8</v>
      </c>
      <c r="BC9" s="87">
        <f>BC119-AZ9-BA9-BB9</f>
        <v>54.999999999999986</v>
      </c>
      <c r="BD9" s="85">
        <f>BD119</f>
        <v>36.4</v>
      </c>
      <c r="BE9" s="86">
        <f>BE119-BD9</f>
        <v>25.800000000000004</v>
      </c>
      <c r="BF9" s="86">
        <f>BF119-BD9-BE9</f>
        <v>10.599999999999994</v>
      </c>
      <c r="BG9" s="87">
        <f>BG119-BD9-BE9-BF9</f>
        <v>111.69999999999999</v>
      </c>
      <c r="BH9" s="85">
        <f>BH119</f>
        <v>78.7</v>
      </c>
      <c r="BI9" s="86">
        <f>BI119-BH9</f>
        <v>94.399999999999991</v>
      </c>
      <c r="BJ9" s="86">
        <f>BJ119-BH9-BI9</f>
        <v>108.90000000000002</v>
      </c>
      <c r="BK9" s="87">
        <f>BK119-BH9-BI9-BJ9</f>
        <v>531</v>
      </c>
      <c r="BL9" s="1154">
        <f>IS!BL97</f>
        <v>140.56389460453701</v>
      </c>
      <c r="BM9" s="1154">
        <f>IS!BM97</f>
        <v>186.31582511018468</v>
      </c>
      <c r="BN9" s="1154">
        <f>IS!BN97</f>
        <v>196.4113167169061</v>
      </c>
      <c r="BO9" s="1155">
        <f>IS!BO97</f>
        <v>187.93928116585403</v>
      </c>
      <c r="BP9" s="1154">
        <f>IS!BP97</f>
        <v>185.63643690068847</v>
      </c>
      <c r="BQ9" s="1154">
        <f>IS!BQ97</f>
        <v>205.53252266361815</v>
      </c>
      <c r="BR9" s="1154">
        <f>IS!BR97</f>
        <v>223.11962024148892</v>
      </c>
      <c r="BS9" s="1155">
        <f>IS!BS97</f>
        <v>216.52577256924505</v>
      </c>
      <c r="BT9" s="1154">
        <f>IS!BT97</f>
        <v>207.06409561152162</v>
      </c>
      <c r="BU9" s="1154">
        <f>IS!BU97</f>
        <v>227.96674705491813</v>
      </c>
      <c r="BV9" s="1154">
        <f>IS!BV97</f>
        <v>246.22299455172583</v>
      </c>
      <c r="BW9" s="1155">
        <f>IS!BW97</f>
        <v>239.32847855305613</v>
      </c>
      <c r="BX9" s="21"/>
      <c r="BY9" s="86">
        <f>SUM(D9:G9)</f>
        <v>-166.7</v>
      </c>
      <c r="BZ9" s="86">
        <f>SUM(H9:K9)</f>
        <v>-123.69999999999999</v>
      </c>
      <c r="CA9" s="86">
        <f>SUM(L9:O9)</f>
        <v>100.6</v>
      </c>
      <c r="CB9" s="86">
        <f>SUM(P9:S9)</f>
        <v>272.10000000000002</v>
      </c>
      <c r="CC9" s="86">
        <f>SUM(T9:W9)</f>
        <v>242.2</v>
      </c>
      <c r="CD9" s="86">
        <f>SUM(X9:AA9)</f>
        <v>-428.59999999999997</v>
      </c>
      <c r="CE9" s="86">
        <f>SUM(AB9:AE9)</f>
        <v>63.300000000000004</v>
      </c>
      <c r="CF9" s="86">
        <f>SUM(AF9:AI9)</f>
        <v>292.89999999999998</v>
      </c>
      <c r="CG9" s="86">
        <f>SUM(AJ9:AM9)</f>
        <v>14.899999999999999</v>
      </c>
      <c r="CH9" s="86">
        <f>SUM(AN9:AQ9)</f>
        <v>-86.300000000000011</v>
      </c>
      <c r="CI9" s="86">
        <f>SUM(AR9:AU9)</f>
        <v>154</v>
      </c>
      <c r="CJ9" s="86">
        <f>SUM(AV9:AY9)</f>
        <v>192.1</v>
      </c>
      <c r="CK9" s="86">
        <f>SUM(AZ9:BC9)</f>
        <v>209</v>
      </c>
      <c r="CL9" s="86">
        <f>SUM(BD9:BG9)</f>
        <v>184.5</v>
      </c>
      <c r="CM9" s="86">
        <f>SUM(BH9:BK9)</f>
        <v>813</v>
      </c>
      <c r="CN9" s="86">
        <f>SUM(BL9:BO9)</f>
        <v>711.23031759748176</v>
      </c>
      <c r="CO9" s="86">
        <f>SUM(BP9:BS9)</f>
        <v>830.81435237504058</v>
      </c>
      <c r="CP9" s="87">
        <f>SUM(BT9:BW9)</f>
        <v>920.58231577122172</v>
      </c>
      <c r="CQ9" s="22"/>
    </row>
    <row r="10" spans="1:95" ht="14.25" customHeight="1">
      <c r="A10" s="9"/>
      <c r="B10" s="168" t="str">
        <f t="shared" si="0"/>
        <v>Adjustments to reconcile net income to net cash</v>
      </c>
      <c r="C10" s="169"/>
      <c r="D10" s="172"/>
      <c r="E10" s="170"/>
      <c r="F10" s="170"/>
      <c r="G10" s="170"/>
      <c r="H10" s="172"/>
      <c r="I10" s="170"/>
      <c r="J10" s="170"/>
      <c r="K10" s="170"/>
      <c r="L10" s="172"/>
      <c r="M10" s="170"/>
      <c r="N10" s="170"/>
      <c r="O10" s="170"/>
      <c r="P10" s="172"/>
      <c r="Q10" s="170"/>
      <c r="R10" s="170"/>
      <c r="S10" s="170"/>
      <c r="T10" s="172"/>
      <c r="U10" s="170"/>
      <c r="V10" s="170"/>
      <c r="W10" s="170"/>
      <c r="X10" s="172"/>
      <c r="Y10" s="170"/>
      <c r="Z10" s="170"/>
      <c r="AA10" s="170"/>
      <c r="AB10" s="172"/>
      <c r="AC10" s="170"/>
      <c r="AD10" s="170"/>
      <c r="AE10" s="170"/>
      <c r="AF10" s="172"/>
      <c r="AG10" s="170"/>
      <c r="AH10" s="170"/>
      <c r="AI10" s="170"/>
      <c r="AJ10" s="172"/>
      <c r="AK10" s="170"/>
      <c r="AL10" s="170"/>
      <c r="AM10" s="170"/>
      <c r="AN10" s="172"/>
      <c r="AO10" s="170"/>
      <c r="AP10" s="170"/>
      <c r="AQ10" s="170"/>
      <c r="AR10" s="172"/>
      <c r="AS10" s="170"/>
      <c r="AT10" s="170"/>
      <c r="AU10" s="170"/>
      <c r="AV10" s="172"/>
      <c r="AW10" s="170"/>
      <c r="AX10" s="170"/>
      <c r="AY10" s="171"/>
      <c r="AZ10" s="172"/>
      <c r="BA10" s="170"/>
      <c r="BB10" s="170"/>
      <c r="BC10" s="171"/>
      <c r="BD10" s="172"/>
      <c r="BE10" s="170"/>
      <c r="BF10" s="170"/>
      <c r="BG10" s="171"/>
      <c r="BH10" s="172"/>
      <c r="BI10" s="170"/>
      <c r="BJ10" s="170"/>
      <c r="BK10" s="171"/>
      <c r="BL10" s="170"/>
      <c r="BM10" s="170"/>
      <c r="BN10" s="170"/>
      <c r="BO10" s="171"/>
      <c r="BP10" s="170"/>
      <c r="BQ10" s="170"/>
      <c r="BR10" s="170"/>
      <c r="BS10" s="171"/>
      <c r="BT10" s="170"/>
      <c r="BU10" s="170"/>
      <c r="BV10" s="170"/>
      <c r="BW10" s="170"/>
      <c r="BX10" s="21"/>
      <c r="BY10" s="170"/>
      <c r="BZ10" s="170"/>
      <c r="CA10" s="170"/>
      <c r="CB10" s="170"/>
      <c r="CC10" s="170"/>
      <c r="CD10" s="170"/>
      <c r="CE10" s="170"/>
      <c r="CF10" s="170"/>
      <c r="CG10" s="170"/>
      <c r="CH10" s="170"/>
      <c r="CI10" s="170"/>
      <c r="CJ10" s="170"/>
      <c r="CK10" s="170"/>
      <c r="CL10" s="170"/>
      <c r="CM10" s="170"/>
      <c r="CN10" s="170"/>
      <c r="CO10" s="170"/>
      <c r="CP10" s="171"/>
      <c r="CQ10" s="22"/>
    </row>
    <row r="11" spans="1:95" ht="14.25" customHeight="1">
      <c r="A11" s="9"/>
      <c r="B11" s="48" t="str">
        <f t="shared" si="0"/>
        <v xml:space="preserve">Depreciation </v>
      </c>
      <c r="C11" s="49"/>
      <c r="D11" s="175">
        <f>D121</f>
        <v>33</v>
      </c>
      <c r="E11" s="173">
        <f t="shared" ref="E11:E26" si="1">E121-D11</f>
        <v>33.699999999999989</v>
      </c>
      <c r="F11" s="173">
        <f t="shared" ref="F11:F26" si="2">F121-D11-E11</f>
        <v>28</v>
      </c>
      <c r="G11" s="173">
        <f t="shared" ref="G11:G36" si="3">G121-D11-E11-F11</f>
        <v>27.200000000000003</v>
      </c>
      <c r="H11" s="175">
        <f>H121</f>
        <v>26.3</v>
      </c>
      <c r="I11" s="173">
        <f t="shared" ref="I11:I26" si="4">I121-H11</f>
        <v>24.8</v>
      </c>
      <c r="J11" s="173">
        <f t="shared" ref="J11:J26" si="5">J121-H11-I11</f>
        <v>25.499999999999996</v>
      </c>
      <c r="K11" s="173">
        <f t="shared" ref="K11:K36" si="6">K121-H11-I11-J11</f>
        <v>25.500000000000004</v>
      </c>
      <c r="L11" s="175">
        <f>L121</f>
        <v>25.1</v>
      </c>
      <c r="M11" s="173">
        <f t="shared" ref="M11:M26" si="7">M121-L11</f>
        <v>24.799999999999997</v>
      </c>
      <c r="N11" s="173">
        <f t="shared" ref="N11:N26" si="8">N121-L11-M11</f>
        <v>25.000000000000007</v>
      </c>
      <c r="O11" s="173">
        <f t="shared" ref="O11:O36" si="9">O121-L11-M11-N11</f>
        <v>24.1</v>
      </c>
      <c r="P11" s="175">
        <f>P121</f>
        <v>23.5</v>
      </c>
      <c r="Q11" s="173">
        <f t="shared" ref="Q11:Q26" si="10">Q121-P11</f>
        <v>16.900000000000006</v>
      </c>
      <c r="R11" s="173">
        <f t="shared" ref="R11:R26" si="11">R121-P11-Q11</f>
        <v>18.899999999999991</v>
      </c>
      <c r="S11" s="173">
        <f t="shared" ref="S11:S36" si="12">S121-P11-Q11-R11</f>
        <v>20.600000000000009</v>
      </c>
      <c r="T11" s="175">
        <f>T121</f>
        <v>21.5</v>
      </c>
      <c r="U11" s="173">
        <f t="shared" ref="U11:U26" si="13">U121-T11</f>
        <v>22.099999999999994</v>
      </c>
      <c r="V11" s="173">
        <f t="shared" ref="V11:V26" si="14">V121-T11-U11</f>
        <v>22.299999999999997</v>
      </c>
      <c r="W11" s="173">
        <f t="shared" ref="W11:W36" si="15">W121-T11-U11-V11</f>
        <v>24.5</v>
      </c>
      <c r="X11" s="175">
        <f>X121</f>
        <v>24.9</v>
      </c>
      <c r="Y11" s="173">
        <f t="shared" ref="Y11:Y26" si="16">Y121-X11</f>
        <v>30.4</v>
      </c>
      <c r="Z11" s="173">
        <f t="shared" ref="Z11:Z26" si="17">Z121-X11-Y11</f>
        <v>30.599999999999994</v>
      </c>
      <c r="AA11" s="173">
        <f t="shared" ref="AA11:AA36" si="18">AA121-X11-Y11-Z11</f>
        <v>31.29999999999999</v>
      </c>
      <c r="AB11" s="175">
        <f>AB121</f>
        <v>31.900000000000002</v>
      </c>
      <c r="AC11" s="173">
        <f t="shared" ref="AC11:AC26" si="19">AC121-AB11</f>
        <v>31.2</v>
      </c>
      <c r="AD11" s="173">
        <f t="shared" ref="AD11:AD26" si="20">AD121-AB11-AC11</f>
        <v>30.999999999999989</v>
      </c>
      <c r="AE11" s="173">
        <f t="shared" ref="AE11:AE36" si="21">AE121-AB11-AC11-AD11</f>
        <v>30.2</v>
      </c>
      <c r="AF11" s="175">
        <f>AF121</f>
        <v>31.300000000000004</v>
      </c>
      <c r="AG11" s="173">
        <f t="shared" ref="AG11:AG26" si="22">AG121-AF11</f>
        <v>31.599999999999994</v>
      </c>
      <c r="AH11" s="173">
        <f t="shared" ref="AH11:AH26" si="23">AH121-AF11-AG11</f>
        <v>33.900000000000006</v>
      </c>
      <c r="AI11" s="173">
        <f t="shared" ref="AI11:AI36" si="24">AI121-AF11-AG11-AH11</f>
        <v>36</v>
      </c>
      <c r="AJ11" s="175">
        <f>AJ121</f>
        <v>42.5</v>
      </c>
      <c r="AK11" s="173">
        <f t="shared" ref="AK11:AK26" si="25">AK121-AJ11</f>
        <v>45.2</v>
      </c>
      <c r="AL11" s="173">
        <f t="shared" ref="AL11:AL26" si="26">AL121-AJ11-AK11</f>
        <v>46.3</v>
      </c>
      <c r="AM11" s="173">
        <f t="shared" ref="AM11:AM36" si="27">AM121-AJ11-AK11-AL11</f>
        <v>51.600000000000023</v>
      </c>
      <c r="AN11" s="175">
        <f>AN121</f>
        <v>50</v>
      </c>
      <c r="AO11" s="173">
        <f t="shared" ref="AO11:AO26" si="28">AO121-AN11</f>
        <v>49.2</v>
      </c>
      <c r="AP11" s="173">
        <f t="shared" ref="AP11:AP26" si="29">AP121-AN11-AO11</f>
        <v>50.199999999999974</v>
      </c>
      <c r="AQ11" s="173">
        <f t="shared" ref="AQ11:AQ36" si="30">AQ121-AN11-AO11-AP11</f>
        <v>49.800000000000011</v>
      </c>
      <c r="AR11" s="175">
        <f>AR121</f>
        <v>40.199999999999996</v>
      </c>
      <c r="AS11" s="173">
        <f t="shared" ref="AS11:AS26" si="31">AS121-AR11</f>
        <v>46.800000000000004</v>
      </c>
      <c r="AT11" s="173">
        <f t="shared" ref="AT11:AT26" si="32">AT121-AR11-AS11</f>
        <v>44.699999999999996</v>
      </c>
      <c r="AU11" s="173">
        <f t="shared" ref="AU11:AU36" si="33">AU121-AR11-AS11-AT11</f>
        <v>47.000000000000021</v>
      </c>
      <c r="AV11" s="175">
        <f>AV121</f>
        <v>52.4</v>
      </c>
      <c r="AW11" s="173">
        <f t="shared" ref="AW11:AW26" si="34">AW121-AV11</f>
        <v>41.29999999999999</v>
      </c>
      <c r="AX11" s="173">
        <f t="shared" ref="AX11:AX26" si="35">AX121-AV11-AW11</f>
        <v>49.100000000000016</v>
      </c>
      <c r="AY11" s="174">
        <f t="shared" ref="AY11:AY36" si="36">AY121-AV11-AW11-AX11</f>
        <v>57.6</v>
      </c>
      <c r="AZ11" s="175">
        <f>AZ121</f>
        <v>90.2</v>
      </c>
      <c r="BA11" s="173">
        <f t="shared" ref="BA11:BA26" si="37">BA121-AZ11</f>
        <v>88.399999999999991</v>
      </c>
      <c r="BB11" s="173">
        <f t="shared" ref="BB11:BB26" si="38">BB121-AZ11-BA11</f>
        <v>89.200000000000031</v>
      </c>
      <c r="BC11" s="174">
        <f t="shared" ref="BC11:BC36" si="39">BC121-AZ11-BA11-BB11</f>
        <v>89.800000000000026</v>
      </c>
      <c r="BD11" s="175">
        <f>BD121</f>
        <v>80.7</v>
      </c>
      <c r="BE11" s="173">
        <f t="shared" ref="BE11:BE36" si="40">BE121-BD11</f>
        <v>79.600000000000009</v>
      </c>
      <c r="BF11" s="173">
        <f t="shared" ref="BF11:BF26" si="41">BF121-BD11-BE11</f>
        <v>83.799999999999969</v>
      </c>
      <c r="BG11" s="174">
        <f t="shared" ref="BG11:BG36" si="42">BG121-BD11-BE11-BF11</f>
        <v>120.00000000000004</v>
      </c>
      <c r="BH11" s="175">
        <f>BH121</f>
        <v>114.3</v>
      </c>
      <c r="BI11" s="173">
        <f t="shared" ref="BI11:BI36" si="43">BI121-BH11</f>
        <v>116.50000000000001</v>
      </c>
      <c r="BJ11" s="173">
        <f t="shared" ref="BJ11:BJ26" si="44">BJ121-BH11-BI11</f>
        <v>127.69999999999997</v>
      </c>
      <c r="BK11" s="174">
        <f t="shared" ref="BK11:BK36" si="45">BK121-BH11-BI11-BJ11</f>
        <v>123.39999999999999</v>
      </c>
      <c r="BL11" s="175">
        <f t="shared" ref="BL11:BO11" si="46">BL93</f>
        <v>125.88960506570898</v>
      </c>
      <c r="BM11" s="173">
        <f t="shared" si="46"/>
        <v>128.48558092442789</v>
      </c>
      <c r="BN11" s="173">
        <f t="shared" si="46"/>
        <v>131.14286826213046</v>
      </c>
      <c r="BO11" s="174">
        <f t="shared" si="46"/>
        <v>133.75307507213395</v>
      </c>
      <c r="BP11" s="173">
        <f t="shared" ref="BP11:BS11" si="47">BP93</f>
        <v>136.34880039819811</v>
      </c>
      <c r="BQ11" s="173">
        <f t="shared" si="47"/>
        <v>139.04153509078716</v>
      </c>
      <c r="BR11" s="173">
        <f t="shared" si="47"/>
        <v>141.79274421233362</v>
      </c>
      <c r="BS11" s="174">
        <f t="shared" si="47"/>
        <v>144.4961595974801</v>
      </c>
      <c r="BT11" s="173">
        <f t="shared" ref="BT11:BW11" si="48">BT93</f>
        <v>147.1884656289499</v>
      </c>
      <c r="BU11" s="173">
        <f t="shared" si="48"/>
        <v>149.98114767533426</v>
      </c>
      <c r="BV11" s="173">
        <f t="shared" si="48"/>
        <v>152.83176745980248</v>
      </c>
      <c r="BW11" s="173">
        <f t="shared" si="48"/>
        <v>155.63386435411434</v>
      </c>
      <c r="BX11" s="21"/>
      <c r="BY11" s="173">
        <f t="shared" ref="BY11:BY36" si="49">SUM(D11:G11)</f>
        <v>121.89999999999999</v>
      </c>
      <c r="BZ11" s="173">
        <f t="shared" ref="BZ11:BZ36" si="50">SUM(H11:K11)</f>
        <v>102.1</v>
      </c>
      <c r="CA11" s="173">
        <f t="shared" ref="CA11:CA36" si="51">SUM(L11:O11)</f>
        <v>99</v>
      </c>
      <c r="CB11" s="173">
        <f t="shared" ref="CB11:CB36" si="52">SUM(P11:S11)</f>
        <v>79.900000000000006</v>
      </c>
      <c r="CC11" s="173">
        <f t="shared" ref="CC11:CC36" si="53">SUM(T11:W11)</f>
        <v>90.399999999999991</v>
      </c>
      <c r="CD11" s="173">
        <f t="shared" ref="CD11:CD36" si="54">SUM(X11:AA11)</f>
        <v>117.19999999999999</v>
      </c>
      <c r="CE11" s="173">
        <f t="shared" ref="CE11:CE36" si="55">SUM(AB11:AE11)</f>
        <v>124.3</v>
      </c>
      <c r="CF11" s="173">
        <f t="shared" ref="CF11:CF36" si="56">SUM(AF11:AI11)</f>
        <v>132.80000000000001</v>
      </c>
      <c r="CG11" s="173">
        <f t="shared" ref="CG11:CG36" si="57">SUM(AJ11:AM11)</f>
        <v>185.60000000000002</v>
      </c>
      <c r="CH11" s="173">
        <f t="shared" ref="CH11:CH36" si="58">SUM(AN11:AQ11)</f>
        <v>199.2</v>
      </c>
      <c r="CI11" s="173">
        <f t="shared" ref="CI11:CI36" si="59">SUM(AR11:AU11)</f>
        <v>178.70000000000002</v>
      </c>
      <c r="CJ11" s="173">
        <f t="shared" ref="CJ11:CJ36" si="60">SUM(AV11:AY11)</f>
        <v>200.4</v>
      </c>
      <c r="CK11" s="173">
        <f t="shared" ref="CK11:CK36" si="61">SUM(AZ11:BC11)</f>
        <v>357.6</v>
      </c>
      <c r="CL11" s="173">
        <f t="shared" ref="CL11:CL36" si="62">SUM(BD11:BG11)</f>
        <v>364.1</v>
      </c>
      <c r="CM11" s="173">
        <f t="shared" ref="CM11:CM36" si="63">SUM(BH11:BK11)</f>
        <v>481.9</v>
      </c>
      <c r="CN11" s="173">
        <f t="shared" ref="CN11:CN36" si="64">SUM(BL11:BO11)</f>
        <v>519.27112932440127</v>
      </c>
      <c r="CO11" s="173">
        <f>SUM(BP11:BS11)</f>
        <v>561.67923929879896</v>
      </c>
      <c r="CP11" s="174">
        <f t="shared" ref="CP11:CP36" si="65">SUM(BT11:BW11)</f>
        <v>605.63524511820106</v>
      </c>
      <c r="CQ11" s="22"/>
    </row>
    <row r="12" spans="1:95" ht="14.25" customHeight="1">
      <c r="A12" s="9"/>
      <c r="B12" s="48" t="str">
        <f t="shared" si="0"/>
        <v>Amortization</v>
      </c>
      <c r="C12" s="49"/>
      <c r="D12" s="175">
        <f>D122</f>
        <v>3</v>
      </c>
      <c r="E12" s="173">
        <f t="shared" si="1"/>
        <v>2.9000000000000004</v>
      </c>
      <c r="F12" s="173">
        <f t="shared" si="2"/>
        <v>0</v>
      </c>
      <c r="G12" s="173">
        <f t="shared" si="3"/>
        <v>0</v>
      </c>
      <c r="H12" s="175">
        <f>H122</f>
        <v>0</v>
      </c>
      <c r="I12" s="173">
        <f t="shared" si="4"/>
        <v>0</v>
      </c>
      <c r="J12" s="173">
        <f t="shared" si="5"/>
        <v>0</v>
      </c>
      <c r="K12" s="173">
        <f t="shared" si="6"/>
        <v>0</v>
      </c>
      <c r="L12" s="175">
        <f>L122</f>
        <v>0</v>
      </c>
      <c r="M12" s="173">
        <f t="shared" si="7"/>
        <v>0</v>
      </c>
      <c r="N12" s="173">
        <f t="shared" si="8"/>
        <v>0</v>
      </c>
      <c r="O12" s="173">
        <f t="shared" si="9"/>
        <v>0</v>
      </c>
      <c r="P12" s="175">
        <f>P122</f>
        <v>0</v>
      </c>
      <c r="Q12" s="173">
        <f t="shared" si="10"/>
        <v>0.3</v>
      </c>
      <c r="R12" s="173">
        <f t="shared" si="11"/>
        <v>0.39999999999999997</v>
      </c>
      <c r="S12" s="173">
        <f t="shared" si="12"/>
        <v>0.8</v>
      </c>
      <c r="T12" s="175">
        <f>T122</f>
        <v>0.6</v>
      </c>
      <c r="U12" s="173">
        <f t="shared" si="13"/>
        <v>0.6</v>
      </c>
      <c r="V12" s="173">
        <f t="shared" si="14"/>
        <v>0.50000000000000011</v>
      </c>
      <c r="W12" s="173">
        <f t="shared" si="15"/>
        <v>0.69999999999999962</v>
      </c>
      <c r="X12" s="175">
        <f>X122</f>
        <v>3</v>
      </c>
      <c r="Y12" s="173">
        <f t="shared" si="16"/>
        <v>7.3000000000000007</v>
      </c>
      <c r="Z12" s="173">
        <f t="shared" si="17"/>
        <v>7.3999999999999986</v>
      </c>
      <c r="AA12" s="173">
        <f t="shared" si="18"/>
        <v>7.1999999999999993</v>
      </c>
      <c r="AB12" s="175">
        <f>AB122</f>
        <v>7.8</v>
      </c>
      <c r="AC12" s="173">
        <f t="shared" si="19"/>
        <v>7.8</v>
      </c>
      <c r="AD12" s="173">
        <f t="shared" si="20"/>
        <v>7.8999999999999995</v>
      </c>
      <c r="AE12" s="173">
        <f t="shared" si="21"/>
        <v>7.8</v>
      </c>
      <c r="AF12" s="175">
        <f>AF122</f>
        <v>8.4</v>
      </c>
      <c r="AG12" s="173">
        <f t="shared" si="22"/>
        <v>8.7000000000000011</v>
      </c>
      <c r="AH12" s="173">
        <f t="shared" si="23"/>
        <v>8.5000000000000018</v>
      </c>
      <c r="AI12" s="173">
        <f t="shared" si="24"/>
        <v>8.4999999999999982</v>
      </c>
      <c r="AJ12" s="175">
        <f>AJ122</f>
        <v>10.3</v>
      </c>
      <c r="AK12" s="173">
        <f t="shared" si="25"/>
        <v>11.899999999999999</v>
      </c>
      <c r="AL12" s="173">
        <f t="shared" si="26"/>
        <v>10.599999999999998</v>
      </c>
      <c r="AM12" s="173">
        <f t="shared" si="27"/>
        <v>11.000000000000004</v>
      </c>
      <c r="AN12" s="175">
        <f>AN122</f>
        <v>11.1</v>
      </c>
      <c r="AO12" s="173">
        <f t="shared" si="28"/>
        <v>11.1</v>
      </c>
      <c r="AP12" s="173">
        <f t="shared" si="29"/>
        <v>11.099999999999996</v>
      </c>
      <c r="AQ12" s="173">
        <f t="shared" si="30"/>
        <v>11.1</v>
      </c>
      <c r="AR12" s="175">
        <f>AR122</f>
        <v>11.1</v>
      </c>
      <c r="AS12" s="173">
        <f t="shared" si="31"/>
        <v>5.5000000000000018</v>
      </c>
      <c r="AT12" s="173">
        <f t="shared" si="32"/>
        <v>8.1999999999999993</v>
      </c>
      <c r="AU12" s="173">
        <f t="shared" si="33"/>
        <v>8.3000000000000007</v>
      </c>
      <c r="AV12" s="175">
        <f>AV122</f>
        <v>0</v>
      </c>
      <c r="AW12" s="173">
        <f t="shared" si="34"/>
        <v>16.600000000000001</v>
      </c>
      <c r="AX12" s="173">
        <f t="shared" si="35"/>
        <v>25.4</v>
      </c>
      <c r="AY12" s="174">
        <f t="shared" si="36"/>
        <v>26.400000000000006</v>
      </c>
      <c r="AZ12" s="175">
        <f>AZ122</f>
        <v>0</v>
      </c>
      <c r="BA12" s="173">
        <f t="shared" si="37"/>
        <v>0</v>
      </c>
      <c r="BB12" s="173">
        <f t="shared" si="38"/>
        <v>0</v>
      </c>
      <c r="BC12" s="174">
        <f t="shared" si="39"/>
        <v>0</v>
      </c>
      <c r="BD12" s="175">
        <f>BD122</f>
        <v>0</v>
      </c>
      <c r="BE12" s="173">
        <f t="shared" si="40"/>
        <v>0</v>
      </c>
      <c r="BF12" s="173">
        <f t="shared" si="41"/>
        <v>0</v>
      </c>
      <c r="BG12" s="174">
        <f t="shared" si="42"/>
        <v>0</v>
      </c>
      <c r="BH12" s="175">
        <f>BH122</f>
        <v>0</v>
      </c>
      <c r="BI12" s="173">
        <f t="shared" si="43"/>
        <v>0</v>
      </c>
      <c r="BJ12" s="173">
        <f t="shared" si="44"/>
        <v>0</v>
      </c>
      <c r="BK12" s="174">
        <f t="shared" si="45"/>
        <v>0</v>
      </c>
      <c r="BL12" s="535">
        <f>IS!BL59</f>
        <v>30</v>
      </c>
      <c r="BM12" s="535">
        <f>IS!BM59</f>
        <v>0</v>
      </c>
      <c r="BN12" s="821">
        <f>IS!BN59</f>
        <v>0</v>
      </c>
      <c r="BO12" s="1423">
        <f>IS!BO59</f>
        <v>0</v>
      </c>
      <c r="BP12" s="535">
        <f>IS!BP59</f>
        <v>0</v>
      </c>
      <c r="BQ12" s="535">
        <f>IS!BQ59</f>
        <v>0</v>
      </c>
      <c r="BR12" s="821">
        <f>IS!BR59</f>
        <v>0</v>
      </c>
      <c r="BS12" s="1423">
        <f>IS!BS59</f>
        <v>0</v>
      </c>
      <c r="BT12" s="535">
        <f>IS!BT59</f>
        <v>0</v>
      </c>
      <c r="BU12" s="535">
        <f>IS!BU59</f>
        <v>0</v>
      </c>
      <c r="BV12" s="1422">
        <f>IS!BV59</f>
        <v>0</v>
      </c>
      <c r="BW12" s="1423">
        <f>IS!BW59</f>
        <v>0</v>
      </c>
      <c r="BX12" s="21"/>
      <c r="BY12" s="173">
        <f>SUM(D12:G12)</f>
        <v>5.9</v>
      </c>
      <c r="BZ12" s="173">
        <f>SUM(H12:K12)</f>
        <v>0</v>
      </c>
      <c r="CA12" s="173">
        <f>SUM(L12:O12)</f>
        <v>0</v>
      </c>
      <c r="CB12" s="173">
        <f>SUM(P12:S12)</f>
        <v>1.5</v>
      </c>
      <c r="CC12" s="173">
        <f>SUM(T12:W12)</f>
        <v>2.4</v>
      </c>
      <c r="CD12" s="173">
        <f>SUM(X12:AA12)</f>
        <v>24.9</v>
      </c>
      <c r="CE12" s="173">
        <f>SUM(AB12:AE12)</f>
        <v>31.3</v>
      </c>
      <c r="CF12" s="173">
        <f>SUM(AF12:AI12)</f>
        <v>34.1</v>
      </c>
      <c r="CG12" s="173">
        <f>SUM(AJ12:AM12)</f>
        <v>43.8</v>
      </c>
      <c r="CH12" s="173">
        <f>SUM(AN12:AQ12)</f>
        <v>44.4</v>
      </c>
      <c r="CI12" s="173">
        <f t="shared" si="59"/>
        <v>33.1</v>
      </c>
      <c r="CJ12" s="173">
        <f t="shared" si="60"/>
        <v>68.400000000000006</v>
      </c>
      <c r="CK12" s="173">
        <f t="shared" si="61"/>
        <v>0</v>
      </c>
      <c r="CL12" s="173">
        <f t="shared" si="62"/>
        <v>0</v>
      </c>
      <c r="CM12" s="173">
        <f t="shared" si="63"/>
        <v>0</v>
      </c>
      <c r="CN12" s="173">
        <f t="shared" si="64"/>
        <v>30</v>
      </c>
      <c r="CO12" s="173">
        <f>SUM(BP12:BS12)</f>
        <v>0</v>
      </c>
      <c r="CP12" s="174">
        <f t="shared" si="65"/>
        <v>0</v>
      </c>
      <c r="CQ12" s="22"/>
    </row>
    <row r="13" spans="1:95" ht="14.25" customHeight="1">
      <c r="A13" s="9"/>
      <c r="B13" s="48" t="str">
        <f t="shared" si="0"/>
        <v>Gain/(Loss) on sale or disposal of fixed assets</v>
      </c>
      <c r="C13" s="49"/>
      <c r="D13" s="175">
        <f t="shared" ref="D13:D16" si="66">D123</f>
        <v>0.3</v>
      </c>
      <c r="E13" s="173">
        <f t="shared" si="1"/>
        <v>-0.3</v>
      </c>
      <c r="F13" s="173">
        <f t="shared" si="2"/>
        <v>-3.2</v>
      </c>
      <c r="G13" s="173">
        <f t="shared" si="3"/>
        <v>0.40000000000000036</v>
      </c>
      <c r="H13" s="175">
        <f t="shared" ref="H13:H16" si="67">H123</f>
        <v>12.1</v>
      </c>
      <c r="I13" s="173">
        <f t="shared" si="4"/>
        <v>0</v>
      </c>
      <c r="J13" s="173">
        <f t="shared" si="5"/>
        <v>0</v>
      </c>
      <c r="K13" s="173">
        <f t="shared" si="6"/>
        <v>0.70000000000000107</v>
      </c>
      <c r="L13" s="175">
        <f t="shared" ref="L13:L16" si="68">L123</f>
        <v>-0.5</v>
      </c>
      <c r="M13" s="173">
        <f t="shared" si="7"/>
        <v>0.5</v>
      </c>
      <c r="N13" s="173">
        <f t="shared" si="8"/>
        <v>9.9999999999999978E-2</v>
      </c>
      <c r="O13" s="173">
        <f t="shared" si="9"/>
        <v>0.70000000000000007</v>
      </c>
      <c r="P13" s="175">
        <f t="shared" ref="P13:P16" si="69">P123</f>
        <v>0</v>
      </c>
      <c r="Q13" s="173">
        <f t="shared" si="10"/>
        <v>-0.2</v>
      </c>
      <c r="R13" s="173">
        <f t="shared" si="11"/>
        <v>0.5</v>
      </c>
      <c r="S13" s="173">
        <f t="shared" si="12"/>
        <v>-6.1</v>
      </c>
      <c r="T13" s="175">
        <f t="shared" ref="T13:T16" si="70">T123</f>
        <v>-2.5</v>
      </c>
      <c r="U13" s="173">
        <f t="shared" si="13"/>
        <v>-3.8</v>
      </c>
      <c r="V13" s="173">
        <f t="shared" si="14"/>
        <v>-1.2999999999999998</v>
      </c>
      <c r="W13" s="173">
        <f t="shared" si="15"/>
        <v>-1.5</v>
      </c>
      <c r="X13" s="175">
        <f t="shared" ref="X13:X16" si="71">X123</f>
        <v>-2.2999999999999998</v>
      </c>
      <c r="Y13" s="173">
        <f t="shared" si="16"/>
        <v>-1.7000000000000002</v>
      </c>
      <c r="Z13" s="173">
        <f t="shared" si="17"/>
        <v>-1.2999999999999998</v>
      </c>
      <c r="AA13" s="173">
        <f t="shared" si="18"/>
        <v>-1.7999999999999998</v>
      </c>
      <c r="AB13" s="175">
        <f t="shared" ref="AB13:AB16" si="72">AB123</f>
        <v>-1.3</v>
      </c>
      <c r="AC13" s="173">
        <f t="shared" si="19"/>
        <v>0.9</v>
      </c>
      <c r="AD13" s="173">
        <f t="shared" si="20"/>
        <v>-1.8000000000000003</v>
      </c>
      <c r="AE13" s="173">
        <f t="shared" si="21"/>
        <v>-1.6999999999999993</v>
      </c>
      <c r="AF13" s="175">
        <f t="shared" ref="AF13:AF16" si="73">AF123</f>
        <v>-2.1</v>
      </c>
      <c r="AG13" s="173">
        <f t="shared" si="22"/>
        <v>-1.6</v>
      </c>
      <c r="AH13" s="173">
        <f t="shared" si="23"/>
        <v>-1.5</v>
      </c>
      <c r="AI13" s="173">
        <f t="shared" si="24"/>
        <v>-1.7000000000000006</v>
      </c>
      <c r="AJ13" s="175">
        <f t="shared" ref="AJ13:AJ16" si="74">AJ123</f>
        <v>-2.1</v>
      </c>
      <c r="AK13" s="173">
        <f t="shared" si="25"/>
        <v>-2.9999999999999996</v>
      </c>
      <c r="AL13" s="173">
        <f t="shared" si="26"/>
        <v>-1.8000000000000012</v>
      </c>
      <c r="AM13" s="173">
        <f t="shared" si="27"/>
        <v>-1.7999999999999989</v>
      </c>
      <c r="AN13" s="175">
        <f t="shared" ref="AN13:AN16" si="75">AN123</f>
        <v>-1.5</v>
      </c>
      <c r="AO13" s="173">
        <f t="shared" si="28"/>
        <v>-0.5</v>
      </c>
      <c r="AP13" s="173">
        <f t="shared" si="29"/>
        <v>-2.7</v>
      </c>
      <c r="AQ13" s="173">
        <f t="shared" si="30"/>
        <v>-4.8</v>
      </c>
      <c r="AR13" s="175">
        <f t="shared" ref="AR13:AR16" si="76">AR123</f>
        <v>-7.4</v>
      </c>
      <c r="AS13" s="173">
        <f t="shared" si="31"/>
        <v>0.30000000000000071</v>
      </c>
      <c r="AT13" s="173">
        <f t="shared" si="32"/>
        <v>-0.5</v>
      </c>
      <c r="AU13" s="173">
        <f t="shared" si="33"/>
        <v>0.79999999999999982</v>
      </c>
      <c r="AV13" s="175">
        <f t="shared" ref="AV13:AV16" si="77">AV123</f>
        <v>-0.3</v>
      </c>
      <c r="AW13" s="173">
        <f t="shared" si="34"/>
        <v>0</v>
      </c>
      <c r="AX13" s="173">
        <f t="shared" si="35"/>
        <v>-0.3</v>
      </c>
      <c r="AY13" s="174">
        <f t="shared" si="36"/>
        <v>-0.79999999999999982</v>
      </c>
      <c r="AZ13" s="175">
        <f t="shared" ref="AZ13:AZ16" si="78">AZ123</f>
        <v>-4</v>
      </c>
      <c r="BA13" s="173">
        <f t="shared" si="37"/>
        <v>-0.5</v>
      </c>
      <c r="BB13" s="173">
        <f t="shared" si="38"/>
        <v>0.40000000000000036</v>
      </c>
      <c r="BC13" s="174">
        <f t="shared" si="39"/>
        <v>0.19999999999999973</v>
      </c>
      <c r="BD13" s="175">
        <f t="shared" ref="BD13:BD16" si="79">BD123</f>
        <v>-0.1</v>
      </c>
      <c r="BE13" s="173">
        <f t="shared" si="40"/>
        <v>0.30000000000000004</v>
      </c>
      <c r="BF13" s="173">
        <f t="shared" si="41"/>
        <v>0.39999999999999991</v>
      </c>
      <c r="BG13" s="174">
        <f t="shared" si="42"/>
        <v>0.90000000000000013</v>
      </c>
      <c r="BH13" s="175">
        <f t="shared" ref="BH13:BH36" si="80">BH123</f>
        <v>2.9</v>
      </c>
      <c r="BI13" s="173">
        <f t="shared" si="43"/>
        <v>-1.0999999999999999</v>
      </c>
      <c r="BJ13" s="173">
        <f t="shared" si="44"/>
        <v>0.99999999999999978</v>
      </c>
      <c r="BK13" s="174">
        <f t="shared" si="45"/>
        <v>1.0999999999999999</v>
      </c>
      <c r="BL13" s="178">
        <v>0</v>
      </c>
      <c r="BM13" s="176">
        <v>0</v>
      </c>
      <c r="BN13" s="176">
        <v>0</v>
      </c>
      <c r="BO13" s="177">
        <v>0</v>
      </c>
      <c r="BP13" s="176">
        <v>0</v>
      </c>
      <c r="BQ13" s="176">
        <v>0</v>
      </c>
      <c r="BR13" s="176">
        <v>0</v>
      </c>
      <c r="BS13" s="177">
        <v>0</v>
      </c>
      <c r="BT13" s="176">
        <v>0</v>
      </c>
      <c r="BU13" s="176">
        <v>0</v>
      </c>
      <c r="BV13" s="176">
        <v>0</v>
      </c>
      <c r="BW13" s="176">
        <v>0</v>
      </c>
      <c r="BX13" s="21"/>
      <c r="BY13" s="173">
        <f t="shared" si="49"/>
        <v>-2.8</v>
      </c>
      <c r="BZ13" s="173">
        <f t="shared" si="50"/>
        <v>12.8</v>
      </c>
      <c r="CA13" s="173">
        <f t="shared" si="51"/>
        <v>0.8</v>
      </c>
      <c r="CB13" s="173">
        <f t="shared" si="52"/>
        <v>-5.8</v>
      </c>
      <c r="CC13" s="173">
        <f t="shared" si="53"/>
        <v>-9.1</v>
      </c>
      <c r="CD13" s="173">
        <f t="shared" si="54"/>
        <v>-7.1</v>
      </c>
      <c r="CE13" s="173">
        <f t="shared" si="55"/>
        <v>-3.8999999999999995</v>
      </c>
      <c r="CF13" s="173">
        <f t="shared" si="56"/>
        <v>-6.9</v>
      </c>
      <c r="CG13" s="173">
        <f t="shared" si="57"/>
        <v>-8.6999999999999993</v>
      </c>
      <c r="CH13" s="173">
        <f t="shared" si="58"/>
        <v>-9.5</v>
      </c>
      <c r="CI13" s="173">
        <f t="shared" si="59"/>
        <v>-6.8</v>
      </c>
      <c r="CJ13" s="173">
        <f t="shared" si="60"/>
        <v>-1.4</v>
      </c>
      <c r="CK13" s="173">
        <f t="shared" si="61"/>
        <v>-3.9</v>
      </c>
      <c r="CL13" s="173">
        <f t="shared" si="62"/>
        <v>1.5</v>
      </c>
      <c r="CM13" s="173">
        <f t="shared" si="63"/>
        <v>3.8999999999999995</v>
      </c>
      <c r="CN13" s="173">
        <f t="shared" si="64"/>
        <v>0</v>
      </c>
      <c r="CO13" s="173">
        <f t="shared" ref="CO13:CO36" si="81">SUM(BP13:BS13)</f>
        <v>0</v>
      </c>
      <c r="CP13" s="174">
        <f t="shared" si="65"/>
        <v>0</v>
      </c>
      <c r="CQ13" s="22"/>
    </row>
    <row r="14" spans="1:95" ht="14.25" customHeight="1">
      <c r="A14" s="9"/>
      <c r="B14" s="48" t="str">
        <f t="shared" si="0"/>
        <v>Non-cash manufacturing expenses associated with favorable supply agreement</v>
      </c>
      <c r="C14" s="49"/>
      <c r="D14" s="175">
        <f t="shared" si="66"/>
        <v>0</v>
      </c>
      <c r="E14" s="173">
        <f t="shared" si="1"/>
        <v>0</v>
      </c>
      <c r="F14" s="173">
        <f t="shared" si="2"/>
        <v>0</v>
      </c>
      <c r="G14" s="173">
        <f t="shared" si="3"/>
        <v>0</v>
      </c>
      <c r="H14" s="175">
        <f t="shared" si="67"/>
        <v>0</v>
      </c>
      <c r="I14" s="173">
        <f t="shared" si="4"/>
        <v>0</v>
      </c>
      <c r="J14" s="173">
        <f t="shared" si="5"/>
        <v>0</v>
      </c>
      <c r="K14" s="173">
        <f t="shared" si="6"/>
        <v>0</v>
      </c>
      <c r="L14" s="175">
        <f t="shared" si="68"/>
        <v>0</v>
      </c>
      <c r="M14" s="173">
        <f t="shared" si="7"/>
        <v>0</v>
      </c>
      <c r="N14" s="173">
        <f t="shared" si="8"/>
        <v>0</v>
      </c>
      <c r="O14" s="173">
        <f t="shared" si="9"/>
        <v>0</v>
      </c>
      <c r="P14" s="175">
        <f t="shared" si="69"/>
        <v>0</v>
      </c>
      <c r="Q14" s="173">
        <f t="shared" si="10"/>
        <v>0</v>
      </c>
      <c r="R14" s="173">
        <f t="shared" si="11"/>
        <v>0</v>
      </c>
      <c r="S14" s="173">
        <f t="shared" si="12"/>
        <v>0</v>
      </c>
      <c r="T14" s="175">
        <f t="shared" si="70"/>
        <v>0</v>
      </c>
      <c r="U14" s="173">
        <f t="shared" si="13"/>
        <v>0</v>
      </c>
      <c r="V14" s="173">
        <f t="shared" si="14"/>
        <v>0</v>
      </c>
      <c r="W14" s="173">
        <f t="shared" si="15"/>
        <v>0</v>
      </c>
      <c r="X14" s="175">
        <f t="shared" si="71"/>
        <v>0</v>
      </c>
      <c r="Y14" s="173">
        <f t="shared" si="16"/>
        <v>0</v>
      </c>
      <c r="Z14" s="173">
        <f t="shared" si="17"/>
        <v>0</v>
      </c>
      <c r="AA14" s="173">
        <f t="shared" si="18"/>
        <v>0</v>
      </c>
      <c r="AB14" s="175">
        <f t="shared" si="72"/>
        <v>0</v>
      </c>
      <c r="AC14" s="173">
        <f t="shared" si="19"/>
        <v>0</v>
      </c>
      <c r="AD14" s="173">
        <f t="shared" si="20"/>
        <v>0</v>
      </c>
      <c r="AE14" s="173">
        <f t="shared" si="21"/>
        <v>0</v>
      </c>
      <c r="AF14" s="175">
        <f t="shared" si="73"/>
        <v>0</v>
      </c>
      <c r="AG14" s="173">
        <f t="shared" si="22"/>
        <v>0</v>
      </c>
      <c r="AH14" s="173">
        <f t="shared" si="23"/>
        <v>0</v>
      </c>
      <c r="AI14" s="173">
        <f t="shared" si="24"/>
        <v>0</v>
      </c>
      <c r="AJ14" s="175">
        <f t="shared" si="74"/>
        <v>50</v>
      </c>
      <c r="AK14" s="173">
        <f t="shared" si="25"/>
        <v>30.400000000000006</v>
      </c>
      <c r="AL14" s="173">
        <f t="shared" si="26"/>
        <v>0</v>
      </c>
      <c r="AM14" s="173">
        <f t="shared" si="27"/>
        <v>0</v>
      </c>
      <c r="AN14" s="175">
        <f t="shared" si="75"/>
        <v>0</v>
      </c>
      <c r="AO14" s="173">
        <f t="shared" si="28"/>
        <v>0</v>
      </c>
      <c r="AP14" s="173">
        <f t="shared" si="29"/>
        <v>0</v>
      </c>
      <c r="AQ14" s="173">
        <f t="shared" si="30"/>
        <v>0</v>
      </c>
      <c r="AR14" s="175">
        <f t="shared" si="76"/>
        <v>0</v>
      </c>
      <c r="AS14" s="173">
        <f t="shared" si="31"/>
        <v>0</v>
      </c>
      <c r="AT14" s="173">
        <f t="shared" si="32"/>
        <v>0</v>
      </c>
      <c r="AU14" s="173">
        <f t="shared" si="33"/>
        <v>0</v>
      </c>
      <c r="AV14" s="175">
        <f t="shared" si="77"/>
        <v>0</v>
      </c>
      <c r="AW14" s="173">
        <f t="shared" si="34"/>
        <v>0</v>
      </c>
      <c r="AX14" s="173">
        <f t="shared" si="35"/>
        <v>0</v>
      </c>
      <c r="AY14" s="174">
        <f t="shared" si="36"/>
        <v>0</v>
      </c>
      <c r="AZ14" s="175">
        <f t="shared" si="78"/>
        <v>0</v>
      </c>
      <c r="BA14" s="173">
        <f t="shared" si="37"/>
        <v>0</v>
      </c>
      <c r="BB14" s="173">
        <f t="shared" si="38"/>
        <v>0</v>
      </c>
      <c r="BC14" s="174">
        <f t="shared" si="39"/>
        <v>0</v>
      </c>
      <c r="BD14" s="175">
        <f t="shared" si="79"/>
        <v>0</v>
      </c>
      <c r="BE14" s="173">
        <f t="shared" si="40"/>
        <v>0</v>
      </c>
      <c r="BF14" s="173">
        <f t="shared" si="41"/>
        <v>0</v>
      </c>
      <c r="BG14" s="174">
        <f t="shared" si="42"/>
        <v>0</v>
      </c>
      <c r="BH14" s="175">
        <f t="shared" si="80"/>
        <v>0</v>
      </c>
      <c r="BI14" s="173">
        <f t="shared" si="43"/>
        <v>0</v>
      </c>
      <c r="BJ14" s="173">
        <f t="shared" si="44"/>
        <v>0</v>
      </c>
      <c r="BK14" s="174">
        <f t="shared" si="45"/>
        <v>0</v>
      </c>
      <c r="BL14" s="178">
        <v>0</v>
      </c>
      <c r="BM14" s="176">
        <v>0</v>
      </c>
      <c r="BN14" s="176">
        <v>0</v>
      </c>
      <c r="BO14" s="177">
        <v>0</v>
      </c>
      <c r="BP14" s="176">
        <v>0</v>
      </c>
      <c r="BQ14" s="176">
        <v>0</v>
      </c>
      <c r="BR14" s="176">
        <v>0</v>
      </c>
      <c r="BS14" s="177">
        <v>0</v>
      </c>
      <c r="BT14" s="176">
        <v>0</v>
      </c>
      <c r="BU14" s="176">
        <v>0</v>
      </c>
      <c r="BV14" s="176">
        <v>0</v>
      </c>
      <c r="BW14" s="176">
        <v>0</v>
      </c>
      <c r="BX14" s="21"/>
      <c r="BY14" s="173">
        <f t="shared" si="49"/>
        <v>0</v>
      </c>
      <c r="BZ14" s="173">
        <f t="shared" si="50"/>
        <v>0</v>
      </c>
      <c r="CA14" s="173">
        <f t="shared" si="51"/>
        <v>0</v>
      </c>
      <c r="CB14" s="173">
        <f t="shared" si="52"/>
        <v>0</v>
      </c>
      <c r="CC14" s="173">
        <f t="shared" si="53"/>
        <v>0</v>
      </c>
      <c r="CD14" s="173">
        <f t="shared" si="54"/>
        <v>0</v>
      </c>
      <c r="CE14" s="173">
        <f t="shared" si="55"/>
        <v>0</v>
      </c>
      <c r="CF14" s="173">
        <f t="shared" si="56"/>
        <v>0</v>
      </c>
      <c r="CG14" s="173">
        <f t="shared" si="57"/>
        <v>80.400000000000006</v>
      </c>
      <c r="CH14" s="173">
        <f t="shared" si="58"/>
        <v>0</v>
      </c>
      <c r="CI14" s="173">
        <f t="shared" si="59"/>
        <v>0</v>
      </c>
      <c r="CJ14" s="173">
        <f t="shared" si="60"/>
        <v>0</v>
      </c>
      <c r="CK14" s="173">
        <f t="shared" si="61"/>
        <v>0</v>
      </c>
      <c r="CL14" s="173">
        <f t="shared" si="62"/>
        <v>0</v>
      </c>
      <c r="CM14" s="173">
        <f t="shared" si="63"/>
        <v>0</v>
      </c>
      <c r="CN14" s="173">
        <f t="shared" si="64"/>
        <v>0</v>
      </c>
      <c r="CO14" s="173">
        <f t="shared" si="81"/>
        <v>0</v>
      </c>
      <c r="CP14" s="174">
        <f t="shared" si="65"/>
        <v>0</v>
      </c>
      <c r="CQ14" s="22"/>
    </row>
    <row r="15" spans="1:95" ht="14.25" customHeight="1">
      <c r="A15" s="9"/>
      <c r="B15" s="48" t="str">
        <f t="shared" si="0"/>
        <v>Loss on debt repurchase or exchange</v>
      </c>
      <c r="C15" s="49"/>
      <c r="D15" s="175">
        <f t="shared" si="66"/>
        <v>3.5</v>
      </c>
      <c r="E15" s="173">
        <f t="shared" si="1"/>
        <v>0</v>
      </c>
      <c r="F15" s="173">
        <f t="shared" si="2"/>
        <v>2.9000000000000004</v>
      </c>
      <c r="G15" s="173">
        <f t="shared" si="3"/>
        <v>-0.30000000000000071</v>
      </c>
      <c r="H15" s="175">
        <f t="shared" si="67"/>
        <v>12</v>
      </c>
      <c r="I15" s="173">
        <f t="shared" si="4"/>
        <v>6.5</v>
      </c>
      <c r="J15" s="173">
        <f t="shared" si="5"/>
        <v>1</v>
      </c>
      <c r="K15" s="173">
        <f t="shared" si="6"/>
        <v>26.200000000000003</v>
      </c>
      <c r="L15" s="175">
        <f t="shared" si="68"/>
        <v>0</v>
      </c>
      <c r="M15" s="173">
        <f t="shared" si="7"/>
        <v>0</v>
      </c>
      <c r="N15" s="173">
        <f t="shared" si="8"/>
        <v>0</v>
      </c>
      <c r="O15" s="173">
        <f t="shared" si="9"/>
        <v>0</v>
      </c>
      <c r="P15" s="175">
        <f t="shared" si="69"/>
        <v>0</v>
      </c>
      <c r="Q15" s="173">
        <f t="shared" si="10"/>
        <v>0</v>
      </c>
      <c r="R15" s="173">
        <f t="shared" si="11"/>
        <v>0</v>
      </c>
      <c r="S15" s="173">
        <f t="shared" si="12"/>
        <v>1.3</v>
      </c>
      <c r="T15" s="175">
        <f t="shared" si="70"/>
        <v>0.1</v>
      </c>
      <c r="U15" s="173">
        <f t="shared" si="13"/>
        <v>0</v>
      </c>
      <c r="V15" s="173">
        <f t="shared" si="14"/>
        <v>-0.1</v>
      </c>
      <c r="W15" s="173">
        <f t="shared" si="15"/>
        <v>0.1</v>
      </c>
      <c r="X15" s="175">
        <f t="shared" si="71"/>
        <v>0</v>
      </c>
      <c r="Y15" s="173">
        <f t="shared" si="16"/>
        <v>0</v>
      </c>
      <c r="Z15" s="173">
        <f t="shared" si="17"/>
        <v>0</v>
      </c>
      <c r="AA15" s="173">
        <f t="shared" si="18"/>
        <v>-3.8</v>
      </c>
      <c r="AB15" s="175">
        <f t="shared" si="72"/>
        <v>0.5</v>
      </c>
      <c r="AC15" s="173">
        <f t="shared" si="19"/>
        <v>0.19999999999999996</v>
      </c>
      <c r="AD15" s="173">
        <f t="shared" si="20"/>
        <v>0</v>
      </c>
      <c r="AE15" s="173">
        <f t="shared" si="21"/>
        <v>0</v>
      </c>
      <c r="AF15" s="175">
        <f t="shared" si="73"/>
        <v>0</v>
      </c>
      <c r="AG15" s="173">
        <f t="shared" si="22"/>
        <v>0.7</v>
      </c>
      <c r="AH15" s="173">
        <f t="shared" si="23"/>
        <v>0</v>
      </c>
      <c r="AI15" s="173">
        <f t="shared" si="24"/>
        <v>0</v>
      </c>
      <c r="AJ15" s="175">
        <f t="shared" si="74"/>
        <v>0</v>
      </c>
      <c r="AK15" s="173">
        <f t="shared" si="25"/>
        <v>0</v>
      </c>
      <c r="AL15" s="173">
        <f t="shared" si="26"/>
        <v>5.3</v>
      </c>
      <c r="AM15" s="173">
        <f t="shared" si="27"/>
        <v>17.899999999999999</v>
      </c>
      <c r="AN15" s="175">
        <f t="shared" si="75"/>
        <v>0</v>
      </c>
      <c r="AO15" s="173">
        <f t="shared" si="28"/>
        <v>0</v>
      </c>
      <c r="AP15" s="173">
        <f t="shared" si="29"/>
        <v>7.8</v>
      </c>
      <c r="AQ15" s="173">
        <f t="shared" si="30"/>
        <v>0</v>
      </c>
      <c r="AR15" s="175">
        <f t="shared" si="76"/>
        <v>3.1</v>
      </c>
      <c r="AS15" s="173">
        <f t="shared" si="31"/>
        <v>0</v>
      </c>
      <c r="AT15" s="173">
        <f t="shared" si="32"/>
        <v>0</v>
      </c>
      <c r="AU15" s="173">
        <f t="shared" si="33"/>
        <v>0</v>
      </c>
      <c r="AV15" s="175">
        <f t="shared" si="77"/>
        <v>0</v>
      </c>
      <c r="AW15" s="173">
        <f t="shared" si="34"/>
        <v>0</v>
      </c>
      <c r="AX15" s="173">
        <f t="shared" si="35"/>
        <v>0</v>
      </c>
      <c r="AY15" s="174">
        <f t="shared" si="36"/>
        <v>0</v>
      </c>
      <c r="AZ15" s="175">
        <f t="shared" si="78"/>
        <v>0</v>
      </c>
      <c r="BA15" s="173">
        <f t="shared" si="37"/>
        <v>0.4</v>
      </c>
      <c r="BB15" s="173">
        <f t="shared" si="38"/>
        <v>0</v>
      </c>
      <c r="BC15" s="174">
        <f t="shared" si="39"/>
        <v>0</v>
      </c>
      <c r="BD15" s="175">
        <f t="shared" si="79"/>
        <v>0</v>
      </c>
      <c r="BE15" s="173">
        <f t="shared" si="40"/>
        <v>0</v>
      </c>
      <c r="BF15" s="173">
        <f t="shared" si="41"/>
        <v>6.3</v>
      </c>
      <c r="BG15" s="174">
        <f t="shared" si="42"/>
        <v>0</v>
      </c>
      <c r="BH15" s="175">
        <f t="shared" si="80"/>
        <v>0</v>
      </c>
      <c r="BI15" s="173">
        <f t="shared" si="43"/>
        <v>0</v>
      </c>
      <c r="BJ15" s="173">
        <f t="shared" si="44"/>
        <v>0</v>
      </c>
      <c r="BK15" s="174">
        <f t="shared" si="45"/>
        <v>0</v>
      </c>
      <c r="BL15" s="178">
        <v>0</v>
      </c>
      <c r="BM15" s="176">
        <v>0</v>
      </c>
      <c r="BN15" s="176">
        <v>0</v>
      </c>
      <c r="BO15" s="177">
        <v>0</v>
      </c>
      <c r="BP15" s="176">
        <v>0</v>
      </c>
      <c r="BQ15" s="176">
        <v>0</v>
      </c>
      <c r="BR15" s="176">
        <v>0</v>
      </c>
      <c r="BS15" s="177">
        <v>0</v>
      </c>
      <c r="BT15" s="176">
        <v>0</v>
      </c>
      <c r="BU15" s="176">
        <v>0</v>
      </c>
      <c r="BV15" s="176">
        <v>0</v>
      </c>
      <c r="BW15" s="176">
        <v>0</v>
      </c>
      <c r="BX15" s="21"/>
      <c r="BY15" s="173">
        <f t="shared" si="49"/>
        <v>6.1</v>
      </c>
      <c r="BZ15" s="173">
        <f t="shared" si="50"/>
        <v>45.7</v>
      </c>
      <c r="CA15" s="173">
        <f t="shared" si="51"/>
        <v>0</v>
      </c>
      <c r="CB15" s="173">
        <f t="shared" si="52"/>
        <v>1.3</v>
      </c>
      <c r="CC15" s="173">
        <f t="shared" si="53"/>
        <v>0.1</v>
      </c>
      <c r="CD15" s="173">
        <f t="shared" si="54"/>
        <v>-3.8</v>
      </c>
      <c r="CE15" s="173">
        <f t="shared" si="55"/>
        <v>0.7</v>
      </c>
      <c r="CF15" s="173">
        <f t="shared" si="56"/>
        <v>0.7</v>
      </c>
      <c r="CG15" s="173">
        <f t="shared" si="57"/>
        <v>23.2</v>
      </c>
      <c r="CH15" s="173">
        <f t="shared" si="58"/>
        <v>7.8</v>
      </c>
      <c r="CI15" s="173">
        <f t="shared" si="59"/>
        <v>3.1</v>
      </c>
      <c r="CJ15" s="173">
        <f t="shared" si="60"/>
        <v>0</v>
      </c>
      <c r="CK15" s="173">
        <f t="shared" si="61"/>
        <v>0.4</v>
      </c>
      <c r="CL15" s="173">
        <f t="shared" si="62"/>
        <v>6.3</v>
      </c>
      <c r="CM15" s="173">
        <f t="shared" si="63"/>
        <v>0</v>
      </c>
      <c r="CN15" s="173">
        <f t="shared" si="64"/>
        <v>0</v>
      </c>
      <c r="CO15" s="173">
        <f t="shared" si="81"/>
        <v>0</v>
      </c>
      <c r="CP15" s="174">
        <f t="shared" si="65"/>
        <v>0</v>
      </c>
      <c r="CQ15" s="22"/>
    </row>
    <row r="16" spans="1:95" ht="14.25" customHeight="1">
      <c r="A16" s="9"/>
      <c r="B16" s="48" t="str">
        <f t="shared" si="0"/>
        <v>Gain on acquisition of SANYO Semiconductor</v>
      </c>
      <c r="C16" s="49"/>
      <c r="D16" s="175">
        <f t="shared" si="66"/>
        <v>0</v>
      </c>
      <c r="E16" s="173">
        <f t="shared" si="1"/>
        <v>0</v>
      </c>
      <c r="F16" s="173">
        <f t="shared" si="2"/>
        <v>0</v>
      </c>
      <c r="G16" s="173">
        <f t="shared" si="3"/>
        <v>0</v>
      </c>
      <c r="H16" s="175">
        <f t="shared" si="67"/>
        <v>0</v>
      </c>
      <c r="I16" s="173">
        <f t="shared" si="4"/>
        <v>0</v>
      </c>
      <c r="J16" s="173">
        <f t="shared" si="5"/>
        <v>0</v>
      </c>
      <c r="K16" s="173">
        <f t="shared" si="6"/>
        <v>0</v>
      </c>
      <c r="L16" s="175">
        <f t="shared" si="68"/>
        <v>0</v>
      </c>
      <c r="M16" s="173">
        <f t="shared" si="7"/>
        <v>0</v>
      </c>
      <c r="N16" s="173">
        <f t="shared" si="8"/>
        <v>0</v>
      </c>
      <c r="O16" s="173">
        <f t="shared" si="9"/>
        <v>0</v>
      </c>
      <c r="P16" s="175">
        <f t="shared" si="69"/>
        <v>0</v>
      </c>
      <c r="Q16" s="173">
        <f t="shared" si="10"/>
        <v>0</v>
      </c>
      <c r="R16" s="173">
        <f t="shared" si="11"/>
        <v>0</v>
      </c>
      <c r="S16" s="173">
        <f t="shared" si="12"/>
        <v>0</v>
      </c>
      <c r="T16" s="175">
        <f t="shared" si="70"/>
        <v>0</v>
      </c>
      <c r="U16" s="173">
        <f t="shared" si="13"/>
        <v>0</v>
      </c>
      <c r="V16" s="173">
        <f t="shared" si="14"/>
        <v>0</v>
      </c>
      <c r="W16" s="173">
        <f t="shared" si="15"/>
        <v>0</v>
      </c>
      <c r="X16" s="175">
        <f t="shared" si="71"/>
        <v>0</v>
      </c>
      <c r="Y16" s="173">
        <f t="shared" si="16"/>
        <v>0</v>
      </c>
      <c r="Z16" s="173">
        <f t="shared" si="17"/>
        <v>0</v>
      </c>
      <c r="AA16" s="173">
        <f t="shared" si="18"/>
        <v>0</v>
      </c>
      <c r="AB16" s="175">
        <f t="shared" si="72"/>
        <v>0</v>
      </c>
      <c r="AC16" s="173">
        <f t="shared" si="19"/>
        <v>0</v>
      </c>
      <c r="AD16" s="173">
        <f t="shared" si="20"/>
        <v>0</v>
      </c>
      <c r="AE16" s="173">
        <f t="shared" si="21"/>
        <v>0</v>
      </c>
      <c r="AF16" s="175">
        <f t="shared" si="73"/>
        <v>0</v>
      </c>
      <c r="AG16" s="173">
        <f t="shared" si="22"/>
        <v>0</v>
      </c>
      <c r="AH16" s="173">
        <f t="shared" si="23"/>
        <v>0</v>
      </c>
      <c r="AI16" s="173">
        <f t="shared" si="24"/>
        <v>0</v>
      </c>
      <c r="AJ16" s="175">
        <f t="shared" si="74"/>
        <v>-24.3</v>
      </c>
      <c r="AK16" s="173">
        <f t="shared" si="25"/>
        <v>0</v>
      </c>
      <c r="AL16" s="173">
        <f t="shared" si="26"/>
        <v>0</v>
      </c>
      <c r="AM16" s="173">
        <f t="shared" si="27"/>
        <v>0</v>
      </c>
      <c r="AN16" s="175">
        <f t="shared" si="75"/>
        <v>0</v>
      </c>
      <c r="AO16" s="173">
        <f t="shared" si="28"/>
        <v>0</v>
      </c>
      <c r="AP16" s="173">
        <f t="shared" si="29"/>
        <v>0</v>
      </c>
      <c r="AQ16" s="173">
        <f t="shared" si="30"/>
        <v>0</v>
      </c>
      <c r="AR16" s="175">
        <f t="shared" si="76"/>
        <v>0</v>
      </c>
      <c r="AS16" s="173">
        <f t="shared" si="31"/>
        <v>0</v>
      </c>
      <c r="AT16" s="173">
        <f t="shared" si="32"/>
        <v>0</v>
      </c>
      <c r="AU16" s="173">
        <f t="shared" si="33"/>
        <v>0</v>
      </c>
      <c r="AV16" s="175">
        <f t="shared" si="77"/>
        <v>0</v>
      </c>
      <c r="AW16" s="173">
        <f t="shared" si="34"/>
        <v>0</v>
      </c>
      <c r="AX16" s="173">
        <f t="shared" si="35"/>
        <v>0</v>
      </c>
      <c r="AY16" s="174">
        <f t="shared" si="36"/>
        <v>0</v>
      </c>
      <c r="AZ16" s="175">
        <f t="shared" si="78"/>
        <v>0</v>
      </c>
      <c r="BA16" s="173">
        <f t="shared" si="37"/>
        <v>0</v>
      </c>
      <c r="BB16" s="173">
        <f t="shared" si="38"/>
        <v>0</v>
      </c>
      <c r="BC16" s="174">
        <f t="shared" si="39"/>
        <v>0</v>
      </c>
      <c r="BD16" s="175">
        <f t="shared" si="79"/>
        <v>0</v>
      </c>
      <c r="BE16" s="173">
        <f t="shared" si="40"/>
        <v>0</v>
      </c>
      <c r="BF16" s="173">
        <f t="shared" si="41"/>
        <v>0</v>
      </c>
      <c r="BG16" s="174">
        <f t="shared" si="42"/>
        <v>0</v>
      </c>
      <c r="BH16" s="175">
        <f t="shared" si="80"/>
        <v>0</v>
      </c>
      <c r="BI16" s="173">
        <f t="shared" si="43"/>
        <v>0</v>
      </c>
      <c r="BJ16" s="173">
        <f t="shared" si="44"/>
        <v>0</v>
      </c>
      <c r="BK16" s="174">
        <f t="shared" si="45"/>
        <v>0</v>
      </c>
      <c r="BL16" s="178">
        <v>0</v>
      </c>
      <c r="BM16" s="176">
        <v>0</v>
      </c>
      <c r="BN16" s="176">
        <v>0</v>
      </c>
      <c r="BO16" s="177">
        <v>0</v>
      </c>
      <c r="BP16" s="176">
        <v>0</v>
      </c>
      <c r="BQ16" s="176">
        <v>0</v>
      </c>
      <c r="BR16" s="176">
        <v>0</v>
      </c>
      <c r="BS16" s="177">
        <v>0</v>
      </c>
      <c r="BT16" s="176">
        <v>0</v>
      </c>
      <c r="BU16" s="176">
        <v>0</v>
      </c>
      <c r="BV16" s="176">
        <v>0</v>
      </c>
      <c r="BW16" s="176">
        <v>0</v>
      </c>
      <c r="BX16" s="21"/>
      <c r="BY16" s="173">
        <f t="shared" si="49"/>
        <v>0</v>
      </c>
      <c r="BZ16" s="173">
        <f t="shared" si="50"/>
        <v>0</v>
      </c>
      <c r="CA16" s="173">
        <f t="shared" si="51"/>
        <v>0</v>
      </c>
      <c r="CB16" s="173">
        <f t="shared" si="52"/>
        <v>0</v>
      </c>
      <c r="CC16" s="173">
        <f t="shared" si="53"/>
        <v>0</v>
      </c>
      <c r="CD16" s="173">
        <f t="shared" si="54"/>
        <v>0</v>
      </c>
      <c r="CE16" s="173">
        <f t="shared" si="55"/>
        <v>0</v>
      </c>
      <c r="CF16" s="173">
        <f t="shared" si="56"/>
        <v>0</v>
      </c>
      <c r="CG16" s="173">
        <f t="shared" si="57"/>
        <v>-24.3</v>
      </c>
      <c r="CH16" s="173">
        <f t="shared" si="58"/>
        <v>0</v>
      </c>
      <c r="CI16" s="173">
        <f t="shared" si="59"/>
        <v>0</v>
      </c>
      <c r="CJ16" s="173">
        <f t="shared" si="60"/>
        <v>0</v>
      </c>
      <c r="CK16" s="173">
        <f t="shared" si="61"/>
        <v>0</v>
      </c>
      <c r="CL16" s="173">
        <f t="shared" si="62"/>
        <v>0</v>
      </c>
      <c r="CM16" s="173">
        <f t="shared" si="63"/>
        <v>0</v>
      </c>
      <c r="CN16" s="173">
        <f t="shared" si="64"/>
        <v>0</v>
      </c>
      <c r="CO16" s="173">
        <f t="shared" si="81"/>
        <v>0</v>
      </c>
      <c r="CP16" s="174">
        <f t="shared" si="65"/>
        <v>0</v>
      </c>
      <c r="CQ16" s="22"/>
    </row>
    <row r="17" spans="1:95" ht="14.25" customHeight="1">
      <c r="A17" s="9"/>
      <c r="B17" s="48" t="str">
        <f t="shared" ref="B17:B37" si="82">B127</f>
        <v>Amortization of debt issuance costs</v>
      </c>
      <c r="C17" s="49"/>
      <c r="D17" s="175">
        <f t="shared" ref="D17:D26" si="83">D127</f>
        <v>2.2000000000000002</v>
      </c>
      <c r="E17" s="173">
        <f t="shared" si="1"/>
        <v>2.3999999999999995</v>
      </c>
      <c r="F17" s="173">
        <f t="shared" si="2"/>
        <v>2.3000000000000007</v>
      </c>
      <c r="G17" s="173">
        <f t="shared" si="3"/>
        <v>1.7999999999999989</v>
      </c>
      <c r="H17" s="175">
        <f t="shared" ref="H17:H26" si="84">H127</f>
        <v>1.9</v>
      </c>
      <c r="I17" s="173">
        <f t="shared" si="4"/>
        <v>1.8000000000000003</v>
      </c>
      <c r="J17" s="173">
        <f t="shared" si="5"/>
        <v>1.7999999999999998</v>
      </c>
      <c r="K17" s="173">
        <f t="shared" si="6"/>
        <v>1.8000000000000003</v>
      </c>
      <c r="L17" s="175">
        <f t="shared" ref="L17:L26" si="85">L127</f>
        <v>0.5</v>
      </c>
      <c r="M17" s="173">
        <f t="shared" si="7"/>
        <v>0.4</v>
      </c>
      <c r="N17" s="173">
        <f t="shared" si="8"/>
        <v>0.4</v>
      </c>
      <c r="O17" s="173">
        <f t="shared" si="9"/>
        <v>0.39999999999999991</v>
      </c>
      <c r="P17" s="175">
        <f t="shared" ref="P17:P26" si="86">P127</f>
        <v>0.6</v>
      </c>
      <c r="Q17" s="173">
        <f t="shared" si="10"/>
        <v>0.70000000000000007</v>
      </c>
      <c r="R17" s="173">
        <f t="shared" si="11"/>
        <v>0.69999999999999984</v>
      </c>
      <c r="S17" s="173">
        <f t="shared" si="12"/>
        <v>0.79999999999999971</v>
      </c>
      <c r="T17" s="175">
        <f t="shared" ref="T17:T26" si="87">T127</f>
        <v>1.1000000000000001</v>
      </c>
      <c r="U17" s="173">
        <f t="shared" si="13"/>
        <v>1</v>
      </c>
      <c r="V17" s="173">
        <f t="shared" si="14"/>
        <v>1</v>
      </c>
      <c r="W17" s="173">
        <f t="shared" si="15"/>
        <v>0.99999999999999956</v>
      </c>
      <c r="X17" s="175">
        <f t="shared" ref="X17:X26" si="88">X127</f>
        <v>1</v>
      </c>
      <c r="Y17" s="173">
        <f t="shared" si="16"/>
        <v>1</v>
      </c>
      <c r="Z17" s="173">
        <f t="shared" si="17"/>
        <v>1</v>
      </c>
      <c r="AA17" s="173">
        <f t="shared" si="18"/>
        <v>1</v>
      </c>
      <c r="AB17" s="175">
        <f t="shared" ref="AB17:AB26" si="89">AB127</f>
        <v>0.9</v>
      </c>
      <c r="AC17" s="173">
        <f t="shared" si="19"/>
        <v>0.79999999999999993</v>
      </c>
      <c r="AD17" s="173">
        <f t="shared" si="20"/>
        <v>0.70000000000000007</v>
      </c>
      <c r="AE17" s="173">
        <f t="shared" si="21"/>
        <v>0.70000000000000029</v>
      </c>
      <c r="AF17" s="175">
        <f t="shared" ref="AF17:AF26" si="90">AF127</f>
        <v>0.7</v>
      </c>
      <c r="AG17" s="173">
        <f t="shared" si="22"/>
        <v>0.7</v>
      </c>
      <c r="AH17" s="173">
        <f t="shared" si="23"/>
        <v>0.5</v>
      </c>
      <c r="AI17" s="173">
        <f t="shared" si="24"/>
        <v>0.60000000000000009</v>
      </c>
      <c r="AJ17" s="175">
        <f t="shared" ref="AJ17:AJ26" si="91">AJ127</f>
        <v>0.6</v>
      </c>
      <c r="AK17" s="173">
        <f t="shared" si="25"/>
        <v>0.6</v>
      </c>
      <c r="AL17" s="173">
        <f t="shared" si="26"/>
        <v>0.6000000000000002</v>
      </c>
      <c r="AM17" s="173">
        <f t="shared" si="27"/>
        <v>0.49999999999999944</v>
      </c>
      <c r="AN17" s="175">
        <f t="shared" ref="AN17:AN26" si="92">AN127</f>
        <v>0.5</v>
      </c>
      <c r="AO17" s="173">
        <f t="shared" si="28"/>
        <v>0.60000000000000009</v>
      </c>
      <c r="AP17" s="173">
        <f t="shared" si="29"/>
        <v>0.59999999999999987</v>
      </c>
      <c r="AQ17" s="173">
        <f t="shared" si="30"/>
        <v>0.40000000000000013</v>
      </c>
      <c r="AR17" s="175">
        <f t="shared" ref="AR17:AR26" si="93">AR127</f>
        <v>0.3</v>
      </c>
      <c r="AS17" s="173">
        <f t="shared" si="31"/>
        <v>0.3</v>
      </c>
      <c r="AT17" s="173">
        <f t="shared" si="32"/>
        <v>0.3000000000000001</v>
      </c>
      <c r="AU17" s="173">
        <f t="shared" si="33"/>
        <v>0.39999999999999986</v>
      </c>
      <c r="AV17" s="175">
        <f t="shared" ref="AV17:AV26" si="94">AV127</f>
        <v>0.3</v>
      </c>
      <c r="AW17" s="173">
        <f t="shared" si="34"/>
        <v>0.39999999999999997</v>
      </c>
      <c r="AX17" s="173">
        <f t="shared" si="35"/>
        <v>0.3</v>
      </c>
      <c r="AY17" s="174">
        <f t="shared" si="36"/>
        <v>0.39999999999999997</v>
      </c>
      <c r="AZ17" s="175">
        <f t="shared" ref="AZ17:AZ26" si="95">AZ127</f>
        <v>0.3</v>
      </c>
      <c r="BA17" s="173">
        <f t="shared" si="37"/>
        <v>0.60000000000000009</v>
      </c>
      <c r="BB17" s="173">
        <f t="shared" si="38"/>
        <v>0.99999999999999978</v>
      </c>
      <c r="BC17" s="174">
        <f t="shared" si="39"/>
        <v>0.90000000000000013</v>
      </c>
      <c r="BD17" s="175">
        <f t="shared" ref="BD17:BD27" si="96">BD127</f>
        <v>1</v>
      </c>
      <c r="BE17" s="173">
        <f t="shared" si="40"/>
        <v>2.1</v>
      </c>
      <c r="BF17" s="173">
        <f t="shared" si="41"/>
        <v>4.3000000000000007</v>
      </c>
      <c r="BG17" s="174">
        <f t="shared" si="42"/>
        <v>4.5999999999999996</v>
      </c>
      <c r="BH17" s="175">
        <f t="shared" si="80"/>
        <v>4.5</v>
      </c>
      <c r="BI17" s="173">
        <f t="shared" si="43"/>
        <v>3.9000000000000004</v>
      </c>
      <c r="BJ17" s="173">
        <f t="shared" si="44"/>
        <v>3.7999999999999989</v>
      </c>
      <c r="BK17" s="174">
        <f t="shared" si="45"/>
        <v>3.8000000000000007</v>
      </c>
      <c r="BL17" s="178">
        <v>0</v>
      </c>
      <c r="BM17" s="176">
        <v>0</v>
      </c>
      <c r="BN17" s="176">
        <v>0</v>
      </c>
      <c r="BO17" s="177">
        <v>0</v>
      </c>
      <c r="BP17" s="176">
        <v>0</v>
      </c>
      <c r="BQ17" s="176">
        <v>0</v>
      </c>
      <c r="BR17" s="176">
        <v>0</v>
      </c>
      <c r="BS17" s="177">
        <v>0</v>
      </c>
      <c r="BT17" s="176">
        <v>0</v>
      </c>
      <c r="BU17" s="176">
        <v>0</v>
      </c>
      <c r="BV17" s="176">
        <v>0</v>
      </c>
      <c r="BW17" s="176">
        <v>0</v>
      </c>
      <c r="BX17" s="21"/>
      <c r="BY17" s="173">
        <f t="shared" si="49"/>
        <v>8.6999999999999993</v>
      </c>
      <c r="BZ17" s="173">
        <f t="shared" si="50"/>
        <v>7.3000000000000007</v>
      </c>
      <c r="CA17" s="173">
        <f t="shared" si="51"/>
        <v>1.7</v>
      </c>
      <c r="CB17" s="173">
        <f t="shared" si="52"/>
        <v>2.8</v>
      </c>
      <c r="CC17" s="173">
        <f t="shared" si="53"/>
        <v>4.0999999999999996</v>
      </c>
      <c r="CD17" s="173">
        <f t="shared" si="54"/>
        <v>4</v>
      </c>
      <c r="CE17" s="173">
        <f t="shared" si="55"/>
        <v>3.1</v>
      </c>
      <c r="CF17" s="173">
        <f t="shared" si="56"/>
        <v>2.5</v>
      </c>
      <c r="CG17" s="173">
        <f t="shared" si="57"/>
        <v>2.2999999999999998</v>
      </c>
      <c r="CH17" s="173">
        <f t="shared" si="58"/>
        <v>2.1</v>
      </c>
      <c r="CI17" s="173">
        <f t="shared" si="59"/>
        <v>1.3</v>
      </c>
      <c r="CJ17" s="173">
        <f t="shared" si="60"/>
        <v>1.4</v>
      </c>
      <c r="CK17" s="173">
        <f t="shared" si="61"/>
        <v>2.8</v>
      </c>
      <c r="CL17" s="173">
        <f t="shared" si="62"/>
        <v>12</v>
      </c>
      <c r="CM17" s="173">
        <f t="shared" si="63"/>
        <v>16</v>
      </c>
      <c r="CN17" s="173">
        <f t="shared" si="64"/>
        <v>0</v>
      </c>
      <c r="CO17" s="173">
        <f t="shared" si="81"/>
        <v>0</v>
      </c>
      <c r="CP17" s="174">
        <f t="shared" si="65"/>
        <v>0</v>
      </c>
      <c r="CQ17" s="22"/>
    </row>
    <row r="18" spans="1:95" ht="14.25" customHeight="1">
      <c r="A18" s="9"/>
      <c r="B18" s="48" t="str">
        <f t="shared" si="82"/>
        <v>Provision for excess inventories</v>
      </c>
      <c r="C18" s="49"/>
      <c r="D18" s="175">
        <f t="shared" si="83"/>
        <v>4</v>
      </c>
      <c r="E18" s="173">
        <f t="shared" si="1"/>
        <v>2.2999999999999998</v>
      </c>
      <c r="F18" s="173">
        <f t="shared" si="2"/>
        <v>2.1000000000000005</v>
      </c>
      <c r="G18" s="173">
        <f t="shared" si="3"/>
        <v>4.5999999999999996</v>
      </c>
      <c r="H18" s="175">
        <f t="shared" si="84"/>
        <v>0</v>
      </c>
      <c r="I18" s="173">
        <f t="shared" si="4"/>
        <v>1.6</v>
      </c>
      <c r="J18" s="173">
        <f t="shared" si="5"/>
        <v>5.3000000000000007</v>
      </c>
      <c r="K18" s="173">
        <f t="shared" si="6"/>
        <v>4.1999999999999993</v>
      </c>
      <c r="L18" s="175">
        <f t="shared" si="85"/>
        <v>3.1</v>
      </c>
      <c r="M18" s="173">
        <f t="shared" si="7"/>
        <v>3.1</v>
      </c>
      <c r="N18" s="173">
        <f t="shared" si="8"/>
        <v>2.7000000000000006</v>
      </c>
      <c r="O18" s="173">
        <f t="shared" si="9"/>
        <v>4.2999999999999989</v>
      </c>
      <c r="P18" s="175">
        <f t="shared" si="86"/>
        <v>2.5</v>
      </c>
      <c r="Q18" s="173">
        <f t="shared" si="10"/>
        <v>6.6</v>
      </c>
      <c r="R18" s="173">
        <f t="shared" si="11"/>
        <v>7.1</v>
      </c>
      <c r="S18" s="173">
        <f t="shared" si="12"/>
        <v>2.5</v>
      </c>
      <c r="T18" s="175">
        <f t="shared" si="87"/>
        <v>1.6</v>
      </c>
      <c r="U18" s="173">
        <f t="shared" si="13"/>
        <v>3.6999999999999997</v>
      </c>
      <c r="V18" s="173">
        <f t="shared" si="14"/>
        <v>0.60000000000000098</v>
      </c>
      <c r="W18" s="173">
        <f t="shared" si="15"/>
        <v>0.79999999999999893</v>
      </c>
      <c r="X18" s="175">
        <f t="shared" si="88"/>
        <v>2.5</v>
      </c>
      <c r="Y18" s="173">
        <f t="shared" si="16"/>
        <v>3.2</v>
      </c>
      <c r="Z18" s="173">
        <f t="shared" si="17"/>
        <v>4.9999999999999991</v>
      </c>
      <c r="AA18" s="173">
        <f t="shared" si="18"/>
        <v>9.1000000000000014</v>
      </c>
      <c r="AB18" s="175">
        <f t="shared" si="89"/>
        <v>7.6</v>
      </c>
      <c r="AC18" s="173">
        <f t="shared" si="19"/>
        <v>4</v>
      </c>
      <c r="AD18" s="173">
        <f t="shared" si="20"/>
        <v>4.0999999999999996</v>
      </c>
      <c r="AE18" s="173">
        <f t="shared" si="21"/>
        <v>4.6999999999999993</v>
      </c>
      <c r="AF18" s="175">
        <f t="shared" si="90"/>
        <v>-1.1000000000000001</v>
      </c>
      <c r="AG18" s="173">
        <f t="shared" si="22"/>
        <v>1.2000000000000002</v>
      </c>
      <c r="AH18" s="173">
        <f t="shared" si="23"/>
        <v>2.6</v>
      </c>
      <c r="AI18" s="173">
        <f t="shared" si="24"/>
        <v>7.2999999999999989</v>
      </c>
      <c r="AJ18" s="175">
        <f t="shared" si="91"/>
        <v>1.7</v>
      </c>
      <c r="AK18" s="173">
        <f t="shared" si="25"/>
        <v>2.0999999999999996</v>
      </c>
      <c r="AL18" s="173">
        <f t="shared" si="26"/>
        <v>14.9</v>
      </c>
      <c r="AM18" s="173">
        <f t="shared" si="27"/>
        <v>30.4</v>
      </c>
      <c r="AN18" s="175">
        <f t="shared" si="92"/>
        <v>15.8</v>
      </c>
      <c r="AO18" s="173">
        <f t="shared" si="28"/>
        <v>11.5</v>
      </c>
      <c r="AP18" s="173">
        <f t="shared" si="29"/>
        <v>3.3000000000000007</v>
      </c>
      <c r="AQ18" s="173">
        <f t="shared" si="30"/>
        <v>21.299999999999994</v>
      </c>
      <c r="AR18" s="175">
        <f t="shared" si="93"/>
        <v>15.9</v>
      </c>
      <c r="AS18" s="173">
        <f t="shared" si="31"/>
        <v>24</v>
      </c>
      <c r="AT18" s="173">
        <f t="shared" si="32"/>
        <v>5.8000000000000043</v>
      </c>
      <c r="AU18" s="173">
        <f t="shared" si="33"/>
        <v>6.1999999999999957</v>
      </c>
      <c r="AV18" s="175">
        <f t="shared" si="94"/>
        <v>6.8</v>
      </c>
      <c r="AW18" s="173">
        <f t="shared" si="34"/>
        <v>4.7</v>
      </c>
      <c r="AX18" s="173">
        <f t="shared" si="35"/>
        <v>9.6000000000000014</v>
      </c>
      <c r="AY18" s="174">
        <f t="shared" si="36"/>
        <v>19.500000000000004</v>
      </c>
      <c r="AZ18" s="175">
        <f t="shared" si="95"/>
        <v>17.7</v>
      </c>
      <c r="BA18" s="173">
        <f t="shared" si="37"/>
        <v>10.5</v>
      </c>
      <c r="BB18" s="173">
        <f t="shared" si="38"/>
        <v>10.199999999999999</v>
      </c>
      <c r="BC18" s="174">
        <f t="shared" si="39"/>
        <v>14.000000000000004</v>
      </c>
      <c r="BD18" s="175">
        <f t="shared" si="96"/>
        <v>17.899999999999999</v>
      </c>
      <c r="BE18" s="173">
        <f t="shared" si="40"/>
        <v>17.800000000000004</v>
      </c>
      <c r="BF18" s="173">
        <f t="shared" si="41"/>
        <v>4.3999999999999986</v>
      </c>
      <c r="BG18" s="174">
        <f t="shared" si="42"/>
        <v>26.1</v>
      </c>
      <c r="BH18" s="175">
        <f t="shared" si="80"/>
        <v>14.2</v>
      </c>
      <c r="BI18" s="173">
        <f t="shared" si="43"/>
        <v>21.400000000000002</v>
      </c>
      <c r="BJ18" s="173">
        <f t="shared" si="44"/>
        <v>21.199999999999992</v>
      </c>
      <c r="BK18" s="174">
        <f t="shared" si="45"/>
        <v>10.200000000000003</v>
      </c>
      <c r="BL18" s="178">
        <v>0</v>
      </c>
      <c r="BM18" s="176">
        <v>0</v>
      </c>
      <c r="BN18" s="176">
        <v>0</v>
      </c>
      <c r="BO18" s="177">
        <v>0</v>
      </c>
      <c r="BP18" s="176">
        <v>0</v>
      </c>
      <c r="BQ18" s="176">
        <v>0</v>
      </c>
      <c r="BR18" s="176">
        <v>0</v>
      </c>
      <c r="BS18" s="177">
        <v>0</v>
      </c>
      <c r="BT18" s="176">
        <v>0</v>
      </c>
      <c r="BU18" s="176">
        <v>0</v>
      </c>
      <c r="BV18" s="176">
        <v>0</v>
      </c>
      <c r="BW18" s="176">
        <v>0</v>
      </c>
      <c r="BX18" s="21"/>
      <c r="BY18" s="173">
        <f t="shared" si="49"/>
        <v>13</v>
      </c>
      <c r="BZ18" s="173">
        <f t="shared" si="50"/>
        <v>11.1</v>
      </c>
      <c r="CA18" s="173">
        <f t="shared" si="51"/>
        <v>13.2</v>
      </c>
      <c r="CB18" s="173">
        <f t="shared" si="52"/>
        <v>18.7</v>
      </c>
      <c r="CC18" s="173">
        <f t="shared" si="53"/>
        <v>6.6999999999999993</v>
      </c>
      <c r="CD18" s="173">
        <f t="shared" si="54"/>
        <v>19.8</v>
      </c>
      <c r="CE18" s="173">
        <f t="shared" si="55"/>
        <v>20.399999999999999</v>
      </c>
      <c r="CF18" s="173">
        <f t="shared" si="56"/>
        <v>10</v>
      </c>
      <c r="CG18" s="173">
        <f t="shared" si="57"/>
        <v>49.099999999999994</v>
      </c>
      <c r="CH18" s="173">
        <f t="shared" si="58"/>
        <v>51.899999999999991</v>
      </c>
      <c r="CI18" s="173">
        <f t="shared" si="59"/>
        <v>51.9</v>
      </c>
      <c r="CJ18" s="173">
        <f t="shared" si="60"/>
        <v>40.600000000000009</v>
      </c>
      <c r="CK18" s="173">
        <f t="shared" si="61"/>
        <v>52.400000000000006</v>
      </c>
      <c r="CL18" s="173">
        <f t="shared" si="62"/>
        <v>66.2</v>
      </c>
      <c r="CM18" s="173">
        <f t="shared" si="63"/>
        <v>67</v>
      </c>
      <c r="CN18" s="173">
        <f t="shared" si="64"/>
        <v>0</v>
      </c>
      <c r="CO18" s="173">
        <f t="shared" si="81"/>
        <v>0</v>
      </c>
      <c r="CP18" s="174">
        <f t="shared" si="65"/>
        <v>0</v>
      </c>
      <c r="CQ18" s="22"/>
    </row>
    <row r="19" spans="1:95" ht="14.25" customHeight="1">
      <c r="A19" s="9"/>
      <c r="B19" s="48" t="str">
        <f t="shared" si="82"/>
        <v>Non-cash share-based compensation expense</v>
      </c>
      <c r="C19" s="49"/>
      <c r="D19" s="175">
        <f t="shared" si="83"/>
        <v>0.1</v>
      </c>
      <c r="E19" s="173">
        <f t="shared" si="1"/>
        <v>0</v>
      </c>
      <c r="F19" s="173">
        <f t="shared" si="2"/>
        <v>0</v>
      </c>
      <c r="G19" s="173">
        <f t="shared" si="3"/>
        <v>0</v>
      </c>
      <c r="H19" s="175">
        <f t="shared" si="84"/>
        <v>0</v>
      </c>
      <c r="I19" s="173">
        <f t="shared" si="4"/>
        <v>0</v>
      </c>
      <c r="J19" s="173">
        <f t="shared" si="5"/>
        <v>0.2</v>
      </c>
      <c r="K19" s="173">
        <f t="shared" si="6"/>
        <v>0</v>
      </c>
      <c r="L19" s="175">
        <f t="shared" si="85"/>
        <v>0</v>
      </c>
      <c r="M19" s="173">
        <f t="shared" si="7"/>
        <v>0</v>
      </c>
      <c r="N19" s="173">
        <f t="shared" si="8"/>
        <v>0</v>
      </c>
      <c r="O19" s="173">
        <f t="shared" si="9"/>
        <v>0</v>
      </c>
      <c r="P19" s="175">
        <f t="shared" si="86"/>
        <v>1.9</v>
      </c>
      <c r="Q19" s="173">
        <f t="shared" si="10"/>
        <v>2.4</v>
      </c>
      <c r="R19" s="173">
        <f t="shared" si="11"/>
        <v>2.9000000000000008</v>
      </c>
      <c r="S19" s="173">
        <f t="shared" si="12"/>
        <v>2.9999999999999978</v>
      </c>
      <c r="T19" s="175">
        <f t="shared" si="87"/>
        <v>3.3</v>
      </c>
      <c r="U19" s="173">
        <f t="shared" si="13"/>
        <v>3.5</v>
      </c>
      <c r="V19" s="173">
        <f t="shared" si="14"/>
        <v>4.1000000000000005</v>
      </c>
      <c r="W19" s="173">
        <f t="shared" si="15"/>
        <v>5.5999999999999988</v>
      </c>
      <c r="X19" s="175">
        <f t="shared" si="88"/>
        <v>6.7</v>
      </c>
      <c r="Y19" s="173">
        <f t="shared" si="16"/>
        <v>8.3000000000000007</v>
      </c>
      <c r="Z19" s="173">
        <f t="shared" si="17"/>
        <v>11.399999999999999</v>
      </c>
      <c r="AA19" s="173">
        <f t="shared" si="18"/>
        <v>6.8000000000000043</v>
      </c>
      <c r="AB19" s="175">
        <f t="shared" si="89"/>
        <v>12.7</v>
      </c>
      <c r="AC19" s="173">
        <f t="shared" si="19"/>
        <v>16.100000000000001</v>
      </c>
      <c r="AD19" s="173">
        <f t="shared" si="20"/>
        <v>13.499999999999996</v>
      </c>
      <c r="AE19" s="173">
        <f t="shared" si="21"/>
        <v>11.900000000000002</v>
      </c>
      <c r="AF19" s="175">
        <f t="shared" si="90"/>
        <v>13.7</v>
      </c>
      <c r="AG19" s="173">
        <f t="shared" si="22"/>
        <v>15.400000000000002</v>
      </c>
      <c r="AH19" s="173">
        <f t="shared" si="23"/>
        <v>12.199999999999996</v>
      </c>
      <c r="AI19" s="173">
        <f t="shared" si="24"/>
        <v>11.2</v>
      </c>
      <c r="AJ19" s="175">
        <f t="shared" si="91"/>
        <v>10.4</v>
      </c>
      <c r="AK19" s="173">
        <f t="shared" si="25"/>
        <v>10.499999999999998</v>
      </c>
      <c r="AL19" s="173">
        <f t="shared" si="26"/>
        <v>6.0000000000000018</v>
      </c>
      <c r="AM19" s="173">
        <f t="shared" si="27"/>
        <v>6.6000000000000014</v>
      </c>
      <c r="AN19" s="175">
        <f t="shared" si="92"/>
        <v>7.4</v>
      </c>
      <c r="AO19" s="173">
        <f t="shared" si="28"/>
        <v>5.1999999999999993</v>
      </c>
      <c r="AP19" s="173">
        <f t="shared" si="29"/>
        <v>2.0999999999999996</v>
      </c>
      <c r="AQ19" s="173">
        <f t="shared" si="30"/>
        <v>5.8000000000000007</v>
      </c>
      <c r="AR19" s="175">
        <f t="shared" si="93"/>
        <v>5.8</v>
      </c>
      <c r="AS19" s="173">
        <f t="shared" si="31"/>
        <v>10.599999999999998</v>
      </c>
      <c r="AT19" s="173">
        <f t="shared" si="32"/>
        <v>7</v>
      </c>
      <c r="AU19" s="173">
        <f t="shared" si="33"/>
        <v>8.8999999999999986</v>
      </c>
      <c r="AV19" s="175">
        <f t="shared" si="94"/>
        <v>8.5</v>
      </c>
      <c r="AW19" s="173">
        <f t="shared" si="34"/>
        <v>13.399999999999999</v>
      </c>
      <c r="AX19" s="173">
        <f t="shared" si="35"/>
        <v>11.100000000000001</v>
      </c>
      <c r="AY19" s="174">
        <f t="shared" si="36"/>
        <v>12.799999999999997</v>
      </c>
      <c r="AZ19" s="175">
        <f t="shared" si="95"/>
        <v>11.3</v>
      </c>
      <c r="BA19" s="173">
        <f t="shared" si="37"/>
        <v>14.099999999999998</v>
      </c>
      <c r="BB19" s="173">
        <f t="shared" si="38"/>
        <v>10.899999999999999</v>
      </c>
      <c r="BC19" s="174">
        <f t="shared" si="39"/>
        <v>10.599999999999998</v>
      </c>
      <c r="BD19" s="175">
        <f t="shared" si="96"/>
        <v>11.6</v>
      </c>
      <c r="BE19" s="173">
        <f t="shared" si="40"/>
        <v>16.100000000000001</v>
      </c>
      <c r="BF19" s="173">
        <f t="shared" si="41"/>
        <v>14.199999999999996</v>
      </c>
      <c r="BG19" s="174">
        <f t="shared" si="42"/>
        <v>14.200000000000003</v>
      </c>
      <c r="BH19" s="175">
        <f t="shared" si="80"/>
        <v>15.1</v>
      </c>
      <c r="BI19" s="173">
        <f t="shared" si="43"/>
        <v>20.799999999999997</v>
      </c>
      <c r="BJ19" s="173">
        <f t="shared" si="44"/>
        <v>16.800000000000004</v>
      </c>
      <c r="BK19" s="174">
        <f t="shared" si="45"/>
        <v>17.099999999999994</v>
      </c>
      <c r="BL19" s="178">
        <v>0</v>
      </c>
      <c r="BM19" s="176">
        <v>0</v>
      </c>
      <c r="BN19" s="176">
        <v>0</v>
      </c>
      <c r="BO19" s="177">
        <v>0</v>
      </c>
      <c r="BP19" s="176">
        <v>0</v>
      </c>
      <c r="BQ19" s="176">
        <v>0</v>
      </c>
      <c r="BR19" s="176">
        <v>0</v>
      </c>
      <c r="BS19" s="177">
        <v>0</v>
      </c>
      <c r="BT19" s="176">
        <v>0</v>
      </c>
      <c r="BU19" s="176">
        <v>0</v>
      </c>
      <c r="BV19" s="176">
        <v>0</v>
      </c>
      <c r="BW19" s="176">
        <v>0</v>
      </c>
      <c r="BX19" s="21"/>
      <c r="BY19" s="173">
        <f t="shared" si="49"/>
        <v>0.1</v>
      </c>
      <c r="BZ19" s="173">
        <f t="shared" si="50"/>
        <v>0.2</v>
      </c>
      <c r="CA19" s="173">
        <f t="shared" si="51"/>
        <v>0</v>
      </c>
      <c r="CB19" s="173">
        <f t="shared" si="52"/>
        <v>10.199999999999999</v>
      </c>
      <c r="CC19" s="173">
        <f t="shared" si="53"/>
        <v>16.5</v>
      </c>
      <c r="CD19" s="173">
        <f t="shared" si="54"/>
        <v>33.200000000000003</v>
      </c>
      <c r="CE19" s="173">
        <f t="shared" si="55"/>
        <v>54.2</v>
      </c>
      <c r="CF19" s="173">
        <f t="shared" si="56"/>
        <v>52.5</v>
      </c>
      <c r="CG19" s="173">
        <f t="shared" si="57"/>
        <v>33.5</v>
      </c>
      <c r="CH19" s="173">
        <f t="shared" si="58"/>
        <v>20.5</v>
      </c>
      <c r="CI19" s="173">
        <f t="shared" si="59"/>
        <v>32.299999999999997</v>
      </c>
      <c r="CJ19" s="173">
        <f t="shared" si="60"/>
        <v>45.8</v>
      </c>
      <c r="CK19" s="173">
        <f t="shared" si="61"/>
        <v>46.899999999999991</v>
      </c>
      <c r="CL19" s="173">
        <f t="shared" si="62"/>
        <v>56.1</v>
      </c>
      <c r="CM19" s="173">
        <f t="shared" si="63"/>
        <v>69.8</v>
      </c>
      <c r="CN19" s="173">
        <f t="shared" si="64"/>
        <v>0</v>
      </c>
      <c r="CO19" s="173">
        <f t="shared" si="81"/>
        <v>0</v>
      </c>
      <c r="CP19" s="174">
        <f t="shared" si="65"/>
        <v>0</v>
      </c>
      <c r="CQ19" s="22"/>
    </row>
    <row r="20" spans="1:95" ht="14.25" customHeight="1">
      <c r="A20" s="9"/>
      <c r="B20" s="48" t="str">
        <f t="shared" si="82"/>
        <v>Non-cash interest on convertible notes</v>
      </c>
      <c r="C20" s="49"/>
      <c r="D20" s="175">
        <f t="shared" si="83"/>
        <v>3.3</v>
      </c>
      <c r="E20" s="173">
        <f t="shared" si="1"/>
        <v>3.2</v>
      </c>
      <c r="F20" s="173">
        <f t="shared" si="2"/>
        <v>3.3000000000000007</v>
      </c>
      <c r="G20" s="173">
        <f t="shared" si="3"/>
        <v>3.1999999999999984</v>
      </c>
      <c r="H20" s="175">
        <f t="shared" si="84"/>
        <v>3.5</v>
      </c>
      <c r="I20" s="173">
        <f t="shared" si="4"/>
        <v>3.5</v>
      </c>
      <c r="J20" s="173">
        <f t="shared" si="5"/>
        <v>3.5999999999999996</v>
      </c>
      <c r="K20" s="173">
        <f t="shared" si="6"/>
        <v>3.7000000000000011</v>
      </c>
      <c r="L20" s="175">
        <f t="shared" si="85"/>
        <v>3.9</v>
      </c>
      <c r="M20" s="173">
        <f t="shared" si="7"/>
        <v>3.9</v>
      </c>
      <c r="N20" s="173">
        <f t="shared" si="8"/>
        <v>3.899999999999999</v>
      </c>
      <c r="O20" s="173">
        <f t="shared" si="9"/>
        <v>-2.5999999999999996</v>
      </c>
      <c r="P20" s="175">
        <f t="shared" si="86"/>
        <v>0</v>
      </c>
      <c r="Q20" s="173">
        <f t="shared" si="10"/>
        <v>0</v>
      </c>
      <c r="R20" s="173">
        <f t="shared" si="11"/>
        <v>0</v>
      </c>
      <c r="S20" s="173">
        <f t="shared" si="12"/>
        <v>0</v>
      </c>
      <c r="T20" s="175">
        <f t="shared" si="87"/>
        <v>0</v>
      </c>
      <c r="U20" s="173">
        <f t="shared" si="13"/>
        <v>0</v>
      </c>
      <c r="V20" s="173">
        <f t="shared" si="14"/>
        <v>0</v>
      </c>
      <c r="W20" s="173">
        <f t="shared" si="15"/>
        <v>0</v>
      </c>
      <c r="X20" s="175">
        <f t="shared" si="88"/>
        <v>9.8000000000000007</v>
      </c>
      <c r="Y20" s="173">
        <f t="shared" si="16"/>
        <v>10.399999999999999</v>
      </c>
      <c r="Z20" s="173">
        <f t="shared" si="17"/>
        <v>10.600000000000001</v>
      </c>
      <c r="AA20" s="173">
        <f t="shared" si="18"/>
        <v>10.8</v>
      </c>
      <c r="AB20" s="175">
        <f t="shared" si="89"/>
        <v>9.9</v>
      </c>
      <c r="AC20" s="173">
        <f t="shared" si="19"/>
        <v>8.4</v>
      </c>
      <c r="AD20" s="173">
        <f t="shared" si="20"/>
        <v>8.3000000000000025</v>
      </c>
      <c r="AE20" s="173">
        <f t="shared" si="21"/>
        <v>8.2999999999999989</v>
      </c>
      <c r="AF20" s="175">
        <f t="shared" si="90"/>
        <v>8.6999999999999993</v>
      </c>
      <c r="AG20" s="173">
        <f t="shared" si="22"/>
        <v>8.3000000000000007</v>
      </c>
      <c r="AH20" s="173">
        <f t="shared" si="23"/>
        <v>8.3000000000000007</v>
      </c>
      <c r="AI20" s="173">
        <f t="shared" si="24"/>
        <v>8.4000000000000021</v>
      </c>
      <c r="AJ20" s="175">
        <f t="shared" si="91"/>
        <v>8.6999999999999993</v>
      </c>
      <c r="AK20" s="173">
        <f t="shared" si="25"/>
        <v>8.9000000000000021</v>
      </c>
      <c r="AL20" s="173">
        <f t="shared" si="26"/>
        <v>8.8999999999999986</v>
      </c>
      <c r="AM20" s="173">
        <f t="shared" si="27"/>
        <v>8.3999999999999986</v>
      </c>
      <c r="AN20" s="175">
        <f t="shared" si="92"/>
        <v>7.2</v>
      </c>
      <c r="AO20" s="173">
        <f t="shared" si="28"/>
        <v>5.9999999999999991</v>
      </c>
      <c r="AP20" s="173">
        <f t="shared" si="29"/>
        <v>5.5000000000000009</v>
      </c>
      <c r="AQ20" s="173">
        <f t="shared" si="30"/>
        <v>4.6999999999999984</v>
      </c>
      <c r="AR20" s="175">
        <f t="shared" si="93"/>
        <v>3.1</v>
      </c>
      <c r="AS20" s="173">
        <f t="shared" si="31"/>
        <v>2.6999999999999997</v>
      </c>
      <c r="AT20" s="173">
        <f t="shared" si="32"/>
        <v>2.7000000000000006</v>
      </c>
      <c r="AU20" s="173">
        <f t="shared" si="33"/>
        <v>2.6999999999999997</v>
      </c>
      <c r="AV20" s="175">
        <f t="shared" si="94"/>
        <v>1.6</v>
      </c>
      <c r="AW20" s="173">
        <f t="shared" si="34"/>
        <v>1.6999999999999997</v>
      </c>
      <c r="AX20" s="173">
        <f t="shared" si="35"/>
        <v>1.7999999999999998</v>
      </c>
      <c r="AY20" s="174">
        <f t="shared" si="36"/>
        <v>1.9000000000000008</v>
      </c>
      <c r="AZ20" s="175">
        <f t="shared" si="95"/>
        <v>1.8</v>
      </c>
      <c r="BA20" s="173">
        <f t="shared" si="37"/>
        <v>3</v>
      </c>
      <c r="BB20" s="173">
        <f t="shared" si="38"/>
        <v>6.3999999999999986</v>
      </c>
      <c r="BC20" s="174">
        <f t="shared" si="39"/>
        <v>6.3000000000000007</v>
      </c>
      <c r="BD20" s="175">
        <f t="shared" si="96"/>
        <v>6.5</v>
      </c>
      <c r="BE20" s="173">
        <f t="shared" si="40"/>
        <v>6.5</v>
      </c>
      <c r="BF20" s="173">
        <f t="shared" si="41"/>
        <v>6.6000000000000014</v>
      </c>
      <c r="BG20" s="174">
        <f t="shared" si="42"/>
        <v>6.3999999999999986</v>
      </c>
      <c r="BH20" s="175">
        <f t="shared" si="80"/>
        <v>4.7</v>
      </c>
      <c r="BI20" s="173">
        <f t="shared" si="43"/>
        <v>8.6000000000000014</v>
      </c>
      <c r="BJ20" s="173">
        <f t="shared" si="44"/>
        <v>8.5999999999999979</v>
      </c>
      <c r="BK20" s="174">
        <f t="shared" si="45"/>
        <v>8.9000000000000021</v>
      </c>
      <c r="BL20" s="178">
        <v>0</v>
      </c>
      <c r="BM20" s="176">
        <v>0</v>
      </c>
      <c r="BN20" s="176">
        <v>0</v>
      </c>
      <c r="BO20" s="177">
        <v>0</v>
      </c>
      <c r="BP20" s="176">
        <v>0</v>
      </c>
      <c r="BQ20" s="176">
        <v>0</v>
      </c>
      <c r="BR20" s="176">
        <v>0</v>
      </c>
      <c r="BS20" s="177">
        <v>0</v>
      </c>
      <c r="BT20" s="176">
        <v>0</v>
      </c>
      <c r="BU20" s="176">
        <v>0</v>
      </c>
      <c r="BV20" s="176">
        <v>0</v>
      </c>
      <c r="BW20" s="176">
        <v>0</v>
      </c>
      <c r="BX20" s="21"/>
      <c r="BY20" s="173">
        <f t="shared" si="49"/>
        <v>13</v>
      </c>
      <c r="BZ20" s="173">
        <f t="shared" si="50"/>
        <v>14.3</v>
      </c>
      <c r="CA20" s="173">
        <f t="shared" si="51"/>
        <v>9.1</v>
      </c>
      <c r="CB20" s="173">
        <f t="shared" si="52"/>
        <v>0</v>
      </c>
      <c r="CC20" s="173">
        <f t="shared" si="53"/>
        <v>0</v>
      </c>
      <c r="CD20" s="173">
        <f t="shared" si="54"/>
        <v>41.6</v>
      </c>
      <c r="CE20" s="173">
        <f t="shared" si="55"/>
        <v>34.9</v>
      </c>
      <c r="CF20" s="173">
        <f t="shared" si="56"/>
        <v>33.700000000000003</v>
      </c>
      <c r="CG20" s="173">
        <f t="shared" si="57"/>
        <v>34.9</v>
      </c>
      <c r="CH20" s="173">
        <f t="shared" si="58"/>
        <v>23.4</v>
      </c>
      <c r="CI20" s="173">
        <f t="shared" si="59"/>
        <v>11.2</v>
      </c>
      <c r="CJ20" s="173">
        <f t="shared" si="60"/>
        <v>7</v>
      </c>
      <c r="CK20" s="173">
        <f t="shared" si="61"/>
        <v>17.5</v>
      </c>
      <c r="CL20" s="173">
        <f t="shared" si="62"/>
        <v>26</v>
      </c>
      <c r="CM20" s="173">
        <f t="shared" si="63"/>
        <v>30.8</v>
      </c>
      <c r="CN20" s="173">
        <f t="shared" si="64"/>
        <v>0</v>
      </c>
      <c r="CO20" s="173">
        <f t="shared" si="81"/>
        <v>0</v>
      </c>
      <c r="CP20" s="174">
        <f t="shared" si="65"/>
        <v>0</v>
      </c>
      <c r="CQ20" s="22"/>
    </row>
    <row r="21" spans="1:95" ht="14.25" customHeight="1">
      <c r="A21" s="9"/>
      <c r="B21" s="48" t="str">
        <f t="shared" si="82"/>
        <v>Non-cash asset impairment charges</v>
      </c>
      <c r="C21" s="49"/>
      <c r="D21" s="175">
        <f t="shared" si="83"/>
        <v>0</v>
      </c>
      <c r="E21" s="173">
        <f t="shared" si="1"/>
        <v>10.5</v>
      </c>
      <c r="F21" s="173">
        <f t="shared" si="2"/>
        <v>0</v>
      </c>
      <c r="G21" s="173">
        <f t="shared" si="3"/>
        <v>20.2</v>
      </c>
      <c r="H21" s="175">
        <f t="shared" si="84"/>
        <v>0</v>
      </c>
      <c r="I21" s="173">
        <f t="shared" si="4"/>
        <v>0</v>
      </c>
      <c r="J21" s="173">
        <f t="shared" si="5"/>
        <v>0</v>
      </c>
      <c r="K21" s="173">
        <f t="shared" si="6"/>
        <v>3.3</v>
      </c>
      <c r="L21" s="175">
        <f t="shared" si="85"/>
        <v>0</v>
      </c>
      <c r="M21" s="173">
        <f t="shared" si="7"/>
        <v>0</v>
      </c>
      <c r="N21" s="173">
        <f t="shared" si="8"/>
        <v>0</v>
      </c>
      <c r="O21" s="173">
        <f t="shared" si="9"/>
        <v>0</v>
      </c>
      <c r="P21" s="175">
        <f t="shared" si="86"/>
        <v>0</v>
      </c>
      <c r="Q21" s="173">
        <f t="shared" si="10"/>
        <v>4.7</v>
      </c>
      <c r="R21" s="173">
        <f t="shared" si="11"/>
        <v>0</v>
      </c>
      <c r="S21" s="173">
        <f t="shared" si="12"/>
        <v>0</v>
      </c>
      <c r="T21" s="175">
        <f t="shared" si="87"/>
        <v>0</v>
      </c>
      <c r="U21" s="173">
        <f t="shared" si="13"/>
        <v>0</v>
      </c>
      <c r="V21" s="173">
        <f t="shared" si="14"/>
        <v>0.1</v>
      </c>
      <c r="W21" s="173">
        <f t="shared" si="15"/>
        <v>-0.1</v>
      </c>
      <c r="X21" s="175">
        <f t="shared" si="88"/>
        <v>2.2000000000000002</v>
      </c>
      <c r="Y21" s="173">
        <f t="shared" si="16"/>
        <v>9.8000000000000007</v>
      </c>
      <c r="Z21" s="173">
        <f t="shared" si="17"/>
        <v>0</v>
      </c>
      <c r="AA21" s="173">
        <f t="shared" si="18"/>
        <v>2.3000000000000007</v>
      </c>
      <c r="AB21" s="175">
        <f t="shared" si="89"/>
        <v>0</v>
      </c>
      <c r="AC21" s="173">
        <f t="shared" si="19"/>
        <v>0.2</v>
      </c>
      <c r="AD21" s="173">
        <f t="shared" si="20"/>
        <v>5.3999999999999995</v>
      </c>
      <c r="AE21" s="173">
        <f t="shared" si="21"/>
        <v>0.70000000000000018</v>
      </c>
      <c r="AF21" s="175">
        <f t="shared" si="90"/>
        <v>0</v>
      </c>
      <c r="AG21" s="173">
        <f t="shared" si="22"/>
        <v>0</v>
      </c>
      <c r="AH21" s="173">
        <f t="shared" si="23"/>
        <v>0</v>
      </c>
      <c r="AI21" s="173">
        <f t="shared" si="24"/>
        <v>3.9</v>
      </c>
      <c r="AJ21" s="175">
        <f t="shared" si="91"/>
        <v>0</v>
      </c>
      <c r="AK21" s="173">
        <f t="shared" si="25"/>
        <v>0</v>
      </c>
      <c r="AL21" s="173">
        <f t="shared" si="26"/>
        <v>61.7</v>
      </c>
      <c r="AM21" s="173">
        <f t="shared" si="27"/>
        <v>24.599999999999994</v>
      </c>
      <c r="AN21" s="175">
        <f t="shared" si="92"/>
        <v>0</v>
      </c>
      <c r="AO21" s="173">
        <f t="shared" si="28"/>
        <v>0</v>
      </c>
      <c r="AP21" s="173">
        <f t="shared" si="29"/>
        <v>2.1</v>
      </c>
      <c r="AQ21" s="173">
        <f t="shared" si="30"/>
        <v>100.9</v>
      </c>
      <c r="AR21" s="175">
        <f t="shared" si="93"/>
        <v>0</v>
      </c>
      <c r="AS21" s="173">
        <f t="shared" si="31"/>
        <v>0</v>
      </c>
      <c r="AT21" s="173">
        <f t="shared" si="32"/>
        <v>3.5</v>
      </c>
      <c r="AU21" s="173">
        <f t="shared" si="33"/>
        <v>4.5</v>
      </c>
      <c r="AV21" s="175">
        <f t="shared" si="94"/>
        <v>0</v>
      </c>
      <c r="AW21" s="173">
        <f t="shared" si="34"/>
        <v>1.8</v>
      </c>
      <c r="AX21" s="173">
        <f t="shared" si="35"/>
        <v>0</v>
      </c>
      <c r="AY21" s="174">
        <f t="shared" si="36"/>
        <v>4.7</v>
      </c>
      <c r="AZ21" s="175">
        <f t="shared" si="95"/>
        <v>0</v>
      </c>
      <c r="BA21" s="173">
        <f t="shared" si="37"/>
        <v>0.2</v>
      </c>
      <c r="BB21" s="173">
        <f t="shared" si="38"/>
        <v>0</v>
      </c>
      <c r="BC21" s="174">
        <f t="shared" si="39"/>
        <v>0</v>
      </c>
      <c r="BD21" s="175">
        <f t="shared" si="96"/>
        <v>0</v>
      </c>
      <c r="BE21" s="173">
        <f t="shared" si="40"/>
        <v>0</v>
      </c>
      <c r="BF21" s="173">
        <f t="shared" si="41"/>
        <v>0</v>
      </c>
      <c r="BG21" s="174">
        <f t="shared" si="42"/>
        <v>0.5</v>
      </c>
      <c r="BH21" s="175">
        <f t="shared" si="80"/>
        <v>0</v>
      </c>
      <c r="BI21" s="173">
        <f t="shared" si="43"/>
        <v>6.2</v>
      </c>
      <c r="BJ21" s="173">
        <f t="shared" si="44"/>
        <v>1.0999999999999996</v>
      </c>
      <c r="BK21" s="174">
        <f t="shared" si="45"/>
        <v>0.60000000000000053</v>
      </c>
      <c r="BL21" s="178">
        <v>0</v>
      </c>
      <c r="BM21" s="176">
        <v>0</v>
      </c>
      <c r="BN21" s="176">
        <v>0</v>
      </c>
      <c r="BO21" s="177">
        <v>0</v>
      </c>
      <c r="BP21" s="176">
        <v>0</v>
      </c>
      <c r="BQ21" s="176">
        <v>0</v>
      </c>
      <c r="BR21" s="176">
        <v>0</v>
      </c>
      <c r="BS21" s="177">
        <v>0</v>
      </c>
      <c r="BT21" s="176">
        <v>0</v>
      </c>
      <c r="BU21" s="176">
        <v>0</v>
      </c>
      <c r="BV21" s="176">
        <v>0</v>
      </c>
      <c r="BW21" s="176">
        <v>0</v>
      </c>
      <c r="BX21" s="21"/>
      <c r="BY21" s="173">
        <f t="shared" si="49"/>
        <v>30.7</v>
      </c>
      <c r="BZ21" s="173">
        <f t="shared" si="50"/>
        <v>3.3</v>
      </c>
      <c r="CA21" s="173">
        <f t="shared" si="51"/>
        <v>0</v>
      </c>
      <c r="CB21" s="173">
        <f t="shared" si="52"/>
        <v>4.7</v>
      </c>
      <c r="CC21" s="173">
        <f t="shared" si="53"/>
        <v>0</v>
      </c>
      <c r="CD21" s="173">
        <f t="shared" si="54"/>
        <v>14.3</v>
      </c>
      <c r="CE21" s="173">
        <f t="shared" si="55"/>
        <v>6.3</v>
      </c>
      <c r="CF21" s="173">
        <f t="shared" si="56"/>
        <v>3.9</v>
      </c>
      <c r="CG21" s="173">
        <f t="shared" si="57"/>
        <v>86.3</v>
      </c>
      <c r="CH21" s="173">
        <f t="shared" si="58"/>
        <v>103</v>
      </c>
      <c r="CI21" s="173">
        <f t="shared" si="59"/>
        <v>8</v>
      </c>
      <c r="CJ21" s="173">
        <f t="shared" si="60"/>
        <v>6.5</v>
      </c>
      <c r="CK21" s="173">
        <f t="shared" si="61"/>
        <v>0.2</v>
      </c>
      <c r="CL21" s="173">
        <f t="shared" si="62"/>
        <v>0.5</v>
      </c>
      <c r="CM21" s="173">
        <f t="shared" si="63"/>
        <v>7.9</v>
      </c>
      <c r="CN21" s="173">
        <f t="shared" si="64"/>
        <v>0</v>
      </c>
      <c r="CO21" s="173">
        <f t="shared" si="81"/>
        <v>0</v>
      </c>
      <c r="CP21" s="174">
        <f t="shared" si="65"/>
        <v>0</v>
      </c>
      <c r="CQ21" s="22"/>
    </row>
    <row r="22" spans="1:95" ht="14.25" customHeight="1">
      <c r="A22" s="9"/>
      <c r="B22" s="48" t="str">
        <f t="shared" si="82"/>
        <v>Non-cash goodwill and intangible asset impairment charges</v>
      </c>
      <c r="C22" s="49"/>
      <c r="D22" s="175">
        <f t="shared" si="83"/>
        <v>0</v>
      </c>
      <c r="E22" s="173">
        <f t="shared" si="1"/>
        <v>20.8</v>
      </c>
      <c r="F22" s="173">
        <f t="shared" si="2"/>
        <v>0</v>
      </c>
      <c r="G22" s="173">
        <f t="shared" si="3"/>
        <v>4.3000000000000007</v>
      </c>
      <c r="H22" s="175">
        <f t="shared" si="84"/>
        <v>0</v>
      </c>
      <c r="I22" s="173">
        <f t="shared" si="4"/>
        <v>0</v>
      </c>
      <c r="J22" s="173">
        <f t="shared" si="5"/>
        <v>0</v>
      </c>
      <c r="K22" s="173">
        <f t="shared" si="6"/>
        <v>0</v>
      </c>
      <c r="L22" s="175">
        <f t="shared" si="85"/>
        <v>0</v>
      </c>
      <c r="M22" s="173">
        <f t="shared" si="7"/>
        <v>0</v>
      </c>
      <c r="N22" s="173">
        <f t="shared" si="8"/>
        <v>0</v>
      </c>
      <c r="O22" s="173">
        <f t="shared" si="9"/>
        <v>0</v>
      </c>
      <c r="P22" s="175">
        <f t="shared" si="86"/>
        <v>0</v>
      </c>
      <c r="Q22" s="173">
        <f t="shared" si="10"/>
        <v>0</v>
      </c>
      <c r="R22" s="173">
        <f t="shared" si="11"/>
        <v>0</v>
      </c>
      <c r="S22" s="173">
        <f t="shared" si="12"/>
        <v>0</v>
      </c>
      <c r="T22" s="175">
        <f t="shared" si="87"/>
        <v>0</v>
      </c>
      <c r="U22" s="173">
        <f t="shared" si="13"/>
        <v>0</v>
      </c>
      <c r="V22" s="173">
        <f t="shared" si="14"/>
        <v>0</v>
      </c>
      <c r="W22" s="173">
        <f t="shared" si="15"/>
        <v>0</v>
      </c>
      <c r="X22" s="175">
        <f t="shared" si="88"/>
        <v>0</v>
      </c>
      <c r="Y22" s="173">
        <f t="shared" si="16"/>
        <v>0</v>
      </c>
      <c r="Z22" s="173">
        <f t="shared" si="17"/>
        <v>0</v>
      </c>
      <c r="AA22" s="173">
        <f t="shared" si="18"/>
        <v>544.5</v>
      </c>
      <c r="AB22" s="175">
        <f t="shared" si="89"/>
        <v>0</v>
      </c>
      <c r="AC22" s="173">
        <f t="shared" si="19"/>
        <v>0</v>
      </c>
      <c r="AD22" s="173">
        <f t="shared" si="20"/>
        <v>0</v>
      </c>
      <c r="AE22" s="173">
        <f t="shared" si="21"/>
        <v>0</v>
      </c>
      <c r="AF22" s="175">
        <f t="shared" si="90"/>
        <v>0</v>
      </c>
      <c r="AG22" s="173">
        <f t="shared" si="22"/>
        <v>0</v>
      </c>
      <c r="AH22" s="173">
        <f t="shared" si="23"/>
        <v>0</v>
      </c>
      <c r="AI22" s="173">
        <f t="shared" si="24"/>
        <v>16.100000000000001</v>
      </c>
      <c r="AJ22" s="175">
        <f t="shared" si="91"/>
        <v>0</v>
      </c>
      <c r="AK22" s="173">
        <f t="shared" si="25"/>
        <v>0</v>
      </c>
      <c r="AL22" s="173">
        <f t="shared" si="26"/>
        <v>0</v>
      </c>
      <c r="AM22" s="173">
        <f t="shared" si="27"/>
        <v>0</v>
      </c>
      <c r="AN22" s="175">
        <f t="shared" si="92"/>
        <v>0</v>
      </c>
      <c r="AO22" s="173">
        <f t="shared" si="28"/>
        <v>0</v>
      </c>
      <c r="AP22" s="173">
        <f t="shared" si="29"/>
        <v>0</v>
      </c>
      <c r="AQ22" s="173">
        <f t="shared" si="30"/>
        <v>49.5</v>
      </c>
      <c r="AR22" s="175">
        <f t="shared" si="93"/>
        <v>0</v>
      </c>
      <c r="AS22" s="173">
        <f t="shared" si="31"/>
        <v>0</v>
      </c>
      <c r="AT22" s="173">
        <f t="shared" si="32"/>
        <v>0</v>
      </c>
      <c r="AU22" s="173">
        <f t="shared" si="33"/>
        <v>0</v>
      </c>
      <c r="AV22" s="175">
        <f t="shared" si="94"/>
        <v>0</v>
      </c>
      <c r="AW22" s="173">
        <f t="shared" si="34"/>
        <v>0</v>
      </c>
      <c r="AX22" s="173">
        <f t="shared" si="35"/>
        <v>0</v>
      </c>
      <c r="AY22" s="174">
        <f t="shared" si="36"/>
        <v>9.6</v>
      </c>
      <c r="AZ22" s="175">
        <f t="shared" si="95"/>
        <v>0</v>
      </c>
      <c r="BA22" s="173">
        <f t="shared" si="37"/>
        <v>3.7</v>
      </c>
      <c r="BB22" s="173">
        <f t="shared" si="38"/>
        <v>9.9999999999999645E-2</v>
      </c>
      <c r="BC22" s="174">
        <f t="shared" si="39"/>
        <v>0</v>
      </c>
      <c r="BD22" s="175">
        <f t="shared" si="96"/>
        <v>0</v>
      </c>
      <c r="BE22" s="173">
        <f t="shared" si="40"/>
        <v>2.2000000000000002</v>
      </c>
      <c r="BF22" s="173">
        <f t="shared" si="41"/>
        <v>0</v>
      </c>
      <c r="BG22" s="174">
        <f t="shared" si="42"/>
        <v>-2.2000000000000002</v>
      </c>
      <c r="BH22" s="175">
        <f t="shared" si="80"/>
        <v>0</v>
      </c>
      <c r="BI22" s="173">
        <f t="shared" si="43"/>
        <v>0</v>
      </c>
      <c r="BJ22" s="173">
        <f t="shared" si="44"/>
        <v>7.7</v>
      </c>
      <c r="BK22" s="174">
        <f t="shared" si="45"/>
        <v>-7.7</v>
      </c>
      <c r="BL22" s="178">
        <v>0</v>
      </c>
      <c r="BM22" s="176">
        <v>0</v>
      </c>
      <c r="BN22" s="176">
        <v>0</v>
      </c>
      <c r="BO22" s="176">
        <v>0</v>
      </c>
      <c r="BP22" s="178">
        <v>0</v>
      </c>
      <c r="BQ22" s="176">
        <v>0</v>
      </c>
      <c r="BR22" s="176">
        <v>0</v>
      </c>
      <c r="BS22" s="177">
        <v>0</v>
      </c>
      <c r="BT22" s="176">
        <v>0</v>
      </c>
      <c r="BU22" s="176">
        <v>0</v>
      </c>
      <c r="BV22" s="176">
        <v>0</v>
      </c>
      <c r="BW22" s="176">
        <v>0</v>
      </c>
      <c r="BX22" s="21"/>
      <c r="BY22" s="173">
        <f t="shared" si="49"/>
        <v>25.1</v>
      </c>
      <c r="BZ22" s="173">
        <f t="shared" si="50"/>
        <v>0</v>
      </c>
      <c r="CA22" s="173">
        <f t="shared" si="51"/>
        <v>0</v>
      </c>
      <c r="CB22" s="173">
        <f t="shared" si="52"/>
        <v>0</v>
      </c>
      <c r="CC22" s="173">
        <f t="shared" si="53"/>
        <v>0</v>
      </c>
      <c r="CD22" s="173">
        <f t="shared" si="54"/>
        <v>544.5</v>
      </c>
      <c r="CE22" s="173">
        <f t="shared" si="55"/>
        <v>0</v>
      </c>
      <c r="CF22" s="173">
        <f t="shared" si="56"/>
        <v>16.100000000000001</v>
      </c>
      <c r="CG22" s="173">
        <f t="shared" si="57"/>
        <v>0</v>
      </c>
      <c r="CH22" s="173">
        <f t="shared" si="58"/>
        <v>49.5</v>
      </c>
      <c r="CI22" s="173">
        <f t="shared" si="59"/>
        <v>0</v>
      </c>
      <c r="CJ22" s="173">
        <f t="shared" si="60"/>
        <v>9.6</v>
      </c>
      <c r="CK22" s="173">
        <f t="shared" si="61"/>
        <v>3.8</v>
      </c>
      <c r="CL22" s="173">
        <f t="shared" si="62"/>
        <v>0</v>
      </c>
      <c r="CM22" s="173">
        <f t="shared" si="63"/>
        <v>0</v>
      </c>
      <c r="CN22" s="173">
        <f t="shared" si="64"/>
        <v>0</v>
      </c>
      <c r="CO22" s="173">
        <f t="shared" si="81"/>
        <v>0</v>
      </c>
      <c r="CP22" s="174">
        <f t="shared" si="65"/>
        <v>0</v>
      </c>
      <c r="CQ22" s="22"/>
    </row>
    <row r="23" spans="1:95" ht="14.25" customHeight="1">
      <c r="A23" s="9"/>
      <c r="B23" s="48" t="str">
        <f t="shared" si="82"/>
        <v>Recovery from insurance proceeds on property, plant and equipment</v>
      </c>
      <c r="C23" s="49"/>
      <c r="D23" s="175">
        <f t="shared" si="83"/>
        <v>0</v>
      </c>
      <c r="E23" s="173">
        <f t="shared" si="1"/>
        <v>0</v>
      </c>
      <c r="F23" s="173">
        <f t="shared" si="2"/>
        <v>0</v>
      </c>
      <c r="G23" s="173">
        <f t="shared" si="3"/>
        <v>0</v>
      </c>
      <c r="H23" s="175">
        <f t="shared" si="84"/>
        <v>0</v>
      </c>
      <c r="I23" s="173">
        <f t="shared" si="4"/>
        <v>0</v>
      </c>
      <c r="J23" s="173">
        <f t="shared" si="5"/>
        <v>0</v>
      </c>
      <c r="K23" s="173">
        <f t="shared" si="6"/>
        <v>0</v>
      </c>
      <c r="L23" s="175">
        <f t="shared" si="85"/>
        <v>0</v>
      </c>
      <c r="M23" s="173">
        <f t="shared" si="7"/>
        <v>0</v>
      </c>
      <c r="N23" s="173">
        <f t="shared" si="8"/>
        <v>0</v>
      </c>
      <c r="O23" s="173">
        <f t="shared" si="9"/>
        <v>0</v>
      </c>
      <c r="P23" s="175">
        <f t="shared" si="86"/>
        <v>0</v>
      </c>
      <c r="Q23" s="173">
        <f t="shared" si="10"/>
        <v>0</v>
      </c>
      <c r="R23" s="173">
        <f t="shared" si="11"/>
        <v>0</v>
      </c>
      <c r="S23" s="173">
        <f t="shared" si="12"/>
        <v>0</v>
      </c>
      <c r="T23" s="175">
        <f t="shared" si="87"/>
        <v>0</v>
      </c>
      <c r="U23" s="173">
        <f t="shared" si="13"/>
        <v>0</v>
      </c>
      <c r="V23" s="173">
        <f t="shared" si="14"/>
        <v>0</v>
      </c>
      <c r="W23" s="173">
        <f t="shared" si="15"/>
        <v>0</v>
      </c>
      <c r="X23" s="175">
        <f t="shared" si="88"/>
        <v>0</v>
      </c>
      <c r="Y23" s="173">
        <f t="shared" si="16"/>
        <v>0</v>
      </c>
      <c r="Z23" s="173">
        <f t="shared" si="17"/>
        <v>0</v>
      </c>
      <c r="AA23" s="173">
        <f t="shared" si="18"/>
        <v>0</v>
      </c>
      <c r="AB23" s="175">
        <f t="shared" si="89"/>
        <v>0</v>
      </c>
      <c r="AC23" s="173">
        <f t="shared" si="19"/>
        <v>0</v>
      </c>
      <c r="AD23" s="173">
        <f t="shared" si="20"/>
        <v>0</v>
      </c>
      <c r="AE23" s="173">
        <f t="shared" si="21"/>
        <v>0</v>
      </c>
      <c r="AF23" s="175">
        <f t="shared" si="90"/>
        <v>0</v>
      </c>
      <c r="AG23" s="173">
        <f t="shared" si="22"/>
        <v>0</v>
      </c>
      <c r="AH23" s="173">
        <f t="shared" si="23"/>
        <v>0</v>
      </c>
      <c r="AI23" s="173">
        <f t="shared" si="24"/>
        <v>0</v>
      </c>
      <c r="AJ23" s="175">
        <f t="shared" si="91"/>
        <v>0</v>
      </c>
      <c r="AK23" s="173">
        <f t="shared" si="25"/>
        <v>0</v>
      </c>
      <c r="AL23" s="173">
        <f t="shared" si="26"/>
        <v>0</v>
      </c>
      <c r="AM23" s="173">
        <f t="shared" si="27"/>
        <v>-13.3</v>
      </c>
      <c r="AN23" s="175">
        <f t="shared" si="92"/>
        <v>0</v>
      </c>
      <c r="AO23" s="173">
        <f t="shared" si="28"/>
        <v>0</v>
      </c>
      <c r="AP23" s="173">
        <f t="shared" si="29"/>
        <v>0</v>
      </c>
      <c r="AQ23" s="173">
        <f t="shared" si="30"/>
        <v>0</v>
      </c>
      <c r="AR23" s="175">
        <f t="shared" si="93"/>
        <v>0</v>
      </c>
      <c r="AS23" s="173">
        <f t="shared" si="31"/>
        <v>0</v>
      </c>
      <c r="AT23" s="173">
        <f t="shared" si="32"/>
        <v>0</v>
      </c>
      <c r="AU23" s="173">
        <f t="shared" si="33"/>
        <v>0</v>
      </c>
      <c r="AV23" s="175">
        <f t="shared" si="94"/>
        <v>0</v>
      </c>
      <c r="AW23" s="173">
        <f t="shared" si="34"/>
        <v>0</v>
      </c>
      <c r="AX23" s="173">
        <f t="shared" si="35"/>
        <v>0</v>
      </c>
      <c r="AY23" s="174">
        <f t="shared" si="36"/>
        <v>0</v>
      </c>
      <c r="AZ23" s="175">
        <f t="shared" si="95"/>
        <v>0</v>
      </c>
      <c r="BA23" s="173">
        <f t="shared" si="37"/>
        <v>0</v>
      </c>
      <c r="BB23" s="173">
        <f t="shared" si="38"/>
        <v>0</v>
      </c>
      <c r="BC23" s="174">
        <f t="shared" si="39"/>
        <v>0</v>
      </c>
      <c r="BD23" s="175">
        <f t="shared" si="96"/>
        <v>0</v>
      </c>
      <c r="BE23" s="173">
        <f t="shared" si="40"/>
        <v>0</v>
      </c>
      <c r="BF23" s="173">
        <f t="shared" si="41"/>
        <v>0</v>
      </c>
      <c r="BG23" s="174">
        <f t="shared" si="42"/>
        <v>0</v>
      </c>
      <c r="BH23" s="175">
        <f t="shared" si="80"/>
        <v>0</v>
      </c>
      <c r="BI23" s="173">
        <f t="shared" si="43"/>
        <v>0</v>
      </c>
      <c r="BJ23" s="173">
        <f t="shared" si="44"/>
        <v>0</v>
      </c>
      <c r="BK23" s="174">
        <f t="shared" si="45"/>
        <v>0</v>
      </c>
      <c r="BL23" s="178">
        <v>0</v>
      </c>
      <c r="BM23" s="176">
        <v>0</v>
      </c>
      <c r="BN23" s="176">
        <v>0</v>
      </c>
      <c r="BO23" s="176">
        <v>0</v>
      </c>
      <c r="BP23" s="178">
        <v>0</v>
      </c>
      <c r="BQ23" s="176">
        <v>0</v>
      </c>
      <c r="BR23" s="176">
        <v>0</v>
      </c>
      <c r="BS23" s="177">
        <v>0</v>
      </c>
      <c r="BT23" s="176">
        <v>0</v>
      </c>
      <c r="BU23" s="176">
        <v>0</v>
      </c>
      <c r="BV23" s="176">
        <v>0</v>
      </c>
      <c r="BW23" s="176">
        <v>0</v>
      </c>
      <c r="BX23" s="21"/>
      <c r="BY23" s="173">
        <f t="shared" si="49"/>
        <v>0</v>
      </c>
      <c r="BZ23" s="173">
        <f t="shared" si="50"/>
        <v>0</v>
      </c>
      <c r="CA23" s="173">
        <f t="shared" si="51"/>
        <v>0</v>
      </c>
      <c r="CB23" s="173">
        <f t="shared" si="52"/>
        <v>0</v>
      </c>
      <c r="CC23" s="173">
        <f t="shared" si="53"/>
        <v>0</v>
      </c>
      <c r="CD23" s="173">
        <f t="shared" si="54"/>
        <v>0</v>
      </c>
      <c r="CE23" s="173">
        <f t="shared" si="55"/>
        <v>0</v>
      </c>
      <c r="CF23" s="173">
        <f t="shared" si="56"/>
        <v>0</v>
      </c>
      <c r="CG23" s="173">
        <f t="shared" si="57"/>
        <v>-13.3</v>
      </c>
      <c r="CH23" s="173">
        <f t="shared" si="58"/>
        <v>0</v>
      </c>
      <c r="CI23" s="173">
        <f t="shared" si="59"/>
        <v>0</v>
      </c>
      <c r="CJ23" s="173">
        <f t="shared" si="60"/>
        <v>0</v>
      </c>
      <c r="CK23" s="173">
        <f t="shared" si="61"/>
        <v>0</v>
      </c>
      <c r="CL23" s="173">
        <f t="shared" si="62"/>
        <v>0</v>
      </c>
      <c r="CM23" s="173">
        <f t="shared" si="63"/>
        <v>0</v>
      </c>
      <c r="CN23" s="173">
        <f t="shared" si="64"/>
        <v>0</v>
      </c>
      <c r="CO23" s="173">
        <f t="shared" si="81"/>
        <v>0</v>
      </c>
      <c r="CP23" s="174">
        <f t="shared" si="65"/>
        <v>0</v>
      </c>
      <c r="CQ23" s="22"/>
    </row>
    <row r="24" spans="1:95" ht="14.25" customHeight="1">
      <c r="A24" s="9"/>
      <c r="B24" s="48" t="str">
        <f t="shared" si="82"/>
        <v>Non-cash portion of insurance recovery</v>
      </c>
      <c r="C24" s="49"/>
      <c r="D24" s="175">
        <f t="shared" si="83"/>
        <v>0</v>
      </c>
      <c r="E24" s="173">
        <f t="shared" si="1"/>
        <v>0</v>
      </c>
      <c r="F24" s="173">
        <f t="shared" si="2"/>
        <v>0</v>
      </c>
      <c r="G24" s="173">
        <f t="shared" si="3"/>
        <v>0</v>
      </c>
      <c r="H24" s="175">
        <f t="shared" si="84"/>
        <v>0</v>
      </c>
      <c r="I24" s="173">
        <f t="shared" si="4"/>
        <v>0</v>
      </c>
      <c r="J24" s="173">
        <f t="shared" si="5"/>
        <v>0</v>
      </c>
      <c r="K24" s="173">
        <f t="shared" si="6"/>
        <v>0</v>
      </c>
      <c r="L24" s="175">
        <f t="shared" si="85"/>
        <v>0</v>
      </c>
      <c r="M24" s="173">
        <f t="shared" si="7"/>
        <v>0</v>
      </c>
      <c r="N24" s="173">
        <f t="shared" si="8"/>
        <v>0</v>
      </c>
      <c r="O24" s="173">
        <f t="shared" si="9"/>
        <v>0</v>
      </c>
      <c r="P24" s="175">
        <f t="shared" si="86"/>
        <v>0</v>
      </c>
      <c r="Q24" s="173">
        <f t="shared" si="10"/>
        <v>0</v>
      </c>
      <c r="R24" s="173">
        <f t="shared" si="11"/>
        <v>0</v>
      </c>
      <c r="S24" s="173">
        <f t="shared" si="12"/>
        <v>0</v>
      </c>
      <c r="T24" s="175">
        <f t="shared" si="87"/>
        <v>0</v>
      </c>
      <c r="U24" s="173">
        <f t="shared" si="13"/>
        <v>0</v>
      </c>
      <c r="V24" s="173">
        <f t="shared" si="14"/>
        <v>0</v>
      </c>
      <c r="W24" s="173">
        <f t="shared" si="15"/>
        <v>0</v>
      </c>
      <c r="X24" s="175">
        <f t="shared" si="88"/>
        <v>0</v>
      </c>
      <c r="Y24" s="173">
        <f t="shared" si="16"/>
        <v>0</v>
      </c>
      <c r="Z24" s="173">
        <f t="shared" si="17"/>
        <v>0</v>
      </c>
      <c r="AA24" s="173">
        <f t="shared" si="18"/>
        <v>0</v>
      </c>
      <c r="AB24" s="175">
        <f t="shared" si="89"/>
        <v>0</v>
      </c>
      <c r="AC24" s="173">
        <f t="shared" si="19"/>
        <v>0</v>
      </c>
      <c r="AD24" s="173">
        <f t="shared" si="20"/>
        <v>0</v>
      </c>
      <c r="AE24" s="173">
        <f t="shared" si="21"/>
        <v>0</v>
      </c>
      <c r="AF24" s="175">
        <f t="shared" si="90"/>
        <v>0</v>
      </c>
      <c r="AG24" s="173">
        <f t="shared" si="22"/>
        <v>0</v>
      </c>
      <c r="AH24" s="173">
        <f t="shared" si="23"/>
        <v>0</v>
      </c>
      <c r="AI24" s="173">
        <f t="shared" si="24"/>
        <v>0</v>
      </c>
      <c r="AJ24" s="175">
        <f t="shared" si="91"/>
        <v>0</v>
      </c>
      <c r="AK24" s="173">
        <f t="shared" si="25"/>
        <v>0</v>
      </c>
      <c r="AL24" s="173">
        <f t="shared" si="26"/>
        <v>0</v>
      </c>
      <c r="AM24" s="173">
        <f t="shared" si="27"/>
        <v>-23.9</v>
      </c>
      <c r="AN24" s="175">
        <f t="shared" si="92"/>
        <v>0</v>
      </c>
      <c r="AO24" s="173">
        <f t="shared" si="28"/>
        <v>0</v>
      </c>
      <c r="AP24" s="173">
        <f t="shared" si="29"/>
        <v>0</v>
      </c>
      <c r="AQ24" s="173">
        <f t="shared" si="30"/>
        <v>0</v>
      </c>
      <c r="AR24" s="175">
        <f t="shared" si="93"/>
        <v>0</v>
      </c>
      <c r="AS24" s="173">
        <f t="shared" si="31"/>
        <v>0</v>
      </c>
      <c r="AT24" s="173">
        <f t="shared" si="32"/>
        <v>0</v>
      </c>
      <c r="AU24" s="173">
        <f t="shared" si="33"/>
        <v>0</v>
      </c>
      <c r="AV24" s="175">
        <f t="shared" si="94"/>
        <v>0</v>
      </c>
      <c r="AW24" s="173">
        <f t="shared" si="34"/>
        <v>0</v>
      </c>
      <c r="AX24" s="173">
        <f t="shared" si="35"/>
        <v>0</v>
      </c>
      <c r="AY24" s="174">
        <f t="shared" si="36"/>
        <v>0</v>
      </c>
      <c r="AZ24" s="175">
        <f t="shared" si="95"/>
        <v>0</v>
      </c>
      <c r="BA24" s="173">
        <f t="shared" si="37"/>
        <v>0</v>
      </c>
      <c r="BB24" s="173">
        <f t="shared" si="38"/>
        <v>0</v>
      </c>
      <c r="BC24" s="174">
        <f t="shared" si="39"/>
        <v>0</v>
      </c>
      <c r="BD24" s="175">
        <f t="shared" si="96"/>
        <v>0</v>
      </c>
      <c r="BE24" s="173">
        <f t="shared" si="40"/>
        <v>0</v>
      </c>
      <c r="BF24" s="173">
        <f t="shared" si="41"/>
        <v>0</v>
      </c>
      <c r="BG24" s="174">
        <f t="shared" si="42"/>
        <v>0</v>
      </c>
      <c r="BH24" s="175">
        <f t="shared" si="80"/>
        <v>0</v>
      </c>
      <c r="BI24" s="173">
        <f t="shared" si="43"/>
        <v>0</v>
      </c>
      <c r="BJ24" s="173">
        <f t="shared" si="44"/>
        <v>0</v>
      </c>
      <c r="BK24" s="174">
        <f t="shared" si="45"/>
        <v>0</v>
      </c>
      <c r="BL24" s="178">
        <v>0</v>
      </c>
      <c r="BM24" s="176">
        <v>0</v>
      </c>
      <c r="BN24" s="176">
        <v>0</v>
      </c>
      <c r="BO24" s="176">
        <v>0</v>
      </c>
      <c r="BP24" s="178">
        <v>0</v>
      </c>
      <c r="BQ24" s="176">
        <v>0</v>
      </c>
      <c r="BR24" s="176">
        <v>0</v>
      </c>
      <c r="BS24" s="177">
        <v>0</v>
      </c>
      <c r="BT24" s="176">
        <v>0</v>
      </c>
      <c r="BU24" s="176">
        <v>0</v>
      </c>
      <c r="BV24" s="176">
        <v>0</v>
      </c>
      <c r="BW24" s="176">
        <v>0</v>
      </c>
      <c r="BX24" s="21"/>
      <c r="BY24" s="173">
        <f t="shared" si="49"/>
        <v>0</v>
      </c>
      <c r="BZ24" s="173">
        <f t="shared" si="50"/>
        <v>0</v>
      </c>
      <c r="CA24" s="173">
        <f t="shared" si="51"/>
        <v>0</v>
      </c>
      <c r="CB24" s="173">
        <f t="shared" si="52"/>
        <v>0</v>
      </c>
      <c r="CC24" s="173">
        <f t="shared" si="53"/>
        <v>0</v>
      </c>
      <c r="CD24" s="173">
        <f t="shared" si="54"/>
        <v>0</v>
      </c>
      <c r="CE24" s="173">
        <f t="shared" si="55"/>
        <v>0</v>
      </c>
      <c r="CF24" s="173">
        <f t="shared" si="56"/>
        <v>0</v>
      </c>
      <c r="CG24" s="173">
        <f t="shared" si="57"/>
        <v>-23.9</v>
      </c>
      <c r="CH24" s="173">
        <f t="shared" si="58"/>
        <v>0</v>
      </c>
      <c r="CI24" s="173">
        <f t="shared" si="59"/>
        <v>0</v>
      </c>
      <c r="CJ24" s="173">
        <f t="shared" si="60"/>
        <v>0</v>
      </c>
      <c r="CK24" s="173">
        <f t="shared" si="61"/>
        <v>0</v>
      </c>
      <c r="CL24" s="173">
        <f t="shared" si="62"/>
        <v>0</v>
      </c>
      <c r="CM24" s="173">
        <f t="shared" si="63"/>
        <v>0</v>
      </c>
      <c r="CN24" s="173">
        <f t="shared" si="64"/>
        <v>0</v>
      </c>
      <c r="CO24" s="173">
        <f t="shared" si="81"/>
        <v>0</v>
      </c>
      <c r="CP24" s="174">
        <f t="shared" si="65"/>
        <v>0</v>
      </c>
      <c r="CQ24" s="22"/>
    </row>
    <row r="25" spans="1:95" ht="14.25" customHeight="1">
      <c r="A25" s="9"/>
      <c r="B25" s="48" t="str">
        <f t="shared" si="82"/>
        <v>Deferred income taxes</v>
      </c>
      <c r="C25" s="49"/>
      <c r="D25" s="175">
        <f t="shared" si="83"/>
        <v>-2.5</v>
      </c>
      <c r="E25" s="173">
        <f t="shared" si="1"/>
        <v>0</v>
      </c>
      <c r="F25" s="173">
        <f t="shared" si="2"/>
        <v>-2.2999999999999998</v>
      </c>
      <c r="G25" s="173">
        <f t="shared" si="3"/>
        <v>5.0999999999999996</v>
      </c>
      <c r="H25" s="175">
        <f t="shared" si="84"/>
        <v>-0.8</v>
      </c>
      <c r="I25" s="173">
        <f t="shared" si="4"/>
        <v>-0.7</v>
      </c>
      <c r="J25" s="173">
        <f t="shared" si="5"/>
        <v>-0.5</v>
      </c>
      <c r="K25" s="173">
        <f t="shared" si="6"/>
        <v>5.5</v>
      </c>
      <c r="L25" s="175">
        <f t="shared" si="85"/>
        <v>-2.2000000000000002</v>
      </c>
      <c r="M25" s="173">
        <f t="shared" si="7"/>
        <v>-2.3999999999999995</v>
      </c>
      <c r="N25" s="173">
        <f t="shared" si="8"/>
        <v>1.9999999999999996</v>
      </c>
      <c r="O25" s="173">
        <f t="shared" si="9"/>
        <v>-3.1</v>
      </c>
      <c r="P25" s="175">
        <f t="shared" si="86"/>
        <v>0.4</v>
      </c>
      <c r="Q25" s="173">
        <f t="shared" si="10"/>
        <v>-0.5</v>
      </c>
      <c r="R25" s="173">
        <f t="shared" si="11"/>
        <v>0.39999999999999997</v>
      </c>
      <c r="S25" s="173">
        <f t="shared" si="12"/>
        <v>3.2</v>
      </c>
      <c r="T25" s="175">
        <f t="shared" si="87"/>
        <v>-0.4</v>
      </c>
      <c r="U25" s="173">
        <f t="shared" si="13"/>
        <v>1.2000000000000002</v>
      </c>
      <c r="V25" s="173">
        <f t="shared" si="14"/>
        <v>1.0999999999999996</v>
      </c>
      <c r="W25" s="173">
        <f t="shared" si="15"/>
        <v>1.3000000000000003</v>
      </c>
      <c r="X25" s="175">
        <f t="shared" si="88"/>
        <v>-0.6</v>
      </c>
      <c r="Y25" s="173">
        <f t="shared" si="16"/>
        <v>-6.5</v>
      </c>
      <c r="Z25" s="173">
        <f t="shared" si="17"/>
        <v>-2.5</v>
      </c>
      <c r="AA25" s="173">
        <f t="shared" si="18"/>
        <v>2.8</v>
      </c>
      <c r="AB25" s="175">
        <f t="shared" si="89"/>
        <v>0.3</v>
      </c>
      <c r="AC25" s="173">
        <f t="shared" si="19"/>
        <v>-9.9999999999999978E-2</v>
      </c>
      <c r="AD25" s="173">
        <f t="shared" si="20"/>
        <v>-1.1000000000000001</v>
      </c>
      <c r="AE25" s="173">
        <f t="shared" si="21"/>
        <v>1.6</v>
      </c>
      <c r="AF25" s="175">
        <f t="shared" si="90"/>
        <v>2.2999999999999998</v>
      </c>
      <c r="AG25" s="173">
        <f t="shared" si="22"/>
        <v>1.1000000000000001</v>
      </c>
      <c r="AH25" s="173">
        <f t="shared" si="23"/>
        <v>1.9</v>
      </c>
      <c r="AI25" s="173">
        <f t="shared" si="24"/>
        <v>-2.6999999999999997</v>
      </c>
      <c r="AJ25" s="175">
        <f t="shared" si="91"/>
        <v>3.2</v>
      </c>
      <c r="AK25" s="173">
        <f t="shared" si="25"/>
        <v>-12.399999999999999</v>
      </c>
      <c r="AL25" s="173">
        <f t="shared" si="26"/>
        <v>1.9999999999999982</v>
      </c>
      <c r="AM25" s="173">
        <f t="shared" si="27"/>
        <v>3</v>
      </c>
      <c r="AN25" s="175">
        <f t="shared" si="92"/>
        <v>3.2</v>
      </c>
      <c r="AO25" s="173">
        <f t="shared" si="28"/>
        <v>-1.2000000000000002</v>
      </c>
      <c r="AP25" s="173">
        <f t="shared" si="29"/>
        <v>1.4</v>
      </c>
      <c r="AQ25" s="173">
        <f t="shared" si="30"/>
        <v>-6.5</v>
      </c>
      <c r="AR25" s="175">
        <f t="shared" si="93"/>
        <v>0.5</v>
      </c>
      <c r="AS25" s="173">
        <f t="shared" si="31"/>
        <v>-6.9</v>
      </c>
      <c r="AT25" s="173">
        <f t="shared" si="32"/>
        <v>0.70000000000000018</v>
      </c>
      <c r="AU25" s="173">
        <f t="shared" si="33"/>
        <v>5.7</v>
      </c>
      <c r="AV25" s="175">
        <f t="shared" si="94"/>
        <v>0</v>
      </c>
      <c r="AW25" s="173">
        <f t="shared" si="34"/>
        <v>0</v>
      </c>
      <c r="AX25" s="173">
        <f t="shared" si="35"/>
        <v>0</v>
      </c>
      <c r="AY25" s="174">
        <f t="shared" si="36"/>
        <v>-18.8</v>
      </c>
      <c r="AZ25" s="175">
        <f t="shared" si="95"/>
        <v>-0.4</v>
      </c>
      <c r="BA25" s="173">
        <f t="shared" si="37"/>
        <v>0</v>
      </c>
      <c r="BB25" s="173">
        <f t="shared" si="38"/>
        <v>0.5</v>
      </c>
      <c r="BC25" s="174">
        <f t="shared" si="39"/>
        <v>-9.2999999999999989</v>
      </c>
      <c r="BD25" s="175">
        <f t="shared" si="96"/>
        <v>1.1000000000000001</v>
      </c>
      <c r="BE25" s="173">
        <f t="shared" si="40"/>
        <v>2.1</v>
      </c>
      <c r="BF25" s="173">
        <f t="shared" si="41"/>
        <v>62.300000000000004</v>
      </c>
      <c r="BG25" s="174">
        <f t="shared" si="42"/>
        <v>-103.60000000000001</v>
      </c>
      <c r="BH25" s="175">
        <f t="shared" si="80"/>
        <v>36.200000000000003</v>
      </c>
      <c r="BI25" s="173">
        <f t="shared" si="43"/>
        <v>21</v>
      </c>
      <c r="BJ25" s="173">
        <f t="shared" si="44"/>
        <v>38.899999999999991</v>
      </c>
      <c r="BK25" s="174">
        <f t="shared" si="45"/>
        <v>-444.4</v>
      </c>
      <c r="BL25" s="535">
        <f>BS!BK14-BS!BL14+BS!BK18-BS!BL18+BS!BL31-BS!BK31+BS!BL37-BS!BK37</f>
        <v>0</v>
      </c>
      <c r="BM25" s="535">
        <f>BS!BL14-BS!BM14+BS!BL18-BS!BM18+BS!BM31-BS!BL31+BS!BM37-BS!BL37</f>
        <v>0</v>
      </c>
      <c r="BN25" s="821">
        <f>BS!BM14-BS!BN14+BS!BM18-BS!BN18+BS!BN31-BS!BM31+BS!BN37-BS!BM37</f>
        <v>0</v>
      </c>
      <c r="BO25" s="822">
        <f>BS!BN14-BS!BO14+BS!BN18-BS!BO18+BS!BO31-BS!BN31+BS!BO37-BS!BN37</f>
        <v>0</v>
      </c>
      <c r="BP25" s="535">
        <f>BS!BO14-BS!BP14+BS!BO18-BS!BP18+BS!BP31-BS!BO31+BS!BP37-BS!BO37</f>
        <v>0</v>
      </c>
      <c r="BQ25" s="535">
        <f>BS!BP14-BS!BQ14+BS!BP18-BS!BQ18+BS!BQ31-BS!BP31+BS!BQ37-BS!BP37</f>
        <v>0</v>
      </c>
      <c r="BR25" s="821">
        <f>BS!BQ14-BS!BR14+BS!BQ18-BS!BR18+BS!BR31-BS!BQ31+BS!BR37-BS!BQ37</f>
        <v>0</v>
      </c>
      <c r="BS25" s="1423">
        <f>BS!BR14-BS!BS14+BS!BR18-BS!BS18+BS!BS31-BS!BR31+BS!BS37-BS!BR37</f>
        <v>0</v>
      </c>
      <c r="BT25" s="535">
        <f>BS!BS14-BS!BT14+BS!BS18-BS!BT18+BS!BT31-BS!BS31+BS!BT37-BS!BS37</f>
        <v>0</v>
      </c>
      <c r="BU25" s="535">
        <f>BS!BT14-BS!BU14+BS!BT18-BS!BU18+BS!BU31-BS!BT31+BS!BU37-BS!BT37</f>
        <v>0</v>
      </c>
      <c r="BV25" s="1422">
        <f>BS!BU14-BS!BV14+BS!BU18-BS!BV18+BS!BV31-BS!BU31+BS!BV37-BS!BU37</f>
        <v>0</v>
      </c>
      <c r="BW25" s="1423">
        <f>BS!BV14-BS!BW14+BS!BV18-BS!BW18+BS!BW31-BS!BV31+BS!BW37-BS!BV37</f>
        <v>0</v>
      </c>
      <c r="BX25" s="21"/>
      <c r="BY25" s="173">
        <f t="shared" si="49"/>
        <v>0.29999999999999982</v>
      </c>
      <c r="BZ25" s="173">
        <f t="shared" si="50"/>
        <v>3.5</v>
      </c>
      <c r="CA25" s="173">
        <f t="shared" si="51"/>
        <v>-5.7</v>
      </c>
      <c r="CB25" s="173">
        <f t="shared" si="52"/>
        <v>3.5</v>
      </c>
      <c r="CC25" s="173">
        <f t="shared" si="53"/>
        <v>3.2</v>
      </c>
      <c r="CD25" s="173">
        <f t="shared" si="54"/>
        <v>-6.8</v>
      </c>
      <c r="CE25" s="173">
        <f t="shared" si="55"/>
        <v>0.7</v>
      </c>
      <c r="CF25" s="173">
        <f t="shared" si="56"/>
        <v>2.6</v>
      </c>
      <c r="CG25" s="173">
        <f t="shared" si="57"/>
        <v>-4.2000000000000011</v>
      </c>
      <c r="CH25" s="173">
        <f t="shared" si="58"/>
        <v>-3.1</v>
      </c>
      <c r="CI25" s="173">
        <f t="shared" si="59"/>
        <v>0</v>
      </c>
      <c r="CJ25" s="173">
        <f t="shared" si="60"/>
        <v>-18.8</v>
      </c>
      <c r="CK25" s="173">
        <f t="shared" si="61"/>
        <v>-9.1999999999999993</v>
      </c>
      <c r="CL25" s="173">
        <f t="shared" si="62"/>
        <v>-38.100000000000009</v>
      </c>
      <c r="CM25" s="173">
        <f t="shared" si="63"/>
        <v>-348.29999999999995</v>
      </c>
      <c r="CN25" s="173">
        <f t="shared" si="64"/>
        <v>0</v>
      </c>
      <c r="CO25" s="173">
        <f t="shared" si="81"/>
        <v>0</v>
      </c>
      <c r="CP25" s="174">
        <f t="shared" si="65"/>
        <v>0</v>
      </c>
      <c r="CQ25" s="22"/>
    </row>
    <row r="26" spans="1:95" ht="14.25" customHeight="1">
      <c r="A26" s="9"/>
      <c r="B26" s="48" t="str">
        <f t="shared" si="82"/>
        <v xml:space="preserve">Other </v>
      </c>
      <c r="C26" s="49"/>
      <c r="D26" s="175">
        <f t="shared" si="83"/>
        <v>23.1</v>
      </c>
      <c r="E26" s="173">
        <f t="shared" si="1"/>
        <v>1.5999999999999979</v>
      </c>
      <c r="F26" s="173">
        <f t="shared" si="2"/>
        <v>-0.39999999999999858</v>
      </c>
      <c r="G26" s="173">
        <f t="shared" si="3"/>
        <v>0.59999999999999787</v>
      </c>
      <c r="H26" s="175">
        <f t="shared" si="84"/>
        <v>1.2</v>
      </c>
      <c r="I26" s="173">
        <f t="shared" si="4"/>
        <v>0.7</v>
      </c>
      <c r="J26" s="173">
        <f t="shared" si="5"/>
        <v>0.20000000000000018</v>
      </c>
      <c r="K26" s="173">
        <f t="shared" si="6"/>
        <v>1.3</v>
      </c>
      <c r="L26" s="175">
        <f t="shared" si="85"/>
        <v>0.7</v>
      </c>
      <c r="M26" s="173">
        <f t="shared" si="7"/>
        <v>1.2</v>
      </c>
      <c r="N26" s="173">
        <f t="shared" si="8"/>
        <v>1.3999999999999997</v>
      </c>
      <c r="O26" s="173">
        <f t="shared" si="9"/>
        <v>5.0000000000000009</v>
      </c>
      <c r="P26" s="175">
        <f t="shared" si="86"/>
        <v>-1</v>
      </c>
      <c r="Q26" s="173">
        <f t="shared" si="10"/>
        <v>0.8</v>
      </c>
      <c r="R26" s="173">
        <f t="shared" si="11"/>
        <v>0.19999999999999996</v>
      </c>
      <c r="S26" s="173">
        <f t="shared" si="12"/>
        <v>-2.4000000000000004</v>
      </c>
      <c r="T26" s="175">
        <f t="shared" si="87"/>
        <v>1.5</v>
      </c>
      <c r="U26" s="173">
        <f t="shared" si="13"/>
        <v>-0.6</v>
      </c>
      <c r="V26" s="173">
        <f t="shared" si="14"/>
        <v>0.29999999999999993</v>
      </c>
      <c r="W26" s="173">
        <f t="shared" si="15"/>
        <v>-0.8</v>
      </c>
      <c r="X26" s="175">
        <f t="shared" si="88"/>
        <v>17.7</v>
      </c>
      <c r="Y26" s="173">
        <f t="shared" si="16"/>
        <v>0.30000000000000071</v>
      </c>
      <c r="Z26" s="173">
        <f t="shared" si="17"/>
        <v>0.39999999999999858</v>
      </c>
      <c r="AA26" s="173">
        <f t="shared" si="18"/>
        <v>11.100000000000001</v>
      </c>
      <c r="AB26" s="175">
        <f t="shared" si="89"/>
        <v>-0.3</v>
      </c>
      <c r="AC26" s="173">
        <f t="shared" si="19"/>
        <v>-0.89999999999999991</v>
      </c>
      <c r="AD26" s="173">
        <f t="shared" si="20"/>
        <v>-0.40000000000000013</v>
      </c>
      <c r="AE26" s="173">
        <f t="shared" si="21"/>
        <v>2.2999999999999998</v>
      </c>
      <c r="AF26" s="175">
        <f t="shared" si="90"/>
        <v>-1</v>
      </c>
      <c r="AG26" s="173">
        <f t="shared" si="22"/>
        <v>0.19999999999999996</v>
      </c>
      <c r="AH26" s="173">
        <f t="shared" si="23"/>
        <v>-0.7</v>
      </c>
      <c r="AI26" s="173">
        <f t="shared" si="24"/>
        <v>-0.30000000000000004</v>
      </c>
      <c r="AJ26" s="175">
        <f t="shared" si="91"/>
        <v>-1</v>
      </c>
      <c r="AK26" s="173">
        <f t="shared" si="25"/>
        <v>0.4</v>
      </c>
      <c r="AL26" s="173">
        <f t="shared" si="26"/>
        <v>1.1000000000000001</v>
      </c>
      <c r="AM26" s="173">
        <f t="shared" si="27"/>
        <v>0.19999999999999973</v>
      </c>
      <c r="AN26" s="175">
        <f t="shared" si="92"/>
        <v>-0.5</v>
      </c>
      <c r="AO26" s="173">
        <f t="shared" si="28"/>
        <v>-9.9999999999999978E-2</v>
      </c>
      <c r="AP26" s="173">
        <f t="shared" si="29"/>
        <v>-0.79999999999999993</v>
      </c>
      <c r="AQ26" s="173">
        <f t="shared" si="30"/>
        <v>-0.20000000000000007</v>
      </c>
      <c r="AR26" s="175">
        <f t="shared" si="93"/>
        <v>-20.8</v>
      </c>
      <c r="AS26" s="173">
        <f t="shared" si="31"/>
        <v>0.30000000000000071</v>
      </c>
      <c r="AT26" s="173">
        <f t="shared" si="32"/>
        <v>-0.5</v>
      </c>
      <c r="AU26" s="173">
        <f t="shared" si="33"/>
        <v>8.6999999999999993</v>
      </c>
      <c r="AV26" s="175">
        <f t="shared" si="94"/>
        <v>1.8</v>
      </c>
      <c r="AW26" s="173">
        <f t="shared" si="34"/>
        <v>-20.6</v>
      </c>
      <c r="AX26" s="173">
        <f t="shared" si="35"/>
        <v>3.3000000000000007</v>
      </c>
      <c r="AY26" s="174">
        <f t="shared" si="36"/>
        <v>17.3</v>
      </c>
      <c r="AZ26" s="175">
        <f t="shared" si="95"/>
        <v>-3</v>
      </c>
      <c r="BA26" s="173">
        <f t="shared" si="37"/>
        <v>-2.0999999999999996</v>
      </c>
      <c r="BB26" s="173">
        <f t="shared" si="38"/>
        <v>-0.40000000000000036</v>
      </c>
      <c r="BC26" s="174">
        <f t="shared" si="39"/>
        <v>2.7</v>
      </c>
      <c r="BD26" s="175">
        <f t="shared" si="96"/>
        <v>1.5</v>
      </c>
      <c r="BE26" s="173">
        <f t="shared" si="40"/>
        <v>-4.9000000000000004</v>
      </c>
      <c r="BF26" s="173">
        <f t="shared" si="41"/>
        <v>-117.89999999999999</v>
      </c>
      <c r="BG26" s="174">
        <f t="shared" si="42"/>
        <v>0.29999999999999716</v>
      </c>
      <c r="BH26" s="175">
        <f t="shared" si="80"/>
        <v>29.7</v>
      </c>
      <c r="BI26" s="173">
        <f t="shared" si="43"/>
        <v>-3.8999999999999986</v>
      </c>
      <c r="BJ26" s="173">
        <f t="shared" si="44"/>
        <v>-5.1999999999999993</v>
      </c>
      <c r="BK26" s="174">
        <f t="shared" si="45"/>
        <v>25.799999999999997</v>
      </c>
      <c r="BL26" s="178">
        <v>0</v>
      </c>
      <c r="BM26" s="176">
        <v>0</v>
      </c>
      <c r="BN26" s="176">
        <v>0</v>
      </c>
      <c r="BO26" s="176">
        <v>0</v>
      </c>
      <c r="BP26" s="178">
        <v>0</v>
      </c>
      <c r="BQ26" s="176">
        <v>0</v>
      </c>
      <c r="BR26" s="176">
        <v>0</v>
      </c>
      <c r="BS26" s="177">
        <v>0</v>
      </c>
      <c r="BT26" s="176">
        <v>0</v>
      </c>
      <c r="BU26" s="176">
        <v>0</v>
      </c>
      <c r="BV26" s="176">
        <v>0</v>
      </c>
      <c r="BW26" s="176">
        <v>0</v>
      </c>
      <c r="BX26" s="21"/>
      <c r="BY26" s="173">
        <f t="shared" si="49"/>
        <v>24.9</v>
      </c>
      <c r="BZ26" s="173">
        <f t="shared" si="50"/>
        <v>3.4000000000000004</v>
      </c>
      <c r="CA26" s="173">
        <f t="shared" si="51"/>
        <v>8.3000000000000007</v>
      </c>
      <c r="CB26" s="173">
        <f t="shared" si="52"/>
        <v>-2.4000000000000004</v>
      </c>
      <c r="CC26" s="173">
        <f t="shared" si="53"/>
        <v>0.39999999999999991</v>
      </c>
      <c r="CD26" s="173">
        <f t="shared" si="54"/>
        <v>29.5</v>
      </c>
      <c r="CE26" s="173">
        <f t="shared" si="55"/>
        <v>0.69999999999999973</v>
      </c>
      <c r="CF26" s="173">
        <f t="shared" si="56"/>
        <v>-1.8</v>
      </c>
      <c r="CG26" s="173">
        <f t="shared" si="57"/>
        <v>0.69999999999999984</v>
      </c>
      <c r="CH26" s="173">
        <f t="shared" si="58"/>
        <v>-1.6</v>
      </c>
      <c r="CI26" s="173">
        <f t="shared" si="59"/>
        <v>-12.3</v>
      </c>
      <c r="CJ26" s="173">
        <f t="shared" si="60"/>
        <v>1.8000000000000007</v>
      </c>
      <c r="CK26" s="173">
        <f t="shared" si="61"/>
        <v>-2.8</v>
      </c>
      <c r="CL26" s="173">
        <f t="shared" si="62"/>
        <v>-121</v>
      </c>
      <c r="CM26" s="173">
        <f t="shared" si="63"/>
        <v>46.4</v>
      </c>
      <c r="CN26" s="173">
        <f t="shared" si="64"/>
        <v>0</v>
      </c>
      <c r="CO26" s="173">
        <f t="shared" si="81"/>
        <v>0</v>
      </c>
      <c r="CP26" s="174">
        <f t="shared" si="65"/>
        <v>0</v>
      </c>
      <c r="CQ26" s="22"/>
    </row>
    <row r="27" spans="1:95" ht="14.25" customHeight="1">
      <c r="A27" s="9"/>
      <c r="B27" s="48" t="str">
        <f t="shared" si="82"/>
        <v>Changes in current assets and liabilities:</v>
      </c>
      <c r="C27" s="49"/>
      <c r="D27" s="173"/>
      <c r="E27" s="173"/>
      <c r="F27" s="173"/>
      <c r="G27" s="173">
        <f t="shared" si="3"/>
        <v>0</v>
      </c>
      <c r="H27" s="175"/>
      <c r="I27" s="173"/>
      <c r="J27" s="173"/>
      <c r="K27" s="173">
        <f t="shared" si="6"/>
        <v>0</v>
      </c>
      <c r="L27" s="175"/>
      <c r="M27" s="173"/>
      <c r="N27" s="173"/>
      <c r="O27" s="173">
        <f t="shared" si="9"/>
        <v>0</v>
      </c>
      <c r="P27" s="175"/>
      <c r="Q27" s="173"/>
      <c r="R27" s="173"/>
      <c r="S27" s="173">
        <f t="shared" si="12"/>
        <v>0</v>
      </c>
      <c r="T27" s="175"/>
      <c r="U27" s="173"/>
      <c r="V27" s="173"/>
      <c r="W27" s="173">
        <f t="shared" si="15"/>
        <v>0</v>
      </c>
      <c r="X27" s="175"/>
      <c r="Y27" s="173"/>
      <c r="Z27" s="173"/>
      <c r="AA27" s="173">
        <f t="shared" si="18"/>
        <v>0</v>
      </c>
      <c r="AB27" s="175"/>
      <c r="AC27" s="173"/>
      <c r="AD27" s="173"/>
      <c r="AE27" s="173">
        <f t="shared" si="21"/>
        <v>0</v>
      </c>
      <c r="AF27" s="175"/>
      <c r="AG27" s="173"/>
      <c r="AH27" s="173"/>
      <c r="AI27" s="173">
        <f t="shared" si="24"/>
        <v>0</v>
      </c>
      <c r="AJ27" s="175"/>
      <c r="AK27" s="173"/>
      <c r="AL27" s="173"/>
      <c r="AM27" s="173">
        <f t="shared" si="27"/>
        <v>0</v>
      </c>
      <c r="AN27" s="175"/>
      <c r="AO27" s="173"/>
      <c r="AP27" s="173"/>
      <c r="AQ27" s="173">
        <f t="shared" si="30"/>
        <v>0</v>
      </c>
      <c r="AR27" s="175"/>
      <c r="AS27" s="173"/>
      <c r="AT27" s="173"/>
      <c r="AU27" s="173">
        <f t="shared" si="33"/>
        <v>0</v>
      </c>
      <c r="AV27" s="175"/>
      <c r="AW27" s="173"/>
      <c r="AX27" s="173"/>
      <c r="AY27" s="174">
        <f t="shared" si="36"/>
        <v>0</v>
      </c>
      <c r="AZ27" s="175"/>
      <c r="BA27" s="173"/>
      <c r="BB27" s="173"/>
      <c r="BC27" s="174">
        <f t="shared" si="39"/>
        <v>0</v>
      </c>
      <c r="BD27" s="175">
        <f t="shared" si="96"/>
        <v>0</v>
      </c>
      <c r="BE27" s="173">
        <f t="shared" si="40"/>
        <v>0</v>
      </c>
      <c r="BF27" s="173"/>
      <c r="BG27" s="174">
        <f t="shared" si="42"/>
        <v>0</v>
      </c>
      <c r="BH27" s="176">
        <f t="shared" si="80"/>
        <v>0</v>
      </c>
      <c r="BI27" s="173">
        <f t="shared" si="43"/>
        <v>0</v>
      </c>
      <c r="BJ27" s="173"/>
      <c r="BK27" s="174">
        <f t="shared" si="45"/>
        <v>0</v>
      </c>
      <c r="BL27" s="178"/>
      <c r="BM27" s="176"/>
      <c r="BN27" s="176"/>
      <c r="BO27" s="176"/>
      <c r="BP27" s="178"/>
      <c r="BQ27" s="176"/>
      <c r="BR27" s="176"/>
      <c r="BS27" s="177"/>
      <c r="BT27" s="176"/>
      <c r="BU27" s="176"/>
      <c r="BV27" s="176"/>
      <c r="BW27" s="176"/>
      <c r="BX27" s="21"/>
      <c r="BY27" s="173">
        <f t="shared" si="49"/>
        <v>0</v>
      </c>
      <c r="BZ27" s="173">
        <f t="shared" si="50"/>
        <v>0</v>
      </c>
      <c r="CA27" s="173">
        <f t="shared" si="51"/>
        <v>0</v>
      </c>
      <c r="CB27" s="173">
        <f t="shared" si="52"/>
        <v>0</v>
      </c>
      <c r="CC27" s="173">
        <f t="shared" si="53"/>
        <v>0</v>
      </c>
      <c r="CD27" s="173">
        <f t="shared" si="54"/>
        <v>0</v>
      </c>
      <c r="CE27" s="173">
        <f t="shared" si="55"/>
        <v>0</v>
      </c>
      <c r="CF27" s="173">
        <f t="shared" si="56"/>
        <v>0</v>
      </c>
      <c r="CG27" s="173">
        <f t="shared" si="57"/>
        <v>0</v>
      </c>
      <c r="CH27" s="173">
        <f t="shared" si="58"/>
        <v>0</v>
      </c>
      <c r="CI27" s="173">
        <f t="shared" si="59"/>
        <v>0</v>
      </c>
      <c r="CJ27" s="173">
        <f t="shared" si="60"/>
        <v>0</v>
      </c>
      <c r="CK27" s="173">
        <f t="shared" si="61"/>
        <v>0</v>
      </c>
      <c r="CL27" s="173">
        <f t="shared" si="62"/>
        <v>0</v>
      </c>
      <c r="CM27" s="173"/>
      <c r="CN27" s="173"/>
      <c r="CO27" s="173"/>
      <c r="CP27" s="174"/>
      <c r="CQ27" s="22"/>
    </row>
    <row r="28" spans="1:95" ht="14.25" customHeight="1">
      <c r="A28" s="9"/>
      <c r="B28" s="48" t="str">
        <f t="shared" si="82"/>
        <v>Receivables</v>
      </c>
      <c r="C28" s="49"/>
      <c r="D28" s="175">
        <f t="shared" ref="D28:D36" si="97">D138</f>
        <v>-12</v>
      </c>
      <c r="E28" s="173">
        <f t="shared" ref="E28:E36" si="98">E138-D28</f>
        <v>-0.69999999999999929</v>
      </c>
      <c r="F28" s="173">
        <f t="shared" ref="F28:F36" si="99">F138-D28-E28</f>
        <v>-22.3</v>
      </c>
      <c r="G28" s="173">
        <f t="shared" si="3"/>
        <v>14.2</v>
      </c>
      <c r="H28" s="175">
        <f t="shared" ref="H28:H36" si="100">H138</f>
        <v>-17.3</v>
      </c>
      <c r="I28" s="173">
        <f t="shared" ref="I28:I36" si="101">I138-H28</f>
        <v>-7.8000000000000007</v>
      </c>
      <c r="J28" s="173">
        <f t="shared" ref="J28:J36" si="102">J138-H28-I28</f>
        <v>8.9000000000000021</v>
      </c>
      <c r="K28" s="173">
        <f t="shared" si="6"/>
        <v>21</v>
      </c>
      <c r="L28" s="175">
        <f t="shared" ref="L28:L36" si="103">L138</f>
        <v>-20.2</v>
      </c>
      <c r="M28" s="173">
        <f t="shared" ref="M28:M36" si="104">M138-L28</f>
        <v>10.799999999999999</v>
      </c>
      <c r="N28" s="173">
        <f t="shared" ref="N28:N36" si="105">N138-L28-M28</f>
        <v>-22.800000000000004</v>
      </c>
      <c r="O28" s="173">
        <f t="shared" si="9"/>
        <v>-3.1999999999999957</v>
      </c>
      <c r="P28" s="175">
        <f t="shared" ref="P28:P36" si="106">P138</f>
        <v>-18.100000000000001</v>
      </c>
      <c r="Q28" s="173">
        <f t="shared" ref="Q28:Q36" si="107">Q138-P28</f>
        <v>-22.4</v>
      </c>
      <c r="R28" s="173">
        <f t="shared" ref="R28:R36" si="108">R138-P28-Q28</f>
        <v>5.5</v>
      </c>
      <c r="S28" s="173">
        <f t="shared" si="12"/>
        <v>15.399999999999999</v>
      </c>
      <c r="T28" s="175">
        <f t="shared" ref="T28:T36" si="109">T138</f>
        <v>3.8</v>
      </c>
      <c r="U28" s="173">
        <f t="shared" ref="U28:U36" si="110">U138-T28</f>
        <v>2.2999999999999998</v>
      </c>
      <c r="V28" s="173">
        <f t="shared" ref="V28:V36" si="111">V138-T28-U28</f>
        <v>-20.900000000000002</v>
      </c>
      <c r="W28" s="173">
        <f t="shared" si="15"/>
        <v>18.700000000000003</v>
      </c>
      <c r="X28" s="175">
        <f t="shared" ref="X28:X36" si="112">X138</f>
        <v>13.2</v>
      </c>
      <c r="Y28" s="173">
        <f t="shared" ref="Y28:Y36" si="113">Y138-X28</f>
        <v>-13.5</v>
      </c>
      <c r="Z28" s="173">
        <f t="shared" ref="Z28:Z36" si="114">Z138-X28-Y28</f>
        <v>-23.5</v>
      </c>
      <c r="AA28" s="173">
        <f t="shared" si="18"/>
        <v>98.7</v>
      </c>
      <c r="AB28" s="175">
        <f t="shared" ref="AB28:AB36" si="115">AB138</f>
        <v>-3.9</v>
      </c>
      <c r="AC28" s="173">
        <f t="shared" ref="AC28:AC36" si="116">AC138-AB28</f>
        <v>-60.4</v>
      </c>
      <c r="AD28" s="173">
        <f t="shared" ref="AD28:AD36" si="117">AD138-AB28-AC28</f>
        <v>-9.7999999999999901</v>
      </c>
      <c r="AE28" s="173">
        <f t="shared" si="21"/>
        <v>2.5999999999999943</v>
      </c>
      <c r="AF28" s="175">
        <f t="shared" ref="AF28:AF36" si="118">AF138</f>
        <v>-32.1</v>
      </c>
      <c r="AG28" s="173">
        <f t="shared" ref="AG28:AG36" si="119">AG138-AF28</f>
        <v>-14.899999999999999</v>
      </c>
      <c r="AH28" s="173">
        <f t="shared" ref="AH28:AH36" si="120">AH138-AF28-AG28</f>
        <v>4</v>
      </c>
      <c r="AI28" s="173">
        <f t="shared" si="24"/>
        <v>20.100000000000001</v>
      </c>
      <c r="AJ28" s="175">
        <f t="shared" ref="AJ28:AJ36" si="121">AJ138</f>
        <v>-36</v>
      </c>
      <c r="AK28" s="173">
        <f t="shared" ref="AK28:AK36" si="122">AK138-AJ28</f>
        <v>3.5</v>
      </c>
      <c r="AL28" s="173">
        <f t="shared" ref="AL28:AL36" si="123">AL138-AJ28-AK28</f>
        <v>42.2</v>
      </c>
      <c r="AM28" s="173">
        <f t="shared" si="27"/>
        <v>79.399999999999991</v>
      </c>
      <c r="AN28" s="175">
        <f t="shared" ref="AN28:AN36" si="124">AN138</f>
        <v>27.3</v>
      </c>
      <c r="AO28" s="173">
        <f t="shared" ref="AO28:AO36" si="125">AO138-AN28</f>
        <v>-11.3</v>
      </c>
      <c r="AP28" s="173">
        <f t="shared" ref="AP28:AP36" si="126">AP138-AN28-AO28</f>
        <v>27.5</v>
      </c>
      <c r="AQ28" s="173">
        <f t="shared" si="30"/>
        <v>51.900000000000006</v>
      </c>
      <c r="AR28" s="175">
        <f t="shared" ref="AR28:AR36" si="127">AR138</f>
        <v>-14.8</v>
      </c>
      <c r="AS28" s="173">
        <f t="shared" ref="AS28:AS36" si="128">AS138-AR28</f>
        <v>-41.7</v>
      </c>
      <c r="AT28" s="173">
        <f t="shared" ref="AT28:AT36" si="129">AT138-AR28-AS28</f>
        <v>-12.599999999999994</v>
      </c>
      <c r="AU28" s="173">
        <f t="shared" si="33"/>
        <v>33.700000000000003</v>
      </c>
      <c r="AV28" s="175">
        <f t="shared" ref="AV28:AV36" si="130">AV138</f>
        <v>-33</v>
      </c>
      <c r="AW28" s="173">
        <f t="shared" ref="AW28:AW36" si="131">AW138-AV28</f>
        <v>-11</v>
      </c>
      <c r="AX28" s="173">
        <f t="shared" ref="AX28:AX36" si="132">AX138-AV28-AW28</f>
        <v>-2.5</v>
      </c>
      <c r="AY28" s="174">
        <f t="shared" si="36"/>
        <v>67</v>
      </c>
      <c r="AZ28" s="175">
        <f t="shared" ref="AZ28:AZ36" si="133">AZ138</f>
        <v>-36.9</v>
      </c>
      <c r="BA28" s="173">
        <f t="shared" ref="BA28:BA36" si="134">BA138-AZ28</f>
        <v>-36.199999999999996</v>
      </c>
      <c r="BB28" s="173">
        <f t="shared" ref="BB28:BB36" si="135">BB138-AZ28-BA28</f>
        <v>-14.5</v>
      </c>
      <c r="BC28" s="174">
        <f t="shared" si="39"/>
        <v>76.3</v>
      </c>
      <c r="BD28" s="175">
        <f t="shared" ref="BD28:BD36" si="136">BD138</f>
        <v>0.5</v>
      </c>
      <c r="BE28" s="173">
        <f t="shared" si="40"/>
        <v>-50.7</v>
      </c>
      <c r="BF28" s="173">
        <f t="shared" ref="BF28:BF36" si="137">BF138-BD28-BE28</f>
        <v>41.1</v>
      </c>
      <c r="BG28" s="174">
        <f t="shared" si="42"/>
        <v>45.300000000000061</v>
      </c>
      <c r="BH28" s="175">
        <f t="shared" si="80"/>
        <v>-45.2</v>
      </c>
      <c r="BI28" s="173">
        <f t="shared" si="43"/>
        <v>-18.299999999999997</v>
      </c>
      <c r="BJ28" s="173">
        <f t="shared" ref="BJ28:BJ36" si="138">BJ138-BH28-BI28</f>
        <v>-1.0999999999999943</v>
      </c>
      <c r="BK28" s="1423">
        <f>BS!BJ11-BS!BK11</f>
        <v>-5.8999999999999773</v>
      </c>
      <c r="BL28" s="535">
        <f>BS!BK11-BS!BL11</f>
        <v>-59.531666666666865</v>
      </c>
      <c r="BM28" s="535">
        <f>BS!BL11-BS!BM11</f>
        <v>-16.644866999999749</v>
      </c>
      <c r="BN28" s="821">
        <f>BS!BM11-BS!BN11</f>
        <v>-18.367080837777849</v>
      </c>
      <c r="BO28" s="822">
        <f>BS!BN11-BS!BO11</f>
        <v>30.061867572177903</v>
      </c>
      <c r="BP28" s="535">
        <f>BS!BO11-BS!BP11</f>
        <v>20.11910132085211</v>
      </c>
      <c r="BQ28" s="535">
        <f>BS!BP11-BS!BQ11</f>
        <v>-27.874930386049755</v>
      </c>
      <c r="BR28" s="821">
        <f>BS!BQ11-BS!BR11</f>
        <v>-16.802198539593519</v>
      </c>
      <c r="BS28" s="1423">
        <f>BS!BR11-BS!BS11</f>
        <v>13.733179823375394</v>
      </c>
      <c r="BT28" s="535">
        <f>BS!BS11-BS!BT11</f>
        <v>3.1921913467226659</v>
      </c>
      <c r="BU28" s="535">
        <f>BS!BT11-BS!BU11</f>
        <v>-28.842312123072361</v>
      </c>
      <c r="BV28" s="1422">
        <f>BS!BU11-BS!BV11</f>
        <v>-16.647984351060245</v>
      </c>
      <c r="BW28" s="1423">
        <f>BS!BV11-BS!BW11</f>
        <v>13.942696810531743</v>
      </c>
      <c r="BX28" s="21"/>
      <c r="BY28" s="173">
        <f t="shared" si="49"/>
        <v>-20.8</v>
      </c>
      <c r="BZ28" s="173">
        <f t="shared" si="50"/>
        <v>4.8000000000000007</v>
      </c>
      <c r="CA28" s="173">
        <f t="shared" si="51"/>
        <v>-35.4</v>
      </c>
      <c r="CB28" s="173">
        <f t="shared" si="52"/>
        <v>-19.600000000000001</v>
      </c>
      <c r="CC28" s="173">
        <f t="shared" si="53"/>
        <v>3.9000000000000004</v>
      </c>
      <c r="CD28" s="173">
        <f t="shared" si="54"/>
        <v>74.900000000000006</v>
      </c>
      <c r="CE28" s="173">
        <f t="shared" si="55"/>
        <v>-71.5</v>
      </c>
      <c r="CF28" s="173">
        <f t="shared" si="56"/>
        <v>-22.9</v>
      </c>
      <c r="CG28" s="173">
        <f t="shared" si="57"/>
        <v>89.1</v>
      </c>
      <c r="CH28" s="173">
        <f t="shared" si="58"/>
        <v>95.4</v>
      </c>
      <c r="CI28" s="173">
        <f t="shared" si="59"/>
        <v>-35.399999999999991</v>
      </c>
      <c r="CJ28" s="173">
        <f t="shared" si="60"/>
        <v>20.5</v>
      </c>
      <c r="CK28" s="173">
        <f t="shared" si="61"/>
        <v>-11.299999999999997</v>
      </c>
      <c r="CL28" s="173">
        <f t="shared" si="62"/>
        <v>36.20000000000006</v>
      </c>
      <c r="CM28" s="173">
        <f t="shared" si="63"/>
        <v>-70.499999999999972</v>
      </c>
      <c r="CN28" s="173">
        <f t="shared" si="64"/>
        <v>-64.48174693226656</v>
      </c>
      <c r="CO28" s="173">
        <f t="shared" si="81"/>
        <v>-10.82484778141577</v>
      </c>
      <c r="CP28" s="174">
        <f t="shared" si="65"/>
        <v>-28.355408316878197</v>
      </c>
      <c r="CQ28" s="22"/>
    </row>
    <row r="29" spans="1:95" ht="14.25" customHeight="1">
      <c r="A29" s="9"/>
      <c r="B29" s="48" t="str">
        <f t="shared" si="82"/>
        <v>Inventories</v>
      </c>
      <c r="C29" s="49"/>
      <c r="D29" s="175">
        <f t="shared" si="97"/>
        <v>-11</v>
      </c>
      <c r="E29" s="173">
        <f t="shared" si="98"/>
        <v>-7.3999999999999986</v>
      </c>
      <c r="F29" s="173">
        <f t="shared" si="99"/>
        <v>1.0999999999999979</v>
      </c>
      <c r="G29" s="173">
        <f t="shared" si="3"/>
        <v>-3.6999999999999993</v>
      </c>
      <c r="H29" s="175">
        <f t="shared" si="100"/>
        <v>-12.2</v>
      </c>
      <c r="I29" s="173">
        <f t="shared" si="101"/>
        <v>-15.100000000000001</v>
      </c>
      <c r="J29" s="173">
        <f t="shared" si="102"/>
        <v>-12.999999999999996</v>
      </c>
      <c r="K29" s="173">
        <f t="shared" si="6"/>
        <v>7.3999999999999986</v>
      </c>
      <c r="L29" s="175">
        <f t="shared" si="103"/>
        <v>14.5</v>
      </c>
      <c r="M29" s="173">
        <f t="shared" si="104"/>
        <v>0.59999999999999964</v>
      </c>
      <c r="N29" s="173">
        <f t="shared" si="105"/>
        <v>-3.2999999999999989</v>
      </c>
      <c r="O29" s="173">
        <f t="shared" si="9"/>
        <v>-1.2000000000000011</v>
      </c>
      <c r="P29" s="175">
        <f t="shared" si="106"/>
        <v>-8.1</v>
      </c>
      <c r="Q29" s="173">
        <f t="shared" si="107"/>
        <v>-26.6</v>
      </c>
      <c r="R29" s="173">
        <f t="shared" si="108"/>
        <v>-17.799999999999997</v>
      </c>
      <c r="S29" s="173">
        <f t="shared" si="12"/>
        <v>-9.3999999999999986</v>
      </c>
      <c r="T29" s="175">
        <f t="shared" si="109"/>
        <v>-2.2000000000000002</v>
      </c>
      <c r="U29" s="173">
        <f t="shared" si="110"/>
        <v>-11.5</v>
      </c>
      <c r="V29" s="173">
        <f t="shared" si="111"/>
        <v>4.0000000000000009</v>
      </c>
      <c r="W29" s="173">
        <f t="shared" si="15"/>
        <v>2.1999999999999993</v>
      </c>
      <c r="X29" s="175">
        <f t="shared" si="112"/>
        <v>5.5</v>
      </c>
      <c r="Y29" s="173">
        <f t="shared" si="113"/>
        <v>32</v>
      </c>
      <c r="Z29" s="173">
        <f t="shared" si="114"/>
        <v>10.200000000000003</v>
      </c>
      <c r="AA29" s="173">
        <f t="shared" si="18"/>
        <v>-7.7000000000000028</v>
      </c>
      <c r="AB29" s="175">
        <f t="shared" si="115"/>
        <v>28.6</v>
      </c>
      <c r="AC29" s="173">
        <f t="shared" si="116"/>
        <v>25.699999999999996</v>
      </c>
      <c r="AD29" s="173">
        <f t="shared" si="117"/>
        <v>-0.69999999999999574</v>
      </c>
      <c r="AE29" s="173">
        <f t="shared" si="21"/>
        <v>-8.8000000000000043</v>
      </c>
      <c r="AF29" s="175">
        <f t="shared" si="118"/>
        <v>-17.600000000000001</v>
      </c>
      <c r="AG29" s="173">
        <f t="shared" si="119"/>
        <v>-17.299999999999997</v>
      </c>
      <c r="AH29" s="173">
        <f t="shared" si="120"/>
        <v>-31.9</v>
      </c>
      <c r="AI29" s="173">
        <f t="shared" si="24"/>
        <v>-17.20000000000001</v>
      </c>
      <c r="AJ29" s="175">
        <f t="shared" si="121"/>
        <v>24.7</v>
      </c>
      <c r="AK29" s="173">
        <f t="shared" si="122"/>
        <v>18.900000000000002</v>
      </c>
      <c r="AL29" s="173">
        <f t="shared" si="123"/>
        <v>42.3</v>
      </c>
      <c r="AM29" s="173">
        <f t="shared" si="27"/>
        <v>16.199999999999989</v>
      </c>
      <c r="AN29" s="175">
        <f t="shared" si="124"/>
        <v>-23.2</v>
      </c>
      <c r="AO29" s="173">
        <f t="shared" si="125"/>
        <v>-30.400000000000002</v>
      </c>
      <c r="AP29" s="173">
        <f t="shared" si="126"/>
        <v>17.300000000000004</v>
      </c>
      <c r="AQ29" s="173">
        <f t="shared" si="30"/>
        <v>29.199999999999996</v>
      </c>
      <c r="AR29" s="175">
        <f t="shared" si="127"/>
        <v>-5.3</v>
      </c>
      <c r="AS29" s="173">
        <f t="shared" si="128"/>
        <v>-27.999999999999996</v>
      </c>
      <c r="AT29" s="173">
        <f t="shared" si="129"/>
        <v>-31.500000000000004</v>
      </c>
      <c r="AU29" s="173">
        <f t="shared" si="33"/>
        <v>-32.799999999999997</v>
      </c>
      <c r="AV29" s="175">
        <f t="shared" si="130"/>
        <v>-8.8000000000000007</v>
      </c>
      <c r="AW29" s="173">
        <f t="shared" si="131"/>
        <v>-4.5999999999999996</v>
      </c>
      <c r="AX29" s="173">
        <f t="shared" si="132"/>
        <v>-16.700000000000003</v>
      </c>
      <c r="AY29" s="174">
        <f t="shared" si="36"/>
        <v>-28.9</v>
      </c>
      <c r="AZ29" s="175">
        <f t="shared" si="133"/>
        <v>-34.700000000000003</v>
      </c>
      <c r="BA29" s="173">
        <f t="shared" si="134"/>
        <v>-6.5999999999999943</v>
      </c>
      <c r="BB29" s="173">
        <f t="shared" si="135"/>
        <v>-20.800000000000004</v>
      </c>
      <c r="BC29" s="174">
        <f t="shared" si="39"/>
        <v>-10.399999999999999</v>
      </c>
      <c r="BD29" s="175">
        <f t="shared" si="136"/>
        <v>-27</v>
      </c>
      <c r="BE29" s="173">
        <f t="shared" si="40"/>
        <v>-7.7000000000000028</v>
      </c>
      <c r="BF29" s="173">
        <f t="shared" si="137"/>
        <v>1</v>
      </c>
      <c r="BG29" s="174">
        <f t="shared" si="42"/>
        <v>52.899999999999864</v>
      </c>
      <c r="BH29" s="175">
        <f t="shared" si="80"/>
        <v>4.9000000000000004</v>
      </c>
      <c r="BI29" s="173">
        <f t="shared" si="43"/>
        <v>-12</v>
      </c>
      <c r="BJ29" s="173">
        <f t="shared" si="138"/>
        <v>-49</v>
      </c>
      <c r="BK29" s="1423">
        <f>BS!BJ12-BS!BK12</f>
        <v>-60.5</v>
      </c>
      <c r="BL29" s="535">
        <f>BS!BK12-BS!BL12</f>
        <v>64.633986799999775</v>
      </c>
      <c r="BM29" s="535">
        <f>BS!BL12-BS!BM12</f>
        <v>-18.894878643110815</v>
      </c>
      <c r="BN29" s="821">
        <f>BS!BM12-BS!BN12</f>
        <v>-23.699543438997807</v>
      </c>
      <c r="BO29" s="822">
        <f>BS!BN12-BS!BO12</f>
        <v>16.174012312650575</v>
      </c>
      <c r="BP29" s="535">
        <f>BS!BO12-BS!BP12</f>
        <v>5.6167979178421774</v>
      </c>
      <c r="BQ29" s="535">
        <f>BS!BP12-BS!BQ12</f>
        <v>-31.819808719485309</v>
      </c>
      <c r="BR29" s="821">
        <f>BS!BQ12-BS!BR12</f>
        <v>-12.190413000230819</v>
      </c>
      <c r="BS29" s="1423">
        <f>BS!BR12-BS!BS12</f>
        <v>18.867135277809439</v>
      </c>
      <c r="BT29" s="535">
        <f>BS!BS12-BS!BT12</f>
        <v>-5.9497665962569499</v>
      </c>
      <c r="BU29" s="535">
        <f>BS!BT12-BS!BU12</f>
        <v>-32.599584445473283</v>
      </c>
      <c r="BV29" s="1422">
        <f>BS!BU12-BS!BV12</f>
        <v>-11.078187748509208</v>
      </c>
      <c r="BW29" s="1423">
        <f>BS!BV12-BS!BW12</f>
        <v>18.93578694433586</v>
      </c>
      <c r="BX29" s="21"/>
      <c r="BY29" s="173">
        <f t="shared" si="49"/>
        <v>-21</v>
      </c>
      <c r="BZ29" s="173">
        <f t="shared" si="50"/>
        <v>-32.9</v>
      </c>
      <c r="CA29" s="173">
        <f t="shared" si="51"/>
        <v>10.6</v>
      </c>
      <c r="CB29" s="173">
        <f t="shared" si="52"/>
        <v>-61.9</v>
      </c>
      <c r="CC29" s="173">
        <f t="shared" si="53"/>
        <v>-7.5</v>
      </c>
      <c r="CD29" s="173">
        <f t="shared" si="54"/>
        <v>40</v>
      </c>
      <c r="CE29" s="173">
        <f t="shared" si="55"/>
        <v>44.8</v>
      </c>
      <c r="CF29" s="173">
        <f t="shared" si="56"/>
        <v>-84</v>
      </c>
      <c r="CG29" s="173">
        <f t="shared" si="57"/>
        <v>102.1</v>
      </c>
      <c r="CH29" s="173">
        <f t="shared" si="58"/>
        <v>-7.1000000000000014</v>
      </c>
      <c r="CI29" s="173">
        <f t="shared" si="59"/>
        <v>-97.6</v>
      </c>
      <c r="CJ29" s="173">
        <f t="shared" si="60"/>
        <v>-59</v>
      </c>
      <c r="CK29" s="173">
        <f t="shared" si="61"/>
        <v>-72.5</v>
      </c>
      <c r="CL29" s="173">
        <f t="shared" si="62"/>
        <v>19.199999999999861</v>
      </c>
      <c r="CM29" s="173">
        <f t="shared" si="63"/>
        <v>-116.6</v>
      </c>
      <c r="CN29" s="173">
        <f t="shared" si="64"/>
        <v>38.213577030541728</v>
      </c>
      <c r="CO29" s="173">
        <f t="shared" si="81"/>
        <v>-19.526288524064512</v>
      </c>
      <c r="CP29" s="174">
        <f t="shared" si="65"/>
        <v>-30.691751845903582</v>
      </c>
      <c r="CQ29" s="22"/>
    </row>
    <row r="30" spans="1:95" ht="14.25" customHeight="1">
      <c r="A30" s="9"/>
      <c r="B30" s="48" t="str">
        <f t="shared" si="82"/>
        <v>Other assets</v>
      </c>
      <c r="C30" s="49"/>
      <c r="D30" s="175">
        <f t="shared" si="97"/>
        <v>7.6</v>
      </c>
      <c r="E30" s="173">
        <f t="shared" si="98"/>
        <v>-3.5</v>
      </c>
      <c r="F30" s="173">
        <f t="shared" si="99"/>
        <v>-4</v>
      </c>
      <c r="G30" s="173">
        <f t="shared" si="3"/>
        <v>5.1000000000000005</v>
      </c>
      <c r="H30" s="175">
        <f t="shared" si="100"/>
        <v>6</v>
      </c>
      <c r="I30" s="173">
        <f t="shared" si="101"/>
        <v>-0.40000000000000036</v>
      </c>
      <c r="J30" s="173">
        <f t="shared" si="102"/>
        <v>0.5</v>
      </c>
      <c r="K30" s="173">
        <f t="shared" si="6"/>
        <v>-3.8999999999999995</v>
      </c>
      <c r="L30" s="175">
        <f t="shared" si="103"/>
        <v>3.1</v>
      </c>
      <c r="M30" s="173">
        <f t="shared" si="104"/>
        <v>-6.3000000000000007</v>
      </c>
      <c r="N30" s="173">
        <f t="shared" si="105"/>
        <v>2.1000000000000005</v>
      </c>
      <c r="O30" s="173">
        <f t="shared" si="9"/>
        <v>-5.1000000000000005</v>
      </c>
      <c r="P30" s="175">
        <f t="shared" si="106"/>
        <v>-9.1</v>
      </c>
      <c r="Q30" s="173">
        <f t="shared" si="107"/>
        <v>-1.0999999999999996</v>
      </c>
      <c r="R30" s="173">
        <f t="shared" si="108"/>
        <v>-6.8000000000000007</v>
      </c>
      <c r="S30" s="173">
        <f t="shared" si="12"/>
        <v>2</v>
      </c>
      <c r="T30" s="175">
        <f t="shared" si="109"/>
        <v>-7.5</v>
      </c>
      <c r="U30" s="173">
        <f t="shared" si="110"/>
        <v>-4.8000000000000007</v>
      </c>
      <c r="V30" s="173">
        <f t="shared" si="111"/>
        <v>-2.3999999999999986</v>
      </c>
      <c r="W30" s="173">
        <f t="shared" si="15"/>
        <v>-36.699999999999996</v>
      </c>
      <c r="X30" s="175">
        <f t="shared" si="112"/>
        <v>8.1</v>
      </c>
      <c r="Y30" s="173">
        <f t="shared" si="113"/>
        <v>19.600000000000001</v>
      </c>
      <c r="Z30" s="173">
        <f t="shared" si="114"/>
        <v>12.699999999999996</v>
      </c>
      <c r="AA30" s="173">
        <f t="shared" si="18"/>
        <v>7.8999999999999986</v>
      </c>
      <c r="AB30" s="175">
        <f t="shared" si="115"/>
        <v>12.7</v>
      </c>
      <c r="AC30" s="173">
        <f t="shared" si="116"/>
        <v>-0.69999999999999929</v>
      </c>
      <c r="AD30" s="173">
        <f t="shared" si="117"/>
        <v>-2</v>
      </c>
      <c r="AE30" s="173">
        <f t="shared" si="21"/>
        <v>-28.5</v>
      </c>
      <c r="AF30" s="175">
        <f t="shared" si="118"/>
        <v>8.1999999999999993</v>
      </c>
      <c r="AG30" s="173">
        <f t="shared" si="119"/>
        <v>-1.1999999999999993</v>
      </c>
      <c r="AH30" s="173">
        <f t="shared" si="120"/>
        <v>-8.4</v>
      </c>
      <c r="AI30" s="173">
        <f t="shared" si="24"/>
        <v>-15.700000000000001</v>
      </c>
      <c r="AJ30" s="175">
        <f t="shared" si="121"/>
        <v>25.1</v>
      </c>
      <c r="AK30" s="173">
        <f t="shared" si="122"/>
        <v>-20.8</v>
      </c>
      <c r="AL30" s="173">
        <f t="shared" si="123"/>
        <v>-7</v>
      </c>
      <c r="AM30" s="173">
        <f t="shared" si="27"/>
        <v>-12.499999999999996</v>
      </c>
      <c r="AN30" s="175">
        <f t="shared" si="124"/>
        <v>30.2</v>
      </c>
      <c r="AO30" s="173">
        <f t="shared" si="125"/>
        <v>-19.5</v>
      </c>
      <c r="AP30" s="173">
        <f t="shared" si="126"/>
        <v>-29.9</v>
      </c>
      <c r="AQ30" s="173">
        <f t="shared" si="30"/>
        <v>9.2999999999999972</v>
      </c>
      <c r="AR30" s="175">
        <f t="shared" si="127"/>
        <v>37.299999999999997</v>
      </c>
      <c r="AS30" s="173">
        <f t="shared" si="128"/>
        <v>-5.1999999999999957</v>
      </c>
      <c r="AT30" s="173">
        <f t="shared" si="129"/>
        <v>-14</v>
      </c>
      <c r="AU30" s="173">
        <f t="shared" si="33"/>
        <v>2.2999999999999972</v>
      </c>
      <c r="AV30" s="175">
        <f t="shared" si="130"/>
        <v>-5.2</v>
      </c>
      <c r="AW30" s="173">
        <f t="shared" si="131"/>
        <v>5.2</v>
      </c>
      <c r="AX30" s="173">
        <f t="shared" si="132"/>
        <v>-13.399999999999999</v>
      </c>
      <c r="AY30" s="174">
        <f t="shared" si="36"/>
        <v>-0.69999999999999929</v>
      </c>
      <c r="AZ30" s="175">
        <f t="shared" si="133"/>
        <v>3.9</v>
      </c>
      <c r="BA30" s="173">
        <f t="shared" si="134"/>
        <v>3.1999999999999997</v>
      </c>
      <c r="BB30" s="173">
        <f t="shared" si="135"/>
        <v>-22.5</v>
      </c>
      <c r="BC30" s="174">
        <f t="shared" si="39"/>
        <v>5.1999999999999993</v>
      </c>
      <c r="BD30" s="175">
        <f t="shared" si="136"/>
        <v>-2</v>
      </c>
      <c r="BE30" s="173">
        <f t="shared" si="40"/>
        <v>-8.9</v>
      </c>
      <c r="BF30" s="173">
        <f t="shared" si="137"/>
        <v>-12.700000000000001</v>
      </c>
      <c r="BG30" s="174">
        <f t="shared" si="42"/>
        <v>-17.300000000000011</v>
      </c>
      <c r="BH30" s="175">
        <f t="shared" si="80"/>
        <v>-17.7</v>
      </c>
      <c r="BI30" s="173">
        <f t="shared" si="43"/>
        <v>-23.599999999999998</v>
      </c>
      <c r="BJ30" s="173">
        <f t="shared" si="138"/>
        <v>-10.600000000000005</v>
      </c>
      <c r="BK30" s="1423">
        <f>BS!BJ13-BS!BK13</f>
        <v>-3.4000000000000057</v>
      </c>
      <c r="BL30" s="535">
        <f>BS!BK13-BS!BL13</f>
        <v>-26.177120000000031</v>
      </c>
      <c r="BM30" s="535">
        <f>BS!BL13-BS!BM13</f>
        <v>-9.3645551999999554</v>
      </c>
      <c r="BN30" s="821">
        <f>BS!BM13-BS!BN13</f>
        <v>-5.3976727360000325</v>
      </c>
      <c r="BO30" s="822">
        <f>BS!BN13-BS!BO13</f>
        <v>4.1448238563200448</v>
      </c>
      <c r="BP30" s="535">
        <f>BS!BO13-BS!BP13</f>
        <v>1.2749049987359626</v>
      </c>
      <c r="BQ30" s="535">
        <f>BS!BP13-BS!BQ13</f>
        <v>-8.5404042033854353</v>
      </c>
      <c r="BR30" s="821">
        <f>BS!BQ13-BS!BR13</f>
        <v>-5.147907637662712</v>
      </c>
      <c r="BS30" s="1423">
        <f>BS!BR13-BS!BS13</f>
        <v>4.2076125416299419</v>
      </c>
      <c r="BT30" s="535">
        <f>BS!BS13-BS!BT13</f>
        <v>0.9780330934639494</v>
      </c>
      <c r="BU30" s="535">
        <f>BS!BT13-BS!BU13</f>
        <v>-8.8367935015370733</v>
      </c>
      <c r="BV30" s="1422">
        <f>BS!BU13-BS!BV13</f>
        <v>-5.100659035218456</v>
      </c>
      <c r="BW30" s="1423">
        <f>BS!BV13-BS!BW13</f>
        <v>4.2718049802480209</v>
      </c>
      <c r="BX30" s="21"/>
      <c r="BY30" s="173">
        <f t="shared" si="49"/>
        <v>5.2</v>
      </c>
      <c r="BZ30" s="173">
        <f t="shared" si="50"/>
        <v>2.2000000000000002</v>
      </c>
      <c r="CA30" s="173">
        <f t="shared" si="51"/>
        <v>-6.2000000000000011</v>
      </c>
      <c r="CB30" s="173">
        <f t="shared" si="52"/>
        <v>-15</v>
      </c>
      <c r="CC30" s="173">
        <f t="shared" si="53"/>
        <v>-51.399999999999991</v>
      </c>
      <c r="CD30" s="173">
        <f t="shared" si="54"/>
        <v>48.3</v>
      </c>
      <c r="CE30" s="173">
        <f t="shared" si="55"/>
        <v>-18.5</v>
      </c>
      <c r="CF30" s="173">
        <f t="shared" si="56"/>
        <v>-17.100000000000001</v>
      </c>
      <c r="CG30" s="173">
        <f t="shared" si="57"/>
        <v>-15.199999999999996</v>
      </c>
      <c r="CH30" s="173">
        <f t="shared" si="58"/>
        <v>-9.9000000000000021</v>
      </c>
      <c r="CI30" s="173">
        <f t="shared" si="59"/>
        <v>20.399999999999999</v>
      </c>
      <c r="CJ30" s="173">
        <f t="shared" si="60"/>
        <v>-14.099999999999998</v>
      </c>
      <c r="CK30" s="173">
        <f t="shared" si="61"/>
        <v>-10.200000000000001</v>
      </c>
      <c r="CL30" s="173">
        <f t="shared" si="62"/>
        <v>-40.900000000000013</v>
      </c>
      <c r="CM30" s="173">
        <f t="shared" si="63"/>
        <v>-55.300000000000011</v>
      </c>
      <c r="CN30" s="173">
        <f t="shared" si="64"/>
        <v>-36.794524079679974</v>
      </c>
      <c r="CO30" s="173">
        <f t="shared" si="81"/>
        <v>-8.2057943006822427</v>
      </c>
      <c r="CP30" s="174">
        <f t="shared" si="65"/>
        <v>-8.687614463043559</v>
      </c>
      <c r="CQ30" s="22"/>
    </row>
    <row r="31" spans="1:95" ht="14.25" customHeight="1">
      <c r="A31" s="9"/>
      <c r="B31" s="48" t="str">
        <f t="shared" si="82"/>
        <v>Accounts payable</v>
      </c>
      <c r="C31" s="49"/>
      <c r="D31" s="175">
        <f t="shared" si="97"/>
        <v>33.6</v>
      </c>
      <c r="E31" s="173">
        <f t="shared" si="98"/>
        <v>5.2999999999999972</v>
      </c>
      <c r="F31" s="173">
        <f t="shared" si="99"/>
        <v>8</v>
      </c>
      <c r="G31" s="173">
        <f t="shared" si="3"/>
        <v>-5.6000000000000014</v>
      </c>
      <c r="H31" s="175">
        <f t="shared" si="100"/>
        <v>10.7</v>
      </c>
      <c r="I31" s="173">
        <f t="shared" si="101"/>
        <v>-1.2999999999999989</v>
      </c>
      <c r="J31" s="173">
        <f t="shared" si="102"/>
        <v>-14.4</v>
      </c>
      <c r="K31" s="173">
        <f t="shared" si="6"/>
        <v>-6.1</v>
      </c>
      <c r="L31" s="175">
        <f t="shared" si="103"/>
        <v>-13.3</v>
      </c>
      <c r="M31" s="173">
        <f t="shared" si="104"/>
        <v>10.100000000000001</v>
      </c>
      <c r="N31" s="173">
        <f t="shared" si="105"/>
        <v>2.6999999999999993</v>
      </c>
      <c r="O31" s="173">
        <f t="shared" si="9"/>
        <v>12.099999999999998</v>
      </c>
      <c r="P31" s="175">
        <f t="shared" si="106"/>
        <v>-4.9000000000000004</v>
      </c>
      <c r="Q31" s="173">
        <f t="shared" si="107"/>
        <v>-0.29999999999999982</v>
      </c>
      <c r="R31" s="173">
        <f t="shared" si="108"/>
        <v>5.5</v>
      </c>
      <c r="S31" s="173">
        <f t="shared" si="12"/>
        <v>4.6999999999999993</v>
      </c>
      <c r="T31" s="175">
        <f t="shared" si="109"/>
        <v>-12.9</v>
      </c>
      <c r="U31" s="173">
        <f t="shared" si="110"/>
        <v>-6.1</v>
      </c>
      <c r="V31" s="173">
        <f t="shared" si="111"/>
        <v>15.299999999999999</v>
      </c>
      <c r="W31" s="173">
        <f t="shared" si="15"/>
        <v>32.200000000000003</v>
      </c>
      <c r="X31" s="175">
        <f t="shared" si="112"/>
        <v>12.8</v>
      </c>
      <c r="Y31" s="173">
        <f t="shared" si="113"/>
        <v>-42</v>
      </c>
      <c r="Z31" s="173">
        <f t="shared" si="114"/>
        <v>8</v>
      </c>
      <c r="AA31" s="173">
        <f t="shared" si="18"/>
        <v>-47.8</v>
      </c>
      <c r="AB31" s="175">
        <f t="shared" si="115"/>
        <v>-26.3</v>
      </c>
      <c r="AC31" s="173">
        <f t="shared" si="116"/>
        <v>21.3</v>
      </c>
      <c r="AD31" s="173">
        <f t="shared" si="117"/>
        <v>0</v>
      </c>
      <c r="AE31" s="173">
        <f t="shared" si="21"/>
        <v>14.8</v>
      </c>
      <c r="AF31" s="175">
        <f t="shared" si="118"/>
        <v>9.8000000000000007</v>
      </c>
      <c r="AG31" s="173">
        <f t="shared" si="119"/>
        <v>20.8</v>
      </c>
      <c r="AH31" s="173">
        <f t="shared" si="120"/>
        <v>2.1999999999999957</v>
      </c>
      <c r="AI31" s="173">
        <f t="shared" si="24"/>
        <v>-5.9999999999999964</v>
      </c>
      <c r="AJ31" s="175">
        <f t="shared" si="121"/>
        <v>-18.3</v>
      </c>
      <c r="AK31" s="173">
        <f t="shared" si="122"/>
        <v>-24.900000000000002</v>
      </c>
      <c r="AL31" s="173">
        <f t="shared" si="123"/>
        <v>-55.7</v>
      </c>
      <c r="AM31" s="173">
        <f t="shared" si="27"/>
        <v>-10.799999999999997</v>
      </c>
      <c r="AN31" s="175">
        <f t="shared" si="124"/>
        <v>-81.2</v>
      </c>
      <c r="AO31" s="173">
        <f t="shared" si="125"/>
        <v>7.2999999999999972</v>
      </c>
      <c r="AP31" s="173">
        <f t="shared" si="126"/>
        <v>-54.900000000000006</v>
      </c>
      <c r="AQ31" s="173">
        <f t="shared" si="30"/>
        <v>-32.5</v>
      </c>
      <c r="AR31" s="175">
        <f t="shared" si="127"/>
        <v>-9</v>
      </c>
      <c r="AS31" s="173">
        <f t="shared" si="128"/>
        <v>11.9</v>
      </c>
      <c r="AT31" s="173">
        <f t="shared" si="129"/>
        <v>-1.9000000000000004</v>
      </c>
      <c r="AU31" s="173">
        <f t="shared" si="33"/>
        <v>5.6</v>
      </c>
      <c r="AV31" s="175">
        <f t="shared" si="130"/>
        <v>0.4</v>
      </c>
      <c r="AW31" s="173">
        <f t="shared" si="131"/>
        <v>-0.60000000000000009</v>
      </c>
      <c r="AX31" s="173">
        <f t="shared" si="132"/>
        <v>11.399999999999999</v>
      </c>
      <c r="AY31" s="174">
        <f t="shared" si="36"/>
        <v>-28.499999999999996</v>
      </c>
      <c r="AZ31" s="175">
        <f t="shared" si="133"/>
        <v>-6.1</v>
      </c>
      <c r="BA31" s="173">
        <f t="shared" si="134"/>
        <v>-16.5</v>
      </c>
      <c r="BB31" s="173">
        <f t="shared" si="135"/>
        <v>10.799999999999999</v>
      </c>
      <c r="BC31" s="174">
        <f t="shared" si="39"/>
        <v>-20.399999999999999</v>
      </c>
      <c r="BD31" s="175">
        <f t="shared" si="136"/>
        <v>-5.5</v>
      </c>
      <c r="BE31" s="173">
        <f t="shared" si="40"/>
        <v>10.7</v>
      </c>
      <c r="BF31" s="173">
        <f t="shared" si="137"/>
        <v>23.2</v>
      </c>
      <c r="BG31" s="174">
        <f t="shared" si="42"/>
        <v>26.500000000000004</v>
      </c>
      <c r="BH31" s="175">
        <f t="shared" si="80"/>
        <v>9.1999999999999993</v>
      </c>
      <c r="BI31" s="173">
        <f t="shared" si="43"/>
        <v>26.500000000000004</v>
      </c>
      <c r="BJ31" s="173">
        <f t="shared" si="138"/>
        <v>24.099999999999991</v>
      </c>
      <c r="BK31" s="1423">
        <f>BS!BK26-BS!BJ26</f>
        <v>-42.299999999999955</v>
      </c>
      <c r="BL31" s="535">
        <f>BS!BL26-BS!BK26</f>
        <v>-73.524993888888787</v>
      </c>
      <c r="BM31" s="535">
        <f>BS!BM26-BS!BL26</f>
        <v>17.86503721111103</v>
      </c>
      <c r="BN31" s="821">
        <f>BS!BN26-BS!BM26</f>
        <v>11.179029924055556</v>
      </c>
      <c r="BO31" s="822">
        <f>BS!BO26-BS!BN26</f>
        <v>-7.6292510908729128</v>
      </c>
      <c r="BP31" s="535">
        <f>BS!BP26-BS!BO26</f>
        <v>-2.6494329801142271</v>
      </c>
      <c r="BQ31" s="535">
        <f>BS!BQ26-BS!BP26</f>
        <v>15.009343735606251</v>
      </c>
      <c r="BR31" s="821">
        <f>BS!BR26-BS!BQ26</f>
        <v>5.7501948114295374</v>
      </c>
      <c r="BS31" s="822">
        <f>BS!BS26-BS!BR26</f>
        <v>-8.8995921121741617</v>
      </c>
      <c r="BT31" s="535">
        <f>BS!BT26-BS!BS26</f>
        <v>2.8064936774796365</v>
      </c>
      <c r="BU31" s="535">
        <f>BS!BU26-BS!BT26</f>
        <v>15.377162474279885</v>
      </c>
      <c r="BV31" s="1422">
        <f>BS!BV26-BS!BU26</f>
        <v>5.2255602587307521</v>
      </c>
      <c r="BW31" s="1423">
        <f>BS!BW26-BS!BV26</f>
        <v>-8.9319749737433085</v>
      </c>
      <c r="BX31" s="21"/>
      <c r="BY31" s="173">
        <f t="shared" si="49"/>
        <v>41.3</v>
      </c>
      <c r="BZ31" s="173">
        <f t="shared" si="50"/>
        <v>-11.1</v>
      </c>
      <c r="CA31" s="173">
        <f t="shared" si="51"/>
        <v>11.599999999999998</v>
      </c>
      <c r="CB31" s="173">
        <f t="shared" si="52"/>
        <v>4.9999999999999991</v>
      </c>
      <c r="CC31" s="173">
        <f t="shared" si="53"/>
        <v>28.5</v>
      </c>
      <c r="CD31" s="173">
        <f t="shared" si="54"/>
        <v>-69</v>
      </c>
      <c r="CE31" s="173">
        <f t="shared" si="55"/>
        <v>9.8000000000000007</v>
      </c>
      <c r="CF31" s="173">
        <f t="shared" si="56"/>
        <v>26.8</v>
      </c>
      <c r="CG31" s="173">
        <f t="shared" si="57"/>
        <v>-109.7</v>
      </c>
      <c r="CH31" s="173">
        <f t="shared" si="58"/>
        <v>-161.30000000000001</v>
      </c>
      <c r="CI31" s="173">
        <f t="shared" si="59"/>
        <v>6.6</v>
      </c>
      <c r="CJ31" s="173">
        <f t="shared" si="60"/>
        <v>-17.299999999999997</v>
      </c>
      <c r="CK31" s="173">
        <f t="shared" si="61"/>
        <v>-32.200000000000003</v>
      </c>
      <c r="CL31" s="173">
        <f t="shared" si="62"/>
        <v>54.900000000000006</v>
      </c>
      <c r="CM31" s="173">
        <f t="shared" si="63"/>
        <v>17.500000000000043</v>
      </c>
      <c r="CN31" s="173">
        <f t="shared" si="64"/>
        <v>-52.110177844595114</v>
      </c>
      <c r="CO31" s="173">
        <f t="shared" si="81"/>
        <v>9.2105134547473995</v>
      </c>
      <c r="CP31" s="174">
        <f t="shared" si="65"/>
        <v>14.477241436746965</v>
      </c>
      <c r="CQ31" s="22"/>
    </row>
    <row r="32" spans="1:95" ht="14.25" customHeight="1">
      <c r="A32" s="9"/>
      <c r="B32" s="48" t="str">
        <f t="shared" si="82"/>
        <v>Accrued expenses</v>
      </c>
      <c r="C32" s="49"/>
      <c r="D32" s="175">
        <f t="shared" si="97"/>
        <v>-15.3</v>
      </c>
      <c r="E32" s="173">
        <f t="shared" si="98"/>
        <v>-0.69999999999999929</v>
      </c>
      <c r="F32" s="173">
        <f t="shared" si="99"/>
        <v>7.1</v>
      </c>
      <c r="G32" s="173">
        <f t="shared" si="3"/>
        <v>-5.9</v>
      </c>
      <c r="H32" s="175">
        <f t="shared" si="100"/>
        <v>11.6</v>
      </c>
      <c r="I32" s="173">
        <f t="shared" si="101"/>
        <v>7.6</v>
      </c>
      <c r="J32" s="173">
        <f t="shared" si="102"/>
        <v>-19.399999999999999</v>
      </c>
      <c r="K32" s="173">
        <f t="shared" si="6"/>
        <v>-0.80000000000000071</v>
      </c>
      <c r="L32" s="175">
        <f t="shared" si="103"/>
        <v>5.9</v>
      </c>
      <c r="M32" s="173">
        <f t="shared" si="104"/>
        <v>-1.7000000000000002</v>
      </c>
      <c r="N32" s="173">
        <f t="shared" si="105"/>
        <v>1.5</v>
      </c>
      <c r="O32" s="173">
        <f t="shared" si="9"/>
        <v>-19.100000000000001</v>
      </c>
      <c r="P32" s="175">
        <f t="shared" si="106"/>
        <v>6.5</v>
      </c>
      <c r="Q32" s="173">
        <f t="shared" si="107"/>
        <v>17.7</v>
      </c>
      <c r="R32" s="173">
        <f t="shared" si="108"/>
        <v>-7.5999999999999979</v>
      </c>
      <c r="S32" s="173">
        <f t="shared" si="12"/>
        <v>11.099999999999998</v>
      </c>
      <c r="T32" s="175">
        <f t="shared" si="109"/>
        <v>-7.3</v>
      </c>
      <c r="U32" s="173">
        <f t="shared" si="110"/>
        <v>-0.89999999999999947</v>
      </c>
      <c r="V32" s="173">
        <f t="shared" si="111"/>
        <v>1.3999999999999995</v>
      </c>
      <c r="W32" s="173">
        <f t="shared" si="15"/>
        <v>-5.3999999999999995</v>
      </c>
      <c r="X32" s="175">
        <f t="shared" si="112"/>
        <v>12.9</v>
      </c>
      <c r="Y32" s="173">
        <f t="shared" si="113"/>
        <v>-27.6</v>
      </c>
      <c r="Z32" s="173">
        <f t="shared" si="114"/>
        <v>-1</v>
      </c>
      <c r="AA32" s="173">
        <f t="shared" si="18"/>
        <v>-42.500000000000007</v>
      </c>
      <c r="AB32" s="175">
        <f t="shared" si="115"/>
        <v>-9.9</v>
      </c>
      <c r="AC32" s="173">
        <f t="shared" si="116"/>
        <v>8.3000000000000007</v>
      </c>
      <c r="AD32" s="173">
        <f t="shared" si="117"/>
        <v>-2.2000000000000002</v>
      </c>
      <c r="AE32" s="173">
        <f t="shared" si="21"/>
        <v>-2.5</v>
      </c>
      <c r="AF32" s="175">
        <f t="shared" si="118"/>
        <v>5.2</v>
      </c>
      <c r="AG32" s="173">
        <f t="shared" si="119"/>
        <v>12.900000000000002</v>
      </c>
      <c r="AH32" s="173">
        <f t="shared" si="120"/>
        <v>-8.2000000000000028</v>
      </c>
      <c r="AI32" s="173">
        <f t="shared" si="24"/>
        <v>13.100000000000001</v>
      </c>
      <c r="AJ32" s="175">
        <f t="shared" si="121"/>
        <v>-29.3</v>
      </c>
      <c r="AK32" s="173">
        <f t="shared" si="122"/>
        <v>12</v>
      </c>
      <c r="AL32" s="173">
        <f t="shared" si="123"/>
        <v>-27.3</v>
      </c>
      <c r="AM32" s="173">
        <f t="shared" si="27"/>
        <v>7.2000000000000028</v>
      </c>
      <c r="AN32" s="175">
        <f t="shared" si="124"/>
        <v>13.1</v>
      </c>
      <c r="AO32" s="173">
        <f t="shared" si="125"/>
        <v>36</v>
      </c>
      <c r="AP32" s="173">
        <f t="shared" si="126"/>
        <v>-45.3</v>
      </c>
      <c r="AQ32" s="173">
        <f t="shared" si="30"/>
        <v>4.7999999999999972</v>
      </c>
      <c r="AR32" s="175">
        <f t="shared" si="127"/>
        <v>-1.1000000000000001</v>
      </c>
      <c r="AS32" s="173">
        <f t="shared" si="128"/>
        <v>-10.1</v>
      </c>
      <c r="AT32" s="173">
        <f t="shared" si="129"/>
        <v>3.1999999999999993</v>
      </c>
      <c r="AU32" s="173">
        <f t="shared" si="33"/>
        <v>29.7</v>
      </c>
      <c r="AV32" s="175">
        <f t="shared" si="130"/>
        <v>-6.1</v>
      </c>
      <c r="AW32" s="173">
        <f t="shared" si="131"/>
        <v>10.199999999999999</v>
      </c>
      <c r="AX32" s="173">
        <f t="shared" si="132"/>
        <v>-29.7</v>
      </c>
      <c r="AY32" s="174">
        <f t="shared" si="36"/>
        <v>14.299999999999999</v>
      </c>
      <c r="AZ32" s="175">
        <f t="shared" si="133"/>
        <v>-5.4</v>
      </c>
      <c r="BA32" s="173">
        <f t="shared" si="134"/>
        <v>-8.6999999999999993</v>
      </c>
      <c r="BB32" s="173">
        <f t="shared" si="135"/>
        <v>33.5</v>
      </c>
      <c r="BC32" s="174">
        <f t="shared" si="39"/>
        <v>-35.700000000000003</v>
      </c>
      <c r="BD32" s="175">
        <f t="shared" si="136"/>
        <v>-8.9</v>
      </c>
      <c r="BE32" s="173">
        <f t="shared" si="40"/>
        <v>4.9000000000000004</v>
      </c>
      <c r="BF32" s="173">
        <f t="shared" si="137"/>
        <v>7.4</v>
      </c>
      <c r="BG32" s="174">
        <f t="shared" si="42"/>
        <v>-24.199999999999989</v>
      </c>
      <c r="BH32" s="175">
        <f t="shared" si="80"/>
        <v>63.1</v>
      </c>
      <c r="BI32" s="173">
        <f t="shared" si="43"/>
        <v>76.700000000000017</v>
      </c>
      <c r="BJ32" s="173">
        <f t="shared" si="138"/>
        <v>34.899999999999977</v>
      </c>
      <c r="BK32" s="1423">
        <f>BS!BK27-BS!BJ27</f>
        <v>32.299999999999955</v>
      </c>
      <c r="BL32" s="535">
        <f>BS!BL27-BS!BK27</f>
        <v>0</v>
      </c>
      <c r="BM32" s="535">
        <f>BS!BM27-BS!BL27</f>
        <v>0</v>
      </c>
      <c r="BN32" s="821">
        <f>BS!BN27-BS!BM27</f>
        <v>0</v>
      </c>
      <c r="BO32" s="822">
        <f>BS!BO27-BS!BN27</f>
        <v>0</v>
      </c>
      <c r="BP32" s="535">
        <f>BS!BP27-BS!BO27</f>
        <v>0</v>
      </c>
      <c r="BQ32" s="535">
        <f>BS!BQ27-BS!BP27</f>
        <v>0</v>
      </c>
      <c r="BR32" s="821">
        <f>BS!BR27-BS!BQ27</f>
        <v>0</v>
      </c>
      <c r="BS32" s="822">
        <f>BS!BS27-BS!BR27</f>
        <v>0</v>
      </c>
      <c r="BT32" s="535">
        <f>BS!BT27-BS!BS27</f>
        <v>0</v>
      </c>
      <c r="BU32" s="535">
        <f>BS!BU27-BS!BT27</f>
        <v>0</v>
      </c>
      <c r="BV32" s="1422">
        <f>BS!BV27-BS!BU27</f>
        <v>0</v>
      </c>
      <c r="BW32" s="1423">
        <f>BS!BW27-BS!BV27</f>
        <v>0</v>
      </c>
      <c r="BX32" s="21"/>
      <c r="BY32" s="173">
        <f t="shared" si="49"/>
        <v>-14.8</v>
      </c>
      <c r="BZ32" s="173">
        <f t="shared" si="50"/>
        <v>-1</v>
      </c>
      <c r="CA32" s="173">
        <f t="shared" si="51"/>
        <v>-13.400000000000002</v>
      </c>
      <c r="CB32" s="173">
        <f t="shared" si="52"/>
        <v>27.7</v>
      </c>
      <c r="CC32" s="173">
        <f t="shared" si="53"/>
        <v>-12.2</v>
      </c>
      <c r="CD32" s="173">
        <f t="shared" si="54"/>
        <v>-58.20000000000001</v>
      </c>
      <c r="CE32" s="173">
        <f t="shared" si="55"/>
        <v>-6.3</v>
      </c>
      <c r="CF32" s="173">
        <f t="shared" si="56"/>
        <v>23</v>
      </c>
      <c r="CG32" s="173">
        <f t="shared" si="57"/>
        <v>-37.4</v>
      </c>
      <c r="CH32" s="173">
        <f t="shared" si="58"/>
        <v>8.6000000000000014</v>
      </c>
      <c r="CI32" s="173">
        <f t="shared" si="59"/>
        <v>21.7</v>
      </c>
      <c r="CJ32" s="173">
        <f t="shared" si="60"/>
        <v>-11.300000000000002</v>
      </c>
      <c r="CK32" s="173">
        <f t="shared" si="61"/>
        <v>-16.300000000000004</v>
      </c>
      <c r="CL32" s="173">
        <f t="shared" si="62"/>
        <v>-20.79999999999999</v>
      </c>
      <c r="CM32" s="173">
        <f t="shared" si="63"/>
        <v>206.99999999999994</v>
      </c>
      <c r="CN32" s="173">
        <f t="shared" si="64"/>
        <v>0</v>
      </c>
      <c r="CO32" s="173">
        <f t="shared" si="81"/>
        <v>0</v>
      </c>
      <c r="CP32" s="174">
        <f t="shared" si="65"/>
        <v>0</v>
      </c>
      <c r="CQ32" s="22"/>
    </row>
    <row r="33" spans="1:95" ht="14.25" customHeight="1">
      <c r="A33" s="9"/>
      <c r="B33" s="48" t="str">
        <f t="shared" si="82"/>
        <v>Income taxes payable</v>
      </c>
      <c r="C33" s="49"/>
      <c r="D33" s="175">
        <f t="shared" si="97"/>
        <v>3.8</v>
      </c>
      <c r="E33" s="173">
        <f t="shared" si="98"/>
        <v>2</v>
      </c>
      <c r="F33" s="173">
        <f t="shared" si="99"/>
        <v>2.3999999999999995</v>
      </c>
      <c r="G33" s="173">
        <f t="shared" si="3"/>
        <v>-8.3000000000000007</v>
      </c>
      <c r="H33" s="175">
        <f t="shared" si="100"/>
        <v>0</v>
      </c>
      <c r="I33" s="173">
        <f t="shared" si="101"/>
        <v>1.5</v>
      </c>
      <c r="J33" s="173">
        <f t="shared" si="102"/>
        <v>0.79999999999999982</v>
      </c>
      <c r="K33" s="173">
        <f t="shared" si="6"/>
        <v>-1.5999999999999999</v>
      </c>
      <c r="L33" s="175">
        <f t="shared" si="103"/>
        <v>1.7</v>
      </c>
      <c r="M33" s="173">
        <f t="shared" si="104"/>
        <v>2.2999999999999998</v>
      </c>
      <c r="N33" s="173">
        <f t="shared" si="105"/>
        <v>0</v>
      </c>
      <c r="O33" s="173">
        <f t="shared" si="9"/>
        <v>-0.7999999999999996</v>
      </c>
      <c r="P33" s="175">
        <f t="shared" si="106"/>
        <v>-1</v>
      </c>
      <c r="Q33" s="173">
        <f t="shared" si="107"/>
        <v>1.9</v>
      </c>
      <c r="R33" s="173">
        <f t="shared" si="108"/>
        <v>0</v>
      </c>
      <c r="S33" s="173">
        <f t="shared" si="12"/>
        <v>-3.1999999999999997</v>
      </c>
      <c r="T33" s="175">
        <f t="shared" si="109"/>
        <v>-0.7</v>
      </c>
      <c r="U33" s="173">
        <f t="shared" si="110"/>
        <v>0.7</v>
      </c>
      <c r="V33" s="173">
        <f t="shared" si="111"/>
        <v>-1.1000000000000001</v>
      </c>
      <c r="W33" s="173">
        <f t="shared" si="15"/>
        <v>1.4000000000000001</v>
      </c>
      <c r="X33" s="175">
        <f t="shared" si="112"/>
        <v>-0.5</v>
      </c>
      <c r="Y33" s="173">
        <f t="shared" si="113"/>
        <v>-0.89999999999999991</v>
      </c>
      <c r="Z33" s="173">
        <f t="shared" si="114"/>
        <v>4.4000000000000004</v>
      </c>
      <c r="AA33" s="173">
        <f t="shared" si="18"/>
        <v>-2.9000000000000004</v>
      </c>
      <c r="AB33" s="175">
        <f t="shared" si="115"/>
        <v>1.1000000000000001</v>
      </c>
      <c r="AC33" s="173">
        <f t="shared" si="116"/>
        <v>1.4</v>
      </c>
      <c r="AD33" s="173">
        <f t="shared" si="117"/>
        <v>0.10000000000000009</v>
      </c>
      <c r="AE33" s="173">
        <f t="shared" si="21"/>
        <v>-2</v>
      </c>
      <c r="AF33" s="175">
        <f t="shared" si="118"/>
        <v>-2.1</v>
      </c>
      <c r="AG33" s="173">
        <f t="shared" si="119"/>
        <v>-1.1000000000000001</v>
      </c>
      <c r="AH33" s="173">
        <f t="shared" si="120"/>
        <v>0.60000000000000009</v>
      </c>
      <c r="AI33" s="173">
        <f t="shared" si="24"/>
        <v>2.6</v>
      </c>
      <c r="AJ33" s="175">
        <f t="shared" si="121"/>
        <v>-3</v>
      </c>
      <c r="AK33" s="173">
        <f t="shared" si="122"/>
        <v>1.3</v>
      </c>
      <c r="AL33" s="173">
        <f t="shared" si="123"/>
        <v>10.399999999999999</v>
      </c>
      <c r="AM33" s="173">
        <f t="shared" si="27"/>
        <v>-6.299999999999998</v>
      </c>
      <c r="AN33" s="175">
        <f t="shared" si="124"/>
        <v>-4.7</v>
      </c>
      <c r="AO33" s="173">
        <f t="shared" si="125"/>
        <v>1.4000000000000004</v>
      </c>
      <c r="AP33" s="173">
        <f t="shared" si="126"/>
        <v>1.9</v>
      </c>
      <c r="AQ33" s="173">
        <f t="shared" si="30"/>
        <v>-1.2000000000000002</v>
      </c>
      <c r="AR33" s="175">
        <f t="shared" si="127"/>
        <v>-1.5</v>
      </c>
      <c r="AS33" s="173">
        <f t="shared" si="128"/>
        <v>-2.8</v>
      </c>
      <c r="AT33" s="173">
        <f t="shared" si="129"/>
        <v>1.5999999999999996</v>
      </c>
      <c r="AU33" s="173">
        <f t="shared" si="33"/>
        <v>2.7</v>
      </c>
      <c r="AV33" s="175">
        <f t="shared" si="130"/>
        <v>0</v>
      </c>
      <c r="AW33" s="173">
        <f t="shared" si="131"/>
        <v>0</v>
      </c>
      <c r="AX33" s="173">
        <f t="shared" si="132"/>
        <v>0</v>
      </c>
      <c r="AY33" s="174">
        <f t="shared" si="36"/>
        <v>0</v>
      </c>
      <c r="AZ33" s="175">
        <f t="shared" si="133"/>
        <v>0</v>
      </c>
      <c r="BA33" s="173">
        <f t="shared" si="134"/>
        <v>0</v>
      </c>
      <c r="BB33" s="173">
        <f t="shared" si="135"/>
        <v>0</v>
      </c>
      <c r="BC33" s="174">
        <f t="shared" si="39"/>
        <v>0</v>
      </c>
      <c r="BD33" s="175">
        <f t="shared" si="136"/>
        <v>0</v>
      </c>
      <c r="BE33" s="173">
        <f t="shared" si="40"/>
        <v>0</v>
      </c>
      <c r="BF33" s="173">
        <f t="shared" si="137"/>
        <v>0</v>
      </c>
      <c r="BG33" s="174">
        <f t="shared" si="42"/>
        <v>0</v>
      </c>
      <c r="BH33" s="175">
        <f t="shared" si="80"/>
        <v>0</v>
      </c>
      <c r="BI33" s="173">
        <f t="shared" si="43"/>
        <v>0</v>
      </c>
      <c r="BJ33" s="173">
        <f t="shared" si="138"/>
        <v>0</v>
      </c>
      <c r="BK33" s="174">
        <f>BS!BK28-BS!BJ28</f>
        <v>0</v>
      </c>
      <c r="BL33" s="535">
        <f>BS!BL28-BS!BK28</f>
        <v>0</v>
      </c>
      <c r="BM33" s="535">
        <f>BS!BM28-BS!BL28</f>
        <v>0</v>
      </c>
      <c r="BN33" s="821">
        <f>BS!BN28-BS!BM28</f>
        <v>0</v>
      </c>
      <c r="BO33" s="822">
        <f>BS!BO28-BS!BN28</f>
        <v>0</v>
      </c>
      <c r="BP33" s="535">
        <f>BS!BP28-BS!BO28</f>
        <v>0</v>
      </c>
      <c r="BQ33" s="535">
        <f>BS!BQ28-BS!BP28</f>
        <v>0</v>
      </c>
      <c r="BR33" s="821">
        <f>BS!BR28-BS!BQ28</f>
        <v>0</v>
      </c>
      <c r="BS33" s="822">
        <f>BS!BS28-BS!BR28</f>
        <v>0</v>
      </c>
      <c r="BT33" s="535">
        <f>BS!BT28-BS!BS28</f>
        <v>0</v>
      </c>
      <c r="BU33" s="535">
        <f>BS!BU28-BS!BT28</f>
        <v>0</v>
      </c>
      <c r="BV33" s="1422">
        <f>BS!BV28-BS!BU28</f>
        <v>0</v>
      </c>
      <c r="BW33" s="1423">
        <f>BS!BW28-BS!BV28</f>
        <v>0</v>
      </c>
      <c r="BX33" s="21"/>
      <c r="BY33" s="173">
        <f t="shared" si="49"/>
        <v>-0.10000000000000142</v>
      </c>
      <c r="BZ33" s="173">
        <f t="shared" si="50"/>
        <v>0.7</v>
      </c>
      <c r="CA33" s="173">
        <f t="shared" si="51"/>
        <v>3.2</v>
      </c>
      <c r="CB33" s="173">
        <f t="shared" si="52"/>
        <v>-2.2999999999999998</v>
      </c>
      <c r="CC33" s="173">
        <f t="shared" si="53"/>
        <v>0.30000000000000004</v>
      </c>
      <c r="CD33" s="173">
        <f t="shared" si="54"/>
        <v>0.10000000000000009</v>
      </c>
      <c r="CE33" s="173">
        <f t="shared" si="55"/>
        <v>0.60000000000000009</v>
      </c>
      <c r="CF33" s="173">
        <f t="shared" si="56"/>
        <v>0</v>
      </c>
      <c r="CG33" s="173">
        <f t="shared" si="57"/>
        <v>2.4000000000000012</v>
      </c>
      <c r="CH33" s="173">
        <f t="shared" si="58"/>
        <v>-2.6</v>
      </c>
      <c r="CI33" s="173">
        <f t="shared" si="59"/>
        <v>0</v>
      </c>
      <c r="CJ33" s="173">
        <f t="shared" si="60"/>
        <v>0</v>
      </c>
      <c r="CK33" s="173">
        <f t="shared" si="61"/>
        <v>0</v>
      </c>
      <c r="CL33" s="173">
        <f t="shared" si="62"/>
        <v>0</v>
      </c>
      <c r="CM33" s="173">
        <f t="shared" si="63"/>
        <v>0</v>
      </c>
      <c r="CN33" s="173">
        <f t="shared" si="64"/>
        <v>0</v>
      </c>
      <c r="CO33" s="173">
        <f t="shared" si="81"/>
        <v>0</v>
      </c>
      <c r="CP33" s="174">
        <f t="shared" si="65"/>
        <v>0</v>
      </c>
      <c r="CQ33" s="22"/>
    </row>
    <row r="34" spans="1:95" ht="14.25" customHeight="1">
      <c r="A34" s="9"/>
      <c r="B34" s="48" t="str">
        <f t="shared" si="82"/>
        <v>Accrued interest</v>
      </c>
      <c r="C34" s="49"/>
      <c r="D34" s="175">
        <f t="shared" si="97"/>
        <v>-20.8</v>
      </c>
      <c r="E34" s="173">
        <f t="shared" si="98"/>
        <v>5.1000000000000014</v>
      </c>
      <c r="F34" s="173">
        <f t="shared" si="99"/>
        <v>-5.6999999999999993</v>
      </c>
      <c r="G34" s="173">
        <f t="shared" si="3"/>
        <v>3.0999999999999979</v>
      </c>
      <c r="H34" s="175">
        <f t="shared" si="100"/>
        <v>-9.1999999999999993</v>
      </c>
      <c r="I34" s="173">
        <f t="shared" si="101"/>
        <v>-5.9</v>
      </c>
      <c r="J34" s="173">
        <f t="shared" si="102"/>
        <v>0.40000000000000036</v>
      </c>
      <c r="K34" s="173">
        <f t="shared" si="6"/>
        <v>-9.4000000000000021</v>
      </c>
      <c r="L34" s="175">
        <f t="shared" si="103"/>
        <v>-0.8</v>
      </c>
      <c r="M34" s="173">
        <f t="shared" si="104"/>
        <v>0.10000000000000009</v>
      </c>
      <c r="N34" s="173">
        <f t="shared" si="105"/>
        <v>0.29999999999999993</v>
      </c>
      <c r="O34" s="173">
        <f t="shared" si="9"/>
        <v>-0.19999999999999996</v>
      </c>
      <c r="P34" s="175">
        <f t="shared" si="106"/>
        <v>0.7</v>
      </c>
      <c r="Q34" s="173">
        <f t="shared" si="107"/>
        <v>-0.79999999999999993</v>
      </c>
      <c r="R34" s="173">
        <f t="shared" si="108"/>
        <v>0.9</v>
      </c>
      <c r="S34" s="173">
        <f t="shared" si="12"/>
        <v>-0.10000000000000009</v>
      </c>
      <c r="T34" s="175">
        <f t="shared" si="109"/>
        <v>3.9</v>
      </c>
      <c r="U34" s="173">
        <f t="shared" si="110"/>
        <v>-4.0999999999999996</v>
      </c>
      <c r="V34" s="173">
        <f t="shared" si="111"/>
        <v>3.9</v>
      </c>
      <c r="W34" s="173">
        <f t="shared" si="15"/>
        <v>-3.6</v>
      </c>
      <c r="X34" s="175">
        <f t="shared" si="112"/>
        <v>6.5</v>
      </c>
      <c r="Y34" s="173">
        <f t="shared" si="113"/>
        <v>-5</v>
      </c>
      <c r="Z34" s="173">
        <f t="shared" si="114"/>
        <v>3.9000000000000004</v>
      </c>
      <c r="AA34" s="173">
        <f t="shared" si="18"/>
        <v>-5.5</v>
      </c>
      <c r="AB34" s="175">
        <f t="shared" si="115"/>
        <v>3.7</v>
      </c>
      <c r="AC34" s="173">
        <f t="shared" si="116"/>
        <v>-3.9000000000000004</v>
      </c>
      <c r="AD34" s="173">
        <f t="shared" si="117"/>
        <v>3.6</v>
      </c>
      <c r="AE34" s="173">
        <f t="shared" si="21"/>
        <v>-3.8000000000000003</v>
      </c>
      <c r="AF34" s="175">
        <f t="shared" si="118"/>
        <v>3.7</v>
      </c>
      <c r="AG34" s="173">
        <f t="shared" si="119"/>
        <v>-3.8000000000000003</v>
      </c>
      <c r="AH34" s="173">
        <f t="shared" si="120"/>
        <v>3.7</v>
      </c>
      <c r="AI34" s="173">
        <f t="shared" si="24"/>
        <v>-3.7</v>
      </c>
      <c r="AJ34" s="175">
        <f t="shared" si="121"/>
        <v>3.7</v>
      </c>
      <c r="AK34" s="173">
        <f t="shared" si="122"/>
        <v>-3.6</v>
      </c>
      <c r="AL34" s="173">
        <f t="shared" si="123"/>
        <v>3.1</v>
      </c>
      <c r="AM34" s="173">
        <f t="shared" si="27"/>
        <v>-3.3000000000000003</v>
      </c>
      <c r="AN34" s="175">
        <f t="shared" si="124"/>
        <v>3.5</v>
      </c>
      <c r="AO34" s="173">
        <f t="shared" si="125"/>
        <v>-3.3</v>
      </c>
      <c r="AP34" s="173">
        <f t="shared" si="126"/>
        <v>3.1999999999999997</v>
      </c>
      <c r="AQ34" s="173">
        <f t="shared" si="30"/>
        <v>-3.5</v>
      </c>
      <c r="AR34" s="175">
        <f t="shared" si="127"/>
        <v>4.5</v>
      </c>
      <c r="AS34" s="173">
        <f t="shared" si="128"/>
        <v>-2.8</v>
      </c>
      <c r="AT34" s="173">
        <f t="shared" si="129"/>
        <v>2.7</v>
      </c>
      <c r="AU34" s="173">
        <f t="shared" si="33"/>
        <v>-4.4000000000000004</v>
      </c>
      <c r="AV34" s="175">
        <f t="shared" si="130"/>
        <v>0</v>
      </c>
      <c r="AW34" s="173">
        <f t="shared" si="131"/>
        <v>0</v>
      </c>
      <c r="AX34" s="173">
        <f t="shared" si="132"/>
        <v>0</v>
      </c>
      <c r="AY34" s="174">
        <f t="shared" si="36"/>
        <v>0</v>
      </c>
      <c r="AZ34" s="175">
        <f t="shared" si="133"/>
        <v>0</v>
      </c>
      <c r="BA34" s="173">
        <f t="shared" si="134"/>
        <v>0</v>
      </c>
      <c r="BB34" s="173">
        <f t="shared" si="135"/>
        <v>0</v>
      </c>
      <c r="BC34" s="174">
        <f t="shared" si="39"/>
        <v>0</v>
      </c>
      <c r="BD34" s="175">
        <f t="shared" si="136"/>
        <v>0</v>
      </c>
      <c r="BE34" s="173">
        <f t="shared" si="40"/>
        <v>0</v>
      </c>
      <c r="BF34" s="173">
        <f t="shared" si="137"/>
        <v>0</v>
      </c>
      <c r="BG34" s="174">
        <f t="shared" si="42"/>
        <v>0</v>
      </c>
      <c r="BH34" s="175">
        <f t="shared" si="80"/>
        <v>0</v>
      </c>
      <c r="BI34" s="173">
        <f t="shared" si="43"/>
        <v>0</v>
      </c>
      <c r="BJ34" s="173">
        <f t="shared" si="138"/>
        <v>0</v>
      </c>
      <c r="BK34" s="174">
        <f>BS!BK29-BS!BJ29</f>
        <v>0</v>
      </c>
      <c r="BL34" s="535">
        <f>BS!BL29-BS!BK29</f>
        <v>0</v>
      </c>
      <c r="BM34" s="535">
        <f>BS!BM29-BS!BL29</f>
        <v>0</v>
      </c>
      <c r="BN34" s="821">
        <f>BS!BN29-BS!BM29</f>
        <v>0</v>
      </c>
      <c r="BO34" s="822">
        <f>BS!BO29-BS!BN29</f>
        <v>0</v>
      </c>
      <c r="BP34" s="535">
        <f>BS!BP29-BS!BO29</f>
        <v>0</v>
      </c>
      <c r="BQ34" s="535">
        <f>BS!BQ29-BS!BP29</f>
        <v>0</v>
      </c>
      <c r="BR34" s="821">
        <f>BS!BR29-BS!BQ29</f>
        <v>0</v>
      </c>
      <c r="BS34" s="822">
        <f>BS!BS29-BS!BR29</f>
        <v>0</v>
      </c>
      <c r="BT34" s="535">
        <f>BS!BT29-BS!BS29</f>
        <v>0</v>
      </c>
      <c r="BU34" s="535">
        <f>BS!BU29-BS!BT29</f>
        <v>0</v>
      </c>
      <c r="BV34" s="1422">
        <f>BS!BV29-BS!BU29</f>
        <v>0</v>
      </c>
      <c r="BW34" s="1423">
        <f>BS!BW29-BS!BV29</f>
        <v>0</v>
      </c>
      <c r="BX34" s="21"/>
      <c r="BY34" s="173">
        <f t="shared" si="49"/>
        <v>-18.3</v>
      </c>
      <c r="BZ34" s="173">
        <f t="shared" si="50"/>
        <v>-24.1</v>
      </c>
      <c r="CA34" s="173">
        <f t="shared" si="51"/>
        <v>-0.6</v>
      </c>
      <c r="CB34" s="173">
        <f t="shared" si="52"/>
        <v>0.7</v>
      </c>
      <c r="CC34" s="173">
        <f t="shared" si="53"/>
        <v>0.10000000000000009</v>
      </c>
      <c r="CD34" s="173">
        <f t="shared" si="54"/>
        <v>-9.9999999999999645E-2</v>
      </c>
      <c r="CE34" s="173">
        <f t="shared" si="55"/>
        <v>-0.40000000000000036</v>
      </c>
      <c r="CF34" s="173">
        <f t="shared" si="56"/>
        <v>-0.10000000000000009</v>
      </c>
      <c r="CG34" s="173">
        <f t="shared" si="57"/>
        <v>-0.10000000000000009</v>
      </c>
      <c r="CH34" s="173">
        <f t="shared" si="58"/>
        <v>-0.10000000000000009</v>
      </c>
      <c r="CI34" s="173">
        <f t="shared" si="59"/>
        <v>0</v>
      </c>
      <c r="CJ34" s="173">
        <f t="shared" si="60"/>
        <v>0</v>
      </c>
      <c r="CK34" s="173">
        <f t="shared" si="61"/>
        <v>0</v>
      </c>
      <c r="CL34" s="173">
        <f t="shared" si="62"/>
        <v>0</v>
      </c>
      <c r="CM34" s="173">
        <f t="shared" si="63"/>
        <v>0</v>
      </c>
      <c r="CN34" s="173">
        <f t="shared" si="64"/>
        <v>0</v>
      </c>
      <c r="CO34" s="173">
        <f t="shared" si="81"/>
        <v>0</v>
      </c>
      <c r="CP34" s="174">
        <f t="shared" si="65"/>
        <v>0</v>
      </c>
      <c r="CQ34" s="22"/>
    </row>
    <row r="35" spans="1:95" ht="14.25" customHeight="1">
      <c r="A35" s="9"/>
      <c r="B35" s="48" t="str">
        <f t="shared" si="82"/>
        <v>Deferred income on sales to distributors</v>
      </c>
      <c r="C35" s="49"/>
      <c r="D35" s="175">
        <f t="shared" si="97"/>
        <v>-2.6</v>
      </c>
      <c r="E35" s="173">
        <f t="shared" si="98"/>
        <v>-3.9</v>
      </c>
      <c r="F35" s="173">
        <f t="shared" si="99"/>
        <v>9.9999999999999645E-2</v>
      </c>
      <c r="G35" s="173">
        <f t="shared" si="3"/>
        <v>1.8000000000000007</v>
      </c>
      <c r="H35" s="175">
        <f t="shared" si="100"/>
        <v>14.9</v>
      </c>
      <c r="I35" s="173">
        <f t="shared" si="101"/>
        <v>17.600000000000001</v>
      </c>
      <c r="J35" s="173">
        <f t="shared" si="102"/>
        <v>10.799999999999997</v>
      </c>
      <c r="K35" s="173">
        <f t="shared" si="6"/>
        <v>-12.799999999999999</v>
      </c>
      <c r="L35" s="175">
        <f t="shared" si="103"/>
        <v>0.2</v>
      </c>
      <c r="M35" s="173">
        <f t="shared" si="104"/>
        <v>-5.7</v>
      </c>
      <c r="N35" s="173">
        <f t="shared" si="105"/>
        <v>9.3000000000000007</v>
      </c>
      <c r="O35" s="173">
        <f t="shared" si="9"/>
        <v>-3.4000000000000004</v>
      </c>
      <c r="P35" s="175">
        <f t="shared" si="106"/>
        <v>16.100000000000001</v>
      </c>
      <c r="Q35" s="173">
        <f t="shared" si="107"/>
        <v>13.7</v>
      </c>
      <c r="R35" s="173">
        <f t="shared" si="108"/>
        <v>1.6999999999999993</v>
      </c>
      <c r="S35" s="173">
        <f t="shared" si="12"/>
        <v>-5.3999999999999986</v>
      </c>
      <c r="T35" s="175">
        <f t="shared" si="109"/>
        <v>-1.4</v>
      </c>
      <c r="U35" s="173">
        <f t="shared" si="110"/>
        <v>-11.4</v>
      </c>
      <c r="V35" s="173">
        <f t="shared" si="111"/>
        <v>5.3000000000000007</v>
      </c>
      <c r="W35" s="173">
        <f t="shared" si="15"/>
        <v>4.6999999999999993</v>
      </c>
      <c r="X35" s="175">
        <f t="shared" si="112"/>
        <v>1.1000000000000001</v>
      </c>
      <c r="Y35" s="173">
        <f t="shared" si="113"/>
        <v>-1.3</v>
      </c>
      <c r="Z35" s="173">
        <f t="shared" si="114"/>
        <v>6.7</v>
      </c>
      <c r="AA35" s="173">
        <f t="shared" si="18"/>
        <v>-17.8</v>
      </c>
      <c r="AB35" s="175">
        <f t="shared" si="115"/>
        <v>-13.3</v>
      </c>
      <c r="AC35" s="173">
        <f t="shared" si="116"/>
        <v>1.9000000000000004</v>
      </c>
      <c r="AD35" s="173">
        <f t="shared" si="117"/>
        <v>-1.1999999999999993</v>
      </c>
      <c r="AE35" s="173">
        <f t="shared" si="21"/>
        <v>-2.8000000000000007</v>
      </c>
      <c r="AF35" s="175">
        <f t="shared" si="118"/>
        <v>10.3</v>
      </c>
      <c r="AG35" s="173">
        <f t="shared" si="119"/>
        <v>18.7</v>
      </c>
      <c r="AH35" s="173">
        <f t="shared" si="120"/>
        <v>6.7000000000000028</v>
      </c>
      <c r="AI35" s="173">
        <f t="shared" si="24"/>
        <v>15.000000000000004</v>
      </c>
      <c r="AJ35" s="175">
        <f t="shared" si="121"/>
        <v>20</v>
      </c>
      <c r="AK35" s="173">
        <f t="shared" si="122"/>
        <v>18.200000000000003</v>
      </c>
      <c r="AL35" s="173">
        <f t="shared" si="123"/>
        <v>0.69999999999999574</v>
      </c>
      <c r="AM35" s="173">
        <f t="shared" si="27"/>
        <v>-16.399999999999999</v>
      </c>
      <c r="AN35" s="175">
        <f t="shared" si="124"/>
        <v>-18.5</v>
      </c>
      <c r="AO35" s="173">
        <f t="shared" si="125"/>
        <v>-1.3000000000000007</v>
      </c>
      <c r="AP35" s="173">
        <f t="shared" si="126"/>
        <v>-2.3000000000000007</v>
      </c>
      <c r="AQ35" s="173">
        <f t="shared" si="30"/>
        <v>-15.399999999999999</v>
      </c>
      <c r="AR35" s="175">
        <f t="shared" si="127"/>
        <v>-0.7</v>
      </c>
      <c r="AS35" s="173">
        <f t="shared" si="128"/>
        <v>19.099999999999998</v>
      </c>
      <c r="AT35" s="173">
        <f t="shared" si="129"/>
        <v>-7.6999999999999993</v>
      </c>
      <c r="AU35" s="173">
        <f t="shared" si="33"/>
        <v>-4.6999999999999993</v>
      </c>
      <c r="AV35" s="175">
        <f t="shared" si="130"/>
        <v>11.2</v>
      </c>
      <c r="AW35" s="173">
        <f t="shared" si="131"/>
        <v>10.900000000000002</v>
      </c>
      <c r="AX35" s="173">
        <f t="shared" si="132"/>
        <v>4.3999999999999986</v>
      </c>
      <c r="AY35" s="174">
        <f t="shared" si="36"/>
        <v>-1.8999999999999986</v>
      </c>
      <c r="AZ35" s="175">
        <f t="shared" si="133"/>
        <v>-9.1</v>
      </c>
      <c r="BA35" s="173">
        <f t="shared" si="134"/>
        <v>-0.90000000000000036</v>
      </c>
      <c r="BB35" s="173">
        <f t="shared" si="135"/>
        <v>-24.700000000000003</v>
      </c>
      <c r="BC35" s="174">
        <f t="shared" si="39"/>
        <v>-18.399999999999999</v>
      </c>
      <c r="BD35" s="175">
        <f t="shared" si="136"/>
        <v>0.9</v>
      </c>
      <c r="BE35" s="173">
        <f t="shared" si="40"/>
        <v>5.7999999999999972</v>
      </c>
      <c r="BF35" s="173">
        <f t="shared" si="137"/>
        <v>3.4000000000000021</v>
      </c>
      <c r="BG35" s="174">
        <f t="shared" si="42"/>
        <v>-10.799999999999997</v>
      </c>
      <c r="BH35" s="175">
        <f t="shared" si="80"/>
        <v>-107.3</v>
      </c>
      <c r="BI35" s="173">
        <f t="shared" si="43"/>
        <v>-2.5</v>
      </c>
      <c r="BJ35" s="173">
        <f t="shared" si="138"/>
        <v>0</v>
      </c>
      <c r="BK35" s="174">
        <f>BS!BK30-BS!BJ30</f>
        <v>0</v>
      </c>
      <c r="BL35" s="535">
        <f>BS!BL30-BS!BK30</f>
        <v>0</v>
      </c>
      <c r="BM35" s="535">
        <f>BS!BM30-BS!BL30</f>
        <v>0</v>
      </c>
      <c r="BN35" s="821">
        <f>BS!BN30-BS!BM30</f>
        <v>0</v>
      </c>
      <c r="BO35" s="822">
        <f>BS!BO30-BS!BN30</f>
        <v>0</v>
      </c>
      <c r="BP35" s="535">
        <f>BS!BP30-BS!BO30</f>
        <v>0</v>
      </c>
      <c r="BQ35" s="535">
        <f>BS!BQ30-BS!BP30</f>
        <v>0</v>
      </c>
      <c r="BR35" s="821">
        <f>BS!BR30-BS!BQ30</f>
        <v>0</v>
      </c>
      <c r="BS35" s="822">
        <f>BS!BS30-BS!BR30</f>
        <v>0</v>
      </c>
      <c r="BT35" s="535">
        <f>BS!BT30-BS!BS30</f>
        <v>0</v>
      </c>
      <c r="BU35" s="535">
        <f>BS!BU30-BS!BT30</f>
        <v>0</v>
      </c>
      <c r="BV35" s="1422">
        <f>BS!BV30-BS!BU30</f>
        <v>0</v>
      </c>
      <c r="BW35" s="1423">
        <f>BS!BW30-BS!BV30</f>
        <v>0</v>
      </c>
      <c r="BX35" s="21"/>
      <c r="BY35" s="173">
        <f t="shared" si="49"/>
        <v>-4.5999999999999996</v>
      </c>
      <c r="BZ35" s="173">
        <f t="shared" si="50"/>
        <v>30.5</v>
      </c>
      <c r="CA35" s="173">
        <f t="shared" si="51"/>
        <v>0.40000000000000036</v>
      </c>
      <c r="CB35" s="173">
        <f t="shared" si="52"/>
        <v>26.1</v>
      </c>
      <c r="CC35" s="173">
        <f t="shared" si="53"/>
        <v>-2.8000000000000007</v>
      </c>
      <c r="CD35" s="173">
        <f t="shared" si="54"/>
        <v>-11.3</v>
      </c>
      <c r="CE35" s="173">
        <f t="shared" si="55"/>
        <v>-15.4</v>
      </c>
      <c r="CF35" s="173">
        <f t="shared" si="56"/>
        <v>50.7</v>
      </c>
      <c r="CG35" s="173">
        <f t="shared" si="57"/>
        <v>22.5</v>
      </c>
      <c r="CH35" s="173">
        <f t="shared" si="58"/>
        <v>-37.5</v>
      </c>
      <c r="CI35" s="173">
        <f t="shared" si="59"/>
        <v>6</v>
      </c>
      <c r="CJ35" s="173">
        <f t="shared" si="60"/>
        <v>24.6</v>
      </c>
      <c r="CK35" s="173">
        <f t="shared" si="61"/>
        <v>-53.1</v>
      </c>
      <c r="CL35" s="173">
        <f t="shared" si="62"/>
        <v>-0.69999999999999751</v>
      </c>
      <c r="CM35" s="173">
        <f t="shared" si="63"/>
        <v>-109.8</v>
      </c>
      <c r="CN35" s="173">
        <f t="shared" si="64"/>
        <v>0</v>
      </c>
      <c r="CO35" s="173">
        <f t="shared" si="81"/>
        <v>0</v>
      </c>
      <c r="CP35" s="174">
        <f t="shared" si="65"/>
        <v>0</v>
      </c>
      <c r="CQ35" s="22"/>
    </row>
    <row r="36" spans="1:95" ht="14.25" customHeight="1">
      <c r="A36" s="9"/>
      <c r="B36" s="48" t="str">
        <f t="shared" si="82"/>
        <v>Other long-term liabilities</v>
      </c>
      <c r="C36" s="49"/>
      <c r="D36" s="175">
        <f t="shared" si="97"/>
        <v>1.8</v>
      </c>
      <c r="E36" s="173">
        <f t="shared" si="98"/>
        <v>-3.7</v>
      </c>
      <c r="F36" s="173">
        <f t="shared" si="99"/>
        <v>-1.8999999999999995</v>
      </c>
      <c r="G36" s="173">
        <f t="shared" si="3"/>
        <v>2.3999999999999995</v>
      </c>
      <c r="H36" s="175">
        <f t="shared" si="100"/>
        <v>-1.3</v>
      </c>
      <c r="I36" s="173">
        <f t="shared" si="101"/>
        <v>1</v>
      </c>
      <c r="J36" s="173">
        <f t="shared" si="102"/>
        <v>0.70000000000000018</v>
      </c>
      <c r="K36" s="173">
        <f t="shared" si="6"/>
        <v>-11.099999999999998</v>
      </c>
      <c r="L36" s="175">
        <f t="shared" si="103"/>
        <v>-0.3</v>
      </c>
      <c r="M36" s="173">
        <f t="shared" si="104"/>
        <v>1.8</v>
      </c>
      <c r="N36" s="173">
        <f t="shared" si="105"/>
        <v>-0.10000000000000009</v>
      </c>
      <c r="O36" s="173">
        <f t="shared" si="9"/>
        <v>-5.5</v>
      </c>
      <c r="P36" s="175">
        <f t="shared" si="106"/>
        <v>0.1</v>
      </c>
      <c r="Q36" s="173">
        <f t="shared" si="107"/>
        <v>-0.1</v>
      </c>
      <c r="R36" s="173">
        <f t="shared" si="108"/>
        <v>0.2</v>
      </c>
      <c r="S36" s="173">
        <f t="shared" si="12"/>
        <v>2.4</v>
      </c>
      <c r="T36" s="175">
        <f t="shared" si="109"/>
        <v>6.6</v>
      </c>
      <c r="U36" s="173">
        <f t="shared" si="110"/>
        <v>0.20000000000000018</v>
      </c>
      <c r="V36" s="173">
        <f t="shared" si="111"/>
        <v>0.5</v>
      </c>
      <c r="W36" s="173">
        <f t="shared" si="15"/>
        <v>-6</v>
      </c>
      <c r="X36" s="175">
        <f t="shared" si="112"/>
        <v>1.7</v>
      </c>
      <c r="Y36" s="173">
        <f t="shared" si="113"/>
        <v>-15.399999999999999</v>
      </c>
      <c r="Z36" s="173">
        <f t="shared" si="114"/>
        <v>-1.2000000000000028</v>
      </c>
      <c r="AA36" s="173">
        <f t="shared" si="18"/>
        <v>1.3000000000000025</v>
      </c>
      <c r="AB36" s="175">
        <f t="shared" si="115"/>
        <v>-0.5</v>
      </c>
      <c r="AC36" s="173">
        <f t="shared" si="116"/>
        <v>-1.7000000000000002</v>
      </c>
      <c r="AD36" s="173">
        <f t="shared" si="117"/>
        <v>1.6</v>
      </c>
      <c r="AE36" s="173">
        <f t="shared" si="21"/>
        <v>-1.6</v>
      </c>
      <c r="AF36" s="175">
        <f t="shared" si="118"/>
        <v>-0.5</v>
      </c>
      <c r="AG36" s="173">
        <f t="shared" si="119"/>
        <v>-1.1000000000000001</v>
      </c>
      <c r="AH36" s="173">
        <f t="shared" si="120"/>
        <v>0.8</v>
      </c>
      <c r="AI36" s="173">
        <f t="shared" si="24"/>
        <v>3.0999999999999996</v>
      </c>
      <c r="AJ36" s="175">
        <f t="shared" si="121"/>
        <v>2.5</v>
      </c>
      <c r="AK36" s="173">
        <f t="shared" si="122"/>
        <v>1.7000000000000002</v>
      </c>
      <c r="AL36" s="173">
        <f t="shared" si="123"/>
        <v>3.8999999999999995</v>
      </c>
      <c r="AM36" s="173">
        <f t="shared" si="27"/>
        <v>3.4000000000000004</v>
      </c>
      <c r="AN36" s="175">
        <f t="shared" si="124"/>
        <v>-0.3</v>
      </c>
      <c r="AO36" s="173">
        <f t="shared" si="125"/>
        <v>-9.7999999999999989</v>
      </c>
      <c r="AP36" s="173">
        <f t="shared" si="126"/>
        <v>0.40000000000000036</v>
      </c>
      <c r="AQ36" s="173">
        <f t="shared" si="30"/>
        <v>-1.1000000000000014</v>
      </c>
      <c r="AR36" s="175">
        <f t="shared" si="127"/>
        <v>0.7</v>
      </c>
      <c r="AS36" s="173">
        <f t="shared" si="128"/>
        <v>-17.5</v>
      </c>
      <c r="AT36" s="173">
        <f t="shared" si="129"/>
        <v>-4.5999999999999979</v>
      </c>
      <c r="AU36" s="173">
        <f t="shared" si="33"/>
        <v>-27.500000000000004</v>
      </c>
      <c r="AV36" s="1135">
        <f t="shared" si="130"/>
        <v>-13.3</v>
      </c>
      <c r="AW36" s="1136">
        <f t="shared" si="131"/>
        <v>-6.8000000000000007</v>
      </c>
      <c r="AX36" s="1136">
        <f t="shared" si="132"/>
        <v>-3.5</v>
      </c>
      <c r="AY36" s="1137">
        <f t="shared" si="36"/>
        <v>8.1000000000000014</v>
      </c>
      <c r="AZ36" s="1135">
        <f t="shared" si="133"/>
        <v>2.1</v>
      </c>
      <c r="BA36" s="1136">
        <f t="shared" si="134"/>
        <v>-2.4</v>
      </c>
      <c r="BB36" s="1136">
        <f t="shared" si="135"/>
        <v>1.4</v>
      </c>
      <c r="BC36" s="1137">
        <f t="shared" si="39"/>
        <v>-9.6</v>
      </c>
      <c r="BD36" s="1135">
        <f t="shared" si="136"/>
        <v>0.3</v>
      </c>
      <c r="BE36" s="1136">
        <f t="shared" si="40"/>
        <v>2.5</v>
      </c>
      <c r="BF36" s="1136">
        <f t="shared" si="137"/>
        <v>-5.6999999999999993</v>
      </c>
      <c r="BG36" s="1137">
        <f t="shared" si="42"/>
        <v>-21.900000000000002</v>
      </c>
      <c r="BH36" s="1135">
        <f t="shared" si="80"/>
        <v>1.2</v>
      </c>
      <c r="BI36" s="1136">
        <f t="shared" si="43"/>
        <v>-1.4</v>
      </c>
      <c r="BJ36" s="1136">
        <f t="shared" si="138"/>
        <v>-0.60000000000000009</v>
      </c>
      <c r="BK36" s="1137">
        <f t="shared" si="45"/>
        <v>34.299999999999969</v>
      </c>
      <c r="BL36" s="535">
        <f>BS!BL36-BS!BK36</f>
        <v>0</v>
      </c>
      <c r="BM36" s="535">
        <f>BS!BM36-BS!BL36</f>
        <v>0</v>
      </c>
      <c r="BN36" s="821">
        <f>BS!BN36-BS!BM36</f>
        <v>0</v>
      </c>
      <c r="BO36" s="822">
        <f>BS!BO36-BS!BN36</f>
        <v>0</v>
      </c>
      <c r="BP36" s="535">
        <f>BS!BP36-BS!BO36</f>
        <v>0</v>
      </c>
      <c r="BQ36" s="535">
        <f>BS!BQ36-BS!BP36</f>
        <v>0</v>
      </c>
      <c r="BR36" s="821">
        <f>BS!BR36-BS!BQ36</f>
        <v>0</v>
      </c>
      <c r="BS36" s="822">
        <f>BS!BS36-BS!BR36</f>
        <v>0</v>
      </c>
      <c r="BT36" s="535">
        <f>BS!BT36-BS!BS36</f>
        <v>0</v>
      </c>
      <c r="BU36" s="535">
        <f>BS!BU36-BS!BT36</f>
        <v>0</v>
      </c>
      <c r="BV36" s="1422">
        <f>BS!BV36-BS!BU36</f>
        <v>0</v>
      </c>
      <c r="BW36" s="1423">
        <f>BS!BW36-BS!BV36</f>
        <v>0</v>
      </c>
      <c r="BX36" s="21"/>
      <c r="BY36" s="173">
        <f t="shared" si="49"/>
        <v>-1.4000000000000004</v>
      </c>
      <c r="BZ36" s="173">
        <f t="shared" si="50"/>
        <v>-10.699999999999998</v>
      </c>
      <c r="CA36" s="173">
        <f t="shared" si="51"/>
        <v>-4.0999999999999996</v>
      </c>
      <c r="CB36" s="173">
        <f t="shared" si="52"/>
        <v>2.6</v>
      </c>
      <c r="CC36" s="173">
        <f t="shared" si="53"/>
        <v>1.2999999999999998</v>
      </c>
      <c r="CD36" s="173">
        <f t="shared" si="54"/>
        <v>-13.6</v>
      </c>
      <c r="CE36" s="173">
        <f t="shared" si="55"/>
        <v>-2.2000000000000002</v>
      </c>
      <c r="CF36" s="173">
        <f t="shared" si="56"/>
        <v>2.2999999999999998</v>
      </c>
      <c r="CG36" s="173">
        <f t="shared" si="57"/>
        <v>11.5</v>
      </c>
      <c r="CH36" s="173">
        <f t="shared" si="58"/>
        <v>-10.8</v>
      </c>
      <c r="CI36" s="173">
        <f t="shared" si="59"/>
        <v>-48.900000000000006</v>
      </c>
      <c r="CJ36" s="173">
        <f t="shared" si="60"/>
        <v>-15.5</v>
      </c>
      <c r="CK36" s="173">
        <f t="shared" si="61"/>
        <v>-8.5</v>
      </c>
      <c r="CL36" s="173">
        <f t="shared" si="62"/>
        <v>-24.8</v>
      </c>
      <c r="CM36" s="173">
        <f t="shared" si="63"/>
        <v>33.499999999999972</v>
      </c>
      <c r="CN36" s="173">
        <f t="shared" si="64"/>
        <v>0</v>
      </c>
      <c r="CO36" s="173">
        <f t="shared" si="81"/>
        <v>0</v>
      </c>
      <c r="CP36" s="1137">
        <f t="shared" si="65"/>
        <v>0</v>
      </c>
      <c r="CQ36" s="22"/>
    </row>
    <row r="37" spans="1:95" ht="14.25" customHeight="1" thickBot="1">
      <c r="A37" s="9"/>
      <c r="B37" s="179" t="str">
        <f t="shared" si="82"/>
        <v>Net cash provided by operating activities</v>
      </c>
      <c r="C37" s="180"/>
      <c r="D37" s="182">
        <f t="shared" ref="D37:AI37" si="139">SUM(D9:D36)</f>
        <v>4.6000000000000023</v>
      </c>
      <c r="E37" s="181">
        <f t="shared" si="139"/>
        <v>12.099999999999984</v>
      </c>
      <c r="F37" s="181">
        <f t="shared" si="139"/>
        <v>1.2000000000000037</v>
      </c>
      <c r="G37" s="181">
        <f t="shared" si="139"/>
        <v>27.8</v>
      </c>
      <c r="H37" s="182">
        <f t="shared" si="139"/>
        <v>11.8</v>
      </c>
      <c r="I37" s="181">
        <f t="shared" si="139"/>
        <v>31.900000000000006</v>
      </c>
      <c r="J37" s="181">
        <f t="shared" si="139"/>
        <v>28.100000000000005</v>
      </c>
      <c r="K37" s="181">
        <f t="shared" si="139"/>
        <v>-33.399999999999991</v>
      </c>
      <c r="L37" s="182">
        <f t="shared" si="139"/>
        <v>36.200000000000017</v>
      </c>
      <c r="M37" s="181">
        <f t="shared" si="139"/>
        <v>61.999999999999972</v>
      </c>
      <c r="N37" s="181">
        <f t="shared" si="139"/>
        <v>48.70000000000001</v>
      </c>
      <c r="O37" s="181">
        <f t="shared" si="139"/>
        <v>46.200000000000031</v>
      </c>
      <c r="P37" s="182">
        <f t="shared" si="139"/>
        <v>50.500000000000014</v>
      </c>
      <c r="Q37" s="181">
        <f t="shared" si="139"/>
        <v>81.200000000000031</v>
      </c>
      <c r="R37" s="181">
        <f t="shared" si="139"/>
        <v>89.500000000000014</v>
      </c>
      <c r="S37" s="181">
        <f t="shared" si="139"/>
        <v>128.60000000000005</v>
      </c>
      <c r="T37" s="182">
        <f t="shared" si="139"/>
        <v>63.099999999999966</v>
      </c>
      <c r="U37" s="181">
        <f t="shared" si="139"/>
        <v>55.400000000000013</v>
      </c>
      <c r="V37" s="181">
        <f t="shared" si="139"/>
        <v>98.399999999999977</v>
      </c>
      <c r="W37" s="181">
        <f t="shared" si="139"/>
        <v>100.20000000000002</v>
      </c>
      <c r="X37" s="182">
        <f t="shared" si="139"/>
        <v>136.89999999999998</v>
      </c>
      <c r="Y37" s="181">
        <f t="shared" si="139"/>
        <v>41.900000000000006</v>
      </c>
      <c r="Z37" s="181">
        <f t="shared" si="139"/>
        <v>133.80000000000001</v>
      </c>
      <c r="AA37" s="181">
        <f t="shared" si="139"/>
        <v>81.200000000000131</v>
      </c>
      <c r="AB37" s="182">
        <f t="shared" si="139"/>
        <v>28.700000000000014</v>
      </c>
      <c r="AC37" s="181">
        <f t="shared" si="139"/>
        <v>58.300000000000004</v>
      </c>
      <c r="AD37" s="181">
        <f t="shared" si="139"/>
        <v>87.6</v>
      </c>
      <c r="AE37" s="181">
        <f t="shared" si="139"/>
        <v>102.3</v>
      </c>
      <c r="AF37" s="182">
        <f t="shared" si="139"/>
        <v>109.50000000000004</v>
      </c>
      <c r="AG37" s="181">
        <f t="shared" si="139"/>
        <v>158.9</v>
      </c>
      <c r="AH37" s="181">
        <f t="shared" si="139"/>
        <v>123.6</v>
      </c>
      <c r="AI37" s="181">
        <f t="shared" si="139"/>
        <v>159.79999999999995</v>
      </c>
      <c r="AJ37" s="182">
        <f t="shared" ref="AJ37:BO37" si="140">SUM(AJ9:AJ36)</f>
        <v>125.6</v>
      </c>
      <c r="AK37" s="181">
        <f t="shared" si="140"/>
        <v>135.99999999999997</v>
      </c>
      <c r="AL37" s="181">
        <f t="shared" si="140"/>
        <v>119.20000000000002</v>
      </c>
      <c r="AM37" s="181">
        <f t="shared" si="140"/>
        <v>164.7</v>
      </c>
      <c r="AN37" s="182">
        <f t="shared" si="140"/>
        <v>68.399999999999991</v>
      </c>
      <c r="AO37" s="181">
        <f t="shared" si="140"/>
        <v>59.100000000000009</v>
      </c>
      <c r="AP37" s="181">
        <f t="shared" si="140"/>
        <v>11.899999999999945</v>
      </c>
      <c r="AQ37" s="181">
        <f t="shared" si="140"/>
        <v>136.60000000000002</v>
      </c>
      <c r="AR37" s="182">
        <f t="shared" si="140"/>
        <v>85.199999999999989</v>
      </c>
      <c r="AS37" s="181">
        <f t="shared" si="140"/>
        <v>55.199999999999989</v>
      </c>
      <c r="AT37" s="181">
        <f t="shared" si="140"/>
        <v>59.90000000000002</v>
      </c>
      <c r="AU37" s="181">
        <f t="shared" si="140"/>
        <v>127</v>
      </c>
      <c r="AV37" s="182">
        <f t="shared" si="140"/>
        <v>74.900000000000006</v>
      </c>
      <c r="AW37" s="181">
        <f t="shared" si="140"/>
        <v>151.59999999999997</v>
      </c>
      <c r="AX37" s="181">
        <f t="shared" si="140"/>
        <v>92.30000000000004</v>
      </c>
      <c r="AY37" s="181">
        <f t="shared" si="140"/>
        <v>162.50000000000003</v>
      </c>
      <c r="AZ37" s="182">
        <f t="shared" si="140"/>
        <v>83.500000000000014</v>
      </c>
      <c r="BA37" s="181">
        <f t="shared" si="140"/>
        <v>101.59999999999998</v>
      </c>
      <c r="BB37" s="181">
        <f t="shared" si="140"/>
        <v>128.30000000000001</v>
      </c>
      <c r="BC37" s="181">
        <f t="shared" si="140"/>
        <v>157.19999999999999</v>
      </c>
      <c r="BD37" s="182">
        <f t="shared" si="140"/>
        <v>114.89999999999999</v>
      </c>
      <c r="BE37" s="181">
        <f t="shared" si="140"/>
        <v>104.19999999999996</v>
      </c>
      <c r="BF37" s="181">
        <f t="shared" si="140"/>
        <v>132.69999999999999</v>
      </c>
      <c r="BG37" s="183">
        <f t="shared" ref="BG37:BJ37" si="141">SUM(BG9:BG36)</f>
        <v>229.39999999999995</v>
      </c>
      <c r="BH37" s="181">
        <f t="shared" si="141"/>
        <v>208.49999999999994</v>
      </c>
      <c r="BI37" s="181">
        <f t="shared" si="141"/>
        <v>333.20000000000016</v>
      </c>
      <c r="BJ37" s="181">
        <f t="shared" si="141"/>
        <v>328.2</v>
      </c>
      <c r="BK37" s="183">
        <f t="shared" ref="BK37" si="142">SUM(BK9:BK36)</f>
        <v>224.3</v>
      </c>
      <c r="BL37" s="182">
        <f t="shared" si="140"/>
        <v>201.85370591469012</v>
      </c>
      <c r="BM37" s="181">
        <f t="shared" si="140"/>
        <v>287.76214240261311</v>
      </c>
      <c r="BN37" s="181">
        <f t="shared" si="140"/>
        <v>291.26891789031646</v>
      </c>
      <c r="BO37" s="181">
        <f t="shared" si="140"/>
        <v>364.44380888826356</v>
      </c>
      <c r="BP37" s="182">
        <f t="shared" ref="BP37:BS37" si="143">SUM(BP9:BP36)</f>
        <v>346.34660855620257</v>
      </c>
      <c r="BQ37" s="181">
        <f t="shared" si="143"/>
        <v>291.34825818109107</v>
      </c>
      <c r="BR37" s="181">
        <f t="shared" si="143"/>
        <v>336.52204008776505</v>
      </c>
      <c r="BS37" s="181">
        <f t="shared" si="143"/>
        <v>388.93026769736576</v>
      </c>
      <c r="BT37" s="182">
        <f t="shared" ref="BT37:BW37" si="144">SUM(BT9:BT36)</f>
        <v>355.27951276188088</v>
      </c>
      <c r="BU37" s="181">
        <f t="shared" si="144"/>
        <v>323.04636713444961</v>
      </c>
      <c r="BV37" s="181">
        <f t="shared" si="144"/>
        <v>371.45349113547115</v>
      </c>
      <c r="BW37" s="181">
        <f t="shared" si="144"/>
        <v>423.18065666854278</v>
      </c>
      <c r="BX37" s="21"/>
      <c r="BY37" s="181">
        <f t="shared" ref="BY37:CN37" si="145">SUM(BY9:BY36)</f>
        <v>45.7</v>
      </c>
      <c r="BZ37" s="181">
        <f t="shared" si="145"/>
        <v>38.40000000000002</v>
      </c>
      <c r="CA37" s="181">
        <f t="shared" si="145"/>
        <v>193.1</v>
      </c>
      <c r="CB37" s="181">
        <f t="shared" si="145"/>
        <v>349.8</v>
      </c>
      <c r="CC37" s="181">
        <f t="shared" si="145"/>
        <v>317.09999999999997</v>
      </c>
      <c r="CD37" s="181">
        <f t="shared" si="145"/>
        <v>393.79999999999995</v>
      </c>
      <c r="CE37" s="181">
        <f t="shared" si="145"/>
        <v>276.90000000000003</v>
      </c>
      <c r="CF37" s="181">
        <f t="shared" si="145"/>
        <v>551.80000000000007</v>
      </c>
      <c r="CG37" s="181">
        <f t="shared" si="145"/>
        <v>545.49999999999977</v>
      </c>
      <c r="CH37" s="181">
        <f t="shared" si="145"/>
        <v>275.99999999999989</v>
      </c>
      <c r="CI37" s="181">
        <f t="shared" si="145"/>
        <v>327.30000000000007</v>
      </c>
      <c r="CJ37" s="181">
        <f t="shared" si="145"/>
        <v>481.29999999999995</v>
      </c>
      <c r="CK37" s="181">
        <f t="shared" si="145"/>
        <v>470.59999999999991</v>
      </c>
      <c r="CL37" s="181">
        <f t="shared" si="145"/>
        <v>581.19999999999993</v>
      </c>
      <c r="CM37" s="181">
        <f t="shared" si="145"/>
        <v>1094.2000000000003</v>
      </c>
      <c r="CN37" s="181">
        <f t="shared" si="145"/>
        <v>1145.328575095883</v>
      </c>
      <c r="CO37" s="181">
        <f t="shared" ref="CO37:CP37" si="146">SUM(CO9:CO36)</f>
        <v>1363.1471745224242</v>
      </c>
      <c r="CP37" s="183">
        <f t="shared" si="146"/>
        <v>1472.9600277003442</v>
      </c>
      <c r="CQ37" s="22"/>
    </row>
    <row r="38" spans="1:95" ht="14.25" customHeight="1" thickTop="1">
      <c r="A38" s="9"/>
      <c r="B38" s="23"/>
      <c r="C38" s="24"/>
      <c r="D38" s="173"/>
      <c r="E38" s="173"/>
      <c r="F38" s="173"/>
      <c r="G38" s="176"/>
      <c r="H38" s="771"/>
      <c r="I38" s="173"/>
      <c r="J38" s="173"/>
      <c r="K38" s="176"/>
      <c r="L38" s="175"/>
      <c r="M38" s="173"/>
      <c r="N38" s="173"/>
      <c r="O38" s="176"/>
      <c r="P38" s="175"/>
      <c r="Q38" s="173"/>
      <c r="R38" s="173"/>
      <c r="S38" s="176"/>
      <c r="T38" s="175"/>
      <c r="U38" s="173"/>
      <c r="V38" s="173"/>
      <c r="W38" s="176"/>
      <c r="X38" s="175"/>
      <c r="Y38" s="173"/>
      <c r="Z38" s="173"/>
      <c r="AA38" s="176"/>
      <c r="AB38" s="175"/>
      <c r="AC38" s="173"/>
      <c r="AD38" s="173"/>
      <c r="AE38" s="176"/>
      <c r="AF38" s="175"/>
      <c r="AG38" s="173"/>
      <c r="AH38" s="173"/>
      <c r="AI38" s="176"/>
      <c r="AJ38" s="175"/>
      <c r="AK38" s="173"/>
      <c r="AL38" s="173"/>
      <c r="AM38" s="176"/>
      <c r="AN38" s="175"/>
      <c r="AO38" s="173"/>
      <c r="AP38" s="173"/>
      <c r="AQ38" s="176"/>
      <c r="AR38" s="175"/>
      <c r="AS38" s="173"/>
      <c r="AT38" s="173"/>
      <c r="AU38" s="176"/>
      <c r="AV38" s="175"/>
      <c r="AW38" s="173"/>
      <c r="AX38" s="173"/>
      <c r="AY38" s="176"/>
      <c r="AZ38" s="175"/>
      <c r="BA38" s="173"/>
      <c r="BB38" s="173"/>
      <c r="BC38" s="176"/>
      <c r="BD38" s="175"/>
      <c r="BE38" s="173"/>
      <c r="BF38" s="173"/>
      <c r="BG38" s="177"/>
      <c r="BH38" s="176"/>
      <c r="BI38" s="173"/>
      <c r="BJ38" s="173"/>
      <c r="BK38" s="177"/>
      <c r="BL38" s="178"/>
      <c r="BM38" s="176"/>
      <c r="BN38" s="176"/>
      <c r="BO38" s="176"/>
      <c r="BP38" s="178"/>
      <c r="BQ38" s="176"/>
      <c r="BR38" s="176"/>
      <c r="BS38" s="176"/>
      <c r="BT38" s="178"/>
      <c r="BU38" s="176"/>
      <c r="BV38" s="176"/>
      <c r="BW38" s="176"/>
      <c r="BX38" s="21"/>
      <c r="BY38" s="176"/>
      <c r="BZ38" s="176"/>
      <c r="CA38" s="176"/>
      <c r="CB38" s="176"/>
      <c r="CC38" s="176"/>
      <c r="CD38" s="176"/>
      <c r="CE38" s="176"/>
      <c r="CF38" s="176"/>
      <c r="CG38" s="176"/>
      <c r="CH38" s="176"/>
      <c r="CI38" s="176"/>
      <c r="CJ38" s="176"/>
      <c r="CK38" s="176"/>
      <c r="CL38" s="176"/>
      <c r="CM38" s="176"/>
      <c r="CN38" s="176"/>
      <c r="CO38" s="176"/>
      <c r="CP38" s="177"/>
      <c r="CQ38" s="22"/>
    </row>
    <row r="39" spans="1:95" ht="14.25" customHeight="1">
      <c r="A39" s="9"/>
      <c r="B39" s="45" t="str">
        <f t="shared" ref="B39:B46" si="147">B149</f>
        <v>Cash flows from investing activities:</v>
      </c>
      <c r="C39" s="46"/>
      <c r="D39" s="173"/>
      <c r="E39" s="173"/>
      <c r="F39" s="173"/>
      <c r="G39" s="176"/>
      <c r="H39" s="175"/>
      <c r="I39" s="173"/>
      <c r="J39" s="173"/>
      <c r="K39" s="176"/>
      <c r="L39" s="175"/>
      <c r="M39" s="173"/>
      <c r="N39" s="173"/>
      <c r="O39" s="176"/>
      <c r="P39" s="175"/>
      <c r="Q39" s="173"/>
      <c r="R39" s="173"/>
      <c r="S39" s="176"/>
      <c r="T39" s="175"/>
      <c r="U39" s="173"/>
      <c r="V39" s="173"/>
      <c r="W39" s="176"/>
      <c r="X39" s="175"/>
      <c r="Y39" s="173"/>
      <c r="Z39" s="173"/>
      <c r="AA39" s="176"/>
      <c r="AB39" s="175"/>
      <c r="AC39" s="173"/>
      <c r="AD39" s="173"/>
      <c r="AE39" s="176"/>
      <c r="AF39" s="175"/>
      <c r="AG39" s="173"/>
      <c r="AH39" s="173"/>
      <c r="AI39" s="176"/>
      <c r="AJ39" s="175"/>
      <c r="AK39" s="173"/>
      <c r="AL39" s="173"/>
      <c r="AM39" s="176"/>
      <c r="AN39" s="175"/>
      <c r="AO39" s="173"/>
      <c r="AP39" s="173"/>
      <c r="AQ39" s="176"/>
      <c r="AR39" s="175"/>
      <c r="AS39" s="173"/>
      <c r="AT39" s="173"/>
      <c r="AU39" s="176"/>
      <c r="AV39" s="175"/>
      <c r="AW39" s="173"/>
      <c r="AX39" s="173"/>
      <c r="AY39" s="176"/>
      <c r="AZ39" s="175"/>
      <c r="BA39" s="173"/>
      <c r="BB39" s="173"/>
      <c r="BC39" s="176"/>
      <c r="BD39" s="175"/>
      <c r="BE39" s="173"/>
      <c r="BF39" s="173"/>
      <c r="BG39" s="177"/>
      <c r="BH39" s="176"/>
      <c r="BI39" s="173"/>
      <c r="BJ39" s="173"/>
      <c r="BK39" s="177"/>
      <c r="BL39" s="178"/>
      <c r="BM39" s="176"/>
      <c r="BN39" s="176"/>
      <c r="BO39" s="176"/>
      <c r="BP39" s="178"/>
      <c r="BQ39" s="176"/>
      <c r="BR39" s="176"/>
      <c r="BS39" s="176"/>
      <c r="BT39" s="178"/>
      <c r="BU39" s="176"/>
      <c r="BV39" s="176"/>
      <c r="BW39" s="176"/>
      <c r="BX39" s="21"/>
      <c r="BY39" s="176"/>
      <c r="BZ39" s="176"/>
      <c r="CA39" s="176"/>
      <c r="CB39" s="176"/>
      <c r="CC39" s="176">
        <f t="shared" ref="CC39:CI39" si="148">-CC40</f>
        <v>140.69999999999999</v>
      </c>
      <c r="CD39" s="176">
        <f t="shared" si="148"/>
        <v>95</v>
      </c>
      <c r="CE39" s="176">
        <f t="shared" si="148"/>
        <v>55.3</v>
      </c>
      <c r="CF39" s="176">
        <f t="shared" si="148"/>
        <v>188.9</v>
      </c>
      <c r="CG39" s="176">
        <f t="shared" si="148"/>
        <v>316.39999999999998</v>
      </c>
      <c r="CH39" s="176">
        <f t="shared" si="148"/>
        <v>256.3</v>
      </c>
      <c r="CI39" s="176">
        <f t="shared" si="148"/>
        <v>155.19999999999999</v>
      </c>
      <c r="CJ39" s="176"/>
      <c r="CK39" s="176"/>
      <c r="CL39" s="176"/>
      <c r="CM39" s="176"/>
      <c r="CN39" s="176"/>
      <c r="CO39" s="176"/>
      <c r="CP39" s="177"/>
      <c r="CQ39" s="22"/>
    </row>
    <row r="40" spans="1:95" ht="14.25" customHeight="1">
      <c r="A40" s="9"/>
      <c r="B40" s="25" t="str">
        <f t="shared" si="147"/>
        <v>Purchases of property, plant and equipment</v>
      </c>
      <c r="C40" s="26"/>
      <c r="D40" s="175">
        <f t="shared" ref="D40:D46" si="149">D150</f>
        <v>-6.2</v>
      </c>
      <c r="E40" s="173">
        <f t="shared" ref="E40:E48" si="150">E150-D40</f>
        <v>-18.400000000000002</v>
      </c>
      <c r="F40" s="173">
        <f t="shared" ref="F40:F48" si="151">F150-D40-E40</f>
        <v>-16.899999999999995</v>
      </c>
      <c r="G40" s="173">
        <f t="shared" ref="G40:G48" si="152">G150-D40-E40-F40</f>
        <v>-18.299999999999994</v>
      </c>
      <c r="H40" s="175">
        <f t="shared" ref="H40:H46" si="153">H150</f>
        <v>-30.6</v>
      </c>
      <c r="I40" s="173">
        <f t="shared" ref="I40:I48" si="154">I150-H40</f>
        <v>-18.100000000000001</v>
      </c>
      <c r="J40" s="173">
        <f t="shared" ref="J40:J48" si="155">J150-H40-I40</f>
        <v>-16.399999999999991</v>
      </c>
      <c r="K40" s="173">
        <f t="shared" ref="K40:K48" si="156">K150-H40-I40-J40</f>
        <v>-16.700000000000003</v>
      </c>
      <c r="L40" s="175">
        <f t="shared" ref="L40:L46" si="157">L150</f>
        <v>-9</v>
      </c>
      <c r="M40" s="173">
        <f t="shared" ref="M40:M48" si="158">M150-L40</f>
        <v>-13</v>
      </c>
      <c r="N40" s="173">
        <f t="shared" ref="N40:N48" si="159">N150-L40-M40</f>
        <v>-12.5</v>
      </c>
      <c r="O40" s="173">
        <f t="shared" ref="O40:O48" si="160">O150-L40-M40-N40</f>
        <v>-11.600000000000001</v>
      </c>
      <c r="P40" s="175">
        <f t="shared" ref="P40:P46" si="161">P150</f>
        <v>-31.7</v>
      </c>
      <c r="Q40" s="173">
        <f t="shared" ref="Q40:Q48" si="162">Q150-P40</f>
        <v>-103.39999999999999</v>
      </c>
      <c r="R40" s="173">
        <f t="shared" ref="R40:R48" si="163">R150-P40-Q40</f>
        <v>-51.300000000000026</v>
      </c>
      <c r="S40" s="173">
        <f t="shared" ref="S40:S48" si="164">S150-P40-Q40-R40</f>
        <v>-12.599999999999994</v>
      </c>
      <c r="T40" s="175">
        <f t="shared" ref="T40:T46" si="165">T150</f>
        <v>-49</v>
      </c>
      <c r="U40" s="173">
        <f t="shared" ref="U40:U48" si="166">U150-T40</f>
        <v>-27.599999999999994</v>
      </c>
      <c r="V40" s="173">
        <f t="shared" ref="V40:V48" si="167">V150-T40-U40</f>
        <v>-33.800000000000011</v>
      </c>
      <c r="W40" s="173">
        <f t="shared" ref="W40:W48" si="168">W150-T40-U40-V40</f>
        <v>-30.299999999999983</v>
      </c>
      <c r="X40" s="175">
        <f t="shared" ref="X40:X46" si="169">X150</f>
        <v>-15.5</v>
      </c>
      <c r="Y40" s="173">
        <f t="shared" ref="Y40:Y48" si="170">Y150-X40</f>
        <v>-29.4</v>
      </c>
      <c r="Z40" s="173">
        <f t="shared" ref="Z40:Z48" si="171">Z150-X40-Y40</f>
        <v>-30.000000000000007</v>
      </c>
      <c r="AA40" s="173">
        <f t="shared" ref="AA40:AA48" si="172">AA150-X40-Y40-Z40</f>
        <v>-20.099999999999994</v>
      </c>
      <c r="AB40" s="175">
        <f t="shared" ref="AB40:AB46" si="173">AB150</f>
        <v>-22.3</v>
      </c>
      <c r="AC40" s="173">
        <f t="shared" ref="AC40:AC48" si="174">AC150-AB40</f>
        <v>-14.7</v>
      </c>
      <c r="AD40" s="173">
        <f t="shared" ref="AD40:AD48" si="175">AD150-AB40-AC40</f>
        <v>-9.2999999999999972</v>
      </c>
      <c r="AE40" s="173">
        <f t="shared" ref="AE40:AE48" si="176">AE150-AB40-AC40-AD40</f>
        <v>-9.0000000000000036</v>
      </c>
      <c r="AF40" s="175">
        <f t="shared" ref="AF40:AF46" si="177">AF150</f>
        <v>-41</v>
      </c>
      <c r="AG40" s="173">
        <f t="shared" ref="AG40:AG48" si="178">AG150-AF40</f>
        <v>-52.5</v>
      </c>
      <c r="AH40" s="173">
        <f t="shared" ref="AH40:AH48" si="179">AH150-AF40-AG40</f>
        <v>-52.400000000000006</v>
      </c>
      <c r="AI40" s="173">
        <f t="shared" ref="AI40:AI48" si="180">AI150-AF40-AG40-AH40</f>
        <v>-43</v>
      </c>
      <c r="AJ40" s="175">
        <f t="shared" ref="AJ40:AJ46" si="181">AJ150</f>
        <v>-88.7</v>
      </c>
      <c r="AK40" s="173">
        <f t="shared" ref="AK40:AK48" si="182">AK150-AJ40</f>
        <v>-84.8</v>
      </c>
      <c r="AL40" s="173">
        <f t="shared" ref="AL40:AL48" si="183">AL150-AJ40-AK40</f>
        <v>-85.800000000000026</v>
      </c>
      <c r="AM40" s="173">
        <f t="shared" ref="AM40:AM48" si="184">AM150-AJ40-AK40-AL40</f>
        <v>-57.099999999999952</v>
      </c>
      <c r="AN40" s="175">
        <f t="shared" ref="AN40:AN46" si="185">AN150</f>
        <v>-50.4</v>
      </c>
      <c r="AO40" s="173">
        <f t="shared" ref="AO40:AO48" si="186">AO150-AN40</f>
        <v>-64.300000000000011</v>
      </c>
      <c r="AP40" s="173">
        <f t="shared" ref="AP40:AP48" si="187">AP150-AN40-AO40</f>
        <v>-84.1</v>
      </c>
      <c r="AQ40" s="173">
        <f t="shared" ref="AQ40:AQ48" si="188">AQ150-AN40-AO40-AP40</f>
        <v>-57.5</v>
      </c>
      <c r="AR40" s="175">
        <f t="shared" ref="AR40:AR46" si="189">AR150</f>
        <v>-38.9</v>
      </c>
      <c r="AS40" s="173">
        <f t="shared" ref="AS40:AS48" si="190">AS150-AR40</f>
        <v>-45.800000000000004</v>
      </c>
      <c r="AT40" s="173">
        <f t="shared" ref="AT40:AT48" si="191">AT150-AR40-AS40</f>
        <v>-50.399999999999984</v>
      </c>
      <c r="AU40" s="173">
        <f t="shared" ref="AU40:AU48" si="192">AU150-AR40-AS40-AT40</f>
        <v>-20.099999999999987</v>
      </c>
      <c r="AV40" s="175">
        <f t="shared" ref="AV40:AV46" si="193">AV150</f>
        <v>-47.7</v>
      </c>
      <c r="AW40" s="173">
        <f t="shared" ref="AW40:AW48" si="194">AW150-AV40</f>
        <v>-48.8</v>
      </c>
      <c r="AX40" s="173">
        <f t="shared" ref="AX40:AX48" si="195">AX150-AV40-AW40</f>
        <v>-66.5</v>
      </c>
      <c r="AY40" s="173">
        <f t="shared" ref="AY40:AY48" si="196">AY150-AV40-AW40-AX40</f>
        <v>-41.300000000000026</v>
      </c>
      <c r="AZ40" s="175">
        <f t="shared" ref="AZ40:AZ46" si="197">AZ150</f>
        <v>-64.8</v>
      </c>
      <c r="BA40" s="173">
        <f t="shared" ref="BA40:BA48" si="198">BA150-AZ40</f>
        <v>-75.500000000000014</v>
      </c>
      <c r="BB40" s="173">
        <f t="shared" ref="BB40:BB48" si="199">BB150-AZ40-BA40</f>
        <v>-64.499999999999986</v>
      </c>
      <c r="BC40" s="173">
        <f t="shared" ref="BC40:BC48" si="200">BC150-AZ40-BA40-BB40</f>
        <v>-66.000000000000014</v>
      </c>
      <c r="BD40" s="175">
        <f t="shared" ref="BD40:BD46" si="201">BD150</f>
        <v>-72.900000000000006</v>
      </c>
      <c r="BE40" s="173">
        <f t="shared" ref="BE40:BE48" si="202">BE150-BD40</f>
        <v>-52</v>
      </c>
      <c r="BF40" s="173">
        <f t="shared" ref="BF40:BF48" si="203">BF150-BD40-BE40</f>
        <v>-35.900000000000006</v>
      </c>
      <c r="BG40" s="173">
        <f t="shared" ref="BG40:BG48" si="204">BG150-BD40-BE40-BF40</f>
        <v>-49.899999999999977</v>
      </c>
      <c r="BH40" s="175">
        <f t="shared" ref="BH40:BH46" si="205">BH150</f>
        <v>-52.7</v>
      </c>
      <c r="BI40" s="173">
        <f t="shared" ref="BI40:BI48" si="206">BI150-BH40</f>
        <v>-69</v>
      </c>
      <c r="BJ40" s="173">
        <f t="shared" ref="BJ40:BJ48" si="207">BJ150-BH40-BI40</f>
        <v>-90.100000000000023</v>
      </c>
      <c r="BK40" s="173">
        <f t="shared" ref="BK40:BK48" si="208">BK150-BH40-BI40-BJ40</f>
        <v>-175.7</v>
      </c>
      <c r="BL40" s="175">
        <f t="shared" ref="BL40:BS40" si="209">-BL78-BL79</f>
        <v>-89.040705000000017</v>
      </c>
      <c r="BM40" s="173">
        <f t="shared" si="209"/>
        <v>-92.845055549999998</v>
      </c>
      <c r="BN40" s="173">
        <f t="shared" si="209"/>
        <v>-95.037860099000014</v>
      </c>
      <c r="BO40" s="173">
        <f t="shared" si="209"/>
        <v>-93.354025407369988</v>
      </c>
      <c r="BP40" s="175">
        <f t="shared" si="209"/>
        <v>-92.836095251633495</v>
      </c>
      <c r="BQ40" s="173">
        <f t="shared" si="209"/>
        <v>-96.30563445925884</v>
      </c>
      <c r="BR40" s="173">
        <f t="shared" si="209"/>
        <v>-98.39697193705932</v>
      </c>
      <c r="BS40" s="173">
        <f t="shared" si="209"/>
        <v>-96.687629342022163</v>
      </c>
      <c r="BT40" s="175">
        <f t="shared" ref="BT40:BW40" si="210">-BT78-BT79</f>
        <v>-96.290303397802418</v>
      </c>
      <c r="BU40" s="173">
        <f t="shared" si="210"/>
        <v>-99.880250757801861</v>
      </c>
      <c r="BV40" s="173">
        <f t="shared" si="210"/>
        <v>-101.95239349085935</v>
      </c>
      <c r="BW40" s="173">
        <f t="shared" si="210"/>
        <v>-100.2169727176336</v>
      </c>
      <c r="BX40" s="21"/>
      <c r="BY40" s="173">
        <f t="shared" ref="BY40:BY48" si="211">SUM(D40:G40)</f>
        <v>-59.8</v>
      </c>
      <c r="BZ40" s="173">
        <f t="shared" ref="BZ40:BZ48" si="212">SUM(H40:K40)</f>
        <v>-81.8</v>
      </c>
      <c r="CA40" s="173">
        <f t="shared" ref="CA40:CA48" si="213">SUM(L40:O40)</f>
        <v>-46.1</v>
      </c>
      <c r="CB40" s="173">
        <f t="shared" ref="CB40:CB48" si="214">SUM(P40:S40)</f>
        <v>-199.00000000000003</v>
      </c>
      <c r="CC40" s="173">
        <f t="shared" ref="CC40:CC48" si="215">SUM(T40:W40)</f>
        <v>-140.69999999999999</v>
      </c>
      <c r="CD40" s="173">
        <f t="shared" ref="CD40:CD48" si="216">SUM(X40:AA40)</f>
        <v>-95</v>
      </c>
      <c r="CE40" s="173">
        <f t="shared" ref="CE40:CE48" si="217">SUM(AB40:AE40)</f>
        <v>-55.3</v>
      </c>
      <c r="CF40" s="173">
        <f t="shared" ref="CF40:CF48" si="218">SUM(AF40:AI40)</f>
        <v>-188.9</v>
      </c>
      <c r="CG40" s="173">
        <f t="shared" ref="CG40:CG48" si="219">SUM(AJ40:AM40)</f>
        <v>-316.39999999999998</v>
      </c>
      <c r="CH40" s="173">
        <f t="shared" ref="CH40:CH48" si="220">SUM(AN40:AQ40)</f>
        <v>-256.3</v>
      </c>
      <c r="CI40" s="173">
        <f>SUM(AR40:AU40)</f>
        <v>-155.19999999999999</v>
      </c>
      <c r="CJ40" s="173">
        <f t="shared" ref="CJ40:CJ48" si="221">SUM(AV40:AY40)</f>
        <v>-204.3</v>
      </c>
      <c r="CK40" s="173">
        <f t="shared" ref="CK40:CK48" si="222">SUM(AZ40:BC40)</f>
        <v>-270.8</v>
      </c>
      <c r="CL40" s="173">
        <f t="shared" ref="CL40:CL48" si="223">SUM(BD40:BG40)</f>
        <v>-210.7</v>
      </c>
      <c r="CM40" s="173">
        <f t="shared" ref="CM40:CM48" si="224">SUM(BH40:BK40)</f>
        <v>-387.5</v>
      </c>
      <c r="CN40" s="173">
        <f t="shared" ref="CN40:CN48" si="225">SUM(BL40:BO40)</f>
        <v>-370.27764605637003</v>
      </c>
      <c r="CO40" s="173">
        <f>SUM(BP40:BS40)</f>
        <v>-384.2263309899738</v>
      </c>
      <c r="CP40" s="174">
        <f t="shared" ref="CP40:CP48" si="226">SUM(BT40:BW40)</f>
        <v>-398.33992036409728</v>
      </c>
      <c r="CQ40" s="22"/>
    </row>
    <row r="41" spans="1:95" ht="14.25" customHeight="1">
      <c r="A41" s="9"/>
      <c r="B41" s="25" t="str">
        <f t="shared" si="147"/>
        <v>Proceeds from sales of property, plant and equipment</v>
      </c>
      <c r="C41" s="26"/>
      <c r="D41" s="175">
        <f t="shared" si="149"/>
        <v>0</v>
      </c>
      <c r="E41" s="173">
        <f t="shared" si="150"/>
        <v>0</v>
      </c>
      <c r="F41" s="173">
        <f t="shared" si="151"/>
        <v>13.2</v>
      </c>
      <c r="G41" s="173">
        <f t="shared" si="152"/>
        <v>0</v>
      </c>
      <c r="H41" s="175">
        <f t="shared" si="153"/>
        <v>0</v>
      </c>
      <c r="I41" s="173">
        <f t="shared" si="154"/>
        <v>3.8</v>
      </c>
      <c r="J41" s="173">
        <f t="shared" si="155"/>
        <v>0</v>
      </c>
      <c r="K41" s="173">
        <f t="shared" si="156"/>
        <v>0.60000000000000053</v>
      </c>
      <c r="L41" s="175">
        <f t="shared" si="157"/>
        <v>0.7</v>
      </c>
      <c r="M41" s="173">
        <f t="shared" si="158"/>
        <v>0.10000000000000009</v>
      </c>
      <c r="N41" s="173">
        <f t="shared" si="159"/>
        <v>0.8</v>
      </c>
      <c r="O41" s="173">
        <f t="shared" si="160"/>
        <v>0.60000000000000009</v>
      </c>
      <c r="P41" s="175">
        <f t="shared" si="161"/>
        <v>0.2</v>
      </c>
      <c r="Q41" s="173">
        <f t="shared" si="162"/>
        <v>0.90000000000000013</v>
      </c>
      <c r="R41" s="173">
        <f t="shared" si="163"/>
        <v>0.19999999999999996</v>
      </c>
      <c r="S41" s="173">
        <f t="shared" si="164"/>
        <v>79.599999999999994</v>
      </c>
      <c r="T41" s="175">
        <f t="shared" si="165"/>
        <v>7.2</v>
      </c>
      <c r="U41" s="173">
        <f t="shared" si="166"/>
        <v>1.9999999999999991</v>
      </c>
      <c r="V41" s="173">
        <f t="shared" si="167"/>
        <v>1.4000000000000004</v>
      </c>
      <c r="W41" s="173">
        <f t="shared" si="168"/>
        <v>0</v>
      </c>
      <c r="X41" s="175">
        <f t="shared" si="169"/>
        <v>38.6</v>
      </c>
      <c r="Y41" s="173">
        <f t="shared" si="170"/>
        <v>0</v>
      </c>
      <c r="Z41" s="173">
        <f t="shared" si="171"/>
        <v>0.29999999999999716</v>
      </c>
      <c r="AA41" s="173">
        <f t="shared" si="172"/>
        <v>0.30000000000000426</v>
      </c>
      <c r="AB41" s="175">
        <f t="shared" si="173"/>
        <v>0</v>
      </c>
      <c r="AC41" s="173">
        <f t="shared" si="174"/>
        <v>0</v>
      </c>
      <c r="AD41" s="173">
        <f t="shared" si="175"/>
        <v>0</v>
      </c>
      <c r="AE41" s="173">
        <f t="shared" si="176"/>
        <v>0.3</v>
      </c>
      <c r="AF41" s="175">
        <f t="shared" si="177"/>
        <v>0</v>
      </c>
      <c r="AG41" s="173">
        <f t="shared" si="178"/>
        <v>0</v>
      </c>
      <c r="AH41" s="173">
        <f t="shared" si="179"/>
        <v>0</v>
      </c>
      <c r="AI41" s="173">
        <f t="shared" si="180"/>
        <v>37.1</v>
      </c>
      <c r="AJ41" s="175">
        <f t="shared" si="181"/>
        <v>0</v>
      </c>
      <c r="AK41" s="173">
        <f t="shared" si="182"/>
        <v>3.3</v>
      </c>
      <c r="AL41" s="173">
        <f t="shared" si="183"/>
        <v>0</v>
      </c>
      <c r="AM41" s="173">
        <f t="shared" si="184"/>
        <v>0</v>
      </c>
      <c r="AN41" s="175">
        <f t="shared" si="185"/>
        <v>1.9</v>
      </c>
      <c r="AO41" s="173">
        <f t="shared" si="186"/>
        <v>0</v>
      </c>
      <c r="AP41" s="173">
        <f t="shared" si="187"/>
        <v>3.1999999999999997</v>
      </c>
      <c r="AQ41" s="173">
        <f t="shared" si="188"/>
        <v>1.100000000000001</v>
      </c>
      <c r="AR41" s="175">
        <f t="shared" si="189"/>
        <v>8</v>
      </c>
      <c r="AS41" s="173">
        <f t="shared" si="190"/>
        <v>0.40000000000000036</v>
      </c>
      <c r="AT41" s="173">
        <f t="shared" si="191"/>
        <v>0.19999999999999929</v>
      </c>
      <c r="AU41" s="173">
        <f t="shared" si="192"/>
        <v>1.0999999999999996</v>
      </c>
      <c r="AV41" s="175">
        <f t="shared" si="193"/>
        <v>0.2</v>
      </c>
      <c r="AW41" s="173">
        <f t="shared" si="194"/>
        <v>0</v>
      </c>
      <c r="AX41" s="173">
        <f t="shared" si="195"/>
        <v>9.9999999999999978E-2</v>
      </c>
      <c r="AY41" s="173">
        <f t="shared" si="196"/>
        <v>1.2000000000000002</v>
      </c>
      <c r="AZ41" s="175">
        <f t="shared" si="197"/>
        <v>9.4</v>
      </c>
      <c r="BA41" s="173">
        <f t="shared" si="198"/>
        <v>0.90000000000000036</v>
      </c>
      <c r="BB41" s="173">
        <f t="shared" si="199"/>
        <v>9.9999999999999645E-2</v>
      </c>
      <c r="BC41" s="173">
        <f t="shared" si="200"/>
        <v>0.69999999999999929</v>
      </c>
      <c r="BD41" s="175">
        <f t="shared" si="201"/>
        <v>0.3</v>
      </c>
      <c r="BE41" s="173">
        <f t="shared" si="202"/>
        <v>0.10000000000000003</v>
      </c>
      <c r="BF41" s="173">
        <f t="shared" si="203"/>
        <v>0</v>
      </c>
      <c r="BG41" s="173">
        <f t="shared" si="204"/>
        <v>0</v>
      </c>
      <c r="BH41" s="175">
        <f t="shared" si="205"/>
        <v>0.2</v>
      </c>
      <c r="BI41" s="173">
        <f t="shared" si="206"/>
        <v>1.6</v>
      </c>
      <c r="BJ41" s="173">
        <f t="shared" si="207"/>
        <v>0.30000000000000004</v>
      </c>
      <c r="BK41" s="173">
        <f t="shared" si="208"/>
        <v>12.200000000000001</v>
      </c>
      <c r="BL41" s="178">
        <v>0</v>
      </c>
      <c r="BM41" s="176">
        <v>0</v>
      </c>
      <c r="BN41" s="176">
        <v>0</v>
      </c>
      <c r="BO41" s="176">
        <v>0</v>
      </c>
      <c r="BP41" s="178">
        <v>0</v>
      </c>
      <c r="BQ41" s="176">
        <v>0</v>
      </c>
      <c r="BR41" s="176">
        <v>0</v>
      </c>
      <c r="BS41" s="176">
        <v>0</v>
      </c>
      <c r="BT41" s="178">
        <v>0</v>
      </c>
      <c r="BU41" s="176">
        <v>0</v>
      </c>
      <c r="BV41" s="176">
        <v>0</v>
      </c>
      <c r="BW41" s="176">
        <v>0</v>
      </c>
      <c r="BX41" s="21"/>
      <c r="BY41" s="173">
        <f t="shared" si="211"/>
        <v>13.2</v>
      </c>
      <c r="BZ41" s="173">
        <f t="shared" si="212"/>
        <v>4.4000000000000004</v>
      </c>
      <c r="CA41" s="173">
        <f t="shared" si="213"/>
        <v>2.2000000000000002</v>
      </c>
      <c r="CB41" s="173">
        <f t="shared" si="214"/>
        <v>80.899999999999991</v>
      </c>
      <c r="CC41" s="173">
        <f t="shared" si="215"/>
        <v>10.6</v>
      </c>
      <c r="CD41" s="173">
        <f t="shared" si="216"/>
        <v>39.200000000000003</v>
      </c>
      <c r="CE41" s="173">
        <f t="shared" si="217"/>
        <v>0.3</v>
      </c>
      <c r="CF41" s="173">
        <f t="shared" si="218"/>
        <v>37.1</v>
      </c>
      <c r="CG41" s="173">
        <f t="shared" si="219"/>
        <v>3.3</v>
      </c>
      <c r="CH41" s="173">
        <f t="shared" si="220"/>
        <v>6.2000000000000011</v>
      </c>
      <c r="CI41" s="173">
        <f t="shared" ref="CI41:CI48" si="227">SUM(AR41:AU41)</f>
        <v>9.6999999999999993</v>
      </c>
      <c r="CJ41" s="173">
        <f t="shared" si="221"/>
        <v>1.5000000000000002</v>
      </c>
      <c r="CK41" s="173">
        <f t="shared" si="222"/>
        <v>11.1</v>
      </c>
      <c r="CL41" s="173">
        <f t="shared" si="223"/>
        <v>0.4</v>
      </c>
      <c r="CM41" s="173">
        <f t="shared" si="224"/>
        <v>14.3</v>
      </c>
      <c r="CN41" s="173">
        <f t="shared" si="225"/>
        <v>0</v>
      </c>
      <c r="CO41" s="173">
        <f t="shared" ref="CO41:CO48" si="228">SUM(BP41:BS41)</f>
        <v>0</v>
      </c>
      <c r="CP41" s="174">
        <f t="shared" si="226"/>
        <v>0</v>
      </c>
      <c r="CQ41" s="22"/>
    </row>
    <row r="42" spans="1:95" ht="14.25" customHeight="1">
      <c r="A42" s="9"/>
      <c r="B42" s="25" t="str">
        <f t="shared" si="147"/>
        <v>Deposits utilized for purchases of property, plant and equipment</v>
      </c>
      <c r="C42" s="26"/>
      <c r="D42" s="175">
        <f t="shared" si="149"/>
        <v>0</v>
      </c>
      <c r="E42" s="173">
        <f t="shared" si="150"/>
        <v>0</v>
      </c>
      <c r="F42" s="173">
        <f t="shared" si="151"/>
        <v>0</v>
      </c>
      <c r="G42" s="173">
        <f t="shared" si="152"/>
        <v>-6.8</v>
      </c>
      <c r="H42" s="175">
        <f t="shared" si="153"/>
        <v>0</v>
      </c>
      <c r="I42" s="173">
        <f t="shared" si="154"/>
        <v>0</v>
      </c>
      <c r="J42" s="173">
        <f t="shared" si="155"/>
        <v>0</v>
      </c>
      <c r="K42" s="173">
        <f t="shared" si="156"/>
        <v>6.4</v>
      </c>
      <c r="L42" s="175">
        <f t="shared" si="157"/>
        <v>0</v>
      </c>
      <c r="M42" s="173">
        <f t="shared" si="158"/>
        <v>0</v>
      </c>
      <c r="N42" s="173">
        <f t="shared" si="159"/>
        <v>-0.7</v>
      </c>
      <c r="O42" s="173">
        <f t="shared" si="160"/>
        <v>-1</v>
      </c>
      <c r="P42" s="175">
        <f t="shared" si="161"/>
        <v>-1.6</v>
      </c>
      <c r="Q42" s="173">
        <f t="shared" si="162"/>
        <v>1.9000000000000001</v>
      </c>
      <c r="R42" s="173">
        <f t="shared" si="163"/>
        <v>-1</v>
      </c>
      <c r="S42" s="173">
        <f t="shared" si="164"/>
        <v>-0.5</v>
      </c>
      <c r="T42" s="175">
        <f t="shared" si="165"/>
        <v>-1.4</v>
      </c>
      <c r="U42" s="173">
        <f t="shared" si="166"/>
        <v>1.5999999999999999</v>
      </c>
      <c r="V42" s="173">
        <f t="shared" si="167"/>
        <v>0.90000000000000013</v>
      </c>
      <c r="W42" s="173">
        <f t="shared" si="168"/>
        <v>1.3999999999999997</v>
      </c>
      <c r="X42" s="175">
        <f t="shared" si="169"/>
        <v>0.1</v>
      </c>
      <c r="Y42" s="173">
        <f t="shared" si="170"/>
        <v>0</v>
      </c>
      <c r="Z42" s="173">
        <f t="shared" si="171"/>
        <v>-0.5</v>
      </c>
      <c r="AA42" s="173">
        <f t="shared" si="172"/>
        <v>0.8</v>
      </c>
      <c r="AB42" s="175">
        <f t="shared" si="173"/>
        <v>0.2</v>
      </c>
      <c r="AC42" s="173">
        <f t="shared" si="174"/>
        <v>-0.1</v>
      </c>
      <c r="AD42" s="173">
        <f t="shared" si="175"/>
        <v>-1.7999999999999998</v>
      </c>
      <c r="AE42" s="173">
        <f t="shared" si="176"/>
        <v>-1.5000000000000004</v>
      </c>
      <c r="AF42" s="175">
        <f t="shared" si="177"/>
        <v>-0.9</v>
      </c>
      <c r="AG42" s="173">
        <f t="shared" si="178"/>
        <v>0</v>
      </c>
      <c r="AH42" s="173">
        <f t="shared" si="179"/>
        <v>2.1</v>
      </c>
      <c r="AI42" s="173">
        <f t="shared" si="180"/>
        <v>-3.4000000000000004</v>
      </c>
      <c r="AJ42" s="175">
        <f t="shared" si="181"/>
        <v>0</v>
      </c>
      <c r="AK42" s="173">
        <f t="shared" si="182"/>
        <v>0</v>
      </c>
      <c r="AL42" s="173">
        <f t="shared" si="183"/>
        <v>1</v>
      </c>
      <c r="AM42" s="173">
        <f t="shared" si="184"/>
        <v>-0.5</v>
      </c>
      <c r="AN42" s="175">
        <f t="shared" si="185"/>
        <v>-9.6</v>
      </c>
      <c r="AO42" s="173">
        <f t="shared" si="186"/>
        <v>7.1</v>
      </c>
      <c r="AP42" s="173">
        <f t="shared" si="187"/>
        <v>4.0999999999999996</v>
      </c>
      <c r="AQ42" s="173">
        <f t="shared" si="188"/>
        <v>-0.19999999999999929</v>
      </c>
      <c r="AR42" s="175">
        <f t="shared" si="189"/>
        <v>1.4</v>
      </c>
      <c r="AS42" s="173">
        <f t="shared" si="190"/>
        <v>-2.9</v>
      </c>
      <c r="AT42" s="173">
        <f t="shared" si="191"/>
        <v>-0.10000000000000009</v>
      </c>
      <c r="AU42" s="173">
        <f t="shared" si="192"/>
        <v>0.29999999999999982</v>
      </c>
      <c r="AV42" s="175">
        <f t="shared" si="193"/>
        <v>1.2</v>
      </c>
      <c r="AW42" s="173">
        <f t="shared" si="194"/>
        <v>0.10000000000000009</v>
      </c>
      <c r="AX42" s="173">
        <f t="shared" si="195"/>
        <v>0.7</v>
      </c>
      <c r="AY42" s="173">
        <f t="shared" si="196"/>
        <v>0.60000000000000009</v>
      </c>
      <c r="AZ42" s="175">
        <f t="shared" si="197"/>
        <v>0</v>
      </c>
      <c r="BA42" s="173">
        <f t="shared" si="198"/>
        <v>0</v>
      </c>
      <c r="BB42" s="173">
        <f t="shared" si="199"/>
        <v>0.2</v>
      </c>
      <c r="BC42" s="173">
        <f t="shared" si="200"/>
        <v>-1.5999999999999999</v>
      </c>
      <c r="BD42" s="175">
        <f t="shared" si="201"/>
        <v>1.8</v>
      </c>
      <c r="BE42" s="173">
        <f t="shared" si="202"/>
        <v>0.40000000000000013</v>
      </c>
      <c r="BF42" s="173">
        <f t="shared" si="203"/>
        <v>-1.3000000000000003</v>
      </c>
      <c r="BG42" s="173">
        <f t="shared" si="204"/>
        <v>-3.1</v>
      </c>
      <c r="BH42" s="175">
        <f t="shared" si="205"/>
        <v>-0.2</v>
      </c>
      <c r="BI42" s="173">
        <f t="shared" si="206"/>
        <v>1.3</v>
      </c>
      <c r="BJ42" s="173">
        <f t="shared" si="207"/>
        <v>-3.2</v>
      </c>
      <c r="BK42" s="173">
        <f t="shared" si="208"/>
        <v>-6.0999999999999988</v>
      </c>
      <c r="BL42" s="178">
        <v>0</v>
      </c>
      <c r="BM42" s="176">
        <v>0</v>
      </c>
      <c r="BN42" s="176">
        <v>0</v>
      </c>
      <c r="BO42" s="176">
        <v>0</v>
      </c>
      <c r="BP42" s="178">
        <v>0</v>
      </c>
      <c r="BQ42" s="176">
        <v>0</v>
      </c>
      <c r="BR42" s="176">
        <v>0</v>
      </c>
      <c r="BS42" s="176">
        <v>0</v>
      </c>
      <c r="BT42" s="178">
        <v>0</v>
      </c>
      <c r="BU42" s="176">
        <v>0</v>
      </c>
      <c r="BV42" s="176">
        <v>0</v>
      </c>
      <c r="BW42" s="176">
        <v>0</v>
      </c>
      <c r="BX42" s="21"/>
      <c r="BY42" s="173">
        <f t="shared" si="211"/>
        <v>-6.8</v>
      </c>
      <c r="BZ42" s="173">
        <f t="shared" si="212"/>
        <v>6.4</v>
      </c>
      <c r="CA42" s="173">
        <f t="shared" si="213"/>
        <v>-1.7</v>
      </c>
      <c r="CB42" s="173">
        <f t="shared" si="214"/>
        <v>-1.2</v>
      </c>
      <c r="CC42" s="173">
        <f t="shared" si="215"/>
        <v>2.5</v>
      </c>
      <c r="CD42" s="173">
        <f t="shared" si="216"/>
        <v>0.4</v>
      </c>
      <c r="CE42" s="173">
        <f t="shared" si="217"/>
        <v>-3.2</v>
      </c>
      <c r="CF42" s="173">
        <f t="shared" si="218"/>
        <v>-2.2000000000000002</v>
      </c>
      <c r="CG42" s="173">
        <f t="shared" si="219"/>
        <v>0.5</v>
      </c>
      <c r="CH42" s="173">
        <f t="shared" si="220"/>
        <v>1.4000000000000004</v>
      </c>
      <c r="CI42" s="173">
        <f t="shared" si="227"/>
        <v>-1.3000000000000003</v>
      </c>
      <c r="CJ42" s="173">
        <f t="shared" si="221"/>
        <v>2.6</v>
      </c>
      <c r="CK42" s="173">
        <f t="shared" si="222"/>
        <v>-1.4</v>
      </c>
      <c r="CL42" s="173">
        <f t="shared" si="223"/>
        <v>-2.2000000000000002</v>
      </c>
      <c r="CM42" s="173">
        <f t="shared" si="224"/>
        <v>-8.1999999999999993</v>
      </c>
      <c r="CN42" s="173">
        <f t="shared" si="225"/>
        <v>0</v>
      </c>
      <c r="CO42" s="173">
        <f t="shared" si="228"/>
        <v>0</v>
      </c>
      <c r="CP42" s="174">
        <f t="shared" si="226"/>
        <v>0</v>
      </c>
      <c r="CQ42" s="22"/>
    </row>
    <row r="43" spans="1:95" ht="14.25" customHeight="1">
      <c r="A43" s="9"/>
      <c r="B43" s="25" t="str">
        <f t="shared" si="147"/>
        <v>Recovery from insurance on property, plant and equipment</v>
      </c>
      <c r="C43" s="26"/>
      <c r="D43" s="175">
        <f t="shared" si="149"/>
        <v>0</v>
      </c>
      <c r="E43" s="173">
        <f t="shared" si="150"/>
        <v>0</v>
      </c>
      <c r="F43" s="173">
        <f t="shared" si="151"/>
        <v>0</v>
      </c>
      <c r="G43" s="173">
        <f t="shared" si="152"/>
        <v>0</v>
      </c>
      <c r="H43" s="175">
        <f t="shared" si="153"/>
        <v>0</v>
      </c>
      <c r="I43" s="173">
        <f t="shared" si="154"/>
        <v>0</v>
      </c>
      <c r="J43" s="173">
        <f t="shared" si="155"/>
        <v>0</v>
      </c>
      <c r="K43" s="173">
        <f t="shared" si="156"/>
        <v>0</v>
      </c>
      <c r="L43" s="175">
        <f t="shared" si="157"/>
        <v>0</v>
      </c>
      <c r="M43" s="173">
        <f t="shared" si="158"/>
        <v>0</v>
      </c>
      <c r="N43" s="173">
        <f t="shared" si="159"/>
        <v>0</v>
      </c>
      <c r="O43" s="173">
        <f t="shared" si="160"/>
        <v>0</v>
      </c>
      <c r="P43" s="175">
        <f t="shared" si="161"/>
        <v>0</v>
      </c>
      <c r="Q43" s="173">
        <f t="shared" si="162"/>
        <v>0</v>
      </c>
      <c r="R43" s="173">
        <f t="shared" si="163"/>
        <v>0</v>
      </c>
      <c r="S43" s="173">
        <f t="shared" si="164"/>
        <v>0</v>
      </c>
      <c r="T43" s="175">
        <f t="shared" si="165"/>
        <v>0</v>
      </c>
      <c r="U43" s="173">
        <f t="shared" si="166"/>
        <v>0</v>
      </c>
      <c r="V43" s="173">
        <f t="shared" si="167"/>
        <v>0</v>
      </c>
      <c r="W43" s="173">
        <f t="shared" si="168"/>
        <v>0</v>
      </c>
      <c r="X43" s="175">
        <f t="shared" si="169"/>
        <v>0</v>
      </c>
      <c r="Y43" s="173">
        <f t="shared" si="170"/>
        <v>0</v>
      </c>
      <c r="Z43" s="173">
        <f t="shared" si="171"/>
        <v>0</v>
      </c>
      <c r="AA43" s="173">
        <f t="shared" si="172"/>
        <v>0</v>
      </c>
      <c r="AB43" s="175">
        <f t="shared" si="173"/>
        <v>0</v>
      </c>
      <c r="AC43" s="173">
        <f t="shared" si="174"/>
        <v>0</v>
      </c>
      <c r="AD43" s="173">
        <f t="shared" si="175"/>
        <v>0</v>
      </c>
      <c r="AE43" s="173">
        <f t="shared" si="176"/>
        <v>0</v>
      </c>
      <c r="AF43" s="175">
        <f t="shared" si="177"/>
        <v>0</v>
      </c>
      <c r="AG43" s="173">
        <f t="shared" si="178"/>
        <v>0</v>
      </c>
      <c r="AH43" s="173">
        <f t="shared" si="179"/>
        <v>0</v>
      </c>
      <c r="AI43" s="173">
        <f t="shared" si="180"/>
        <v>0</v>
      </c>
      <c r="AJ43" s="175">
        <f t="shared" si="181"/>
        <v>0</v>
      </c>
      <c r="AK43" s="173">
        <f t="shared" si="182"/>
        <v>0</v>
      </c>
      <c r="AL43" s="173">
        <f t="shared" si="183"/>
        <v>0</v>
      </c>
      <c r="AM43" s="173">
        <f t="shared" si="184"/>
        <v>13.3</v>
      </c>
      <c r="AN43" s="175">
        <f t="shared" si="185"/>
        <v>11.5</v>
      </c>
      <c r="AO43" s="173">
        <f t="shared" si="186"/>
        <v>0</v>
      </c>
      <c r="AP43" s="173">
        <f t="shared" si="187"/>
        <v>0</v>
      </c>
      <c r="AQ43" s="173">
        <f t="shared" si="188"/>
        <v>0</v>
      </c>
      <c r="AR43" s="175">
        <f t="shared" si="189"/>
        <v>0</v>
      </c>
      <c r="AS43" s="173">
        <f t="shared" si="190"/>
        <v>0</v>
      </c>
      <c r="AT43" s="173">
        <f t="shared" si="191"/>
        <v>0</v>
      </c>
      <c r="AU43" s="173">
        <f t="shared" si="192"/>
        <v>0</v>
      </c>
      <c r="AV43" s="175">
        <f t="shared" si="193"/>
        <v>0</v>
      </c>
      <c r="AW43" s="173">
        <f t="shared" si="194"/>
        <v>0</v>
      </c>
      <c r="AX43" s="173">
        <f t="shared" si="195"/>
        <v>0</v>
      </c>
      <c r="AY43" s="173">
        <f t="shared" si="196"/>
        <v>0</v>
      </c>
      <c r="AZ43" s="175">
        <f t="shared" si="197"/>
        <v>0</v>
      </c>
      <c r="BA43" s="173">
        <f t="shared" si="198"/>
        <v>0</v>
      </c>
      <c r="BB43" s="173">
        <f t="shared" si="199"/>
        <v>0</v>
      </c>
      <c r="BC43" s="173">
        <f t="shared" si="200"/>
        <v>0</v>
      </c>
      <c r="BD43" s="175">
        <f t="shared" si="201"/>
        <v>0</v>
      </c>
      <c r="BE43" s="173">
        <f t="shared" si="202"/>
        <v>0</v>
      </c>
      <c r="BF43" s="173">
        <f t="shared" si="203"/>
        <v>0</v>
      </c>
      <c r="BG43" s="173">
        <f t="shared" si="204"/>
        <v>0</v>
      </c>
      <c r="BH43" s="175">
        <f t="shared" si="205"/>
        <v>0</v>
      </c>
      <c r="BI43" s="173">
        <f t="shared" si="206"/>
        <v>0</v>
      </c>
      <c r="BJ43" s="173">
        <f t="shared" si="207"/>
        <v>0</v>
      </c>
      <c r="BK43" s="173">
        <f t="shared" si="208"/>
        <v>0</v>
      </c>
      <c r="BL43" s="178">
        <v>0</v>
      </c>
      <c r="BM43" s="176">
        <v>0</v>
      </c>
      <c r="BN43" s="176">
        <v>0</v>
      </c>
      <c r="BO43" s="176">
        <v>0</v>
      </c>
      <c r="BP43" s="178">
        <v>0</v>
      </c>
      <c r="BQ43" s="176">
        <v>0</v>
      </c>
      <c r="BR43" s="176">
        <v>0</v>
      </c>
      <c r="BS43" s="176">
        <v>0</v>
      </c>
      <c r="BT43" s="178">
        <v>0</v>
      </c>
      <c r="BU43" s="176">
        <v>0</v>
      </c>
      <c r="BV43" s="176">
        <v>0</v>
      </c>
      <c r="BW43" s="176">
        <v>0</v>
      </c>
      <c r="BX43" s="21"/>
      <c r="BY43" s="173">
        <f t="shared" si="211"/>
        <v>0</v>
      </c>
      <c r="BZ43" s="173">
        <f t="shared" si="212"/>
        <v>0</v>
      </c>
      <c r="CA43" s="173">
        <f t="shared" si="213"/>
        <v>0</v>
      </c>
      <c r="CB43" s="173">
        <f t="shared" si="214"/>
        <v>0</v>
      </c>
      <c r="CC43" s="173">
        <f t="shared" si="215"/>
        <v>0</v>
      </c>
      <c r="CD43" s="173">
        <f t="shared" si="216"/>
        <v>0</v>
      </c>
      <c r="CE43" s="173">
        <f t="shared" si="217"/>
        <v>0</v>
      </c>
      <c r="CF43" s="173">
        <f t="shared" si="218"/>
        <v>0</v>
      </c>
      <c r="CG43" s="173">
        <f t="shared" si="219"/>
        <v>13.3</v>
      </c>
      <c r="CH43" s="173">
        <f t="shared" si="220"/>
        <v>11.5</v>
      </c>
      <c r="CI43" s="173">
        <f t="shared" si="227"/>
        <v>0</v>
      </c>
      <c r="CJ43" s="173">
        <f t="shared" si="221"/>
        <v>0</v>
      </c>
      <c r="CK43" s="173">
        <f t="shared" si="222"/>
        <v>0</v>
      </c>
      <c r="CL43" s="173">
        <f t="shared" si="223"/>
        <v>0</v>
      </c>
      <c r="CM43" s="173">
        <f t="shared" si="224"/>
        <v>0</v>
      </c>
      <c r="CN43" s="173">
        <f t="shared" si="225"/>
        <v>0</v>
      </c>
      <c r="CO43" s="173">
        <f t="shared" si="228"/>
        <v>0</v>
      </c>
      <c r="CP43" s="174">
        <f t="shared" si="226"/>
        <v>0</v>
      </c>
      <c r="CQ43" s="22"/>
    </row>
    <row r="44" spans="1:95" ht="14.25" customHeight="1">
      <c r="A44" s="9"/>
      <c r="B44" s="25" t="str">
        <f t="shared" si="147"/>
        <v>Purchase of businesses, net of cash acquired</v>
      </c>
      <c r="C44" s="26"/>
      <c r="D44" s="175">
        <f t="shared" si="149"/>
        <v>0</v>
      </c>
      <c r="E44" s="173">
        <f t="shared" si="150"/>
        <v>0</v>
      </c>
      <c r="F44" s="173">
        <f t="shared" si="151"/>
        <v>0</v>
      </c>
      <c r="G44" s="173">
        <f t="shared" si="152"/>
        <v>0</v>
      </c>
      <c r="H44" s="175">
        <f t="shared" si="153"/>
        <v>0</v>
      </c>
      <c r="I44" s="173">
        <f t="shared" si="154"/>
        <v>0</v>
      </c>
      <c r="J44" s="173">
        <f t="shared" si="155"/>
        <v>0</v>
      </c>
      <c r="K44" s="173">
        <f t="shared" si="156"/>
        <v>0</v>
      </c>
      <c r="L44" s="175">
        <f t="shared" si="157"/>
        <v>0</v>
      </c>
      <c r="M44" s="173">
        <f t="shared" si="158"/>
        <v>0</v>
      </c>
      <c r="N44" s="173">
        <f t="shared" si="159"/>
        <v>0</v>
      </c>
      <c r="O44" s="173">
        <f t="shared" si="160"/>
        <v>0</v>
      </c>
      <c r="P44" s="175">
        <f t="shared" si="161"/>
        <v>0</v>
      </c>
      <c r="Q44" s="173">
        <f t="shared" si="162"/>
        <v>0</v>
      </c>
      <c r="R44" s="173">
        <f t="shared" si="163"/>
        <v>0</v>
      </c>
      <c r="S44" s="173">
        <f t="shared" si="164"/>
        <v>0</v>
      </c>
      <c r="T44" s="175">
        <f t="shared" si="165"/>
        <v>0</v>
      </c>
      <c r="U44" s="173">
        <f t="shared" si="166"/>
        <v>0</v>
      </c>
      <c r="V44" s="173">
        <f t="shared" si="167"/>
        <v>0</v>
      </c>
      <c r="W44" s="173">
        <f t="shared" si="168"/>
        <v>-147</v>
      </c>
      <c r="X44" s="175">
        <f t="shared" si="169"/>
        <v>161.6</v>
      </c>
      <c r="Y44" s="173">
        <f t="shared" si="170"/>
        <v>0</v>
      </c>
      <c r="Z44" s="173">
        <f t="shared" si="171"/>
        <v>0</v>
      </c>
      <c r="AA44" s="173">
        <f t="shared" si="172"/>
        <v>21.5</v>
      </c>
      <c r="AB44" s="175">
        <f t="shared" si="173"/>
        <v>0</v>
      </c>
      <c r="AC44" s="173">
        <f t="shared" si="174"/>
        <v>0</v>
      </c>
      <c r="AD44" s="173">
        <f t="shared" si="175"/>
        <v>0</v>
      </c>
      <c r="AE44" s="173">
        <f t="shared" si="176"/>
        <v>-16.7</v>
      </c>
      <c r="AF44" s="175">
        <f t="shared" si="177"/>
        <v>-66.8</v>
      </c>
      <c r="AG44" s="173">
        <f t="shared" si="178"/>
        <v>-23.400000000000006</v>
      </c>
      <c r="AH44" s="173">
        <f t="shared" si="179"/>
        <v>-0.89999999999999147</v>
      </c>
      <c r="AI44" s="173">
        <f t="shared" si="180"/>
        <v>9.9999999999994316E-2</v>
      </c>
      <c r="AJ44" s="175">
        <f t="shared" si="181"/>
        <v>-57.6</v>
      </c>
      <c r="AK44" s="173">
        <f t="shared" si="182"/>
        <v>39.700000000000003</v>
      </c>
      <c r="AL44" s="173">
        <f t="shared" si="183"/>
        <v>0</v>
      </c>
      <c r="AM44" s="173">
        <f t="shared" si="184"/>
        <v>0</v>
      </c>
      <c r="AN44" s="175">
        <f t="shared" si="185"/>
        <v>0</v>
      </c>
      <c r="AO44" s="173">
        <f t="shared" si="186"/>
        <v>0</v>
      </c>
      <c r="AP44" s="173">
        <f t="shared" si="187"/>
        <v>0</v>
      </c>
      <c r="AQ44" s="173">
        <f t="shared" si="188"/>
        <v>0</v>
      </c>
      <c r="AR44" s="175">
        <f t="shared" si="189"/>
        <v>0</v>
      </c>
      <c r="AS44" s="173">
        <f t="shared" si="190"/>
        <v>0</v>
      </c>
      <c r="AT44" s="173">
        <f t="shared" si="191"/>
        <v>0</v>
      </c>
      <c r="AU44" s="173">
        <f t="shared" si="192"/>
        <v>0</v>
      </c>
      <c r="AV44" s="175">
        <f t="shared" si="193"/>
        <v>0</v>
      </c>
      <c r="AW44" s="173">
        <f t="shared" si="194"/>
        <v>-90.9</v>
      </c>
      <c r="AX44" s="173">
        <f t="shared" si="195"/>
        <v>-332.20000000000005</v>
      </c>
      <c r="AY44" s="173">
        <f t="shared" si="196"/>
        <v>-0.59999999999990905</v>
      </c>
      <c r="AZ44" s="175">
        <f t="shared" si="197"/>
        <v>-2.9</v>
      </c>
      <c r="BA44" s="173">
        <f t="shared" si="198"/>
        <v>0</v>
      </c>
      <c r="BB44" s="173">
        <f t="shared" si="199"/>
        <v>-7.1999999999999993</v>
      </c>
      <c r="BC44" s="173">
        <f t="shared" si="200"/>
        <v>-21.200000000000003</v>
      </c>
      <c r="BD44" s="175">
        <f t="shared" si="201"/>
        <v>0</v>
      </c>
      <c r="BE44" s="173">
        <f t="shared" si="202"/>
        <v>0</v>
      </c>
      <c r="BF44" s="173">
        <f t="shared" si="203"/>
        <v>-2277.1999999999998</v>
      </c>
      <c r="BG44" s="173">
        <f t="shared" si="204"/>
        <v>-6.8000000000001819</v>
      </c>
      <c r="BH44" s="175">
        <f t="shared" si="205"/>
        <v>-0.8</v>
      </c>
      <c r="BI44" s="173">
        <f t="shared" si="206"/>
        <v>0</v>
      </c>
      <c r="BJ44" s="173">
        <f t="shared" si="207"/>
        <v>0</v>
      </c>
      <c r="BK44" s="173">
        <f t="shared" si="208"/>
        <v>0</v>
      </c>
      <c r="BL44" s="178">
        <v>0</v>
      </c>
      <c r="BM44" s="176">
        <v>0</v>
      </c>
      <c r="BN44" s="176">
        <v>0</v>
      </c>
      <c r="BO44" s="176">
        <v>0</v>
      </c>
      <c r="BP44" s="178">
        <v>0</v>
      </c>
      <c r="BQ44" s="176">
        <v>0</v>
      </c>
      <c r="BR44" s="176">
        <v>0</v>
      </c>
      <c r="BS44" s="176">
        <v>0</v>
      </c>
      <c r="BT44" s="178">
        <v>0</v>
      </c>
      <c r="BU44" s="176">
        <v>0</v>
      </c>
      <c r="BV44" s="176">
        <v>0</v>
      </c>
      <c r="BW44" s="176">
        <v>0</v>
      </c>
      <c r="BX44" s="21"/>
      <c r="BY44" s="173">
        <f t="shared" si="211"/>
        <v>0</v>
      </c>
      <c r="BZ44" s="173">
        <f t="shared" si="212"/>
        <v>0</v>
      </c>
      <c r="CA44" s="173">
        <f t="shared" si="213"/>
        <v>0</v>
      </c>
      <c r="CB44" s="173">
        <f t="shared" si="214"/>
        <v>0</v>
      </c>
      <c r="CC44" s="173">
        <f t="shared" si="215"/>
        <v>-147</v>
      </c>
      <c r="CD44" s="173">
        <f t="shared" si="216"/>
        <v>183.1</v>
      </c>
      <c r="CE44" s="173">
        <f t="shared" si="217"/>
        <v>-16.7</v>
      </c>
      <c r="CF44" s="173">
        <f t="shared" si="218"/>
        <v>-91</v>
      </c>
      <c r="CG44" s="173">
        <f t="shared" si="219"/>
        <v>-17.899999999999999</v>
      </c>
      <c r="CH44" s="173">
        <f t="shared" si="220"/>
        <v>0</v>
      </c>
      <c r="CI44" s="173">
        <f t="shared" si="227"/>
        <v>0</v>
      </c>
      <c r="CJ44" s="173">
        <f t="shared" si="221"/>
        <v>-423.69999999999993</v>
      </c>
      <c r="CK44" s="173">
        <f t="shared" si="222"/>
        <v>-31.300000000000004</v>
      </c>
      <c r="CL44" s="173">
        <f t="shared" si="223"/>
        <v>-2284</v>
      </c>
      <c r="CM44" s="173">
        <f t="shared" si="224"/>
        <v>-0.8</v>
      </c>
      <c r="CN44" s="173">
        <f t="shared" si="225"/>
        <v>0</v>
      </c>
      <c r="CO44" s="173">
        <f t="shared" si="228"/>
        <v>0</v>
      </c>
      <c r="CP44" s="174">
        <f t="shared" si="226"/>
        <v>0</v>
      </c>
      <c r="CQ44" s="22"/>
    </row>
    <row r="45" spans="1:95" ht="14.25" customHeight="1">
      <c r="A45" s="9"/>
      <c r="B45" s="25" t="str">
        <f t="shared" si="147"/>
        <v>Proceeds from held-to-maturity securities</v>
      </c>
      <c r="C45" s="26"/>
      <c r="D45" s="175">
        <f t="shared" si="149"/>
        <v>0</v>
      </c>
      <c r="E45" s="173">
        <f t="shared" si="150"/>
        <v>0</v>
      </c>
      <c r="F45" s="173">
        <f t="shared" si="151"/>
        <v>0</v>
      </c>
      <c r="G45" s="173">
        <f t="shared" si="152"/>
        <v>0</v>
      </c>
      <c r="H45" s="175">
        <f t="shared" si="153"/>
        <v>0</v>
      </c>
      <c r="I45" s="173">
        <f t="shared" si="154"/>
        <v>0</v>
      </c>
      <c r="J45" s="173">
        <f t="shared" si="155"/>
        <v>2.2999999999999998</v>
      </c>
      <c r="K45" s="173">
        <f t="shared" si="156"/>
        <v>6.5000000000000009</v>
      </c>
      <c r="L45" s="175">
        <f t="shared" si="157"/>
        <v>8.3000000000000007</v>
      </c>
      <c r="M45" s="173">
        <f t="shared" si="158"/>
        <v>15.8</v>
      </c>
      <c r="N45" s="173">
        <f t="shared" si="159"/>
        <v>11.199999999999996</v>
      </c>
      <c r="O45" s="173">
        <f t="shared" si="160"/>
        <v>0</v>
      </c>
      <c r="P45" s="175">
        <f t="shared" si="161"/>
        <v>0</v>
      </c>
      <c r="Q45" s="173">
        <f t="shared" si="162"/>
        <v>0</v>
      </c>
      <c r="R45" s="173">
        <f t="shared" si="163"/>
        <v>0</v>
      </c>
      <c r="S45" s="173">
        <f t="shared" si="164"/>
        <v>35.4</v>
      </c>
      <c r="T45" s="175">
        <f t="shared" si="165"/>
        <v>0</v>
      </c>
      <c r="U45" s="173">
        <f t="shared" si="166"/>
        <v>0</v>
      </c>
      <c r="V45" s="173">
        <f t="shared" si="167"/>
        <v>0</v>
      </c>
      <c r="W45" s="173">
        <f t="shared" si="168"/>
        <v>0</v>
      </c>
      <c r="X45" s="175">
        <f t="shared" si="169"/>
        <v>0</v>
      </c>
      <c r="Y45" s="173">
        <f t="shared" si="170"/>
        <v>0</v>
      </c>
      <c r="Z45" s="173">
        <f t="shared" si="171"/>
        <v>0</v>
      </c>
      <c r="AA45" s="173">
        <f t="shared" si="172"/>
        <v>0</v>
      </c>
      <c r="AB45" s="175">
        <f t="shared" si="173"/>
        <v>0</v>
      </c>
      <c r="AC45" s="173">
        <f t="shared" si="174"/>
        <v>0</v>
      </c>
      <c r="AD45" s="173">
        <f t="shared" si="175"/>
        <v>14.9</v>
      </c>
      <c r="AE45" s="173">
        <f t="shared" si="176"/>
        <v>37.5</v>
      </c>
      <c r="AF45" s="175">
        <f t="shared" si="177"/>
        <v>45.5</v>
      </c>
      <c r="AG45" s="173">
        <f t="shared" si="178"/>
        <v>0</v>
      </c>
      <c r="AH45" s="173">
        <f t="shared" si="179"/>
        <v>0</v>
      </c>
      <c r="AI45" s="173">
        <f t="shared" si="180"/>
        <v>0</v>
      </c>
      <c r="AJ45" s="175">
        <f t="shared" si="181"/>
        <v>0</v>
      </c>
      <c r="AK45" s="173">
        <f t="shared" si="182"/>
        <v>0</v>
      </c>
      <c r="AL45" s="173">
        <f t="shared" si="183"/>
        <v>0</v>
      </c>
      <c r="AM45" s="173">
        <f t="shared" si="184"/>
        <v>122.2</v>
      </c>
      <c r="AN45" s="175">
        <f t="shared" si="185"/>
        <v>99.7</v>
      </c>
      <c r="AO45" s="173">
        <f t="shared" si="186"/>
        <v>132.89999999999998</v>
      </c>
      <c r="AP45" s="173">
        <f t="shared" si="187"/>
        <v>56.100000000000023</v>
      </c>
      <c r="AQ45" s="173">
        <f t="shared" si="188"/>
        <v>88.900000000000034</v>
      </c>
      <c r="AR45" s="175">
        <f t="shared" si="189"/>
        <v>73.5</v>
      </c>
      <c r="AS45" s="173">
        <f t="shared" si="190"/>
        <v>50.7</v>
      </c>
      <c r="AT45" s="173">
        <f t="shared" si="191"/>
        <v>31.499999999999986</v>
      </c>
      <c r="AU45" s="173">
        <f t="shared" si="192"/>
        <v>68.600000000000023</v>
      </c>
      <c r="AV45" s="175">
        <f t="shared" si="193"/>
        <v>63.5</v>
      </c>
      <c r="AW45" s="173">
        <f t="shared" si="194"/>
        <v>52.7</v>
      </c>
      <c r="AX45" s="173">
        <f t="shared" si="195"/>
        <v>0</v>
      </c>
      <c r="AY45" s="173">
        <f t="shared" si="196"/>
        <v>0.70000000000000284</v>
      </c>
      <c r="AZ45" s="175">
        <f t="shared" si="197"/>
        <v>1.5</v>
      </c>
      <c r="BA45" s="173">
        <f t="shared" si="198"/>
        <v>0.5</v>
      </c>
      <c r="BB45" s="173">
        <f t="shared" si="199"/>
        <v>0</v>
      </c>
      <c r="BC45" s="173">
        <f t="shared" si="200"/>
        <v>0.79999999999999982</v>
      </c>
      <c r="BD45" s="175">
        <f t="shared" si="201"/>
        <v>0</v>
      </c>
      <c r="BE45" s="173">
        <f t="shared" si="202"/>
        <v>0</v>
      </c>
      <c r="BF45" s="173">
        <f t="shared" si="203"/>
        <v>0</v>
      </c>
      <c r="BG45" s="173">
        <f t="shared" si="204"/>
        <v>0</v>
      </c>
      <c r="BH45" s="175">
        <f t="shared" si="205"/>
        <v>0</v>
      </c>
      <c r="BI45" s="173">
        <f t="shared" si="206"/>
        <v>0</v>
      </c>
      <c r="BJ45" s="173">
        <f t="shared" si="207"/>
        <v>0</v>
      </c>
      <c r="BK45" s="173">
        <f t="shared" si="208"/>
        <v>0</v>
      </c>
      <c r="BL45" s="178">
        <v>0</v>
      </c>
      <c r="BM45" s="176">
        <v>0</v>
      </c>
      <c r="BN45" s="176">
        <v>0</v>
      </c>
      <c r="BO45" s="176">
        <v>0</v>
      </c>
      <c r="BP45" s="178">
        <v>0</v>
      </c>
      <c r="BQ45" s="176">
        <v>0</v>
      </c>
      <c r="BR45" s="176">
        <v>0</v>
      </c>
      <c r="BS45" s="176">
        <v>0</v>
      </c>
      <c r="BT45" s="178">
        <v>0</v>
      </c>
      <c r="BU45" s="176">
        <v>0</v>
      </c>
      <c r="BV45" s="176">
        <v>0</v>
      </c>
      <c r="BW45" s="176">
        <v>0</v>
      </c>
      <c r="BX45" s="21"/>
      <c r="BY45" s="173">
        <f t="shared" si="211"/>
        <v>0</v>
      </c>
      <c r="BZ45" s="173">
        <f t="shared" si="212"/>
        <v>8.8000000000000007</v>
      </c>
      <c r="CA45" s="173">
        <f t="shared" si="213"/>
        <v>35.299999999999997</v>
      </c>
      <c r="CB45" s="173">
        <f t="shared" si="214"/>
        <v>35.4</v>
      </c>
      <c r="CC45" s="173">
        <f t="shared" si="215"/>
        <v>0</v>
      </c>
      <c r="CD45" s="173">
        <f t="shared" si="216"/>
        <v>0</v>
      </c>
      <c r="CE45" s="173">
        <f t="shared" si="217"/>
        <v>52.4</v>
      </c>
      <c r="CF45" s="173">
        <f t="shared" si="218"/>
        <v>45.5</v>
      </c>
      <c r="CG45" s="173">
        <f t="shared" si="219"/>
        <v>122.2</v>
      </c>
      <c r="CH45" s="173">
        <f t="shared" si="220"/>
        <v>377.6</v>
      </c>
      <c r="CI45" s="173">
        <f t="shared" si="227"/>
        <v>224.3</v>
      </c>
      <c r="CJ45" s="173">
        <f t="shared" si="221"/>
        <v>116.9</v>
      </c>
      <c r="CK45" s="173">
        <f t="shared" si="222"/>
        <v>2.8</v>
      </c>
      <c r="CL45" s="173">
        <f t="shared" si="223"/>
        <v>0</v>
      </c>
      <c r="CM45" s="173">
        <f t="shared" si="224"/>
        <v>0</v>
      </c>
      <c r="CN45" s="173">
        <f t="shared" si="225"/>
        <v>0</v>
      </c>
      <c r="CO45" s="173">
        <f t="shared" si="228"/>
        <v>0</v>
      </c>
      <c r="CP45" s="174">
        <f t="shared" si="226"/>
        <v>0</v>
      </c>
      <c r="CQ45" s="22"/>
    </row>
    <row r="46" spans="1:95" ht="14.25" customHeight="1">
      <c r="A46" s="9"/>
      <c r="B46" s="25" t="str">
        <f t="shared" si="147"/>
        <v>Purchase of held-to-maturity securities</v>
      </c>
      <c r="C46" s="26"/>
      <c r="D46" s="175">
        <f t="shared" si="149"/>
        <v>0</v>
      </c>
      <c r="E46" s="173">
        <f t="shared" si="150"/>
        <v>0</v>
      </c>
      <c r="F46" s="173">
        <f t="shared" si="151"/>
        <v>0</v>
      </c>
      <c r="G46" s="173">
        <f t="shared" si="152"/>
        <v>0</v>
      </c>
      <c r="H46" s="175">
        <f t="shared" si="153"/>
        <v>-0.5</v>
      </c>
      <c r="I46" s="173">
        <f t="shared" si="154"/>
        <v>-23.7</v>
      </c>
      <c r="J46" s="173">
        <f t="shared" si="155"/>
        <v>-16.599999999999998</v>
      </c>
      <c r="K46" s="173">
        <f t="shared" si="156"/>
        <v>0</v>
      </c>
      <c r="L46" s="175">
        <f t="shared" si="157"/>
        <v>-2.1</v>
      </c>
      <c r="M46" s="173">
        <f t="shared" si="158"/>
        <v>0</v>
      </c>
      <c r="N46" s="173">
        <f t="shared" si="159"/>
        <v>0</v>
      </c>
      <c r="O46" s="173">
        <f t="shared" si="160"/>
        <v>0</v>
      </c>
      <c r="P46" s="175">
        <f t="shared" si="161"/>
        <v>0</v>
      </c>
      <c r="Q46" s="173">
        <f t="shared" si="162"/>
        <v>0</v>
      </c>
      <c r="R46" s="173">
        <f t="shared" si="163"/>
        <v>-35.4</v>
      </c>
      <c r="S46" s="173">
        <f t="shared" si="164"/>
        <v>0</v>
      </c>
      <c r="T46" s="175">
        <f t="shared" si="165"/>
        <v>0</v>
      </c>
      <c r="U46" s="173">
        <f t="shared" si="166"/>
        <v>0</v>
      </c>
      <c r="V46" s="173">
        <f t="shared" si="167"/>
        <v>0</v>
      </c>
      <c r="W46" s="173">
        <f t="shared" si="168"/>
        <v>0</v>
      </c>
      <c r="X46" s="175">
        <f t="shared" si="169"/>
        <v>0</v>
      </c>
      <c r="Y46" s="173">
        <f t="shared" si="170"/>
        <v>0</v>
      </c>
      <c r="Z46" s="173">
        <f t="shared" si="171"/>
        <v>0</v>
      </c>
      <c r="AA46" s="173">
        <f t="shared" si="172"/>
        <v>0</v>
      </c>
      <c r="AB46" s="175">
        <f t="shared" si="173"/>
        <v>0</v>
      </c>
      <c r="AC46" s="173">
        <f t="shared" si="174"/>
        <v>0</v>
      </c>
      <c r="AD46" s="173">
        <f t="shared" si="175"/>
        <v>-89.9</v>
      </c>
      <c r="AE46" s="173">
        <f t="shared" si="176"/>
        <v>-8</v>
      </c>
      <c r="AF46" s="175">
        <f t="shared" si="177"/>
        <v>0</v>
      </c>
      <c r="AG46" s="173">
        <f t="shared" si="178"/>
        <v>0</v>
      </c>
      <c r="AH46" s="173">
        <f t="shared" si="179"/>
        <v>0</v>
      </c>
      <c r="AI46" s="173">
        <f t="shared" si="180"/>
        <v>0</v>
      </c>
      <c r="AJ46" s="175">
        <f t="shared" si="181"/>
        <v>0</v>
      </c>
      <c r="AK46" s="173">
        <f t="shared" si="182"/>
        <v>-112.2</v>
      </c>
      <c r="AL46" s="173">
        <f t="shared" si="183"/>
        <v>-66.2</v>
      </c>
      <c r="AM46" s="173">
        <f t="shared" si="184"/>
        <v>-192.40000000000003</v>
      </c>
      <c r="AN46" s="175">
        <f t="shared" si="185"/>
        <v>-163.30000000000001</v>
      </c>
      <c r="AO46" s="173">
        <f t="shared" si="186"/>
        <v>-59.299999999999983</v>
      </c>
      <c r="AP46" s="173">
        <f t="shared" si="187"/>
        <v>-39.099999999999994</v>
      </c>
      <c r="AQ46" s="173">
        <f t="shared" si="188"/>
        <v>-12.100000000000023</v>
      </c>
      <c r="AR46" s="175">
        <f t="shared" si="189"/>
        <v>-6</v>
      </c>
      <c r="AS46" s="173">
        <f t="shared" si="190"/>
        <v>-156.30000000000001</v>
      </c>
      <c r="AT46" s="173">
        <f t="shared" si="191"/>
        <v>-32.699999999999989</v>
      </c>
      <c r="AU46" s="173">
        <f t="shared" si="192"/>
        <v>-0.69999999999998863</v>
      </c>
      <c r="AV46" s="175">
        <f t="shared" si="193"/>
        <v>-2.2999999999999998</v>
      </c>
      <c r="AW46" s="173">
        <f t="shared" si="194"/>
        <v>0</v>
      </c>
      <c r="AX46" s="173">
        <f t="shared" si="195"/>
        <v>-0.5</v>
      </c>
      <c r="AY46" s="173">
        <f t="shared" si="196"/>
        <v>-10</v>
      </c>
      <c r="AZ46" s="175">
        <f t="shared" si="197"/>
        <v>-0.8</v>
      </c>
      <c r="BA46" s="173">
        <f t="shared" si="198"/>
        <v>0.10000000000000009</v>
      </c>
      <c r="BB46" s="173">
        <f t="shared" si="199"/>
        <v>-0.10000000000000009</v>
      </c>
      <c r="BC46" s="173">
        <f t="shared" si="200"/>
        <v>0</v>
      </c>
      <c r="BD46" s="175">
        <f t="shared" si="201"/>
        <v>0</v>
      </c>
      <c r="BE46" s="173">
        <f t="shared" si="202"/>
        <v>0</v>
      </c>
      <c r="BF46" s="173">
        <f t="shared" si="203"/>
        <v>0</v>
      </c>
      <c r="BG46" s="173">
        <f t="shared" si="204"/>
        <v>0</v>
      </c>
      <c r="BH46" s="175">
        <f t="shared" si="205"/>
        <v>-1.6</v>
      </c>
      <c r="BI46" s="173">
        <f t="shared" si="206"/>
        <v>0</v>
      </c>
      <c r="BJ46" s="173">
        <f t="shared" si="207"/>
        <v>0</v>
      </c>
      <c r="BK46" s="173">
        <f t="shared" si="208"/>
        <v>1.6</v>
      </c>
      <c r="BL46" s="178">
        <v>0</v>
      </c>
      <c r="BM46" s="176">
        <v>0</v>
      </c>
      <c r="BN46" s="176">
        <v>0</v>
      </c>
      <c r="BO46" s="176">
        <v>0</v>
      </c>
      <c r="BP46" s="178">
        <v>0</v>
      </c>
      <c r="BQ46" s="176">
        <v>0</v>
      </c>
      <c r="BR46" s="176">
        <v>0</v>
      </c>
      <c r="BS46" s="176">
        <v>0</v>
      </c>
      <c r="BT46" s="178">
        <v>0</v>
      </c>
      <c r="BU46" s="176">
        <v>0</v>
      </c>
      <c r="BV46" s="176">
        <v>0</v>
      </c>
      <c r="BW46" s="176">
        <v>0</v>
      </c>
      <c r="BX46" s="21"/>
      <c r="BY46" s="173">
        <f t="shared" si="211"/>
        <v>0</v>
      </c>
      <c r="BZ46" s="173">
        <f t="shared" si="212"/>
        <v>-40.799999999999997</v>
      </c>
      <c r="CA46" s="173">
        <f t="shared" si="213"/>
        <v>-2.1</v>
      </c>
      <c r="CB46" s="173">
        <f t="shared" si="214"/>
        <v>-35.4</v>
      </c>
      <c r="CC46" s="173">
        <f t="shared" si="215"/>
        <v>0</v>
      </c>
      <c r="CD46" s="173">
        <f t="shared" si="216"/>
        <v>0</v>
      </c>
      <c r="CE46" s="173">
        <f t="shared" si="217"/>
        <v>-97.9</v>
      </c>
      <c r="CF46" s="173">
        <f t="shared" si="218"/>
        <v>0</v>
      </c>
      <c r="CG46" s="173">
        <f t="shared" si="219"/>
        <v>-370.80000000000007</v>
      </c>
      <c r="CH46" s="173">
        <f t="shared" si="220"/>
        <v>-273.8</v>
      </c>
      <c r="CI46" s="173">
        <f t="shared" si="227"/>
        <v>-195.7</v>
      </c>
      <c r="CJ46" s="173">
        <f t="shared" si="221"/>
        <v>-12.8</v>
      </c>
      <c r="CK46" s="173">
        <f t="shared" si="222"/>
        <v>-0.8</v>
      </c>
      <c r="CL46" s="173">
        <f t="shared" si="223"/>
        <v>0</v>
      </c>
      <c r="CM46" s="173">
        <f t="shared" si="224"/>
        <v>0</v>
      </c>
      <c r="CN46" s="173">
        <f t="shared" si="225"/>
        <v>0</v>
      </c>
      <c r="CO46" s="173">
        <f t="shared" si="228"/>
        <v>0</v>
      </c>
      <c r="CP46" s="174">
        <f t="shared" si="226"/>
        <v>0</v>
      </c>
      <c r="CQ46" s="22"/>
    </row>
    <row r="47" spans="1:95" ht="14.25" customHeight="1">
      <c r="A47" s="9"/>
      <c r="B47" s="25" t="str">
        <f>B157</f>
        <v>Change in restricted cash</v>
      </c>
      <c r="C47" s="26"/>
      <c r="D47" s="175">
        <f>D157</f>
        <v>0</v>
      </c>
      <c r="E47" s="173">
        <f t="shared" si="150"/>
        <v>0</v>
      </c>
      <c r="F47" s="173">
        <f t="shared" si="151"/>
        <v>0</v>
      </c>
      <c r="G47" s="173">
        <f t="shared" si="152"/>
        <v>0</v>
      </c>
      <c r="H47" s="175">
        <f>H157</f>
        <v>0</v>
      </c>
      <c r="I47" s="173">
        <f t="shared" si="154"/>
        <v>0</v>
      </c>
      <c r="J47" s="173">
        <f t="shared" si="155"/>
        <v>0</v>
      </c>
      <c r="K47" s="173">
        <f t="shared" si="156"/>
        <v>0</v>
      </c>
      <c r="L47" s="175">
        <f>L157</f>
        <v>0</v>
      </c>
      <c r="M47" s="173">
        <f t="shared" si="158"/>
        <v>0</v>
      </c>
      <c r="N47" s="173">
        <f t="shared" si="159"/>
        <v>0</v>
      </c>
      <c r="O47" s="173">
        <f t="shared" si="160"/>
        <v>0</v>
      </c>
      <c r="P47" s="175">
        <f>P157</f>
        <v>0</v>
      </c>
      <c r="Q47" s="173">
        <f t="shared" si="162"/>
        <v>0</v>
      </c>
      <c r="R47" s="173">
        <f t="shared" si="163"/>
        <v>0</v>
      </c>
      <c r="S47" s="173">
        <f t="shared" si="164"/>
        <v>0</v>
      </c>
      <c r="T47" s="175">
        <f>T157</f>
        <v>0</v>
      </c>
      <c r="U47" s="173">
        <f t="shared" si="166"/>
        <v>0</v>
      </c>
      <c r="V47" s="173">
        <f t="shared" si="167"/>
        <v>0</v>
      </c>
      <c r="W47" s="173">
        <f t="shared" si="168"/>
        <v>0</v>
      </c>
      <c r="X47" s="175">
        <f>X157</f>
        <v>0</v>
      </c>
      <c r="Y47" s="173">
        <f t="shared" si="170"/>
        <v>0</v>
      </c>
      <c r="Z47" s="173">
        <f t="shared" si="171"/>
        <v>0</v>
      </c>
      <c r="AA47" s="173">
        <f t="shared" si="172"/>
        <v>0</v>
      </c>
      <c r="AB47" s="175">
        <f>AB157</f>
        <v>0</v>
      </c>
      <c r="AC47" s="173">
        <f t="shared" si="174"/>
        <v>0</v>
      </c>
      <c r="AD47" s="173">
        <f t="shared" si="175"/>
        <v>0</v>
      </c>
      <c r="AE47" s="173">
        <f t="shared" si="176"/>
        <v>-5.9</v>
      </c>
      <c r="AF47" s="175">
        <f>AF157</f>
        <v>0</v>
      </c>
      <c r="AG47" s="173">
        <f t="shared" si="178"/>
        <v>0</v>
      </c>
      <c r="AH47" s="173">
        <f t="shared" si="179"/>
        <v>0</v>
      </c>
      <c r="AI47" s="173">
        <f t="shared" si="180"/>
        <v>-136.19999999999999</v>
      </c>
      <c r="AJ47" s="175">
        <f>AJ157</f>
        <v>142.1</v>
      </c>
      <c r="AK47" s="173">
        <f t="shared" si="182"/>
        <v>0</v>
      </c>
      <c r="AL47" s="173">
        <f t="shared" si="183"/>
        <v>0</v>
      </c>
      <c r="AM47" s="173">
        <f t="shared" si="184"/>
        <v>0</v>
      </c>
      <c r="AN47" s="175">
        <f>AN157</f>
        <v>0</v>
      </c>
      <c r="AO47" s="173">
        <f t="shared" si="186"/>
        <v>0</v>
      </c>
      <c r="AP47" s="173">
        <f t="shared" si="187"/>
        <v>0</v>
      </c>
      <c r="AQ47" s="173">
        <f t="shared" si="188"/>
        <v>0</v>
      </c>
      <c r="AR47" s="175">
        <f>AR157</f>
        <v>0</v>
      </c>
      <c r="AS47" s="173">
        <f t="shared" si="190"/>
        <v>0</v>
      </c>
      <c r="AT47" s="173">
        <f t="shared" si="191"/>
        <v>0</v>
      </c>
      <c r="AU47" s="173">
        <f t="shared" si="192"/>
        <v>0</v>
      </c>
      <c r="AV47" s="175">
        <f>AV157</f>
        <v>0</v>
      </c>
      <c r="AW47" s="173">
        <f t="shared" si="194"/>
        <v>0</v>
      </c>
      <c r="AX47" s="173">
        <f t="shared" si="195"/>
        <v>0</v>
      </c>
      <c r="AY47" s="173">
        <f t="shared" si="196"/>
        <v>0</v>
      </c>
      <c r="AZ47" s="175">
        <f>AZ157</f>
        <v>0</v>
      </c>
      <c r="BA47" s="173">
        <f t="shared" si="198"/>
        <v>0</v>
      </c>
      <c r="BB47" s="173">
        <f t="shared" si="199"/>
        <v>0</v>
      </c>
      <c r="BC47" s="173">
        <f t="shared" si="200"/>
        <v>0</v>
      </c>
      <c r="BD47" s="175">
        <f>BD157</f>
        <v>0</v>
      </c>
      <c r="BE47" s="173">
        <f t="shared" si="202"/>
        <v>0</v>
      </c>
      <c r="BF47" s="173">
        <f t="shared" si="203"/>
        <v>0</v>
      </c>
      <c r="BG47" s="173">
        <f t="shared" si="204"/>
        <v>0</v>
      </c>
      <c r="BH47" s="175">
        <f>BH157</f>
        <v>0</v>
      </c>
      <c r="BI47" s="173">
        <f t="shared" si="206"/>
        <v>0</v>
      </c>
      <c r="BJ47" s="173">
        <f t="shared" si="207"/>
        <v>0</v>
      </c>
      <c r="BK47" s="173">
        <f t="shared" si="208"/>
        <v>0</v>
      </c>
      <c r="BL47" s="178">
        <v>0</v>
      </c>
      <c r="BM47" s="176">
        <v>0</v>
      </c>
      <c r="BN47" s="176">
        <v>0</v>
      </c>
      <c r="BO47" s="176">
        <v>0</v>
      </c>
      <c r="BP47" s="178">
        <v>0</v>
      </c>
      <c r="BQ47" s="176">
        <v>0</v>
      </c>
      <c r="BR47" s="176">
        <v>0</v>
      </c>
      <c r="BS47" s="176">
        <v>0</v>
      </c>
      <c r="BT47" s="178">
        <v>0</v>
      </c>
      <c r="BU47" s="176">
        <v>0</v>
      </c>
      <c r="BV47" s="176">
        <v>0</v>
      </c>
      <c r="BW47" s="176">
        <v>0</v>
      </c>
      <c r="BX47" s="21"/>
      <c r="BY47" s="173">
        <f t="shared" si="211"/>
        <v>0</v>
      </c>
      <c r="BZ47" s="173">
        <f t="shared" si="212"/>
        <v>0</v>
      </c>
      <c r="CA47" s="173">
        <f t="shared" si="213"/>
        <v>0</v>
      </c>
      <c r="CB47" s="173">
        <f t="shared" si="214"/>
        <v>0</v>
      </c>
      <c r="CC47" s="173">
        <f t="shared" si="215"/>
        <v>0</v>
      </c>
      <c r="CD47" s="173">
        <f t="shared" si="216"/>
        <v>0</v>
      </c>
      <c r="CE47" s="173">
        <f t="shared" si="217"/>
        <v>-5.9</v>
      </c>
      <c r="CF47" s="173">
        <f t="shared" si="218"/>
        <v>-136.19999999999999</v>
      </c>
      <c r="CG47" s="173">
        <f t="shared" si="219"/>
        <v>142.1</v>
      </c>
      <c r="CH47" s="173">
        <f t="shared" si="220"/>
        <v>0</v>
      </c>
      <c r="CI47" s="173">
        <f t="shared" si="227"/>
        <v>0</v>
      </c>
      <c r="CJ47" s="173">
        <f t="shared" si="221"/>
        <v>0</v>
      </c>
      <c r="CK47" s="173">
        <f t="shared" si="222"/>
        <v>0</v>
      </c>
      <c r="CL47" s="173">
        <f t="shared" si="223"/>
        <v>0</v>
      </c>
      <c r="CM47" s="173">
        <f t="shared" si="224"/>
        <v>0</v>
      </c>
      <c r="CN47" s="173">
        <f t="shared" si="225"/>
        <v>0</v>
      </c>
      <c r="CO47" s="173">
        <f t="shared" si="228"/>
        <v>0</v>
      </c>
      <c r="CP47" s="174">
        <f t="shared" si="226"/>
        <v>0</v>
      </c>
      <c r="CQ47" s="22"/>
    </row>
    <row r="48" spans="1:95" ht="14.25" customHeight="1">
      <c r="A48" s="12"/>
      <c r="B48" s="25" t="str">
        <f>B158</f>
        <v>Other investing activities</v>
      </c>
      <c r="C48" s="26"/>
      <c r="D48" s="175">
        <f>D158</f>
        <v>0</v>
      </c>
      <c r="E48" s="173">
        <f t="shared" si="150"/>
        <v>-1.8</v>
      </c>
      <c r="F48" s="173">
        <f t="shared" si="151"/>
        <v>0</v>
      </c>
      <c r="G48" s="173">
        <f t="shared" si="152"/>
        <v>0</v>
      </c>
      <c r="H48" s="175">
        <f>H158</f>
        <v>-29</v>
      </c>
      <c r="I48" s="173">
        <f t="shared" si="154"/>
        <v>-35.199999999999989</v>
      </c>
      <c r="J48" s="173">
        <f t="shared" si="155"/>
        <v>15.700000000000003</v>
      </c>
      <c r="K48" s="173">
        <f t="shared" si="156"/>
        <v>0.9000000000000199</v>
      </c>
      <c r="L48" s="175">
        <f>L158</f>
        <v>47.8</v>
      </c>
      <c r="M48" s="173">
        <f t="shared" si="158"/>
        <v>0</v>
      </c>
      <c r="N48" s="173">
        <f t="shared" si="159"/>
        <v>0</v>
      </c>
      <c r="O48" s="173">
        <f t="shared" si="160"/>
        <v>-0.60000000000000142</v>
      </c>
      <c r="P48" s="175">
        <f>P158</f>
        <v>2.2999999999999998</v>
      </c>
      <c r="Q48" s="173">
        <f t="shared" si="162"/>
        <v>-11.900000000000002</v>
      </c>
      <c r="R48" s="173">
        <f t="shared" si="163"/>
        <v>-9.1999999999999993</v>
      </c>
      <c r="S48" s="173">
        <f t="shared" si="164"/>
        <v>7.9000000000000021</v>
      </c>
      <c r="T48" s="175">
        <f>T158</f>
        <v>0</v>
      </c>
      <c r="U48" s="173">
        <f t="shared" si="166"/>
        <v>0</v>
      </c>
      <c r="V48" s="173">
        <f t="shared" si="167"/>
        <v>-1.5</v>
      </c>
      <c r="W48" s="173">
        <f t="shared" si="168"/>
        <v>0</v>
      </c>
      <c r="X48" s="175">
        <f>X158</f>
        <v>0</v>
      </c>
      <c r="Y48" s="173">
        <f t="shared" si="170"/>
        <v>0</v>
      </c>
      <c r="Z48" s="173">
        <f t="shared" si="171"/>
        <v>0</v>
      </c>
      <c r="AA48" s="173">
        <f t="shared" si="172"/>
        <v>0</v>
      </c>
      <c r="AB48" s="175">
        <f>AB158</f>
        <v>0</v>
      </c>
      <c r="AC48" s="173">
        <f t="shared" si="174"/>
        <v>0</v>
      </c>
      <c r="AD48" s="173">
        <f t="shared" si="175"/>
        <v>0</v>
      </c>
      <c r="AE48" s="173">
        <f t="shared" si="176"/>
        <v>0</v>
      </c>
      <c r="AF48" s="175">
        <f>AF158</f>
        <v>0</v>
      </c>
      <c r="AG48" s="173">
        <f t="shared" si="178"/>
        <v>0</v>
      </c>
      <c r="AH48" s="173">
        <f t="shared" si="179"/>
        <v>0</v>
      </c>
      <c r="AI48" s="173">
        <f t="shared" si="180"/>
        <v>0</v>
      </c>
      <c r="AJ48" s="175">
        <f>AJ158</f>
        <v>0</v>
      </c>
      <c r="AK48" s="173">
        <f t="shared" si="182"/>
        <v>0</v>
      </c>
      <c r="AL48" s="173">
        <f t="shared" si="183"/>
        <v>0</v>
      </c>
      <c r="AM48" s="173">
        <f t="shared" si="184"/>
        <v>0</v>
      </c>
      <c r="AN48" s="175">
        <f>AN158</f>
        <v>0</v>
      </c>
      <c r="AO48" s="173">
        <f t="shared" si="186"/>
        <v>0</v>
      </c>
      <c r="AP48" s="173">
        <f t="shared" si="187"/>
        <v>0</v>
      </c>
      <c r="AQ48" s="173">
        <f t="shared" si="188"/>
        <v>0</v>
      </c>
      <c r="AR48" s="175">
        <f>AR158</f>
        <v>0</v>
      </c>
      <c r="AS48" s="173">
        <f t="shared" si="190"/>
        <v>0</v>
      </c>
      <c r="AT48" s="173">
        <f t="shared" si="191"/>
        <v>0</v>
      </c>
      <c r="AU48" s="173">
        <f t="shared" si="192"/>
        <v>0</v>
      </c>
      <c r="AV48" s="175">
        <f>AV158</f>
        <v>0</v>
      </c>
      <c r="AW48" s="173">
        <f t="shared" si="194"/>
        <v>0</v>
      </c>
      <c r="AX48" s="173">
        <f t="shared" si="195"/>
        <v>-40</v>
      </c>
      <c r="AY48" s="173">
        <f t="shared" si="196"/>
        <v>-5.7999999999999972</v>
      </c>
      <c r="AZ48" s="175">
        <f>AZ158</f>
        <v>3.4</v>
      </c>
      <c r="BA48" s="173">
        <f t="shared" si="198"/>
        <v>1.5000000000000004</v>
      </c>
      <c r="BB48" s="173">
        <f t="shared" si="199"/>
        <v>-0.20000000000000018</v>
      </c>
      <c r="BC48" s="173">
        <f t="shared" si="200"/>
        <v>21.2</v>
      </c>
      <c r="BD48" s="175">
        <f>BD158</f>
        <v>0</v>
      </c>
      <c r="BE48" s="173">
        <f t="shared" si="202"/>
        <v>-66.7</v>
      </c>
      <c r="BF48" s="173">
        <f t="shared" si="203"/>
        <v>128.6</v>
      </c>
      <c r="BG48" s="173">
        <f t="shared" si="204"/>
        <v>0</v>
      </c>
      <c r="BH48" s="175">
        <f>BH158</f>
        <v>0</v>
      </c>
      <c r="BI48" s="173">
        <f t="shared" si="206"/>
        <v>0.3</v>
      </c>
      <c r="BJ48" s="173">
        <f t="shared" si="207"/>
        <v>20</v>
      </c>
      <c r="BK48" s="173">
        <f t="shared" si="208"/>
        <v>-2.6000000000000014</v>
      </c>
      <c r="BL48" s="178">
        <v>0</v>
      </c>
      <c r="BM48" s="176">
        <v>0</v>
      </c>
      <c r="BN48" s="176">
        <v>0</v>
      </c>
      <c r="BO48" s="176">
        <v>0</v>
      </c>
      <c r="BP48" s="178">
        <v>0</v>
      </c>
      <c r="BQ48" s="176">
        <v>0</v>
      </c>
      <c r="BR48" s="176">
        <v>0</v>
      </c>
      <c r="BS48" s="176">
        <v>0</v>
      </c>
      <c r="BT48" s="178">
        <v>0</v>
      </c>
      <c r="BU48" s="176">
        <v>0</v>
      </c>
      <c r="BV48" s="176">
        <v>0</v>
      </c>
      <c r="BW48" s="176">
        <v>0</v>
      </c>
      <c r="BX48" s="149"/>
      <c r="BY48" s="173">
        <f t="shared" si="211"/>
        <v>-1.8</v>
      </c>
      <c r="BZ48" s="173">
        <f t="shared" si="212"/>
        <v>-47.599999999999966</v>
      </c>
      <c r="CA48" s="173">
        <f t="shared" si="213"/>
        <v>47.199999999999996</v>
      </c>
      <c r="CB48" s="173">
        <f t="shared" si="214"/>
        <v>-10.899999999999999</v>
      </c>
      <c r="CC48" s="173">
        <f t="shared" si="215"/>
        <v>-1.5</v>
      </c>
      <c r="CD48" s="173">
        <f t="shared" si="216"/>
        <v>0</v>
      </c>
      <c r="CE48" s="173">
        <f t="shared" si="217"/>
        <v>0</v>
      </c>
      <c r="CF48" s="173">
        <f t="shared" si="218"/>
        <v>0</v>
      </c>
      <c r="CG48" s="173">
        <f t="shared" si="219"/>
        <v>0</v>
      </c>
      <c r="CH48" s="173">
        <f t="shared" si="220"/>
        <v>0</v>
      </c>
      <c r="CI48" s="173">
        <f t="shared" si="227"/>
        <v>0</v>
      </c>
      <c r="CJ48" s="173">
        <f t="shared" si="221"/>
        <v>-45.8</v>
      </c>
      <c r="CK48" s="173">
        <f t="shared" si="222"/>
        <v>25.9</v>
      </c>
      <c r="CL48" s="173">
        <f t="shared" si="223"/>
        <v>61.899999999999991</v>
      </c>
      <c r="CM48" s="173">
        <f t="shared" si="224"/>
        <v>17.7</v>
      </c>
      <c r="CN48" s="173">
        <f t="shared" si="225"/>
        <v>0</v>
      </c>
      <c r="CO48" s="173">
        <f t="shared" si="228"/>
        <v>0</v>
      </c>
      <c r="CP48" s="1137">
        <f t="shared" si="226"/>
        <v>0</v>
      </c>
      <c r="CQ48" s="23"/>
    </row>
    <row r="49" spans="1:95" ht="14.25" customHeight="1" thickBot="1">
      <c r="A49" s="9"/>
      <c r="B49" s="179" t="str">
        <f>B159</f>
        <v>Net cash used for investing activities</v>
      </c>
      <c r="C49" s="180"/>
      <c r="D49" s="182">
        <f t="shared" ref="D49:AI49" si="229">SUM(D40:D48)</f>
        <v>-6.2</v>
      </c>
      <c r="E49" s="181">
        <f t="shared" si="229"/>
        <v>-20.200000000000003</v>
      </c>
      <c r="F49" s="181">
        <f t="shared" si="229"/>
        <v>-3.6999999999999957</v>
      </c>
      <c r="G49" s="181">
        <f t="shared" si="229"/>
        <v>-25.099999999999994</v>
      </c>
      <c r="H49" s="182">
        <f t="shared" si="229"/>
        <v>-60.1</v>
      </c>
      <c r="I49" s="181">
        <f t="shared" si="229"/>
        <v>-73.199999999999989</v>
      </c>
      <c r="J49" s="181">
        <f t="shared" si="229"/>
        <v>-14.999999999999986</v>
      </c>
      <c r="K49" s="181">
        <f t="shared" si="229"/>
        <v>-2.2999999999999803</v>
      </c>
      <c r="L49" s="182">
        <f t="shared" si="229"/>
        <v>45.699999999999996</v>
      </c>
      <c r="M49" s="181">
        <f t="shared" si="229"/>
        <v>2.9000000000000004</v>
      </c>
      <c r="N49" s="181">
        <f t="shared" si="229"/>
        <v>-1.2000000000000028</v>
      </c>
      <c r="O49" s="181">
        <f t="shared" si="229"/>
        <v>-12.600000000000003</v>
      </c>
      <c r="P49" s="182">
        <f t="shared" si="229"/>
        <v>-30.8</v>
      </c>
      <c r="Q49" s="181">
        <f t="shared" si="229"/>
        <v>-112.49999999999999</v>
      </c>
      <c r="R49" s="181">
        <f t="shared" si="229"/>
        <v>-96.700000000000031</v>
      </c>
      <c r="S49" s="181">
        <f t="shared" si="229"/>
        <v>109.80000000000001</v>
      </c>
      <c r="T49" s="182">
        <f t="shared" si="229"/>
        <v>-43.199999999999996</v>
      </c>
      <c r="U49" s="181">
        <f t="shared" si="229"/>
        <v>-23.999999999999993</v>
      </c>
      <c r="V49" s="181">
        <f t="shared" si="229"/>
        <v>-33.000000000000014</v>
      </c>
      <c r="W49" s="181">
        <f t="shared" si="229"/>
        <v>-175.89999999999998</v>
      </c>
      <c r="X49" s="182">
        <f t="shared" si="229"/>
        <v>184.8</v>
      </c>
      <c r="Y49" s="181">
        <f t="shared" si="229"/>
        <v>-29.4</v>
      </c>
      <c r="Z49" s="181">
        <f t="shared" si="229"/>
        <v>-30.20000000000001</v>
      </c>
      <c r="AA49" s="181">
        <f t="shared" si="229"/>
        <v>2.5000000000000107</v>
      </c>
      <c r="AB49" s="182">
        <f t="shared" si="229"/>
        <v>-22.1</v>
      </c>
      <c r="AC49" s="181">
        <f t="shared" si="229"/>
        <v>-14.799999999999999</v>
      </c>
      <c r="AD49" s="181">
        <f t="shared" si="229"/>
        <v>-86.100000000000009</v>
      </c>
      <c r="AE49" s="181">
        <f t="shared" si="229"/>
        <v>-3.3000000000000025</v>
      </c>
      <c r="AF49" s="182">
        <f t="shared" si="229"/>
        <v>-63.199999999999989</v>
      </c>
      <c r="AG49" s="181">
        <f t="shared" si="229"/>
        <v>-75.900000000000006</v>
      </c>
      <c r="AH49" s="181">
        <f t="shared" si="229"/>
        <v>-51.199999999999996</v>
      </c>
      <c r="AI49" s="181">
        <f t="shared" si="229"/>
        <v>-145.4</v>
      </c>
      <c r="AJ49" s="182">
        <f t="shared" ref="AJ49:BO49" si="230">SUM(AJ40:AJ48)</f>
        <v>-4.2000000000000171</v>
      </c>
      <c r="AK49" s="181">
        <f t="shared" si="230"/>
        <v>-154</v>
      </c>
      <c r="AL49" s="181">
        <f t="shared" si="230"/>
        <v>-151.00000000000003</v>
      </c>
      <c r="AM49" s="181">
        <f t="shared" si="230"/>
        <v>-114.49999999999999</v>
      </c>
      <c r="AN49" s="182">
        <f t="shared" si="230"/>
        <v>-110.20000000000002</v>
      </c>
      <c r="AO49" s="181">
        <f t="shared" si="230"/>
        <v>16.399999999999977</v>
      </c>
      <c r="AP49" s="181">
        <f t="shared" si="230"/>
        <v>-59.799999999999969</v>
      </c>
      <c r="AQ49" s="181">
        <f t="shared" si="230"/>
        <v>20.200000000000017</v>
      </c>
      <c r="AR49" s="182">
        <f t="shared" si="230"/>
        <v>38</v>
      </c>
      <c r="AS49" s="181">
        <f t="shared" si="230"/>
        <v>-153.9</v>
      </c>
      <c r="AT49" s="181">
        <f t="shared" si="230"/>
        <v>-51.499999999999993</v>
      </c>
      <c r="AU49" s="181">
        <f t="shared" si="230"/>
        <v>49.200000000000045</v>
      </c>
      <c r="AV49" s="182">
        <f t="shared" si="230"/>
        <v>14.900000000000002</v>
      </c>
      <c r="AW49" s="181">
        <f t="shared" si="230"/>
        <v>-86.899999999999991</v>
      </c>
      <c r="AX49" s="181">
        <f t="shared" si="230"/>
        <v>-438.40000000000003</v>
      </c>
      <c r="AY49" s="181">
        <f t="shared" si="230"/>
        <v>-55.199999999999925</v>
      </c>
      <c r="AZ49" s="182">
        <f t="shared" si="230"/>
        <v>-54.199999999999996</v>
      </c>
      <c r="BA49" s="181">
        <f t="shared" si="230"/>
        <v>-72.500000000000014</v>
      </c>
      <c r="BB49" s="181">
        <f t="shared" si="230"/>
        <v>-71.699999999999989</v>
      </c>
      <c r="BC49" s="181">
        <f t="shared" si="230"/>
        <v>-66.100000000000009</v>
      </c>
      <c r="BD49" s="182">
        <f t="shared" si="230"/>
        <v>-70.800000000000011</v>
      </c>
      <c r="BE49" s="181">
        <f t="shared" si="230"/>
        <v>-118.2</v>
      </c>
      <c r="BF49" s="181">
        <f t="shared" si="230"/>
        <v>-2185.7999999999997</v>
      </c>
      <c r="BG49" s="181">
        <f t="shared" ref="BG49:BJ49" si="231">SUM(BG40:BG48)</f>
        <v>-59.800000000000161</v>
      </c>
      <c r="BH49" s="182">
        <f t="shared" si="231"/>
        <v>-55.1</v>
      </c>
      <c r="BI49" s="181">
        <f t="shared" si="231"/>
        <v>-65.800000000000011</v>
      </c>
      <c r="BJ49" s="181">
        <f t="shared" si="231"/>
        <v>-73.000000000000028</v>
      </c>
      <c r="BK49" s="181">
        <f t="shared" ref="BK49" si="232">SUM(BK40:BK48)</f>
        <v>-170.6</v>
      </c>
      <c r="BL49" s="182">
        <f t="shared" si="230"/>
        <v>-89.040705000000017</v>
      </c>
      <c r="BM49" s="181">
        <f t="shared" si="230"/>
        <v>-92.845055549999998</v>
      </c>
      <c r="BN49" s="181">
        <f t="shared" si="230"/>
        <v>-95.037860099000014</v>
      </c>
      <c r="BO49" s="181">
        <f t="shared" si="230"/>
        <v>-93.354025407369988</v>
      </c>
      <c r="BP49" s="182">
        <f t="shared" ref="BP49:BS49" si="233">SUM(BP40:BP48)</f>
        <v>-92.836095251633495</v>
      </c>
      <c r="BQ49" s="181">
        <f t="shared" si="233"/>
        <v>-96.30563445925884</v>
      </c>
      <c r="BR49" s="181">
        <f t="shared" si="233"/>
        <v>-98.39697193705932</v>
      </c>
      <c r="BS49" s="181">
        <f t="shared" si="233"/>
        <v>-96.687629342022163</v>
      </c>
      <c r="BT49" s="182">
        <f t="shared" ref="BT49:BW49" si="234">SUM(BT40:BT48)</f>
        <v>-96.290303397802418</v>
      </c>
      <c r="BU49" s="181">
        <f t="shared" si="234"/>
        <v>-99.880250757801861</v>
      </c>
      <c r="BV49" s="181">
        <f t="shared" si="234"/>
        <v>-101.95239349085935</v>
      </c>
      <c r="BW49" s="181">
        <f t="shared" si="234"/>
        <v>-100.2169727176336</v>
      </c>
      <c r="BX49" s="21"/>
      <c r="BY49" s="181">
        <f t="shared" ref="BY49:CN49" si="235">SUM(BY40:BY48)</f>
        <v>-55.199999999999989</v>
      </c>
      <c r="BZ49" s="181">
        <f t="shared" si="235"/>
        <v>-150.59999999999997</v>
      </c>
      <c r="CA49" s="181">
        <f t="shared" si="235"/>
        <v>34.79999999999999</v>
      </c>
      <c r="CB49" s="181">
        <f t="shared" si="235"/>
        <v>-130.20000000000005</v>
      </c>
      <c r="CC49" s="181">
        <f t="shared" si="235"/>
        <v>-276.10000000000002</v>
      </c>
      <c r="CD49" s="181">
        <f t="shared" si="235"/>
        <v>127.69999999999999</v>
      </c>
      <c r="CE49" s="181">
        <f t="shared" si="235"/>
        <v>-126.30000000000001</v>
      </c>
      <c r="CF49" s="181">
        <f t="shared" si="235"/>
        <v>-335.7</v>
      </c>
      <c r="CG49" s="181">
        <f t="shared" si="235"/>
        <v>-423.69999999999993</v>
      </c>
      <c r="CH49" s="181">
        <f t="shared" si="235"/>
        <v>-133.4</v>
      </c>
      <c r="CI49" s="181">
        <f t="shared" si="235"/>
        <v>-118.19999999999999</v>
      </c>
      <c r="CJ49" s="181">
        <f t="shared" si="235"/>
        <v>-565.59999999999991</v>
      </c>
      <c r="CK49" s="181">
        <f t="shared" si="235"/>
        <v>-264.5</v>
      </c>
      <c r="CL49" s="181">
        <f t="shared" si="235"/>
        <v>-2434.6</v>
      </c>
      <c r="CM49" s="181">
        <f t="shared" si="235"/>
        <v>-364.5</v>
      </c>
      <c r="CN49" s="181">
        <f t="shared" si="235"/>
        <v>-370.27764605637003</v>
      </c>
      <c r="CO49" s="181">
        <f t="shared" ref="CO49:CP49" si="236">SUM(CO40:CO48)</f>
        <v>-384.2263309899738</v>
      </c>
      <c r="CP49" s="188">
        <f t="shared" si="236"/>
        <v>-398.33992036409728</v>
      </c>
      <c r="CQ49" s="22"/>
    </row>
    <row r="50" spans="1:95" ht="14.25" customHeight="1" thickTop="1">
      <c r="A50" s="9"/>
      <c r="B50" s="23"/>
      <c r="C50" s="24"/>
      <c r="D50" s="173"/>
      <c r="E50" s="173"/>
      <c r="F50" s="173"/>
      <c r="G50" s="176"/>
      <c r="H50" s="175"/>
      <c r="I50" s="173"/>
      <c r="J50" s="173"/>
      <c r="K50" s="176"/>
      <c r="L50" s="175"/>
      <c r="M50" s="173"/>
      <c r="N50" s="173"/>
      <c r="O50" s="176"/>
      <c r="P50" s="175"/>
      <c r="Q50" s="173"/>
      <c r="R50" s="173"/>
      <c r="S50" s="176"/>
      <c r="T50" s="175"/>
      <c r="U50" s="173"/>
      <c r="V50" s="173"/>
      <c r="W50" s="176"/>
      <c r="X50" s="175"/>
      <c r="Y50" s="173"/>
      <c r="Z50" s="173"/>
      <c r="AA50" s="176"/>
      <c r="AB50" s="175"/>
      <c r="AC50" s="173"/>
      <c r="AD50" s="173"/>
      <c r="AE50" s="176"/>
      <c r="AF50" s="175"/>
      <c r="AG50" s="173"/>
      <c r="AH50" s="173"/>
      <c r="AI50" s="176"/>
      <c r="AJ50" s="175"/>
      <c r="AK50" s="173"/>
      <c r="AL50" s="173"/>
      <c r="AM50" s="176"/>
      <c r="AN50" s="175"/>
      <c r="AO50" s="173"/>
      <c r="AP50" s="173"/>
      <c r="AQ50" s="176"/>
      <c r="AR50" s="175"/>
      <c r="AS50" s="173"/>
      <c r="AT50" s="173"/>
      <c r="AU50" s="176"/>
      <c r="AV50" s="175"/>
      <c r="AW50" s="173"/>
      <c r="AX50" s="173"/>
      <c r="AY50" s="176"/>
      <c r="AZ50" s="175"/>
      <c r="BA50" s="173"/>
      <c r="BB50" s="173"/>
      <c r="BC50" s="176"/>
      <c r="BD50" s="175"/>
      <c r="BE50" s="173"/>
      <c r="BF50" s="173"/>
      <c r="BG50" s="176"/>
      <c r="BH50" s="178"/>
      <c r="BI50" s="173"/>
      <c r="BJ50" s="173"/>
      <c r="BK50" s="176"/>
      <c r="BL50" s="178"/>
      <c r="BM50" s="176"/>
      <c r="BN50" s="176"/>
      <c r="BO50" s="176"/>
      <c r="BP50" s="178"/>
      <c r="BQ50" s="176"/>
      <c r="BR50" s="176"/>
      <c r="BS50" s="176"/>
      <c r="BT50" s="178"/>
      <c r="BU50" s="176"/>
      <c r="BV50" s="176"/>
      <c r="BW50" s="176"/>
      <c r="BX50" s="21"/>
      <c r="BY50" s="176"/>
      <c r="BZ50" s="176"/>
      <c r="CA50" s="176"/>
      <c r="CB50" s="176"/>
      <c r="CC50" s="176"/>
      <c r="CD50" s="176"/>
      <c r="CE50" s="176"/>
      <c r="CF50" s="176"/>
      <c r="CG50" s="176"/>
      <c r="CH50" s="176"/>
      <c r="CI50" s="176"/>
      <c r="CJ50" s="176"/>
      <c r="CK50" s="176"/>
      <c r="CL50" s="176"/>
      <c r="CM50" s="176"/>
      <c r="CN50" s="176"/>
      <c r="CO50" s="176"/>
      <c r="CP50" s="1318"/>
      <c r="CQ50" s="22"/>
    </row>
    <row r="51" spans="1:95" ht="14.25" customHeight="1">
      <c r="A51" s="9"/>
      <c r="B51" s="184" t="str">
        <f>B161</f>
        <v>Cash flows from financing activities:</v>
      </c>
      <c r="C51" s="185"/>
      <c r="D51" s="173"/>
      <c r="E51" s="173"/>
      <c r="F51" s="173"/>
      <c r="G51" s="176"/>
      <c r="H51" s="175"/>
      <c r="I51" s="173"/>
      <c r="J51" s="173"/>
      <c r="K51" s="176"/>
      <c r="L51" s="175"/>
      <c r="M51" s="173"/>
      <c r="N51" s="173"/>
      <c r="O51" s="176"/>
      <c r="P51" s="175"/>
      <c r="Q51" s="173"/>
      <c r="R51" s="173"/>
      <c r="S51" s="176"/>
      <c r="T51" s="175"/>
      <c r="U51" s="173"/>
      <c r="V51" s="173"/>
      <c r="W51" s="176"/>
      <c r="X51" s="175"/>
      <c r="Y51" s="173"/>
      <c r="Z51" s="173"/>
      <c r="AA51" s="176"/>
      <c r="AB51" s="175"/>
      <c r="AC51" s="173"/>
      <c r="AD51" s="173"/>
      <c r="AE51" s="176"/>
      <c r="AF51" s="175"/>
      <c r="AG51" s="173"/>
      <c r="AH51" s="173"/>
      <c r="AI51" s="176"/>
      <c r="AJ51" s="175"/>
      <c r="AK51" s="173"/>
      <c r="AL51" s="173"/>
      <c r="AM51" s="176"/>
      <c r="AN51" s="175"/>
      <c r="AO51" s="173"/>
      <c r="AP51" s="173"/>
      <c r="AQ51" s="176"/>
      <c r="AR51" s="175"/>
      <c r="AS51" s="173"/>
      <c r="AT51" s="173"/>
      <c r="AU51" s="176"/>
      <c r="AV51" s="175"/>
      <c r="AW51" s="173"/>
      <c r="AX51" s="173"/>
      <c r="AY51" s="176"/>
      <c r="AZ51" s="175"/>
      <c r="BA51" s="173"/>
      <c r="BB51" s="173"/>
      <c r="BC51" s="176"/>
      <c r="BD51" s="175"/>
      <c r="BE51" s="173"/>
      <c r="BF51" s="173"/>
      <c r="BG51" s="176"/>
      <c r="BH51" s="178"/>
      <c r="BI51" s="173"/>
      <c r="BJ51" s="173"/>
      <c r="BK51" s="176"/>
      <c r="BL51" s="178"/>
      <c r="BM51" s="176"/>
      <c r="BN51" s="176"/>
      <c r="BO51" s="176"/>
      <c r="BP51" s="178"/>
      <c r="BQ51" s="176"/>
      <c r="BR51" s="176"/>
      <c r="BS51" s="176"/>
      <c r="BT51" s="178"/>
      <c r="BU51" s="176"/>
      <c r="BV51" s="176"/>
      <c r="BW51" s="176"/>
      <c r="BX51" s="21"/>
      <c r="BY51" s="176"/>
      <c r="BZ51" s="176"/>
      <c r="CA51" s="176"/>
      <c r="CB51" s="176"/>
      <c r="CC51" s="176"/>
      <c r="CD51" s="176"/>
      <c r="CE51" s="176"/>
      <c r="CF51" s="176"/>
      <c r="CG51" s="176"/>
      <c r="CH51" s="176"/>
      <c r="CI51" s="176"/>
      <c r="CJ51" s="176"/>
      <c r="CK51" s="176"/>
      <c r="CL51" s="176"/>
      <c r="CM51" s="176"/>
      <c r="CN51" s="176"/>
      <c r="CO51" s="176"/>
      <c r="CP51" s="177"/>
      <c r="CQ51" s="22"/>
    </row>
    <row r="52" spans="1:95" ht="14.25" customHeight="1">
      <c r="A52" s="9"/>
      <c r="B52" s="25" t="str">
        <f>B162</f>
        <v>Proceeds from issuance of common stock under the employee stock purchase plan</v>
      </c>
      <c r="C52" s="26"/>
      <c r="D52" s="175">
        <f t="shared" ref="D52:D62" si="237">D162</f>
        <v>0.2</v>
      </c>
      <c r="E52" s="173">
        <f t="shared" ref="E52:E62" si="238">E162-D52</f>
        <v>0.2</v>
      </c>
      <c r="F52" s="173">
        <f t="shared" ref="F52:F62" si="239">F162-D52-E52</f>
        <v>0.29999999999999993</v>
      </c>
      <c r="G52" s="173">
        <f t="shared" ref="G52:G62" si="240">G162-D52-E52-F52</f>
        <v>0.50000000000000011</v>
      </c>
      <c r="H52" s="175">
        <f t="shared" ref="H52:H62" si="241">H162</f>
        <v>0.5</v>
      </c>
      <c r="I52" s="173">
        <f t="shared" ref="I52:I62" si="242">I162-H52</f>
        <v>0.5</v>
      </c>
      <c r="J52" s="173">
        <f t="shared" ref="J52:J62" si="243">J162-H52-I52</f>
        <v>0.39999999999999991</v>
      </c>
      <c r="K52" s="173">
        <f t="shared" ref="K52:K62" si="244">K162-H52-I52-J52</f>
        <v>0.5</v>
      </c>
      <c r="L52" s="175">
        <f t="shared" ref="L52:L62" si="245">L162</f>
        <v>0.5</v>
      </c>
      <c r="M52" s="173">
        <f t="shared" ref="M52:M62" si="246">M162-L52</f>
        <v>0.4</v>
      </c>
      <c r="N52" s="173">
        <f t="shared" ref="N52:N62" si="247">N162-L52-M52</f>
        <v>0.49999999999999989</v>
      </c>
      <c r="O52" s="173">
        <f t="shared" ref="O52:O62" si="248">O162-L52-M52-N52</f>
        <v>0.40000000000000013</v>
      </c>
      <c r="P52" s="175">
        <f t="shared" ref="P52:P62" si="249">P162</f>
        <v>0.5</v>
      </c>
      <c r="Q52" s="173">
        <f t="shared" ref="Q52:Q62" si="250">Q162-P52</f>
        <v>0.60000000000000009</v>
      </c>
      <c r="R52" s="173">
        <f t="shared" ref="R52:R62" si="251">R162-P52-Q52</f>
        <v>1</v>
      </c>
      <c r="S52" s="173">
        <f t="shared" ref="S52:S62" si="252">S162-P52-Q52-R52</f>
        <v>1</v>
      </c>
      <c r="T52" s="175">
        <f t="shared" ref="T52:T62" si="253">T162</f>
        <v>1.1000000000000001</v>
      </c>
      <c r="U52" s="173">
        <f t="shared" ref="U52:U62" si="254">U162-T52</f>
        <v>1.1999999999999997</v>
      </c>
      <c r="V52" s="173">
        <f t="shared" ref="V52:V62" si="255">V162-T52-U52</f>
        <v>1.2000000000000002</v>
      </c>
      <c r="W52" s="173">
        <f t="shared" ref="W52:W62" si="256">W162-T52-U52-V52</f>
        <v>1.2999999999999998</v>
      </c>
      <c r="X52" s="175">
        <f t="shared" ref="X52:X62" si="257">X162</f>
        <v>0</v>
      </c>
      <c r="Y52" s="173">
        <f t="shared" ref="Y52:Y62" si="258">Y162-X52</f>
        <v>1</v>
      </c>
      <c r="Z52" s="173">
        <f t="shared" ref="Z52:Z62" si="259">Z162-X52-Y52</f>
        <v>14.2</v>
      </c>
      <c r="AA52" s="173">
        <f t="shared" ref="AA52:AA62" si="260">AA162-X52-Y52-Z52</f>
        <v>-10.1</v>
      </c>
      <c r="AB52" s="175">
        <f t="shared" ref="AB52:AB62" si="261">AB162</f>
        <v>1</v>
      </c>
      <c r="AC52" s="173">
        <f t="shared" ref="AC52:AC62" si="262">AC162-AB52</f>
        <v>1.2000000000000002</v>
      </c>
      <c r="AD52" s="173">
        <f t="shared" ref="AD52:AD62" si="263">AD162-AB52-AC52</f>
        <v>1.5</v>
      </c>
      <c r="AE52" s="173">
        <f t="shared" ref="AE52:AE62" si="264">AE162-AB52-AC52-AD52</f>
        <v>1.7999999999999998</v>
      </c>
      <c r="AF52" s="175">
        <f t="shared" ref="AF52:AF62" si="265">AF162</f>
        <v>1.6</v>
      </c>
      <c r="AG52" s="173">
        <f t="shared" ref="AG52:AG62" si="266">AG162-AF52</f>
        <v>1.6999999999999997</v>
      </c>
      <c r="AH52" s="173">
        <f t="shared" ref="AH52:AH62" si="267">AH162-AF52-AG52</f>
        <v>1.7999999999999998</v>
      </c>
      <c r="AI52" s="173">
        <f t="shared" ref="AI52:AI62" si="268">AI162-AF52-AG52-AH52</f>
        <v>1.9000000000000008</v>
      </c>
      <c r="AJ52" s="175">
        <f t="shared" ref="AJ52:AJ62" si="269">AJ162</f>
        <v>1.9</v>
      </c>
      <c r="AK52" s="173">
        <f t="shared" ref="AK52:AK62" si="270">AK162-AJ52</f>
        <v>2.1</v>
      </c>
      <c r="AL52" s="173">
        <f t="shared" ref="AL52:AL62" si="271">AL162-AJ52-AK52</f>
        <v>2.0999999999999992</v>
      </c>
      <c r="AM52" s="173">
        <f t="shared" ref="AM52:AM62" si="272">AM162-AJ52-AK52-AL52</f>
        <v>2.0000000000000004</v>
      </c>
      <c r="AN52" s="175">
        <f t="shared" ref="AN52:AN62" si="273">AN162</f>
        <v>0</v>
      </c>
      <c r="AO52" s="173">
        <f t="shared" ref="AO52:AO62" si="274">AO162-AN52</f>
        <v>2.2999999999999998</v>
      </c>
      <c r="AP52" s="173">
        <f t="shared" ref="AP52:AP62" si="275">AP162-AN52-AO52</f>
        <v>2</v>
      </c>
      <c r="AQ52" s="173">
        <f t="shared" ref="AQ52:AQ62" si="276">AQ162-AN52-AO52-AP52</f>
        <v>4.0000000000000009</v>
      </c>
      <c r="AR52" s="175">
        <f t="shared" ref="AR52:AR62" si="277">AR162</f>
        <v>0</v>
      </c>
      <c r="AS52" s="173">
        <f t="shared" ref="AS52:AS62" si="278">AS162-AR52</f>
        <v>2.1</v>
      </c>
      <c r="AT52" s="173">
        <f t="shared" ref="AT52:AT62" si="279">AT162-AR52-AS52</f>
        <v>1.9999999999999996</v>
      </c>
      <c r="AU52" s="173">
        <f t="shared" ref="AU52:AU62" si="280">AU162-AR52-AS52-AT52</f>
        <v>4.2000000000000011</v>
      </c>
      <c r="AV52" s="175">
        <f t="shared" ref="AV52:AV62" si="281">AV162</f>
        <v>0</v>
      </c>
      <c r="AW52" s="173">
        <f t="shared" ref="AW52:AW62" si="282">AW162-AV52</f>
        <v>2.5</v>
      </c>
      <c r="AX52" s="173">
        <f t="shared" ref="AX52:AX62" si="283">AX162-AV52-AW52</f>
        <v>2.2999999999999998</v>
      </c>
      <c r="AY52" s="173">
        <f t="shared" ref="AY52:AY62" si="284">AY162-AV52-AW52-AX52</f>
        <v>5.2</v>
      </c>
      <c r="AZ52" s="175">
        <f t="shared" ref="AZ52:AZ62" si="285">AZ162</f>
        <v>3.8</v>
      </c>
      <c r="BA52" s="173">
        <f t="shared" ref="BA52:BA62" si="286">BA162-AZ52</f>
        <v>3.2</v>
      </c>
      <c r="BB52" s="173">
        <f t="shared" ref="BB52:BB62" si="287">BB162-AZ52-BA52</f>
        <v>3.9000000000000004</v>
      </c>
      <c r="BC52" s="173">
        <f t="shared" ref="BC52:BC62" si="288">BC162-AZ52-BA52-BB52</f>
        <v>3.7</v>
      </c>
      <c r="BD52" s="175">
        <f t="shared" ref="BD52:BD62" si="289">BD162</f>
        <v>3.6</v>
      </c>
      <c r="BE52" s="173">
        <f t="shared" ref="BE52:BE62" si="290">BE162-BD52</f>
        <v>3.4</v>
      </c>
      <c r="BF52" s="173">
        <f t="shared" ref="BF52:BF62" si="291">BF162-BD52-BE52</f>
        <v>3.9000000000000008</v>
      </c>
      <c r="BG52" s="173">
        <f t="shared" ref="BG52:BG62" si="292">BG162-BD52-BE52-BF52</f>
        <v>4.0999999999999996</v>
      </c>
      <c r="BH52" s="175">
        <f t="shared" ref="BH52:BH62" si="293">BH162</f>
        <v>5.9</v>
      </c>
      <c r="BI52" s="173">
        <f t="shared" ref="BI52:BI62" si="294">BI162-BH52</f>
        <v>5.4</v>
      </c>
      <c r="BJ52" s="173">
        <f t="shared" ref="BJ52:BJ62" si="295">BJ162-BH52-BI52</f>
        <v>9.9999999999999645E-2</v>
      </c>
      <c r="BK52" s="173">
        <f t="shared" ref="BK52:BK62" si="296">BK162-BH52-BI52-BJ52</f>
        <v>12.200000000000003</v>
      </c>
      <c r="BL52" s="178">
        <v>0</v>
      </c>
      <c r="BM52" s="176">
        <v>0</v>
      </c>
      <c r="BN52" s="176">
        <v>0</v>
      </c>
      <c r="BO52" s="176">
        <v>0</v>
      </c>
      <c r="BP52" s="178">
        <v>0</v>
      </c>
      <c r="BQ52" s="176">
        <v>0</v>
      </c>
      <c r="BR52" s="176">
        <v>0</v>
      </c>
      <c r="BS52" s="176">
        <v>0</v>
      </c>
      <c r="BT52" s="178">
        <v>0</v>
      </c>
      <c r="BU52" s="176">
        <v>0</v>
      </c>
      <c r="BV52" s="176">
        <v>0</v>
      </c>
      <c r="BW52" s="176">
        <v>0</v>
      </c>
      <c r="BX52" s="21"/>
      <c r="BY52" s="173">
        <f t="shared" ref="BY52:BY62" si="297">SUM(D52:G52)</f>
        <v>1.2000000000000002</v>
      </c>
      <c r="BZ52" s="173">
        <f t="shared" ref="BZ52:BZ62" si="298">SUM(H52:K52)</f>
        <v>1.9</v>
      </c>
      <c r="CA52" s="173">
        <f t="shared" ref="CA52:CA62" si="299">SUM(L52:O52)</f>
        <v>1.8</v>
      </c>
      <c r="CB52" s="173">
        <f t="shared" ref="CB52:CB62" si="300">SUM(P52:S52)</f>
        <v>3.1</v>
      </c>
      <c r="CC52" s="173">
        <f t="shared" ref="CC52:CC62" si="301">SUM(T52:W52)</f>
        <v>4.8</v>
      </c>
      <c r="CD52" s="173">
        <f t="shared" ref="CD52:CD62" si="302">SUM(X52:AA52)</f>
        <v>5.0999999999999996</v>
      </c>
      <c r="CE52" s="173">
        <f t="shared" ref="CE52:CE62" si="303">SUM(AB52:AE52)</f>
        <v>5.5</v>
      </c>
      <c r="CF52" s="173">
        <f t="shared" ref="CF52:CF62" si="304">SUM(AF52:AI52)</f>
        <v>7</v>
      </c>
      <c r="CG52" s="173">
        <f t="shared" ref="CG52:CG62" si="305">SUM(AJ52:AM52)</f>
        <v>8.1</v>
      </c>
      <c r="CH52" s="173">
        <f t="shared" ref="CH52:CH62" si="306">SUM(AN52:AQ52)</f>
        <v>8.3000000000000007</v>
      </c>
      <c r="CI52" s="173">
        <f t="shared" ref="CI52:CI62" si="307">SUM(AR52:AU52)</f>
        <v>8.3000000000000007</v>
      </c>
      <c r="CJ52" s="173">
        <f t="shared" ref="CJ52:CJ62" si="308">SUM(AV52:AY52)</f>
        <v>10</v>
      </c>
      <c r="CK52" s="173">
        <f t="shared" ref="CK52:CK62" si="309">SUM(AZ52:BC52)</f>
        <v>14.600000000000001</v>
      </c>
      <c r="CL52" s="173">
        <f t="shared" ref="CL52:CL62" si="310">SUM(BD52:BG52)</f>
        <v>15</v>
      </c>
      <c r="CM52" s="173">
        <f t="shared" ref="CM52:CM62" si="311">SUM(BH52:BK52)</f>
        <v>23.6</v>
      </c>
      <c r="CN52" s="173">
        <f t="shared" ref="CN52:CN62" si="312">SUM(BL52:BO52)</f>
        <v>0</v>
      </c>
      <c r="CO52" s="173">
        <f t="shared" ref="CO52:CO62" si="313">SUM(BP52:BS52)</f>
        <v>0</v>
      </c>
      <c r="CP52" s="174">
        <f t="shared" ref="CP52:CP62" si="314">SUM(BT52:BW52)</f>
        <v>0</v>
      </c>
      <c r="CQ52" s="22"/>
    </row>
    <row r="53" spans="1:95" ht="14.25" customHeight="1">
      <c r="A53" s="9"/>
      <c r="B53" s="25" t="str">
        <f>B163</f>
        <v>Proceeds from exercise of stock options</v>
      </c>
      <c r="C53" s="26"/>
      <c r="D53" s="175">
        <f t="shared" si="237"/>
        <v>0</v>
      </c>
      <c r="E53" s="173">
        <f t="shared" si="238"/>
        <v>0.3</v>
      </c>
      <c r="F53" s="173">
        <f t="shared" si="239"/>
        <v>3.8</v>
      </c>
      <c r="G53" s="173">
        <f t="shared" si="240"/>
        <v>1.5</v>
      </c>
      <c r="H53" s="175">
        <f t="shared" si="241"/>
        <v>3.9</v>
      </c>
      <c r="I53" s="173">
        <f t="shared" si="242"/>
        <v>0.60000000000000009</v>
      </c>
      <c r="J53" s="173">
        <f t="shared" si="243"/>
        <v>0.59999999999999964</v>
      </c>
      <c r="K53" s="173">
        <f t="shared" si="244"/>
        <v>0.80000000000000071</v>
      </c>
      <c r="L53" s="175">
        <f t="shared" si="245"/>
        <v>0.5</v>
      </c>
      <c r="M53" s="173">
        <f t="shared" si="246"/>
        <v>0.5</v>
      </c>
      <c r="N53" s="173">
        <f t="shared" si="247"/>
        <v>2.1</v>
      </c>
      <c r="O53" s="173">
        <f t="shared" si="248"/>
        <v>1.4</v>
      </c>
      <c r="P53" s="175">
        <f t="shared" si="249"/>
        <v>5.2</v>
      </c>
      <c r="Q53" s="173">
        <f t="shared" si="250"/>
        <v>3.7</v>
      </c>
      <c r="R53" s="173">
        <f t="shared" si="251"/>
        <v>1.0999999999999996</v>
      </c>
      <c r="S53" s="173">
        <f t="shared" si="252"/>
        <v>4.3999999999999995</v>
      </c>
      <c r="T53" s="175">
        <f t="shared" si="253"/>
        <v>19.2</v>
      </c>
      <c r="U53" s="173">
        <f t="shared" si="254"/>
        <v>9.6000000000000014</v>
      </c>
      <c r="V53" s="173">
        <f t="shared" si="255"/>
        <v>11.3</v>
      </c>
      <c r="W53" s="173">
        <f t="shared" si="256"/>
        <v>1.8999999999999986</v>
      </c>
      <c r="X53" s="175">
        <f t="shared" si="257"/>
        <v>0.6</v>
      </c>
      <c r="Y53" s="173">
        <f t="shared" si="258"/>
        <v>9.3000000000000007</v>
      </c>
      <c r="Z53" s="173">
        <f t="shared" si="259"/>
        <v>-7.8000000000000007</v>
      </c>
      <c r="AA53" s="173">
        <f t="shared" si="260"/>
        <v>13.200000000000001</v>
      </c>
      <c r="AB53" s="175">
        <f t="shared" si="261"/>
        <v>0.4</v>
      </c>
      <c r="AC53" s="173">
        <f t="shared" si="262"/>
        <v>3.6</v>
      </c>
      <c r="AD53" s="173">
        <f t="shared" si="263"/>
        <v>9.9</v>
      </c>
      <c r="AE53" s="173">
        <f t="shared" si="264"/>
        <v>3.6000000000000014</v>
      </c>
      <c r="AF53" s="175">
        <f t="shared" si="265"/>
        <v>4.5</v>
      </c>
      <c r="AG53" s="173">
        <f t="shared" si="266"/>
        <v>2.8</v>
      </c>
      <c r="AH53" s="173">
        <f t="shared" si="267"/>
        <v>0.60000000000000053</v>
      </c>
      <c r="AI53" s="173">
        <f t="shared" si="268"/>
        <v>15.399999999999999</v>
      </c>
      <c r="AJ53" s="175">
        <f t="shared" si="269"/>
        <v>41.1</v>
      </c>
      <c r="AK53" s="173">
        <f t="shared" si="270"/>
        <v>16</v>
      </c>
      <c r="AL53" s="173">
        <f t="shared" si="271"/>
        <v>1.1999999999999957</v>
      </c>
      <c r="AM53" s="173">
        <f t="shared" si="272"/>
        <v>1.1000000000000014</v>
      </c>
      <c r="AN53" s="175">
        <f t="shared" si="273"/>
        <v>4.8</v>
      </c>
      <c r="AO53" s="173">
        <f t="shared" si="274"/>
        <v>0.5</v>
      </c>
      <c r="AP53" s="173">
        <f t="shared" si="275"/>
        <v>0.70000000000000018</v>
      </c>
      <c r="AQ53" s="173">
        <f t="shared" si="276"/>
        <v>3.4000000000000004</v>
      </c>
      <c r="AR53" s="175">
        <f t="shared" si="277"/>
        <v>3.8</v>
      </c>
      <c r="AS53" s="173">
        <f t="shared" si="278"/>
        <v>2.8</v>
      </c>
      <c r="AT53" s="173">
        <f t="shared" si="279"/>
        <v>2.9000000000000004</v>
      </c>
      <c r="AU53" s="173">
        <f t="shared" si="280"/>
        <v>2.6000000000000005</v>
      </c>
      <c r="AV53" s="175">
        <f t="shared" si="281"/>
        <v>9.6</v>
      </c>
      <c r="AW53" s="173">
        <f t="shared" si="282"/>
        <v>5.8000000000000007</v>
      </c>
      <c r="AX53" s="173">
        <f t="shared" si="283"/>
        <v>4.9999999999999982</v>
      </c>
      <c r="AY53" s="173">
        <f t="shared" si="284"/>
        <v>4.5</v>
      </c>
      <c r="AZ53" s="175">
        <f t="shared" si="285"/>
        <v>21.4</v>
      </c>
      <c r="BA53" s="173">
        <f t="shared" si="286"/>
        <v>2.3000000000000007</v>
      </c>
      <c r="BB53" s="173">
        <f t="shared" si="287"/>
        <v>1.4000000000000021</v>
      </c>
      <c r="BC53" s="173">
        <f t="shared" si="288"/>
        <v>2</v>
      </c>
      <c r="BD53" s="175">
        <f t="shared" si="289"/>
        <v>1.6</v>
      </c>
      <c r="BE53" s="173">
        <f t="shared" si="290"/>
        <v>0.60000000000000009</v>
      </c>
      <c r="BF53" s="173">
        <f t="shared" si="291"/>
        <v>2.8999999999999995</v>
      </c>
      <c r="BG53" s="173">
        <f t="shared" si="292"/>
        <v>9.8000000000000007</v>
      </c>
      <c r="BH53" s="175">
        <f t="shared" si="293"/>
        <v>7.5</v>
      </c>
      <c r="BI53" s="173">
        <f t="shared" si="294"/>
        <v>1.6999999999999993</v>
      </c>
      <c r="BJ53" s="173">
        <f t="shared" si="295"/>
        <v>1.7000000000000011</v>
      </c>
      <c r="BK53" s="173">
        <f t="shared" si="296"/>
        <v>7.1</v>
      </c>
      <c r="BL53" s="178">
        <v>0</v>
      </c>
      <c r="BM53" s="176">
        <v>0</v>
      </c>
      <c r="BN53" s="176">
        <v>0</v>
      </c>
      <c r="BO53" s="176">
        <v>0</v>
      </c>
      <c r="BP53" s="178">
        <v>0</v>
      </c>
      <c r="BQ53" s="176">
        <v>0</v>
      </c>
      <c r="BR53" s="176">
        <v>0</v>
      </c>
      <c r="BS53" s="176">
        <v>0</v>
      </c>
      <c r="BT53" s="178">
        <v>0</v>
      </c>
      <c r="BU53" s="176">
        <v>0</v>
      </c>
      <c r="BV53" s="176">
        <v>0</v>
      </c>
      <c r="BW53" s="176">
        <v>0</v>
      </c>
      <c r="BX53" s="21"/>
      <c r="BY53" s="173">
        <f t="shared" si="297"/>
        <v>5.6</v>
      </c>
      <c r="BZ53" s="173">
        <f t="shared" si="298"/>
        <v>5.9</v>
      </c>
      <c r="CA53" s="173">
        <f t="shared" si="299"/>
        <v>4.5</v>
      </c>
      <c r="CB53" s="173">
        <f t="shared" si="300"/>
        <v>14.399999999999999</v>
      </c>
      <c r="CC53" s="173">
        <f t="shared" si="301"/>
        <v>42</v>
      </c>
      <c r="CD53" s="173">
        <f t="shared" si="302"/>
        <v>15.3</v>
      </c>
      <c r="CE53" s="173">
        <f t="shared" si="303"/>
        <v>17.5</v>
      </c>
      <c r="CF53" s="173">
        <f t="shared" si="304"/>
        <v>23.299999999999997</v>
      </c>
      <c r="CG53" s="173">
        <f t="shared" si="305"/>
        <v>59.4</v>
      </c>
      <c r="CH53" s="173">
        <f t="shared" si="306"/>
        <v>9.4</v>
      </c>
      <c r="CI53" s="173">
        <f t="shared" si="307"/>
        <v>12.100000000000001</v>
      </c>
      <c r="CJ53" s="173">
        <f t="shared" si="308"/>
        <v>24.9</v>
      </c>
      <c r="CK53" s="173">
        <f t="shared" si="309"/>
        <v>27.1</v>
      </c>
      <c r="CL53" s="173">
        <f t="shared" si="310"/>
        <v>14.9</v>
      </c>
      <c r="CM53" s="173">
        <f t="shared" si="311"/>
        <v>18</v>
      </c>
      <c r="CN53" s="173">
        <f t="shared" si="312"/>
        <v>0</v>
      </c>
      <c r="CO53" s="173">
        <f t="shared" si="313"/>
        <v>0</v>
      </c>
      <c r="CP53" s="174">
        <f t="shared" si="314"/>
        <v>0</v>
      </c>
      <c r="CQ53" s="22"/>
    </row>
    <row r="54" spans="1:95" ht="14.25" customHeight="1">
      <c r="A54" s="9"/>
      <c r="B54" s="25" t="s">
        <v>186</v>
      </c>
      <c r="C54" s="26"/>
      <c r="D54" s="175">
        <f t="shared" si="237"/>
        <v>0</v>
      </c>
      <c r="E54" s="173">
        <f t="shared" si="238"/>
        <v>0</v>
      </c>
      <c r="F54" s="173">
        <f t="shared" si="239"/>
        <v>158.1</v>
      </c>
      <c r="G54" s="173">
        <f t="shared" si="240"/>
        <v>-0.90000000000000568</v>
      </c>
      <c r="H54" s="175">
        <f t="shared" si="241"/>
        <v>228.9</v>
      </c>
      <c r="I54" s="173">
        <f t="shared" si="242"/>
        <v>-0.59999999999999432</v>
      </c>
      <c r="J54" s="173">
        <f t="shared" si="243"/>
        <v>-0.10000000000002274</v>
      </c>
      <c r="K54" s="173">
        <f t="shared" si="244"/>
        <v>0</v>
      </c>
      <c r="L54" s="175">
        <f t="shared" si="245"/>
        <v>0</v>
      </c>
      <c r="M54" s="173">
        <f t="shared" si="246"/>
        <v>0</v>
      </c>
      <c r="N54" s="173">
        <f t="shared" si="247"/>
        <v>0</v>
      </c>
      <c r="O54" s="173">
        <f t="shared" si="248"/>
        <v>0</v>
      </c>
      <c r="P54" s="175">
        <f t="shared" si="249"/>
        <v>0</v>
      </c>
      <c r="Q54" s="173">
        <f t="shared" si="250"/>
        <v>76.400000000000006</v>
      </c>
      <c r="R54" s="173">
        <f t="shared" si="251"/>
        <v>-0.10000000000000853</v>
      </c>
      <c r="S54" s="173">
        <f t="shared" si="252"/>
        <v>-0.20000000000000284</v>
      </c>
      <c r="T54" s="175">
        <f t="shared" si="253"/>
        <v>0</v>
      </c>
      <c r="U54" s="173">
        <f t="shared" si="254"/>
        <v>0</v>
      </c>
      <c r="V54" s="173">
        <f t="shared" si="255"/>
        <v>0</v>
      </c>
      <c r="W54" s="173">
        <f t="shared" si="256"/>
        <v>0</v>
      </c>
      <c r="X54" s="175">
        <f t="shared" si="257"/>
        <v>0</v>
      </c>
      <c r="Y54" s="173">
        <f t="shared" si="258"/>
        <v>0</v>
      </c>
      <c r="Z54" s="173">
        <f t="shared" si="259"/>
        <v>0</v>
      </c>
      <c r="AA54" s="173">
        <f t="shared" si="260"/>
        <v>0</v>
      </c>
      <c r="AB54" s="175">
        <f t="shared" si="261"/>
        <v>0</v>
      </c>
      <c r="AC54" s="173">
        <f t="shared" si="262"/>
        <v>0</v>
      </c>
      <c r="AD54" s="173">
        <f t="shared" si="263"/>
        <v>0</v>
      </c>
      <c r="AE54" s="173">
        <f t="shared" si="264"/>
        <v>0</v>
      </c>
      <c r="AF54" s="175">
        <f t="shared" si="265"/>
        <v>0</v>
      </c>
      <c r="AG54" s="173">
        <f t="shared" si="266"/>
        <v>0</v>
      </c>
      <c r="AH54" s="173">
        <f t="shared" si="267"/>
        <v>0</v>
      </c>
      <c r="AI54" s="173">
        <f t="shared" si="268"/>
        <v>0</v>
      </c>
      <c r="AJ54" s="175">
        <f t="shared" si="269"/>
        <v>0</v>
      </c>
      <c r="AK54" s="173">
        <f t="shared" si="270"/>
        <v>0</v>
      </c>
      <c r="AL54" s="173">
        <f t="shared" si="271"/>
        <v>0</v>
      </c>
      <c r="AM54" s="173">
        <f t="shared" si="272"/>
        <v>0</v>
      </c>
      <c r="AN54" s="175">
        <f t="shared" si="273"/>
        <v>0</v>
      </c>
      <c r="AO54" s="173">
        <f t="shared" si="274"/>
        <v>0</v>
      </c>
      <c r="AP54" s="173">
        <f t="shared" si="275"/>
        <v>0</v>
      </c>
      <c r="AQ54" s="173">
        <f t="shared" si="276"/>
        <v>0</v>
      </c>
      <c r="AR54" s="175">
        <f t="shared" si="277"/>
        <v>0</v>
      </c>
      <c r="AS54" s="173">
        <f t="shared" si="278"/>
        <v>0</v>
      </c>
      <c r="AT54" s="173">
        <f t="shared" si="279"/>
        <v>0</v>
      </c>
      <c r="AU54" s="173">
        <f t="shared" si="280"/>
        <v>0</v>
      </c>
      <c r="AV54" s="175">
        <f t="shared" si="281"/>
        <v>0</v>
      </c>
      <c r="AW54" s="173">
        <f t="shared" si="282"/>
        <v>0</v>
      </c>
      <c r="AX54" s="173">
        <f t="shared" si="283"/>
        <v>0</v>
      </c>
      <c r="AY54" s="173">
        <f t="shared" si="284"/>
        <v>0</v>
      </c>
      <c r="AZ54" s="175">
        <f t="shared" si="285"/>
        <v>0</v>
      </c>
      <c r="BA54" s="173">
        <f t="shared" si="286"/>
        <v>0</v>
      </c>
      <c r="BB54" s="173">
        <f t="shared" si="287"/>
        <v>0</v>
      </c>
      <c r="BC54" s="173">
        <f t="shared" si="288"/>
        <v>0</v>
      </c>
      <c r="BD54" s="175">
        <f t="shared" si="289"/>
        <v>0</v>
      </c>
      <c r="BE54" s="173">
        <f t="shared" si="290"/>
        <v>0</v>
      </c>
      <c r="BF54" s="173">
        <f t="shared" si="291"/>
        <v>0</v>
      </c>
      <c r="BG54" s="173">
        <f t="shared" si="292"/>
        <v>0</v>
      </c>
      <c r="BH54" s="175">
        <f t="shared" si="293"/>
        <v>0</v>
      </c>
      <c r="BI54" s="173">
        <f t="shared" si="294"/>
        <v>0</v>
      </c>
      <c r="BJ54" s="173">
        <f t="shared" si="295"/>
        <v>0</v>
      </c>
      <c r="BK54" s="173">
        <f t="shared" si="296"/>
        <v>0</v>
      </c>
      <c r="BL54" s="178">
        <v>0</v>
      </c>
      <c r="BM54" s="176">
        <v>0</v>
      </c>
      <c r="BN54" s="176">
        <v>0</v>
      </c>
      <c r="BO54" s="176">
        <v>0</v>
      </c>
      <c r="BP54" s="178">
        <v>0</v>
      </c>
      <c r="BQ54" s="176">
        <v>0</v>
      </c>
      <c r="BR54" s="176">
        <v>0</v>
      </c>
      <c r="BS54" s="176">
        <v>0</v>
      </c>
      <c r="BT54" s="178">
        <v>0</v>
      </c>
      <c r="BU54" s="176">
        <v>0</v>
      </c>
      <c r="BV54" s="176">
        <v>0</v>
      </c>
      <c r="BW54" s="176">
        <v>0</v>
      </c>
      <c r="BX54" s="21"/>
      <c r="BY54" s="173">
        <f t="shared" si="297"/>
        <v>157.19999999999999</v>
      </c>
      <c r="BZ54" s="173">
        <f t="shared" si="298"/>
        <v>228.2</v>
      </c>
      <c r="CA54" s="173">
        <f t="shared" si="299"/>
        <v>0</v>
      </c>
      <c r="CB54" s="173">
        <f t="shared" si="300"/>
        <v>76.099999999999994</v>
      </c>
      <c r="CC54" s="173">
        <f t="shared" si="301"/>
        <v>0</v>
      </c>
      <c r="CD54" s="173">
        <f t="shared" si="302"/>
        <v>0</v>
      </c>
      <c r="CE54" s="173">
        <f t="shared" si="303"/>
        <v>0</v>
      </c>
      <c r="CF54" s="173">
        <f t="shared" si="304"/>
        <v>0</v>
      </c>
      <c r="CG54" s="173">
        <f t="shared" si="305"/>
        <v>0</v>
      </c>
      <c r="CH54" s="173">
        <f t="shared" si="306"/>
        <v>0</v>
      </c>
      <c r="CI54" s="173">
        <f t="shared" si="307"/>
        <v>0</v>
      </c>
      <c r="CJ54" s="173">
        <f t="shared" si="308"/>
        <v>0</v>
      </c>
      <c r="CK54" s="173">
        <f t="shared" si="309"/>
        <v>0</v>
      </c>
      <c r="CL54" s="173">
        <f t="shared" si="310"/>
        <v>0</v>
      </c>
      <c r="CM54" s="173">
        <f t="shared" si="311"/>
        <v>0</v>
      </c>
      <c r="CN54" s="173">
        <f t="shared" si="312"/>
        <v>0</v>
      </c>
      <c r="CO54" s="173">
        <f t="shared" si="313"/>
        <v>0</v>
      </c>
      <c r="CP54" s="174">
        <f t="shared" si="314"/>
        <v>0</v>
      </c>
      <c r="CQ54" s="22"/>
    </row>
    <row r="55" spans="1:95" ht="14.25" customHeight="1">
      <c r="A55" s="9"/>
      <c r="B55" s="25" t="str">
        <f t="shared" ref="B55:B60" si="315">B165</f>
        <v>Payments of tax withholding for restricted shares</v>
      </c>
      <c r="C55" s="26"/>
      <c r="D55" s="175">
        <f t="shared" si="237"/>
        <v>0</v>
      </c>
      <c r="E55" s="173">
        <f t="shared" si="238"/>
        <v>0</v>
      </c>
      <c r="F55" s="173">
        <f t="shared" si="239"/>
        <v>0</v>
      </c>
      <c r="G55" s="173">
        <f t="shared" si="240"/>
        <v>0</v>
      </c>
      <c r="H55" s="175">
        <f t="shared" si="241"/>
        <v>0</v>
      </c>
      <c r="I55" s="173">
        <f t="shared" si="242"/>
        <v>0</v>
      </c>
      <c r="J55" s="173">
        <f t="shared" si="243"/>
        <v>0</v>
      </c>
      <c r="K55" s="173">
        <f t="shared" si="244"/>
        <v>0</v>
      </c>
      <c r="L55" s="175">
        <f t="shared" si="245"/>
        <v>0</v>
      </c>
      <c r="M55" s="173">
        <f t="shared" si="246"/>
        <v>0</v>
      </c>
      <c r="N55" s="173">
        <f t="shared" si="247"/>
        <v>0</v>
      </c>
      <c r="O55" s="173">
        <f t="shared" si="248"/>
        <v>0</v>
      </c>
      <c r="P55" s="175">
        <f t="shared" si="249"/>
        <v>0</v>
      </c>
      <c r="Q55" s="173">
        <f t="shared" si="250"/>
        <v>0</v>
      </c>
      <c r="R55" s="173">
        <f t="shared" si="251"/>
        <v>0</v>
      </c>
      <c r="S55" s="173">
        <f t="shared" si="252"/>
        <v>0</v>
      </c>
      <c r="T55" s="175">
        <f t="shared" si="253"/>
        <v>0</v>
      </c>
      <c r="U55" s="173">
        <f t="shared" si="254"/>
        <v>0</v>
      </c>
      <c r="V55" s="173">
        <f t="shared" si="255"/>
        <v>0</v>
      </c>
      <c r="W55" s="173">
        <f t="shared" si="256"/>
        <v>0</v>
      </c>
      <c r="X55" s="175">
        <f t="shared" si="257"/>
        <v>0</v>
      </c>
      <c r="Y55" s="173">
        <f t="shared" si="258"/>
        <v>0</v>
      </c>
      <c r="Z55" s="173">
        <f t="shared" si="259"/>
        <v>0</v>
      </c>
      <c r="AA55" s="173">
        <f t="shared" si="260"/>
        <v>0</v>
      </c>
      <c r="AB55" s="175">
        <f t="shared" si="261"/>
        <v>0</v>
      </c>
      <c r="AC55" s="173">
        <f t="shared" si="262"/>
        <v>0</v>
      </c>
      <c r="AD55" s="173">
        <f t="shared" si="263"/>
        <v>0</v>
      </c>
      <c r="AE55" s="173">
        <f t="shared" si="264"/>
        <v>0</v>
      </c>
      <c r="AF55" s="175">
        <f t="shared" si="265"/>
        <v>0</v>
      </c>
      <c r="AG55" s="173">
        <f t="shared" si="266"/>
        <v>0</v>
      </c>
      <c r="AH55" s="173">
        <f t="shared" si="267"/>
        <v>0</v>
      </c>
      <c r="AI55" s="173">
        <f t="shared" si="268"/>
        <v>0</v>
      </c>
      <c r="AJ55" s="175">
        <f t="shared" si="269"/>
        <v>0</v>
      </c>
      <c r="AK55" s="173">
        <f t="shared" si="270"/>
        <v>0</v>
      </c>
      <c r="AL55" s="173">
        <f t="shared" si="271"/>
        <v>-15.4</v>
      </c>
      <c r="AM55" s="173">
        <f t="shared" si="272"/>
        <v>-3.9000000000000004</v>
      </c>
      <c r="AN55" s="175">
        <f t="shared" si="273"/>
        <v>0</v>
      </c>
      <c r="AO55" s="173">
        <f t="shared" si="274"/>
        <v>0</v>
      </c>
      <c r="AP55" s="173">
        <f t="shared" si="275"/>
        <v>-8.8000000000000007</v>
      </c>
      <c r="AQ55" s="173">
        <f t="shared" si="276"/>
        <v>-0.79999999999999893</v>
      </c>
      <c r="AR55" s="175">
        <f t="shared" si="277"/>
        <v>0</v>
      </c>
      <c r="AS55" s="173">
        <f t="shared" si="278"/>
        <v>-2.2000000000000002</v>
      </c>
      <c r="AT55" s="173">
        <f t="shared" si="279"/>
        <v>-0.59999999999999964</v>
      </c>
      <c r="AU55" s="173">
        <f t="shared" si="280"/>
        <v>-1.7000000000000002</v>
      </c>
      <c r="AV55" s="175">
        <f t="shared" si="281"/>
        <v>-4.5</v>
      </c>
      <c r="AW55" s="173">
        <f t="shared" si="282"/>
        <v>-0.90000000000000036</v>
      </c>
      <c r="AX55" s="173">
        <f t="shared" si="283"/>
        <v>-0.59999999999999964</v>
      </c>
      <c r="AY55" s="173">
        <f t="shared" si="284"/>
        <v>-3.0999999999999996</v>
      </c>
      <c r="AZ55" s="175">
        <f t="shared" si="285"/>
        <v>-11.2</v>
      </c>
      <c r="BA55" s="173">
        <f t="shared" si="286"/>
        <v>-0.20000000000000107</v>
      </c>
      <c r="BB55" s="173">
        <f t="shared" si="287"/>
        <v>-1</v>
      </c>
      <c r="BC55" s="173">
        <f t="shared" si="288"/>
        <v>-2.2999999999999989</v>
      </c>
      <c r="BD55" s="175">
        <f t="shared" si="289"/>
        <v>-8</v>
      </c>
      <c r="BE55" s="173">
        <f t="shared" si="290"/>
        <v>-0.19999999999999929</v>
      </c>
      <c r="BF55" s="173">
        <f t="shared" si="291"/>
        <v>-2.2000000000000011</v>
      </c>
      <c r="BG55" s="173">
        <f t="shared" si="292"/>
        <v>-1.9000000000000004</v>
      </c>
      <c r="BH55" s="175">
        <f t="shared" si="293"/>
        <v>-13</v>
      </c>
      <c r="BI55" s="173">
        <f t="shared" si="294"/>
        <v>-0.59999999999999964</v>
      </c>
      <c r="BJ55" s="173">
        <f t="shared" si="295"/>
        <v>-11.4</v>
      </c>
      <c r="BK55" s="173">
        <f t="shared" si="296"/>
        <v>-3.1000000000000014</v>
      </c>
      <c r="BL55" s="178">
        <v>0</v>
      </c>
      <c r="BM55" s="176">
        <v>0</v>
      </c>
      <c r="BN55" s="176">
        <v>0</v>
      </c>
      <c r="BO55" s="176">
        <v>0</v>
      </c>
      <c r="BP55" s="178">
        <v>0</v>
      </c>
      <c r="BQ55" s="176">
        <v>0</v>
      </c>
      <c r="BR55" s="176">
        <v>0</v>
      </c>
      <c r="BS55" s="176">
        <v>0</v>
      </c>
      <c r="BT55" s="178">
        <v>0</v>
      </c>
      <c r="BU55" s="176">
        <v>0</v>
      </c>
      <c r="BV55" s="176">
        <v>0</v>
      </c>
      <c r="BW55" s="176">
        <v>0</v>
      </c>
      <c r="BX55" s="21"/>
      <c r="BY55" s="173">
        <f t="shared" si="297"/>
        <v>0</v>
      </c>
      <c r="BZ55" s="173">
        <f t="shared" si="298"/>
        <v>0</v>
      </c>
      <c r="CA55" s="173">
        <f t="shared" si="299"/>
        <v>0</v>
      </c>
      <c r="CB55" s="173">
        <f t="shared" si="300"/>
        <v>0</v>
      </c>
      <c r="CC55" s="173">
        <f t="shared" si="301"/>
        <v>0</v>
      </c>
      <c r="CD55" s="173">
        <f t="shared" si="302"/>
        <v>0</v>
      </c>
      <c r="CE55" s="173">
        <f t="shared" si="303"/>
        <v>0</v>
      </c>
      <c r="CF55" s="173">
        <f t="shared" si="304"/>
        <v>0</v>
      </c>
      <c r="CG55" s="173">
        <f t="shared" si="305"/>
        <v>-19.3</v>
      </c>
      <c r="CH55" s="173">
        <f t="shared" si="306"/>
        <v>-9.6</v>
      </c>
      <c r="CI55" s="173">
        <f t="shared" si="307"/>
        <v>-4.5</v>
      </c>
      <c r="CJ55" s="173">
        <f t="shared" si="308"/>
        <v>-9.1</v>
      </c>
      <c r="CK55" s="173">
        <f t="shared" si="309"/>
        <v>-14.7</v>
      </c>
      <c r="CL55" s="173">
        <f t="shared" si="310"/>
        <v>-12.3</v>
      </c>
      <c r="CM55" s="173">
        <f t="shared" si="311"/>
        <v>-28.1</v>
      </c>
      <c r="CN55" s="173">
        <f t="shared" si="312"/>
        <v>0</v>
      </c>
      <c r="CO55" s="173">
        <f t="shared" si="313"/>
        <v>0</v>
      </c>
      <c r="CP55" s="174">
        <f t="shared" si="314"/>
        <v>0</v>
      </c>
      <c r="CQ55" s="22"/>
    </row>
    <row r="56" spans="1:95" ht="14.25" customHeight="1">
      <c r="A56" s="9"/>
      <c r="B56" s="25" t="str">
        <f t="shared" si="315"/>
        <v>Repurchase of common stock</v>
      </c>
      <c r="C56" s="26"/>
      <c r="D56" s="175">
        <f t="shared" si="237"/>
        <v>0</v>
      </c>
      <c r="E56" s="173">
        <f t="shared" si="238"/>
        <v>0</v>
      </c>
      <c r="F56" s="173">
        <f t="shared" si="239"/>
        <v>0</v>
      </c>
      <c r="G56" s="173">
        <f t="shared" si="240"/>
        <v>0</v>
      </c>
      <c r="H56" s="175">
        <f t="shared" si="241"/>
        <v>0</v>
      </c>
      <c r="I56" s="173">
        <f t="shared" si="242"/>
        <v>0</v>
      </c>
      <c r="J56" s="173">
        <f t="shared" si="243"/>
        <v>0</v>
      </c>
      <c r="K56" s="173">
        <f t="shared" si="244"/>
        <v>0</v>
      </c>
      <c r="L56" s="175">
        <f t="shared" si="245"/>
        <v>0</v>
      </c>
      <c r="M56" s="173">
        <f t="shared" si="246"/>
        <v>0</v>
      </c>
      <c r="N56" s="173">
        <f t="shared" si="247"/>
        <v>0</v>
      </c>
      <c r="O56" s="173">
        <f t="shared" si="248"/>
        <v>0</v>
      </c>
      <c r="P56" s="175">
        <f t="shared" si="249"/>
        <v>0</v>
      </c>
      <c r="Q56" s="173">
        <f t="shared" si="250"/>
        <v>0</v>
      </c>
      <c r="R56" s="173">
        <f t="shared" si="251"/>
        <v>0</v>
      </c>
      <c r="S56" s="173">
        <f t="shared" si="252"/>
        <v>-300</v>
      </c>
      <c r="T56" s="175">
        <f t="shared" si="253"/>
        <v>0</v>
      </c>
      <c r="U56" s="173">
        <f t="shared" si="254"/>
        <v>-55.2</v>
      </c>
      <c r="V56" s="173">
        <f t="shared" si="255"/>
        <v>0</v>
      </c>
      <c r="W56" s="173">
        <f t="shared" si="256"/>
        <v>0</v>
      </c>
      <c r="X56" s="175">
        <f t="shared" si="257"/>
        <v>-0.5</v>
      </c>
      <c r="Y56" s="173">
        <f t="shared" si="258"/>
        <v>-0.19999999999999996</v>
      </c>
      <c r="Z56" s="173">
        <f t="shared" si="259"/>
        <v>-1</v>
      </c>
      <c r="AA56" s="173">
        <f t="shared" si="260"/>
        <v>-1.2000000000000002</v>
      </c>
      <c r="AB56" s="175">
        <f t="shared" si="261"/>
        <v>-0.8</v>
      </c>
      <c r="AC56" s="173">
        <f t="shared" si="262"/>
        <v>-9.9999999999999978E-2</v>
      </c>
      <c r="AD56" s="173">
        <f t="shared" si="263"/>
        <v>-4.1000000000000005</v>
      </c>
      <c r="AE56" s="173">
        <f t="shared" si="264"/>
        <v>-3.5999999999999996</v>
      </c>
      <c r="AF56" s="175">
        <f t="shared" si="265"/>
        <v>-3.8</v>
      </c>
      <c r="AG56" s="173">
        <f t="shared" si="266"/>
        <v>-3.2</v>
      </c>
      <c r="AH56" s="173">
        <f t="shared" si="267"/>
        <v>-3.1999999999999993</v>
      </c>
      <c r="AI56" s="173">
        <f t="shared" si="268"/>
        <v>-4.8</v>
      </c>
      <c r="AJ56" s="175">
        <f t="shared" si="269"/>
        <v>-7.6</v>
      </c>
      <c r="AK56" s="173">
        <f t="shared" si="270"/>
        <v>-4.5</v>
      </c>
      <c r="AL56" s="173">
        <f t="shared" si="271"/>
        <v>12.1</v>
      </c>
      <c r="AM56" s="173">
        <f t="shared" si="272"/>
        <v>0</v>
      </c>
      <c r="AN56" s="175">
        <f t="shared" si="273"/>
        <v>-5.3</v>
      </c>
      <c r="AO56" s="173">
        <f t="shared" si="274"/>
        <v>-3.0000000000000009</v>
      </c>
      <c r="AP56" s="173">
        <f t="shared" si="275"/>
        <v>-14.2</v>
      </c>
      <c r="AQ56" s="173">
        <f t="shared" si="276"/>
        <v>-33</v>
      </c>
      <c r="AR56" s="175">
        <f t="shared" si="277"/>
        <v>-2.2000000000000002</v>
      </c>
      <c r="AS56" s="173">
        <f t="shared" si="278"/>
        <v>-7.2</v>
      </c>
      <c r="AT56" s="173">
        <f t="shared" si="279"/>
        <v>-26.399999999999995</v>
      </c>
      <c r="AU56" s="173">
        <f t="shared" si="280"/>
        <v>-65.2</v>
      </c>
      <c r="AV56" s="175">
        <f t="shared" si="281"/>
        <v>-19.399999999999999</v>
      </c>
      <c r="AW56" s="173">
        <f t="shared" si="282"/>
        <v>-11.400000000000002</v>
      </c>
      <c r="AX56" s="173">
        <f t="shared" si="283"/>
        <v>-22.900000000000002</v>
      </c>
      <c r="AY56" s="173">
        <f t="shared" si="284"/>
        <v>-68.099999999999994</v>
      </c>
      <c r="AZ56" s="175">
        <f t="shared" si="285"/>
        <v>-95</v>
      </c>
      <c r="BA56" s="173">
        <f t="shared" si="286"/>
        <v>-130.1</v>
      </c>
      <c r="BB56" s="173">
        <f t="shared" si="287"/>
        <v>-103.1</v>
      </c>
      <c r="BC56" s="173">
        <f t="shared" si="288"/>
        <v>-20</v>
      </c>
      <c r="BD56" s="175">
        <f t="shared" si="289"/>
        <v>0</v>
      </c>
      <c r="BE56" s="173">
        <f t="shared" si="290"/>
        <v>0</v>
      </c>
      <c r="BF56" s="173">
        <f t="shared" si="291"/>
        <v>0</v>
      </c>
      <c r="BG56" s="173">
        <f t="shared" si="292"/>
        <v>0</v>
      </c>
      <c r="BH56" s="175">
        <f t="shared" si="293"/>
        <v>-25</v>
      </c>
      <c r="BI56" s="173">
        <f t="shared" si="294"/>
        <v>0</v>
      </c>
      <c r="BJ56" s="173">
        <f t="shared" si="295"/>
        <v>0</v>
      </c>
      <c r="BK56" s="173">
        <f t="shared" si="296"/>
        <v>0</v>
      </c>
      <c r="BL56" s="1159">
        <v>0</v>
      </c>
      <c r="BM56" s="1158">
        <v>0</v>
      </c>
      <c r="BN56" s="1158">
        <f>BM56</f>
        <v>0</v>
      </c>
      <c r="BO56" s="1158">
        <f>BN56</f>
        <v>0</v>
      </c>
      <c r="BP56" s="1159">
        <v>0</v>
      </c>
      <c r="BQ56" s="1158">
        <v>0</v>
      </c>
      <c r="BR56" s="1158">
        <f>BQ56</f>
        <v>0</v>
      </c>
      <c r="BS56" s="1158">
        <f>BR56</f>
        <v>0</v>
      </c>
      <c r="BT56" s="1159">
        <v>0</v>
      </c>
      <c r="BU56" s="1158">
        <v>0</v>
      </c>
      <c r="BV56" s="1158">
        <f>BU56</f>
        <v>0</v>
      </c>
      <c r="BW56" s="1158">
        <f>BV56</f>
        <v>0</v>
      </c>
      <c r="BX56" s="21"/>
      <c r="BY56" s="173">
        <f t="shared" si="297"/>
        <v>0</v>
      </c>
      <c r="BZ56" s="173">
        <f t="shared" si="298"/>
        <v>0</v>
      </c>
      <c r="CA56" s="173">
        <f t="shared" si="299"/>
        <v>0</v>
      </c>
      <c r="CB56" s="173">
        <f t="shared" si="300"/>
        <v>-300</v>
      </c>
      <c r="CC56" s="173">
        <f t="shared" si="301"/>
        <v>-55.2</v>
      </c>
      <c r="CD56" s="173">
        <f t="shared" si="302"/>
        <v>-2.9000000000000004</v>
      </c>
      <c r="CE56" s="173">
        <f t="shared" si="303"/>
        <v>-8.6000000000000014</v>
      </c>
      <c r="CF56" s="173">
        <f t="shared" si="304"/>
        <v>-15</v>
      </c>
      <c r="CG56" s="173">
        <f t="shared" si="305"/>
        <v>0</v>
      </c>
      <c r="CH56" s="173">
        <f t="shared" si="306"/>
        <v>-55.5</v>
      </c>
      <c r="CI56" s="173">
        <f t="shared" si="307"/>
        <v>-101</v>
      </c>
      <c r="CJ56" s="173">
        <f t="shared" si="308"/>
        <v>-121.8</v>
      </c>
      <c r="CK56" s="173">
        <f t="shared" si="309"/>
        <v>-348.2</v>
      </c>
      <c r="CL56" s="173">
        <f t="shared" si="310"/>
        <v>0</v>
      </c>
      <c r="CM56" s="173">
        <f t="shared" si="311"/>
        <v>-25</v>
      </c>
      <c r="CN56" s="173">
        <f t="shared" si="312"/>
        <v>0</v>
      </c>
      <c r="CO56" s="173">
        <f t="shared" si="313"/>
        <v>0</v>
      </c>
      <c r="CP56" s="174">
        <f t="shared" si="314"/>
        <v>0</v>
      </c>
      <c r="CQ56" s="22"/>
    </row>
    <row r="57" spans="1:95" ht="14.25" customHeight="1">
      <c r="A57" s="9"/>
      <c r="B57" s="25" t="str">
        <f t="shared" si="315"/>
        <v>Proceeds/(Payment) from debt issuance</v>
      </c>
      <c r="C57" s="26"/>
      <c r="D57" s="175">
        <f t="shared" si="237"/>
        <v>181.6</v>
      </c>
      <c r="E57" s="173">
        <f t="shared" si="238"/>
        <v>-1.2999999999999829</v>
      </c>
      <c r="F57" s="173">
        <f t="shared" si="239"/>
        <v>95.899999999999977</v>
      </c>
      <c r="G57" s="173">
        <f t="shared" si="240"/>
        <v>46.899999999999977</v>
      </c>
      <c r="H57" s="175">
        <f t="shared" si="241"/>
        <v>-0.3</v>
      </c>
      <c r="I57" s="173">
        <f t="shared" si="242"/>
        <v>250.20000000000002</v>
      </c>
      <c r="J57" s="173">
        <f t="shared" si="243"/>
        <v>-0.40000000000000568</v>
      </c>
      <c r="K57" s="173">
        <f t="shared" si="244"/>
        <v>644.99999999999989</v>
      </c>
      <c r="L57" s="175">
        <f t="shared" si="245"/>
        <v>-0.2</v>
      </c>
      <c r="M57" s="173">
        <f t="shared" si="246"/>
        <v>0</v>
      </c>
      <c r="N57" s="173">
        <f t="shared" si="247"/>
        <v>0</v>
      </c>
      <c r="O57" s="173">
        <f t="shared" si="248"/>
        <v>91.8</v>
      </c>
      <c r="P57" s="175">
        <f t="shared" si="249"/>
        <v>-1.4</v>
      </c>
      <c r="Q57" s="173">
        <f t="shared" si="250"/>
        <v>-0.30000000000000004</v>
      </c>
      <c r="R57" s="173">
        <f t="shared" si="251"/>
        <v>9.7000000000000011</v>
      </c>
      <c r="S57" s="173">
        <f t="shared" si="252"/>
        <v>485.2</v>
      </c>
      <c r="T57" s="175">
        <f t="shared" si="253"/>
        <v>9.9999999999999978E-2</v>
      </c>
      <c r="U57" s="173">
        <f t="shared" si="254"/>
        <v>0</v>
      </c>
      <c r="V57" s="173">
        <f t="shared" si="255"/>
        <v>0</v>
      </c>
      <c r="W57" s="173">
        <f t="shared" si="256"/>
        <v>25</v>
      </c>
      <c r="X57" s="175">
        <f t="shared" si="257"/>
        <v>0</v>
      </c>
      <c r="Y57" s="173">
        <f t="shared" si="258"/>
        <v>44.1</v>
      </c>
      <c r="Z57" s="173">
        <f t="shared" si="259"/>
        <v>19.5</v>
      </c>
      <c r="AA57" s="173">
        <f t="shared" si="260"/>
        <v>13.499999999999993</v>
      </c>
      <c r="AB57" s="175">
        <f t="shared" si="261"/>
        <v>0</v>
      </c>
      <c r="AC57" s="173">
        <f t="shared" si="262"/>
        <v>7</v>
      </c>
      <c r="AD57" s="173">
        <f t="shared" si="263"/>
        <v>11.7</v>
      </c>
      <c r="AE57" s="173">
        <f t="shared" si="264"/>
        <v>60.8</v>
      </c>
      <c r="AF57" s="175">
        <f t="shared" si="265"/>
        <v>0.2</v>
      </c>
      <c r="AG57" s="173">
        <f t="shared" si="266"/>
        <v>23</v>
      </c>
      <c r="AH57" s="173">
        <f t="shared" si="267"/>
        <v>55.8</v>
      </c>
      <c r="AI57" s="173">
        <f t="shared" si="268"/>
        <v>73.000000000000014</v>
      </c>
      <c r="AJ57" s="175">
        <f t="shared" si="269"/>
        <v>15.2</v>
      </c>
      <c r="AK57" s="173">
        <f t="shared" si="270"/>
        <v>26.099999999999998</v>
      </c>
      <c r="AL57" s="173">
        <f t="shared" si="271"/>
        <v>22.7</v>
      </c>
      <c r="AM57" s="173">
        <f t="shared" si="272"/>
        <v>5</v>
      </c>
      <c r="AN57" s="175">
        <f t="shared" si="273"/>
        <v>2</v>
      </c>
      <c r="AO57" s="173">
        <f t="shared" si="274"/>
        <v>0</v>
      </c>
      <c r="AP57" s="173">
        <f t="shared" si="275"/>
        <v>9.1</v>
      </c>
      <c r="AQ57" s="173">
        <f t="shared" si="276"/>
        <v>12.500000000000002</v>
      </c>
      <c r="AR57" s="175">
        <f t="shared" si="277"/>
        <v>26.2</v>
      </c>
      <c r="AS57" s="173">
        <f t="shared" si="278"/>
        <v>0</v>
      </c>
      <c r="AT57" s="173">
        <f t="shared" si="279"/>
        <v>20.000000000000004</v>
      </c>
      <c r="AU57" s="173">
        <f t="shared" si="280"/>
        <v>127.5</v>
      </c>
      <c r="AV57" s="175">
        <f t="shared" si="281"/>
        <v>0</v>
      </c>
      <c r="AW57" s="173">
        <f t="shared" si="282"/>
        <v>15</v>
      </c>
      <c r="AX57" s="173">
        <f t="shared" si="283"/>
        <v>292.5</v>
      </c>
      <c r="AY57" s="173">
        <f t="shared" si="284"/>
        <v>38.899999999999977</v>
      </c>
      <c r="AZ57" s="175">
        <f t="shared" si="285"/>
        <v>6.5</v>
      </c>
      <c r="BA57" s="173">
        <f t="shared" si="286"/>
        <v>749.4</v>
      </c>
      <c r="BB57" s="173">
        <f t="shared" si="287"/>
        <v>-56.699999999999932</v>
      </c>
      <c r="BC57" s="173">
        <f t="shared" si="288"/>
        <v>117.29999999999995</v>
      </c>
      <c r="BD57" s="175">
        <f t="shared" si="289"/>
        <v>3.3</v>
      </c>
      <c r="BE57" s="173">
        <f t="shared" si="290"/>
        <v>6.2</v>
      </c>
      <c r="BF57" s="173">
        <f t="shared" si="291"/>
        <v>2572.4</v>
      </c>
      <c r="BG57" s="173">
        <f t="shared" si="292"/>
        <v>5</v>
      </c>
      <c r="BH57" s="175">
        <f t="shared" si="293"/>
        <v>689</v>
      </c>
      <c r="BI57" s="173">
        <f t="shared" si="294"/>
        <v>6.8999999999999773</v>
      </c>
      <c r="BJ57" s="173">
        <f t="shared" si="295"/>
        <v>5.3000000000000682</v>
      </c>
      <c r="BK57" s="173">
        <f t="shared" si="296"/>
        <v>405</v>
      </c>
      <c r="BL57" s="178">
        <v>0</v>
      </c>
      <c r="BM57" s="176">
        <v>0</v>
      </c>
      <c r="BN57" s="176">
        <v>0</v>
      </c>
      <c r="BO57" s="176">
        <v>0</v>
      </c>
      <c r="BP57" s="178">
        <v>0</v>
      </c>
      <c r="BQ57" s="176">
        <v>0</v>
      </c>
      <c r="BR57" s="176">
        <v>0</v>
      </c>
      <c r="BS57" s="176">
        <v>0</v>
      </c>
      <c r="BT57" s="178">
        <v>0</v>
      </c>
      <c r="BU57" s="176">
        <v>0</v>
      </c>
      <c r="BV57" s="176">
        <v>0</v>
      </c>
      <c r="BW57" s="176">
        <v>0</v>
      </c>
      <c r="BX57" s="21"/>
      <c r="BY57" s="173">
        <f t="shared" si="297"/>
        <v>323.09999999999997</v>
      </c>
      <c r="BZ57" s="173">
        <f t="shared" si="298"/>
        <v>894.49999999999989</v>
      </c>
      <c r="CA57" s="173">
        <f t="shared" si="299"/>
        <v>91.6</v>
      </c>
      <c r="CB57" s="173">
        <f t="shared" si="300"/>
        <v>493.2</v>
      </c>
      <c r="CC57" s="173">
        <f t="shared" si="301"/>
        <v>25.1</v>
      </c>
      <c r="CD57" s="173">
        <f t="shared" si="302"/>
        <v>77.099999999999994</v>
      </c>
      <c r="CE57" s="173">
        <f t="shared" si="303"/>
        <v>79.5</v>
      </c>
      <c r="CF57" s="173">
        <f t="shared" si="304"/>
        <v>152</v>
      </c>
      <c r="CG57" s="173">
        <f t="shared" si="305"/>
        <v>69</v>
      </c>
      <c r="CH57" s="173">
        <f t="shared" si="306"/>
        <v>23.6</v>
      </c>
      <c r="CI57" s="173">
        <f t="shared" si="307"/>
        <v>173.7</v>
      </c>
      <c r="CJ57" s="173">
        <f t="shared" si="308"/>
        <v>346.4</v>
      </c>
      <c r="CK57" s="173">
        <f t="shared" si="309"/>
        <v>816.5</v>
      </c>
      <c r="CL57" s="173">
        <f t="shared" si="310"/>
        <v>2586.9</v>
      </c>
      <c r="CM57" s="173">
        <f t="shared" si="311"/>
        <v>1106.2</v>
      </c>
      <c r="CN57" s="173">
        <f t="shared" si="312"/>
        <v>0</v>
      </c>
      <c r="CO57" s="173">
        <f t="shared" si="313"/>
        <v>0</v>
      </c>
      <c r="CP57" s="174">
        <f t="shared" si="314"/>
        <v>0</v>
      </c>
      <c r="CQ57" s="22"/>
    </row>
    <row r="58" spans="1:95" ht="14.25" customHeight="1">
      <c r="A58" s="9"/>
      <c r="B58" s="25" t="str">
        <f t="shared" si="315"/>
        <v>Payment of capital lease obligations</v>
      </c>
      <c r="C58" s="26"/>
      <c r="D58" s="175">
        <f t="shared" si="237"/>
        <v>0</v>
      </c>
      <c r="E58" s="173">
        <f t="shared" si="238"/>
        <v>0</v>
      </c>
      <c r="F58" s="173">
        <f t="shared" si="239"/>
        <v>0</v>
      </c>
      <c r="G58" s="173">
        <f t="shared" si="240"/>
        <v>-0.2</v>
      </c>
      <c r="H58" s="175">
        <f t="shared" si="241"/>
        <v>-0.6</v>
      </c>
      <c r="I58" s="173">
        <f t="shared" si="242"/>
        <v>-3.6</v>
      </c>
      <c r="J58" s="173">
        <f t="shared" si="243"/>
        <v>-0.89999999999999991</v>
      </c>
      <c r="K58" s="173">
        <f t="shared" si="244"/>
        <v>-1.1000000000000005</v>
      </c>
      <c r="L58" s="175">
        <f t="shared" si="245"/>
        <v>-1.8</v>
      </c>
      <c r="M58" s="173">
        <f t="shared" si="246"/>
        <v>-1.3</v>
      </c>
      <c r="N58" s="173">
        <f t="shared" si="247"/>
        <v>-0.90000000000000013</v>
      </c>
      <c r="O58" s="173">
        <f t="shared" si="248"/>
        <v>-0.90000000000000036</v>
      </c>
      <c r="P58" s="175">
        <f t="shared" si="249"/>
        <v>-1.7</v>
      </c>
      <c r="Q58" s="173">
        <f t="shared" si="250"/>
        <v>-2.2000000000000002</v>
      </c>
      <c r="R58" s="173">
        <f t="shared" si="251"/>
        <v>-0.89999999999999947</v>
      </c>
      <c r="S58" s="173">
        <f t="shared" si="252"/>
        <v>-2.8</v>
      </c>
      <c r="T58" s="175">
        <f t="shared" si="253"/>
        <v>-3.4</v>
      </c>
      <c r="U58" s="173">
        <f t="shared" si="254"/>
        <v>-4.6999999999999993</v>
      </c>
      <c r="V58" s="173">
        <f t="shared" si="255"/>
        <v>-2.5</v>
      </c>
      <c r="W58" s="173">
        <f t="shared" si="256"/>
        <v>-3.4000000000000004</v>
      </c>
      <c r="X58" s="175">
        <f t="shared" si="257"/>
        <v>-7.4</v>
      </c>
      <c r="Y58" s="173">
        <f t="shared" si="258"/>
        <v>-5.5</v>
      </c>
      <c r="Z58" s="173">
        <f t="shared" si="259"/>
        <v>-6.7999999999999989</v>
      </c>
      <c r="AA58" s="173">
        <f t="shared" si="260"/>
        <v>-7.6</v>
      </c>
      <c r="AB58" s="175">
        <f t="shared" si="261"/>
        <v>-6.2</v>
      </c>
      <c r="AC58" s="173">
        <f t="shared" si="262"/>
        <v>-9.3999999999999986</v>
      </c>
      <c r="AD58" s="173">
        <f t="shared" si="263"/>
        <v>-6.0000000000000036</v>
      </c>
      <c r="AE58" s="173">
        <f t="shared" si="264"/>
        <v>-7.8999999999999986</v>
      </c>
      <c r="AF58" s="175">
        <f t="shared" si="265"/>
        <v>-9.1999999999999993</v>
      </c>
      <c r="AG58" s="173">
        <f t="shared" si="266"/>
        <v>-6.1000000000000014</v>
      </c>
      <c r="AH58" s="173">
        <f t="shared" si="267"/>
        <v>-9.5</v>
      </c>
      <c r="AI58" s="173">
        <f t="shared" si="268"/>
        <v>-7.4999999999999964</v>
      </c>
      <c r="AJ58" s="175">
        <f t="shared" si="269"/>
        <v>-9.9</v>
      </c>
      <c r="AK58" s="173">
        <f t="shared" si="270"/>
        <v>-8.7000000000000011</v>
      </c>
      <c r="AL58" s="173">
        <f t="shared" si="271"/>
        <v>-9.5000000000000018</v>
      </c>
      <c r="AM58" s="173">
        <f t="shared" si="272"/>
        <v>-10.899999999999997</v>
      </c>
      <c r="AN58" s="175">
        <f t="shared" si="273"/>
        <v>-11.4</v>
      </c>
      <c r="AO58" s="173">
        <f t="shared" si="274"/>
        <v>-9.7999999999999989</v>
      </c>
      <c r="AP58" s="173">
        <f t="shared" si="275"/>
        <v>-9.4000000000000039</v>
      </c>
      <c r="AQ58" s="173">
        <f t="shared" si="276"/>
        <v>-10.199999999999998</v>
      </c>
      <c r="AR58" s="175">
        <f t="shared" si="277"/>
        <v>-11.5</v>
      </c>
      <c r="AS58" s="173">
        <f t="shared" si="278"/>
        <v>-10.3</v>
      </c>
      <c r="AT58" s="173">
        <f t="shared" si="279"/>
        <v>-9.5</v>
      </c>
      <c r="AU58" s="173">
        <f t="shared" si="280"/>
        <v>-10.400000000000002</v>
      </c>
      <c r="AV58" s="175">
        <f t="shared" si="281"/>
        <v>-11.1</v>
      </c>
      <c r="AW58" s="173">
        <f t="shared" si="282"/>
        <v>-9.9</v>
      </c>
      <c r="AX58" s="173">
        <f t="shared" si="283"/>
        <v>-10.6</v>
      </c>
      <c r="AY58" s="173">
        <f t="shared" si="284"/>
        <v>-12.199999999999998</v>
      </c>
      <c r="AZ58" s="175">
        <f t="shared" si="285"/>
        <v>-8.1999999999999993</v>
      </c>
      <c r="BA58" s="173">
        <f t="shared" si="286"/>
        <v>-4.9000000000000004</v>
      </c>
      <c r="BB58" s="173">
        <f t="shared" si="287"/>
        <v>-4.4000000000000004</v>
      </c>
      <c r="BC58" s="173">
        <f t="shared" si="288"/>
        <v>-4.8000000000000007</v>
      </c>
      <c r="BD58" s="175">
        <f t="shared" si="289"/>
        <v>-6.6</v>
      </c>
      <c r="BE58" s="173">
        <f t="shared" si="290"/>
        <v>-2.8000000000000007</v>
      </c>
      <c r="BF58" s="173">
        <f t="shared" si="291"/>
        <v>-2.7999999999999989</v>
      </c>
      <c r="BG58" s="173">
        <f t="shared" si="292"/>
        <v>-2.7000000000000011</v>
      </c>
      <c r="BH58" s="175">
        <f t="shared" si="293"/>
        <v>-5.4</v>
      </c>
      <c r="BI58" s="173">
        <f t="shared" si="294"/>
        <v>-1.0999999999999996</v>
      </c>
      <c r="BJ58" s="173">
        <f t="shared" si="295"/>
        <v>-1.2000000000000002</v>
      </c>
      <c r="BK58" s="173">
        <f t="shared" si="296"/>
        <v>-1.2000000000000002</v>
      </c>
      <c r="BL58" s="178">
        <v>0</v>
      </c>
      <c r="BM58" s="176">
        <v>0</v>
      </c>
      <c r="BN58" s="176">
        <v>0</v>
      </c>
      <c r="BO58" s="176">
        <v>0</v>
      </c>
      <c r="BP58" s="178">
        <v>0</v>
      </c>
      <c r="BQ58" s="176">
        <v>0</v>
      </c>
      <c r="BR58" s="176">
        <v>0</v>
      </c>
      <c r="BS58" s="176">
        <v>0</v>
      </c>
      <c r="BT58" s="178">
        <v>0</v>
      </c>
      <c r="BU58" s="176">
        <v>0</v>
      </c>
      <c r="BV58" s="176">
        <v>0</v>
      </c>
      <c r="BW58" s="176">
        <v>0</v>
      </c>
      <c r="BX58" s="21"/>
      <c r="BY58" s="173">
        <f t="shared" si="297"/>
        <v>-0.2</v>
      </c>
      <c r="BZ58" s="173">
        <f t="shared" si="298"/>
        <v>-6.2</v>
      </c>
      <c r="CA58" s="173">
        <f t="shared" si="299"/>
        <v>-4.9000000000000004</v>
      </c>
      <c r="CB58" s="173">
        <f t="shared" si="300"/>
        <v>-7.6</v>
      </c>
      <c r="CC58" s="173">
        <f t="shared" si="301"/>
        <v>-14</v>
      </c>
      <c r="CD58" s="173">
        <f t="shared" si="302"/>
        <v>-27.299999999999997</v>
      </c>
      <c r="CE58" s="173">
        <f t="shared" si="303"/>
        <v>-29.5</v>
      </c>
      <c r="CF58" s="173">
        <f t="shared" si="304"/>
        <v>-32.299999999999997</v>
      </c>
      <c r="CG58" s="173">
        <f t="shared" si="305"/>
        <v>-39</v>
      </c>
      <c r="CH58" s="173">
        <f t="shared" si="306"/>
        <v>-40.799999999999997</v>
      </c>
      <c r="CI58" s="173">
        <f t="shared" si="307"/>
        <v>-41.7</v>
      </c>
      <c r="CJ58" s="173">
        <f t="shared" si="308"/>
        <v>-43.8</v>
      </c>
      <c r="CK58" s="173">
        <f t="shared" si="309"/>
        <v>-22.3</v>
      </c>
      <c r="CL58" s="173">
        <f t="shared" si="310"/>
        <v>-14.9</v>
      </c>
      <c r="CM58" s="173">
        <f t="shared" si="311"/>
        <v>-8.9</v>
      </c>
      <c r="CN58" s="173">
        <f t="shared" si="312"/>
        <v>0</v>
      </c>
      <c r="CO58" s="173">
        <f t="shared" si="313"/>
        <v>0</v>
      </c>
      <c r="CP58" s="174">
        <f t="shared" si="314"/>
        <v>0</v>
      </c>
      <c r="CQ58" s="22"/>
    </row>
    <row r="59" spans="1:95" ht="14.25" customHeight="1">
      <c r="A59" s="9"/>
      <c r="B59" s="25" t="str">
        <f t="shared" si="315"/>
        <v>Repayment of long-term debt</v>
      </c>
      <c r="C59" s="26"/>
      <c r="D59" s="175">
        <f t="shared" si="237"/>
        <v>-180.9</v>
      </c>
      <c r="E59" s="173">
        <f t="shared" si="238"/>
        <v>0</v>
      </c>
      <c r="F59" s="173">
        <f t="shared" si="239"/>
        <v>-253.79999999999998</v>
      </c>
      <c r="G59" s="173">
        <f t="shared" si="240"/>
        <v>-47.80000000000004</v>
      </c>
      <c r="H59" s="175">
        <f t="shared" si="241"/>
        <v>-177.9</v>
      </c>
      <c r="I59" s="173">
        <f t="shared" si="242"/>
        <v>-226.99999999999997</v>
      </c>
      <c r="J59" s="173">
        <f t="shared" si="243"/>
        <v>-37.100000000000051</v>
      </c>
      <c r="K59" s="173">
        <f t="shared" si="244"/>
        <v>-646.70000000000005</v>
      </c>
      <c r="L59" s="175">
        <f t="shared" si="245"/>
        <v>-7.6</v>
      </c>
      <c r="M59" s="173">
        <f t="shared" si="246"/>
        <v>-5.8000000000000007</v>
      </c>
      <c r="N59" s="173">
        <f t="shared" si="247"/>
        <v>-12.400000000000002</v>
      </c>
      <c r="O59" s="173">
        <f t="shared" si="248"/>
        <v>-162.29999999999998</v>
      </c>
      <c r="P59" s="175">
        <f t="shared" si="249"/>
        <v>-4.5999999999999996</v>
      </c>
      <c r="Q59" s="173">
        <f t="shared" si="250"/>
        <v>-2.8000000000000007</v>
      </c>
      <c r="R59" s="173">
        <f t="shared" si="251"/>
        <v>-64.400000000000006</v>
      </c>
      <c r="S59" s="173">
        <f t="shared" si="252"/>
        <v>-390.5</v>
      </c>
      <c r="T59" s="175">
        <f t="shared" si="253"/>
        <v>-26.9</v>
      </c>
      <c r="U59" s="173">
        <f t="shared" si="254"/>
        <v>-1.9000000000000021</v>
      </c>
      <c r="V59" s="173">
        <f t="shared" si="255"/>
        <v>-3.4999999999999964</v>
      </c>
      <c r="W59" s="173">
        <f t="shared" si="256"/>
        <v>-1.8000000000000043</v>
      </c>
      <c r="X59" s="175">
        <f t="shared" si="257"/>
        <v>-280.8</v>
      </c>
      <c r="Y59" s="173">
        <f t="shared" si="258"/>
        <v>-44.5</v>
      </c>
      <c r="Z59" s="173">
        <f t="shared" si="259"/>
        <v>-24</v>
      </c>
      <c r="AA59" s="173">
        <f t="shared" si="260"/>
        <v>-53.599999999999966</v>
      </c>
      <c r="AB59" s="175">
        <f t="shared" si="261"/>
        <v>-56.8</v>
      </c>
      <c r="AC59" s="173">
        <f t="shared" si="262"/>
        <v>-45</v>
      </c>
      <c r="AD59" s="173">
        <f t="shared" si="263"/>
        <v>-23.299999999999997</v>
      </c>
      <c r="AE59" s="173">
        <f t="shared" si="264"/>
        <v>-23.099999999999994</v>
      </c>
      <c r="AF59" s="175">
        <f t="shared" si="265"/>
        <v>-4.4000000000000004</v>
      </c>
      <c r="AG59" s="173">
        <f t="shared" si="266"/>
        <v>-195.1</v>
      </c>
      <c r="AH59" s="173">
        <f t="shared" si="267"/>
        <v>-23</v>
      </c>
      <c r="AI59" s="173">
        <f t="shared" si="268"/>
        <v>-31.900000000000006</v>
      </c>
      <c r="AJ59" s="175">
        <f t="shared" si="269"/>
        <v>-19.600000000000001</v>
      </c>
      <c r="AK59" s="173">
        <f t="shared" si="270"/>
        <v>-24.199999999999996</v>
      </c>
      <c r="AL59" s="173">
        <f t="shared" si="271"/>
        <v>-27.200000000000003</v>
      </c>
      <c r="AM59" s="173">
        <f t="shared" si="272"/>
        <v>-88.500000000000014</v>
      </c>
      <c r="AN59" s="175">
        <f t="shared" si="273"/>
        <v>-15.6</v>
      </c>
      <c r="AO59" s="173">
        <f t="shared" si="274"/>
        <v>-130.9</v>
      </c>
      <c r="AP59" s="173">
        <f t="shared" si="275"/>
        <v>-26.800000000000011</v>
      </c>
      <c r="AQ59" s="173">
        <f t="shared" si="276"/>
        <v>-59.199999999999989</v>
      </c>
      <c r="AR59" s="175">
        <f t="shared" si="277"/>
        <v>-81.5</v>
      </c>
      <c r="AS59" s="173">
        <f t="shared" si="278"/>
        <v>-26.099999999999994</v>
      </c>
      <c r="AT59" s="173">
        <f t="shared" si="279"/>
        <v>-22.700000000000017</v>
      </c>
      <c r="AU59" s="173">
        <f t="shared" si="280"/>
        <v>-87.399999999999977</v>
      </c>
      <c r="AV59" s="175">
        <f t="shared" si="281"/>
        <v>-12.9</v>
      </c>
      <c r="AW59" s="173">
        <f t="shared" si="282"/>
        <v>-27.800000000000004</v>
      </c>
      <c r="AX59" s="173">
        <f t="shared" si="283"/>
        <v>-22.599999999999994</v>
      </c>
      <c r="AY59" s="173">
        <f t="shared" si="284"/>
        <v>-27.29999999999999</v>
      </c>
      <c r="AZ59" s="175">
        <f t="shared" si="285"/>
        <v>-30.5</v>
      </c>
      <c r="BA59" s="173">
        <f t="shared" si="286"/>
        <v>-422.6</v>
      </c>
      <c r="BB59" s="173">
        <f t="shared" si="287"/>
        <v>-25.299999999999955</v>
      </c>
      <c r="BC59" s="173">
        <f t="shared" si="288"/>
        <v>-17.100000000000023</v>
      </c>
      <c r="BD59" s="175">
        <f t="shared" si="289"/>
        <v>-38.4</v>
      </c>
      <c r="BE59" s="173">
        <f t="shared" si="290"/>
        <v>-25.6</v>
      </c>
      <c r="BF59" s="173">
        <f t="shared" si="291"/>
        <v>-223.60000000000002</v>
      </c>
      <c r="BG59" s="173">
        <f t="shared" si="292"/>
        <v>-26.200000000000017</v>
      </c>
      <c r="BH59" s="175">
        <f t="shared" si="293"/>
        <v>-1054.4000000000001</v>
      </c>
      <c r="BI59" s="173">
        <f t="shared" si="294"/>
        <v>-136.89999999999986</v>
      </c>
      <c r="BJ59" s="173">
        <f t="shared" si="295"/>
        <v>-220.29999999999995</v>
      </c>
      <c r="BK59" s="173">
        <f t="shared" si="296"/>
        <v>-419.80000000000018</v>
      </c>
      <c r="BL59" s="178">
        <v>0</v>
      </c>
      <c r="BM59" s="176">
        <v>0</v>
      </c>
      <c r="BN59" s="176">
        <v>0</v>
      </c>
      <c r="BO59" s="177">
        <v>0</v>
      </c>
      <c r="BP59" s="178">
        <v>0</v>
      </c>
      <c r="BQ59" s="176">
        <v>0</v>
      </c>
      <c r="BR59" s="176">
        <v>0</v>
      </c>
      <c r="BS59" s="177">
        <v>0</v>
      </c>
      <c r="BT59" s="178">
        <v>0</v>
      </c>
      <c r="BU59" s="176">
        <v>0</v>
      </c>
      <c r="BV59" s="176">
        <v>0</v>
      </c>
      <c r="BW59" s="177">
        <v>0</v>
      </c>
      <c r="BX59" s="21"/>
      <c r="BY59" s="173">
        <f t="shared" si="297"/>
        <v>-482.5</v>
      </c>
      <c r="BZ59" s="173">
        <f t="shared" si="298"/>
        <v>-1088.7</v>
      </c>
      <c r="CA59" s="173">
        <f t="shared" si="299"/>
        <v>-188.1</v>
      </c>
      <c r="CB59" s="173">
        <f t="shared" si="300"/>
        <v>-462.3</v>
      </c>
      <c r="CC59" s="173">
        <f t="shared" si="301"/>
        <v>-34.1</v>
      </c>
      <c r="CD59" s="173">
        <f t="shared" si="302"/>
        <v>-402.9</v>
      </c>
      <c r="CE59" s="173">
        <f t="shared" si="303"/>
        <v>-148.19999999999999</v>
      </c>
      <c r="CF59" s="173">
        <f t="shared" si="304"/>
        <v>-254.4</v>
      </c>
      <c r="CG59" s="173">
        <f t="shared" si="305"/>
        <v>-159.5</v>
      </c>
      <c r="CH59" s="173">
        <f t="shared" si="306"/>
        <v>-232.5</v>
      </c>
      <c r="CI59" s="173">
        <f t="shared" si="307"/>
        <v>-217.7</v>
      </c>
      <c r="CJ59" s="173">
        <f t="shared" si="308"/>
        <v>-90.6</v>
      </c>
      <c r="CK59" s="173">
        <f t="shared" si="309"/>
        <v>-495.5</v>
      </c>
      <c r="CL59" s="173">
        <f t="shared" si="310"/>
        <v>-313.80000000000007</v>
      </c>
      <c r="CM59" s="173">
        <f t="shared" si="311"/>
        <v>-1831.4</v>
      </c>
      <c r="CN59" s="173">
        <f t="shared" si="312"/>
        <v>0</v>
      </c>
      <c r="CO59" s="173">
        <f t="shared" si="313"/>
        <v>0</v>
      </c>
      <c r="CP59" s="174">
        <f t="shared" si="314"/>
        <v>0</v>
      </c>
      <c r="CQ59" s="22"/>
    </row>
    <row r="60" spans="1:95" ht="14.25" customHeight="1">
      <c r="A60" s="9"/>
      <c r="B60" s="25" t="str">
        <f t="shared" si="315"/>
        <v>Payments made in connection with repurchase or exchange convertible notes</v>
      </c>
      <c r="C60" s="26"/>
      <c r="D60" s="175">
        <f t="shared" si="237"/>
        <v>0</v>
      </c>
      <c r="E60" s="173">
        <f t="shared" si="238"/>
        <v>0</v>
      </c>
      <c r="F60" s="173">
        <f t="shared" si="239"/>
        <v>0</v>
      </c>
      <c r="G60" s="173">
        <f t="shared" si="240"/>
        <v>0</v>
      </c>
      <c r="H60" s="175">
        <f t="shared" si="241"/>
        <v>0</v>
      </c>
      <c r="I60" s="173">
        <f t="shared" si="242"/>
        <v>0</v>
      </c>
      <c r="J60" s="173">
        <f t="shared" si="243"/>
        <v>0</v>
      </c>
      <c r="K60" s="173">
        <f t="shared" si="244"/>
        <v>0</v>
      </c>
      <c r="L60" s="175">
        <f t="shared" si="245"/>
        <v>0</v>
      </c>
      <c r="M60" s="173">
        <f t="shared" si="246"/>
        <v>0</v>
      </c>
      <c r="N60" s="173">
        <f t="shared" si="247"/>
        <v>0</v>
      </c>
      <c r="O60" s="173">
        <f t="shared" si="248"/>
        <v>0</v>
      </c>
      <c r="P60" s="175">
        <f t="shared" si="249"/>
        <v>0</v>
      </c>
      <c r="Q60" s="173">
        <f t="shared" si="250"/>
        <v>0</v>
      </c>
      <c r="R60" s="173">
        <f t="shared" si="251"/>
        <v>0</v>
      </c>
      <c r="S60" s="173">
        <f t="shared" si="252"/>
        <v>0</v>
      </c>
      <c r="T60" s="175">
        <f t="shared" si="253"/>
        <v>0</v>
      </c>
      <c r="U60" s="173">
        <f t="shared" si="254"/>
        <v>0</v>
      </c>
      <c r="V60" s="173">
        <f t="shared" si="255"/>
        <v>0</v>
      </c>
      <c r="W60" s="173">
        <f t="shared" si="256"/>
        <v>0</v>
      </c>
      <c r="X60" s="175">
        <f t="shared" si="257"/>
        <v>0</v>
      </c>
      <c r="Y60" s="173">
        <f t="shared" si="258"/>
        <v>0</v>
      </c>
      <c r="Z60" s="173">
        <f t="shared" si="259"/>
        <v>0</v>
      </c>
      <c r="AA60" s="173">
        <f t="shared" si="260"/>
        <v>0</v>
      </c>
      <c r="AB60" s="175">
        <f t="shared" si="261"/>
        <v>0</v>
      </c>
      <c r="AC60" s="173">
        <f t="shared" si="262"/>
        <v>0</v>
      </c>
      <c r="AD60" s="173">
        <f t="shared" si="263"/>
        <v>0</v>
      </c>
      <c r="AE60" s="173">
        <f t="shared" si="264"/>
        <v>0</v>
      </c>
      <c r="AF60" s="175">
        <f t="shared" si="265"/>
        <v>0</v>
      </c>
      <c r="AG60" s="173">
        <f t="shared" si="266"/>
        <v>0</v>
      </c>
      <c r="AH60" s="173">
        <f t="shared" si="267"/>
        <v>0</v>
      </c>
      <c r="AI60" s="173">
        <f t="shared" si="268"/>
        <v>0</v>
      </c>
      <c r="AJ60" s="175">
        <f t="shared" si="269"/>
        <v>0</v>
      </c>
      <c r="AK60" s="173">
        <f t="shared" si="270"/>
        <v>0</v>
      </c>
      <c r="AL60" s="173">
        <f t="shared" si="271"/>
        <v>-56.2</v>
      </c>
      <c r="AM60" s="173">
        <f t="shared" si="272"/>
        <v>40.300000000000004</v>
      </c>
      <c r="AN60" s="175">
        <f t="shared" si="273"/>
        <v>0</v>
      </c>
      <c r="AO60" s="173">
        <f t="shared" si="274"/>
        <v>0</v>
      </c>
      <c r="AP60" s="173">
        <f t="shared" si="275"/>
        <v>-2</v>
      </c>
      <c r="AQ60" s="173">
        <f t="shared" si="276"/>
        <v>-0.60000000000000009</v>
      </c>
      <c r="AR60" s="175">
        <f t="shared" si="277"/>
        <v>0</v>
      </c>
      <c r="AS60" s="173">
        <f t="shared" si="278"/>
        <v>0</v>
      </c>
      <c r="AT60" s="173">
        <f t="shared" si="279"/>
        <v>0</v>
      </c>
      <c r="AU60" s="173">
        <f t="shared" si="280"/>
        <v>-3.2</v>
      </c>
      <c r="AV60" s="175">
        <f t="shared" si="281"/>
        <v>0</v>
      </c>
      <c r="AW60" s="173">
        <f t="shared" si="282"/>
        <v>0</v>
      </c>
      <c r="AX60" s="173">
        <f t="shared" si="283"/>
        <v>0</v>
      </c>
      <c r="AY60" s="173">
        <f t="shared" si="284"/>
        <v>0</v>
      </c>
      <c r="AZ60" s="175">
        <f t="shared" si="285"/>
        <v>0</v>
      </c>
      <c r="BA60" s="173">
        <f t="shared" si="286"/>
        <v>0</v>
      </c>
      <c r="BB60" s="173">
        <f t="shared" si="287"/>
        <v>0</v>
      </c>
      <c r="BC60" s="173">
        <f t="shared" si="288"/>
        <v>0</v>
      </c>
      <c r="BD60" s="175">
        <f t="shared" si="289"/>
        <v>0</v>
      </c>
      <c r="BE60" s="173">
        <f t="shared" si="290"/>
        <v>0</v>
      </c>
      <c r="BF60" s="173">
        <f t="shared" si="291"/>
        <v>0</v>
      </c>
      <c r="BG60" s="173">
        <f t="shared" si="292"/>
        <v>0</v>
      </c>
      <c r="BH60" s="175">
        <f t="shared" si="293"/>
        <v>0</v>
      </c>
      <c r="BI60" s="173">
        <f t="shared" si="294"/>
        <v>0</v>
      </c>
      <c r="BJ60" s="173">
        <f t="shared" si="295"/>
        <v>0</v>
      </c>
      <c r="BK60" s="173">
        <f t="shared" si="296"/>
        <v>0</v>
      </c>
      <c r="BL60" s="178">
        <v>0</v>
      </c>
      <c r="BM60" s="176">
        <v>0</v>
      </c>
      <c r="BN60" s="176">
        <v>0</v>
      </c>
      <c r="BO60" s="176">
        <v>0</v>
      </c>
      <c r="BP60" s="178">
        <v>0</v>
      </c>
      <c r="BQ60" s="176">
        <v>0</v>
      </c>
      <c r="BR60" s="176">
        <v>0</v>
      </c>
      <c r="BS60" s="176">
        <v>0</v>
      </c>
      <c r="BT60" s="178">
        <v>0</v>
      </c>
      <c r="BU60" s="176">
        <v>0</v>
      </c>
      <c r="BV60" s="176">
        <v>0</v>
      </c>
      <c r="BW60" s="176">
        <v>0</v>
      </c>
      <c r="BX60" s="21"/>
      <c r="BY60" s="173">
        <f t="shared" si="297"/>
        <v>0</v>
      </c>
      <c r="BZ60" s="173">
        <f t="shared" si="298"/>
        <v>0</v>
      </c>
      <c r="CA60" s="173">
        <f t="shared" si="299"/>
        <v>0</v>
      </c>
      <c r="CB60" s="173">
        <f t="shared" si="300"/>
        <v>0</v>
      </c>
      <c r="CC60" s="173">
        <f t="shared" si="301"/>
        <v>0</v>
      </c>
      <c r="CD60" s="173">
        <f t="shared" si="302"/>
        <v>0</v>
      </c>
      <c r="CE60" s="173">
        <f t="shared" si="303"/>
        <v>0</v>
      </c>
      <c r="CF60" s="173">
        <f t="shared" si="304"/>
        <v>0</v>
      </c>
      <c r="CG60" s="173">
        <f t="shared" si="305"/>
        <v>-15.899999999999999</v>
      </c>
      <c r="CH60" s="173">
        <f t="shared" si="306"/>
        <v>-2.6</v>
      </c>
      <c r="CI60" s="173">
        <f t="shared" si="307"/>
        <v>-3.2</v>
      </c>
      <c r="CJ60" s="173">
        <f t="shared" si="308"/>
        <v>0</v>
      </c>
      <c r="CK60" s="173">
        <f t="shared" si="309"/>
        <v>0</v>
      </c>
      <c r="CL60" s="173">
        <f t="shared" si="310"/>
        <v>0</v>
      </c>
      <c r="CM60" s="173">
        <f t="shared" si="311"/>
        <v>0</v>
      </c>
      <c r="CN60" s="173">
        <f t="shared" si="312"/>
        <v>0</v>
      </c>
      <c r="CO60" s="173">
        <f t="shared" si="313"/>
        <v>0</v>
      </c>
      <c r="CP60" s="174">
        <f t="shared" si="314"/>
        <v>0</v>
      </c>
      <c r="CQ60" s="22"/>
    </row>
    <row r="61" spans="1:95" ht="14.25" customHeight="1">
      <c r="A61" s="9"/>
      <c r="B61" s="25" t="s">
        <v>512</v>
      </c>
      <c r="C61" s="26"/>
      <c r="D61" s="175">
        <f t="shared" si="237"/>
        <v>0</v>
      </c>
      <c r="E61" s="173">
        <f t="shared" si="238"/>
        <v>0</v>
      </c>
      <c r="F61" s="173">
        <f t="shared" si="239"/>
        <v>0</v>
      </c>
      <c r="G61" s="173">
        <f t="shared" si="240"/>
        <v>0</v>
      </c>
      <c r="H61" s="175">
        <f t="shared" si="241"/>
        <v>0</v>
      </c>
      <c r="I61" s="173">
        <f t="shared" si="242"/>
        <v>0</v>
      </c>
      <c r="J61" s="173">
        <f t="shared" si="243"/>
        <v>0</v>
      </c>
      <c r="K61" s="173">
        <f t="shared" si="244"/>
        <v>0</v>
      </c>
      <c r="L61" s="175">
        <f t="shared" si="245"/>
        <v>0</v>
      </c>
      <c r="M61" s="173">
        <f t="shared" si="246"/>
        <v>0</v>
      </c>
      <c r="N61" s="173">
        <f t="shared" si="247"/>
        <v>0</v>
      </c>
      <c r="O61" s="173">
        <f t="shared" si="248"/>
        <v>0</v>
      </c>
      <c r="P61" s="175">
        <f t="shared" si="249"/>
        <v>0</v>
      </c>
      <c r="Q61" s="173">
        <f t="shared" si="250"/>
        <v>0</v>
      </c>
      <c r="R61" s="173">
        <f t="shared" si="251"/>
        <v>0</v>
      </c>
      <c r="S61" s="173">
        <f t="shared" si="252"/>
        <v>0</v>
      </c>
      <c r="T61" s="175">
        <f t="shared" si="253"/>
        <v>0</v>
      </c>
      <c r="U61" s="173">
        <f t="shared" si="254"/>
        <v>0</v>
      </c>
      <c r="V61" s="173">
        <f t="shared" si="255"/>
        <v>0</v>
      </c>
      <c r="W61" s="173">
        <f t="shared" si="256"/>
        <v>0</v>
      </c>
      <c r="X61" s="175">
        <f t="shared" si="257"/>
        <v>0</v>
      </c>
      <c r="Y61" s="173">
        <f t="shared" si="258"/>
        <v>0</v>
      </c>
      <c r="Z61" s="173">
        <f t="shared" si="259"/>
        <v>0</v>
      </c>
      <c r="AA61" s="173">
        <f t="shared" si="260"/>
        <v>0</v>
      </c>
      <c r="AB61" s="175">
        <f t="shared" si="261"/>
        <v>0</v>
      </c>
      <c r="AC61" s="173">
        <f t="shared" si="262"/>
        <v>0</v>
      </c>
      <c r="AD61" s="173">
        <f t="shared" si="263"/>
        <v>0</v>
      </c>
      <c r="AE61" s="173">
        <f t="shared" si="264"/>
        <v>0</v>
      </c>
      <c r="AF61" s="175">
        <f t="shared" si="265"/>
        <v>0</v>
      </c>
      <c r="AG61" s="173">
        <f t="shared" si="266"/>
        <v>0</v>
      </c>
      <c r="AH61" s="173">
        <f t="shared" si="267"/>
        <v>0</v>
      </c>
      <c r="AI61" s="173">
        <f t="shared" si="268"/>
        <v>0</v>
      </c>
      <c r="AJ61" s="175">
        <f t="shared" si="269"/>
        <v>0</v>
      </c>
      <c r="AK61" s="173">
        <f t="shared" si="270"/>
        <v>0</v>
      </c>
      <c r="AL61" s="173">
        <f t="shared" si="271"/>
        <v>0</v>
      </c>
      <c r="AM61" s="173">
        <f t="shared" si="272"/>
        <v>0</v>
      </c>
      <c r="AN61" s="175">
        <f t="shared" si="273"/>
        <v>0</v>
      </c>
      <c r="AO61" s="173">
        <f t="shared" si="274"/>
        <v>0</v>
      </c>
      <c r="AP61" s="173">
        <f t="shared" si="275"/>
        <v>0</v>
      </c>
      <c r="AQ61" s="173">
        <f t="shared" si="276"/>
        <v>0</v>
      </c>
      <c r="AR61" s="175">
        <f t="shared" si="277"/>
        <v>0</v>
      </c>
      <c r="AS61" s="173">
        <f t="shared" si="278"/>
        <v>0</v>
      </c>
      <c r="AT61" s="173">
        <f t="shared" si="279"/>
        <v>0</v>
      </c>
      <c r="AU61" s="173">
        <f t="shared" si="280"/>
        <v>0</v>
      </c>
      <c r="AV61" s="175">
        <f t="shared" si="281"/>
        <v>0</v>
      </c>
      <c r="AW61" s="173">
        <f t="shared" si="282"/>
        <v>-1.2</v>
      </c>
      <c r="AX61" s="173">
        <f t="shared" si="283"/>
        <v>-1.5000000000000002</v>
      </c>
      <c r="AY61" s="173">
        <f t="shared" si="284"/>
        <v>-1.4999999999999998</v>
      </c>
      <c r="AZ61" s="175">
        <f t="shared" si="285"/>
        <v>0</v>
      </c>
      <c r="BA61" s="173">
        <f t="shared" si="286"/>
        <v>0</v>
      </c>
      <c r="BB61" s="173">
        <f t="shared" si="287"/>
        <v>0</v>
      </c>
      <c r="BC61" s="173">
        <f t="shared" si="288"/>
        <v>0</v>
      </c>
      <c r="BD61" s="175">
        <f t="shared" si="289"/>
        <v>0</v>
      </c>
      <c r="BE61" s="173">
        <f t="shared" si="290"/>
        <v>0</v>
      </c>
      <c r="BF61" s="173">
        <f t="shared" si="291"/>
        <v>0</v>
      </c>
      <c r="BG61" s="173">
        <f t="shared" si="292"/>
        <v>0</v>
      </c>
      <c r="BH61" s="175">
        <f t="shared" si="293"/>
        <v>0</v>
      </c>
      <c r="BI61" s="173">
        <f t="shared" si="294"/>
        <v>0</v>
      </c>
      <c r="BJ61" s="173">
        <f t="shared" si="295"/>
        <v>0</v>
      </c>
      <c r="BK61" s="173">
        <f t="shared" si="296"/>
        <v>0</v>
      </c>
      <c r="BL61" s="178">
        <v>0</v>
      </c>
      <c r="BM61" s="176">
        <v>0</v>
      </c>
      <c r="BN61" s="176">
        <v>0</v>
      </c>
      <c r="BO61" s="176">
        <v>0</v>
      </c>
      <c r="BP61" s="178">
        <v>0</v>
      </c>
      <c r="BQ61" s="176">
        <v>0</v>
      </c>
      <c r="BR61" s="176">
        <v>0</v>
      </c>
      <c r="BS61" s="176">
        <v>0</v>
      </c>
      <c r="BT61" s="178">
        <v>0</v>
      </c>
      <c r="BU61" s="176">
        <v>0</v>
      </c>
      <c r="BV61" s="176">
        <v>0</v>
      </c>
      <c r="BW61" s="176">
        <v>0</v>
      </c>
      <c r="BX61" s="21"/>
      <c r="BY61" s="173">
        <f>SUM(D61:G61)</f>
        <v>0</v>
      </c>
      <c r="BZ61" s="173">
        <f>SUM(H61:K61)</f>
        <v>0</v>
      </c>
      <c r="CA61" s="173">
        <f>SUM(L61:O61)</f>
        <v>0</v>
      </c>
      <c r="CB61" s="173">
        <f>SUM(P61:S61)</f>
        <v>0</v>
      </c>
      <c r="CC61" s="173">
        <f>SUM(T61:W61)</f>
        <v>0</v>
      </c>
      <c r="CD61" s="173">
        <f>SUM(X61:AA61)</f>
        <v>0</v>
      </c>
      <c r="CE61" s="173">
        <f>SUM(AB61:AE61)</f>
        <v>0</v>
      </c>
      <c r="CF61" s="173">
        <f>SUM(AF61:AI61)</f>
        <v>0</v>
      </c>
      <c r="CG61" s="173">
        <f>SUM(AJ61:AM61)</f>
        <v>0</v>
      </c>
      <c r="CH61" s="173">
        <f>SUM(AN61:AQ61)</f>
        <v>0</v>
      </c>
      <c r="CI61" s="173">
        <f>SUM(AR61:AU61)</f>
        <v>0</v>
      </c>
      <c r="CJ61" s="173">
        <f t="shared" si="308"/>
        <v>-4.2</v>
      </c>
      <c r="CK61" s="173">
        <f t="shared" si="309"/>
        <v>0</v>
      </c>
      <c r="CL61" s="173">
        <f t="shared" si="310"/>
        <v>0</v>
      </c>
      <c r="CM61" s="173">
        <f t="shared" si="311"/>
        <v>0</v>
      </c>
      <c r="CN61" s="173">
        <f t="shared" si="312"/>
        <v>0</v>
      </c>
      <c r="CO61" s="173">
        <f t="shared" si="313"/>
        <v>0</v>
      </c>
      <c r="CP61" s="174">
        <f t="shared" si="314"/>
        <v>0</v>
      </c>
      <c r="CQ61" s="22"/>
    </row>
    <row r="62" spans="1:95" ht="14.25" customHeight="1">
      <c r="A62" s="9"/>
      <c r="B62" s="25" t="str">
        <f>B172</f>
        <v>Other financing activities</v>
      </c>
      <c r="C62" s="26"/>
      <c r="D62" s="175">
        <f t="shared" si="237"/>
        <v>0</v>
      </c>
      <c r="E62" s="173">
        <f t="shared" si="238"/>
        <v>0</v>
      </c>
      <c r="F62" s="173">
        <f t="shared" si="239"/>
        <v>0</v>
      </c>
      <c r="G62" s="173">
        <f t="shared" si="240"/>
        <v>0</v>
      </c>
      <c r="H62" s="175">
        <f t="shared" si="241"/>
        <v>-1</v>
      </c>
      <c r="I62" s="173">
        <f t="shared" si="242"/>
        <v>-1.1000000000000001</v>
      </c>
      <c r="J62" s="173">
        <f t="shared" si="243"/>
        <v>0</v>
      </c>
      <c r="K62" s="173">
        <f t="shared" si="244"/>
        <v>-2.1</v>
      </c>
      <c r="L62" s="175">
        <f t="shared" si="245"/>
        <v>-1.5</v>
      </c>
      <c r="M62" s="173">
        <f t="shared" si="246"/>
        <v>-0.5</v>
      </c>
      <c r="N62" s="173">
        <f t="shared" si="247"/>
        <v>0</v>
      </c>
      <c r="O62" s="173">
        <f t="shared" si="248"/>
        <v>-2.5</v>
      </c>
      <c r="P62" s="175">
        <f t="shared" si="249"/>
        <v>0</v>
      </c>
      <c r="Q62" s="173">
        <f t="shared" si="250"/>
        <v>-1</v>
      </c>
      <c r="R62" s="173">
        <f t="shared" si="251"/>
        <v>-0.39999999999999991</v>
      </c>
      <c r="S62" s="173">
        <f t="shared" si="252"/>
        <v>0</v>
      </c>
      <c r="T62" s="175">
        <f t="shared" si="253"/>
        <v>-2.8</v>
      </c>
      <c r="U62" s="173">
        <f t="shared" si="254"/>
        <v>0</v>
      </c>
      <c r="V62" s="173">
        <f t="shared" si="255"/>
        <v>-1.2999999999999998</v>
      </c>
      <c r="W62" s="173">
        <f t="shared" si="256"/>
        <v>0</v>
      </c>
      <c r="X62" s="175">
        <f t="shared" si="257"/>
        <v>-1.5</v>
      </c>
      <c r="Y62" s="173">
        <f t="shared" si="258"/>
        <v>0</v>
      </c>
      <c r="Z62" s="173">
        <f t="shared" si="259"/>
        <v>0</v>
      </c>
      <c r="AA62" s="173">
        <f t="shared" si="260"/>
        <v>0</v>
      </c>
      <c r="AB62" s="175">
        <f t="shared" si="261"/>
        <v>0</v>
      </c>
      <c r="AC62" s="173">
        <f t="shared" si="262"/>
        <v>0</v>
      </c>
      <c r="AD62" s="173">
        <f t="shared" si="263"/>
        <v>0</v>
      </c>
      <c r="AE62" s="173">
        <f t="shared" si="264"/>
        <v>0</v>
      </c>
      <c r="AF62" s="175">
        <f t="shared" si="265"/>
        <v>0</v>
      </c>
      <c r="AG62" s="173">
        <f t="shared" si="266"/>
        <v>0</v>
      </c>
      <c r="AH62" s="173">
        <f t="shared" si="267"/>
        <v>0</v>
      </c>
      <c r="AI62" s="173">
        <f t="shared" si="268"/>
        <v>0</v>
      </c>
      <c r="AJ62" s="175">
        <f t="shared" si="269"/>
        <v>0</v>
      </c>
      <c r="AK62" s="173">
        <f t="shared" si="270"/>
        <v>0</v>
      </c>
      <c r="AL62" s="173">
        <f t="shared" si="271"/>
        <v>0</v>
      </c>
      <c r="AM62" s="173">
        <f t="shared" si="272"/>
        <v>0</v>
      </c>
      <c r="AN62" s="175">
        <f t="shared" si="273"/>
        <v>0</v>
      </c>
      <c r="AO62" s="173">
        <f t="shared" si="274"/>
        <v>0</v>
      </c>
      <c r="AP62" s="173">
        <f t="shared" si="275"/>
        <v>-0.3</v>
      </c>
      <c r="AQ62" s="173">
        <f t="shared" si="276"/>
        <v>0.3</v>
      </c>
      <c r="AR62" s="175">
        <f t="shared" si="277"/>
        <v>0</v>
      </c>
      <c r="AS62" s="173">
        <f t="shared" si="278"/>
        <v>0</v>
      </c>
      <c r="AT62" s="173">
        <f t="shared" si="279"/>
        <v>0</v>
      </c>
      <c r="AU62" s="173">
        <f t="shared" si="280"/>
        <v>0</v>
      </c>
      <c r="AV62" s="175">
        <f t="shared" si="281"/>
        <v>0</v>
      </c>
      <c r="AW62" s="173">
        <f t="shared" si="282"/>
        <v>0</v>
      </c>
      <c r="AX62" s="173">
        <f t="shared" si="283"/>
        <v>0</v>
      </c>
      <c r="AY62" s="173">
        <f t="shared" si="284"/>
        <v>-20.399999999999999</v>
      </c>
      <c r="AZ62" s="175">
        <f t="shared" si="285"/>
        <v>0</v>
      </c>
      <c r="BA62" s="173">
        <f t="shared" si="286"/>
        <v>-76.400000000000006</v>
      </c>
      <c r="BB62" s="173">
        <f t="shared" si="287"/>
        <v>108</v>
      </c>
      <c r="BC62" s="173">
        <f t="shared" si="288"/>
        <v>-108.9</v>
      </c>
      <c r="BD62" s="175">
        <f t="shared" si="289"/>
        <v>0</v>
      </c>
      <c r="BE62" s="173">
        <f t="shared" si="290"/>
        <v>-3.1</v>
      </c>
      <c r="BF62" s="173">
        <f t="shared" si="291"/>
        <v>-5.3000000000000007</v>
      </c>
      <c r="BG62" s="173">
        <f t="shared" si="292"/>
        <v>-2.6999999999999993</v>
      </c>
      <c r="BH62" s="175">
        <f t="shared" si="293"/>
        <v>-59.499999999999986</v>
      </c>
      <c r="BI62" s="173">
        <f t="shared" si="294"/>
        <v>0</v>
      </c>
      <c r="BJ62" s="173">
        <f t="shared" si="295"/>
        <v>0</v>
      </c>
      <c r="BK62" s="173">
        <f t="shared" si="296"/>
        <v>-5.8000000000000114</v>
      </c>
      <c r="BL62" s="178">
        <v>0</v>
      </c>
      <c r="BM62" s="176">
        <v>0</v>
      </c>
      <c r="BN62" s="176">
        <v>0</v>
      </c>
      <c r="BO62" s="176">
        <v>0</v>
      </c>
      <c r="BP62" s="178">
        <v>0</v>
      </c>
      <c r="BQ62" s="176">
        <v>0</v>
      </c>
      <c r="BR62" s="176">
        <v>0</v>
      </c>
      <c r="BS62" s="176">
        <v>0</v>
      </c>
      <c r="BT62" s="178">
        <v>0</v>
      </c>
      <c r="BU62" s="176">
        <v>0</v>
      </c>
      <c r="BV62" s="176">
        <v>0</v>
      </c>
      <c r="BW62" s="176">
        <v>0</v>
      </c>
      <c r="BX62" s="21"/>
      <c r="BY62" s="173">
        <f t="shared" si="297"/>
        <v>0</v>
      </c>
      <c r="BZ62" s="173">
        <f t="shared" si="298"/>
        <v>-4.2</v>
      </c>
      <c r="CA62" s="173">
        <f t="shared" si="299"/>
        <v>-4.5</v>
      </c>
      <c r="CB62" s="173">
        <f t="shared" si="300"/>
        <v>-1.4</v>
      </c>
      <c r="CC62" s="173">
        <f t="shared" si="301"/>
        <v>-4.0999999999999996</v>
      </c>
      <c r="CD62" s="173">
        <f t="shared" si="302"/>
        <v>-1.5</v>
      </c>
      <c r="CE62" s="173">
        <f t="shared" si="303"/>
        <v>0</v>
      </c>
      <c r="CF62" s="173">
        <f t="shared" si="304"/>
        <v>0</v>
      </c>
      <c r="CG62" s="173">
        <f t="shared" si="305"/>
        <v>0</v>
      </c>
      <c r="CH62" s="173">
        <f t="shared" si="306"/>
        <v>0</v>
      </c>
      <c r="CI62" s="173">
        <f t="shared" si="307"/>
        <v>0</v>
      </c>
      <c r="CJ62" s="173">
        <f t="shared" si="308"/>
        <v>-20.399999999999999</v>
      </c>
      <c r="CK62" s="173">
        <f t="shared" si="309"/>
        <v>-77.300000000000011</v>
      </c>
      <c r="CL62" s="173">
        <f t="shared" si="310"/>
        <v>-11.1</v>
      </c>
      <c r="CM62" s="173">
        <f t="shared" si="311"/>
        <v>-65.3</v>
      </c>
      <c r="CN62" s="173">
        <f t="shared" si="312"/>
        <v>0</v>
      </c>
      <c r="CO62" s="173">
        <f t="shared" si="313"/>
        <v>0</v>
      </c>
      <c r="CP62" s="1137">
        <f t="shared" si="314"/>
        <v>0</v>
      </c>
      <c r="CQ62" s="22"/>
    </row>
    <row r="63" spans="1:95" ht="14.25" customHeight="1" thickBot="1">
      <c r="A63" s="9"/>
      <c r="B63" s="179" t="str">
        <f>B173</f>
        <v>Net cash used for financing activities</v>
      </c>
      <c r="C63" s="180"/>
      <c r="D63" s="182">
        <f t="shared" ref="D63:AV63" si="316">SUM(D52:D62)</f>
        <v>0.89999999999997726</v>
      </c>
      <c r="E63" s="181">
        <f t="shared" si="316"/>
        <v>-0.79999999999998295</v>
      </c>
      <c r="F63" s="181">
        <f t="shared" si="316"/>
        <v>4.2999999999999829</v>
      </c>
      <c r="G63" s="181">
        <f t="shared" si="316"/>
        <v>-7.1054273576010019E-14</v>
      </c>
      <c r="H63" s="182">
        <f t="shared" si="316"/>
        <v>53.5</v>
      </c>
      <c r="I63" s="181">
        <f t="shared" si="316"/>
        <v>19.00000000000005</v>
      </c>
      <c r="J63" s="181">
        <f t="shared" si="316"/>
        <v>-37.500000000000078</v>
      </c>
      <c r="K63" s="181">
        <f t="shared" si="316"/>
        <v>-3.6000000000002275</v>
      </c>
      <c r="L63" s="182">
        <f t="shared" si="316"/>
        <v>-10.1</v>
      </c>
      <c r="M63" s="181">
        <f t="shared" si="316"/>
        <v>-6.7000000000000011</v>
      </c>
      <c r="N63" s="181">
        <f t="shared" si="316"/>
        <v>-10.700000000000003</v>
      </c>
      <c r="O63" s="181">
        <f t="shared" si="316"/>
        <v>-72.099999999999994</v>
      </c>
      <c r="P63" s="182">
        <f t="shared" si="316"/>
        <v>-1.9999999999999991</v>
      </c>
      <c r="Q63" s="181">
        <f t="shared" si="316"/>
        <v>74.400000000000006</v>
      </c>
      <c r="R63" s="181">
        <f t="shared" si="316"/>
        <v>-54.000000000000007</v>
      </c>
      <c r="S63" s="181">
        <f t="shared" si="316"/>
        <v>-202.90000000000003</v>
      </c>
      <c r="T63" s="182">
        <f t="shared" si="316"/>
        <v>-12.699999999999996</v>
      </c>
      <c r="U63" s="181">
        <f t="shared" si="316"/>
        <v>-51.000000000000014</v>
      </c>
      <c r="V63" s="181">
        <f t="shared" si="316"/>
        <v>5.2000000000000037</v>
      </c>
      <c r="W63" s="181">
        <f t="shared" si="316"/>
        <v>22.999999999999993</v>
      </c>
      <c r="X63" s="182">
        <f t="shared" si="316"/>
        <v>-289.60000000000002</v>
      </c>
      <c r="Y63" s="181">
        <f t="shared" si="316"/>
        <v>4.2000000000000028</v>
      </c>
      <c r="Z63" s="181">
        <f t="shared" si="316"/>
        <v>-5.8999999999999986</v>
      </c>
      <c r="AA63" s="181">
        <f t="shared" si="316"/>
        <v>-45.799999999999969</v>
      </c>
      <c r="AB63" s="182">
        <f t="shared" si="316"/>
        <v>-62.4</v>
      </c>
      <c r="AC63" s="181">
        <f t="shared" si="316"/>
        <v>-42.699999999999996</v>
      </c>
      <c r="AD63" s="181">
        <f t="shared" si="316"/>
        <v>-10.3</v>
      </c>
      <c r="AE63" s="181">
        <f t="shared" si="316"/>
        <v>31.600000000000009</v>
      </c>
      <c r="AF63" s="182">
        <f t="shared" si="316"/>
        <v>-11.1</v>
      </c>
      <c r="AG63" s="181">
        <f t="shared" si="316"/>
        <v>-176.9</v>
      </c>
      <c r="AH63" s="181">
        <f t="shared" si="316"/>
        <v>22.5</v>
      </c>
      <c r="AI63" s="181">
        <f t="shared" si="316"/>
        <v>46.100000000000009</v>
      </c>
      <c r="AJ63" s="182">
        <f t="shared" si="316"/>
        <v>21.099999999999994</v>
      </c>
      <c r="AK63" s="181">
        <f t="shared" si="316"/>
        <v>6.8000000000000043</v>
      </c>
      <c r="AL63" s="181">
        <f t="shared" si="316"/>
        <v>-70.200000000000017</v>
      </c>
      <c r="AM63" s="181">
        <f t="shared" si="316"/>
        <v>-54.900000000000013</v>
      </c>
      <c r="AN63" s="182">
        <f t="shared" si="316"/>
        <v>-25.5</v>
      </c>
      <c r="AO63" s="181">
        <f t="shared" si="316"/>
        <v>-140.9</v>
      </c>
      <c r="AP63" s="181">
        <f t="shared" si="316"/>
        <v>-49.700000000000017</v>
      </c>
      <c r="AQ63" s="181">
        <f t="shared" si="316"/>
        <v>-83.59999999999998</v>
      </c>
      <c r="AR63" s="182">
        <f t="shared" si="316"/>
        <v>-65.2</v>
      </c>
      <c r="AS63" s="181">
        <f t="shared" si="316"/>
        <v>-40.899999999999991</v>
      </c>
      <c r="AT63" s="181">
        <f t="shared" si="316"/>
        <v>-34.300000000000011</v>
      </c>
      <c r="AU63" s="181">
        <f>SUM(AU52:AU62)</f>
        <v>-33.59999999999998</v>
      </c>
      <c r="AV63" s="182">
        <f t="shared" si="316"/>
        <v>-38.299999999999997</v>
      </c>
      <c r="AW63" s="181">
        <f>SUM(AW52:AW62)</f>
        <v>-27.900000000000006</v>
      </c>
      <c r="AX63" s="181">
        <f>SUM(AX52:AX62)</f>
        <v>241.6</v>
      </c>
      <c r="AY63" s="181">
        <f t="shared" ref="AY63:BD63" si="317">SUM(AY52:AY62)</f>
        <v>-84</v>
      </c>
      <c r="AZ63" s="182">
        <f t="shared" si="317"/>
        <v>-113.2</v>
      </c>
      <c r="BA63" s="181">
        <f t="shared" si="317"/>
        <v>120.70000000000002</v>
      </c>
      <c r="BB63" s="181">
        <f t="shared" si="317"/>
        <v>-77.199999999999903</v>
      </c>
      <c r="BC63" s="181">
        <f t="shared" si="317"/>
        <v>-30.100000000000065</v>
      </c>
      <c r="BD63" s="182">
        <f t="shared" si="317"/>
        <v>-44.5</v>
      </c>
      <c r="BE63" s="181">
        <f>SUM(BE52:BE62)</f>
        <v>-21.500000000000004</v>
      </c>
      <c r="BF63" s="181">
        <f t="shared" ref="BF63:BH63" si="318">SUM(BF52:BF62)</f>
        <v>2345.2999999999997</v>
      </c>
      <c r="BG63" s="181">
        <f t="shared" si="318"/>
        <v>-14.600000000000017</v>
      </c>
      <c r="BH63" s="182">
        <f t="shared" si="318"/>
        <v>-454.90000000000009</v>
      </c>
      <c r="BI63" s="181">
        <f>SUM(BI52:BI62)</f>
        <v>-124.59999999999988</v>
      </c>
      <c r="BJ63" s="181">
        <f t="shared" ref="BJ63:BK63" si="319">SUM(BJ52:BJ62)</f>
        <v>-225.7999999999999</v>
      </c>
      <c r="BK63" s="181">
        <f t="shared" si="319"/>
        <v>-5.6000000000001933</v>
      </c>
      <c r="BL63" s="182">
        <f t="shared" ref="BL63:BO63" si="320">SUM(BL52:BL62)</f>
        <v>0</v>
      </c>
      <c r="BM63" s="181">
        <f t="shared" si="320"/>
        <v>0</v>
      </c>
      <c r="BN63" s="181">
        <f t="shared" si="320"/>
        <v>0</v>
      </c>
      <c r="BO63" s="181">
        <f t="shared" si="320"/>
        <v>0</v>
      </c>
      <c r="BP63" s="182">
        <f t="shared" ref="BP63:BS63" si="321">SUM(BP52:BP62)</f>
        <v>0</v>
      </c>
      <c r="BQ63" s="181">
        <f t="shared" si="321"/>
        <v>0</v>
      </c>
      <c r="BR63" s="181">
        <f t="shared" si="321"/>
        <v>0</v>
      </c>
      <c r="BS63" s="181">
        <f t="shared" si="321"/>
        <v>0</v>
      </c>
      <c r="BT63" s="182">
        <f t="shared" ref="BT63:BW63" si="322">SUM(BT52:BT62)</f>
        <v>0</v>
      </c>
      <c r="BU63" s="181">
        <f t="shared" si="322"/>
        <v>0</v>
      </c>
      <c r="BV63" s="181">
        <f t="shared" si="322"/>
        <v>0</v>
      </c>
      <c r="BW63" s="181">
        <f t="shared" si="322"/>
        <v>0</v>
      </c>
      <c r="BX63" s="21"/>
      <c r="BY63" s="181">
        <f t="shared" ref="BY63:CL63" si="323">SUM(BY52:BY62)</f>
        <v>4.3999999999999773</v>
      </c>
      <c r="BZ63" s="181">
        <f t="shared" si="323"/>
        <v>31.39999999999991</v>
      </c>
      <c r="CA63" s="181">
        <f t="shared" si="323"/>
        <v>-99.600000000000009</v>
      </c>
      <c r="CB63" s="181">
        <f t="shared" si="323"/>
        <v>-184.50000000000009</v>
      </c>
      <c r="CC63" s="181">
        <f t="shared" si="323"/>
        <v>-35.500000000000007</v>
      </c>
      <c r="CD63" s="181">
        <f t="shared" si="323"/>
        <v>-337.09999999999997</v>
      </c>
      <c r="CE63" s="181">
        <f t="shared" si="323"/>
        <v>-83.799999999999983</v>
      </c>
      <c r="CF63" s="181">
        <f t="shared" si="323"/>
        <v>-119.4</v>
      </c>
      <c r="CG63" s="181">
        <f t="shared" si="323"/>
        <v>-97.199999999999989</v>
      </c>
      <c r="CH63" s="181">
        <f t="shared" si="323"/>
        <v>-299.70000000000005</v>
      </c>
      <c r="CI63" s="181">
        <f t="shared" si="323"/>
        <v>-174</v>
      </c>
      <c r="CJ63" s="181">
        <f t="shared" si="323"/>
        <v>91.399999999999977</v>
      </c>
      <c r="CK63" s="181">
        <f t="shared" si="323"/>
        <v>-99.800000000000011</v>
      </c>
      <c r="CL63" s="181">
        <f t="shared" si="323"/>
        <v>2264.6999999999998</v>
      </c>
      <c r="CM63" s="181">
        <f>SUM(CM52:CM62)</f>
        <v>-810.90000000000009</v>
      </c>
      <c r="CN63" s="181">
        <f>SUM(CN52:CN62)</f>
        <v>0</v>
      </c>
      <c r="CO63" s="181">
        <f>SUM(CO52:CO62)</f>
        <v>0</v>
      </c>
      <c r="CP63" s="188">
        <f>SUM(CP52:CP62)</f>
        <v>0</v>
      </c>
      <c r="CQ63" s="22"/>
    </row>
    <row r="64" spans="1:95" ht="14.25" customHeight="1" thickTop="1">
      <c r="A64" s="9"/>
      <c r="B64" s="45"/>
      <c r="C64" s="46"/>
      <c r="D64" s="186"/>
      <c r="E64" s="186"/>
      <c r="F64" s="186"/>
      <c r="G64" s="186"/>
      <c r="H64" s="187"/>
      <c r="I64" s="186"/>
      <c r="J64" s="186"/>
      <c r="K64" s="186"/>
      <c r="L64" s="187"/>
      <c r="M64" s="186"/>
      <c r="N64" s="186"/>
      <c r="O64" s="186"/>
      <c r="P64" s="187"/>
      <c r="Q64" s="186"/>
      <c r="R64" s="186"/>
      <c r="S64" s="186"/>
      <c r="T64" s="187"/>
      <c r="U64" s="186"/>
      <c r="V64" s="186"/>
      <c r="W64" s="186"/>
      <c r="X64" s="187"/>
      <c r="Y64" s="186"/>
      <c r="Z64" s="186"/>
      <c r="AA64" s="186"/>
      <c r="AB64" s="187"/>
      <c r="AC64" s="186"/>
      <c r="AD64" s="186"/>
      <c r="AE64" s="186"/>
      <c r="AF64" s="187"/>
      <c r="AG64" s="186"/>
      <c r="AH64" s="186"/>
      <c r="AI64" s="186"/>
      <c r="AJ64" s="187"/>
      <c r="AK64" s="186"/>
      <c r="AL64" s="186"/>
      <c r="AM64" s="186"/>
      <c r="AN64" s="187"/>
      <c r="AO64" s="186"/>
      <c r="AP64" s="186"/>
      <c r="AQ64" s="186"/>
      <c r="AR64" s="187"/>
      <c r="AS64" s="186"/>
      <c r="AT64" s="186"/>
      <c r="AU64" s="186"/>
      <c r="AV64" s="187"/>
      <c r="AW64" s="186"/>
      <c r="AX64" s="186"/>
      <c r="AY64" s="186"/>
      <c r="AZ64" s="187"/>
      <c r="BA64" s="186"/>
      <c r="BB64" s="186"/>
      <c r="BC64" s="186"/>
      <c r="BD64" s="187"/>
      <c r="BE64" s="186"/>
      <c r="BF64" s="186"/>
      <c r="BG64" s="186"/>
      <c r="BH64" s="187"/>
      <c r="BI64" s="186"/>
      <c r="BJ64" s="186"/>
      <c r="BK64" s="186"/>
      <c r="BL64" s="187"/>
      <c r="BM64" s="186"/>
      <c r="BN64" s="186"/>
      <c r="BO64" s="186"/>
      <c r="BP64" s="187"/>
      <c r="BQ64" s="186"/>
      <c r="BR64" s="186"/>
      <c r="BS64" s="186"/>
      <c r="BT64" s="187"/>
      <c r="BU64" s="186"/>
      <c r="BV64" s="186"/>
      <c r="BW64" s="186"/>
      <c r="BX64" s="21"/>
      <c r="BY64" s="186"/>
      <c r="BZ64" s="186"/>
      <c r="CA64" s="186"/>
      <c r="CB64" s="186"/>
      <c r="CC64" s="186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317"/>
      <c r="CQ64" s="22"/>
    </row>
    <row r="65" spans="1:95" ht="14.25" customHeight="1">
      <c r="A65" s="9"/>
      <c r="B65" s="45" t="str">
        <f>B175</f>
        <v>Effect of exchange rate changes on cash and cash equivalents</v>
      </c>
      <c r="C65" s="46"/>
      <c r="D65" s="175">
        <f>D175</f>
        <v>0.3</v>
      </c>
      <c r="E65" s="173">
        <f>E175-D65</f>
        <v>0.10000000000000003</v>
      </c>
      <c r="F65" s="173">
        <f>F175-D65-E65</f>
        <v>0.59999999999999987</v>
      </c>
      <c r="G65" s="173">
        <f>G175-D65-E65-F65</f>
        <v>0.30000000000000004</v>
      </c>
      <c r="H65" s="175">
        <f>H175</f>
        <v>0.1</v>
      </c>
      <c r="I65" s="173">
        <f>I175-H65</f>
        <v>-0.4</v>
      </c>
      <c r="J65" s="173">
        <f>J175-H65-I65</f>
        <v>-0.5</v>
      </c>
      <c r="K65" s="173">
        <f>K175-H65-I65-J65</f>
        <v>0.7</v>
      </c>
      <c r="L65" s="175">
        <f>L175</f>
        <v>0</v>
      </c>
      <c r="M65" s="173">
        <f>M175-L65</f>
        <v>-0.1</v>
      </c>
      <c r="N65" s="173">
        <f>N175-L65-M65</f>
        <v>-0.1</v>
      </c>
      <c r="O65" s="173">
        <f>O175-L65-M65-N65</f>
        <v>-0.5</v>
      </c>
      <c r="P65" s="175">
        <f>P175</f>
        <v>0.3</v>
      </c>
      <c r="Q65" s="173">
        <f>Q175-P65</f>
        <v>0.3</v>
      </c>
      <c r="R65" s="173">
        <f>R175-P65-Q65</f>
        <v>-9.9999999999999978E-2</v>
      </c>
      <c r="S65" s="173">
        <f>S175-P65-Q65-R65</f>
        <v>-9.9999999999999978E-2</v>
      </c>
      <c r="T65" s="175">
        <f>T175</f>
        <v>-0.2</v>
      </c>
      <c r="U65" s="173">
        <f>U175-T65</f>
        <v>-0.39999999999999997</v>
      </c>
      <c r="V65" s="173">
        <f>V175-T65-U65</f>
        <v>0.7</v>
      </c>
      <c r="W65" s="173">
        <f>W175-T65-U65-V65</f>
        <v>0.19999999999999996</v>
      </c>
      <c r="X65" s="175">
        <f>X175</f>
        <v>1.2</v>
      </c>
      <c r="Y65" s="173">
        <f>Y175-X65</f>
        <v>-3.4000000000000004</v>
      </c>
      <c r="Z65" s="173">
        <f>Z175-X65-Y65</f>
        <v>-1</v>
      </c>
      <c r="AA65" s="173">
        <f>AA175-X65-Y65-Z65</f>
        <v>2.9000000000000004</v>
      </c>
      <c r="AB65" s="175">
        <f>AB175</f>
        <v>-0.5</v>
      </c>
      <c r="AC65" s="173">
        <f>AC175-AB65</f>
        <v>0.2</v>
      </c>
      <c r="AD65" s="173">
        <f>AD175-AB65-AC65</f>
        <v>0.60000000000000009</v>
      </c>
      <c r="AE65" s="173">
        <f>AE175-AB65-AC65-AD65</f>
        <v>-0.10000000000000014</v>
      </c>
      <c r="AF65" s="175">
        <f>AF175</f>
        <v>-0.2</v>
      </c>
      <c r="AG65" s="173">
        <f>AG175-AF65</f>
        <v>0.30000000000000004</v>
      </c>
      <c r="AH65" s="173">
        <f>AH175-AF65-AG65</f>
        <v>0.89999999999999991</v>
      </c>
      <c r="AI65" s="173">
        <f>AI175-AF65-AG65-AH65</f>
        <v>-9.9999999999999867E-2</v>
      </c>
      <c r="AJ65" s="175">
        <f>AJ175</f>
        <v>0.2</v>
      </c>
      <c r="AK65" s="173">
        <f>AK175-AJ65</f>
        <v>1.8</v>
      </c>
      <c r="AL65" s="173">
        <f>AL175-AJ65-AK65</f>
        <v>4.7</v>
      </c>
      <c r="AM65" s="173">
        <f>AM175-AJ65-AK65-AL65</f>
        <v>-1.7000000000000002</v>
      </c>
      <c r="AN65" s="175">
        <f>AN175</f>
        <v>-5.5</v>
      </c>
      <c r="AO65" s="173">
        <f>AO175-AN65</f>
        <v>3.1</v>
      </c>
      <c r="AP65" s="173">
        <f>AP175-AN65-AO65</f>
        <v>1.1999999999999997</v>
      </c>
      <c r="AQ65" s="173">
        <f>AQ175-AN65-AO65-AP65</f>
        <v>-7.6999999999999993</v>
      </c>
      <c r="AR65" s="175">
        <f>AR175</f>
        <v>-7.9</v>
      </c>
      <c r="AS65" s="173">
        <f>AS175-AR65</f>
        <v>-1.2999999999999989</v>
      </c>
      <c r="AT65" s="173">
        <f>AT175-AR65-AS65</f>
        <v>-0.70000000000000107</v>
      </c>
      <c r="AU65" s="173">
        <f>AU175-AR65-AS65-AT65</f>
        <v>-2.5999999999999996</v>
      </c>
      <c r="AV65" s="175">
        <f>AV175</f>
        <v>1</v>
      </c>
      <c r="AW65" s="173">
        <f>AW175-AV65</f>
        <v>0.10000000000000009</v>
      </c>
      <c r="AX65" s="173">
        <f>AX175-AV65-AW65</f>
        <v>-2.3000000000000003</v>
      </c>
      <c r="AY65" s="173">
        <f>AY175-AV65-AW65-AX65</f>
        <v>-3.6999999999999997</v>
      </c>
      <c r="AZ65" s="175">
        <f>AZ175</f>
        <v>0.3</v>
      </c>
      <c r="BA65" s="173">
        <f>BA175-AZ65</f>
        <v>-1.3</v>
      </c>
      <c r="BB65" s="173">
        <f>BB175-AZ65-BA65</f>
        <v>0.8</v>
      </c>
      <c r="BC65" s="173">
        <f>BC175-AZ65-BA65-BB65</f>
        <v>-0.19999999999999996</v>
      </c>
      <c r="BD65" s="175">
        <f>BD175</f>
        <v>2.2999999999999998</v>
      </c>
      <c r="BE65" s="173">
        <f>BE175-BD65</f>
        <v>4.1000000000000005</v>
      </c>
      <c r="BF65" s="173">
        <f>BF175-BD65-BE65</f>
        <v>0.19999999999999929</v>
      </c>
      <c r="BG65" s="173">
        <f>BG175-BD65-BE65-BF65</f>
        <v>-7.3999999999999995</v>
      </c>
      <c r="BH65" s="175">
        <f>BH175</f>
        <v>2.2999999999999998</v>
      </c>
      <c r="BI65" s="173">
        <f>BI175-BH65</f>
        <v>-9.9999999999999645E-2</v>
      </c>
      <c r="BJ65" s="173">
        <f>BJ175-BH65-BI65</f>
        <v>0.19999999999999973</v>
      </c>
      <c r="BK65" s="173">
        <f>BK175-BH65-BI65-BJ65</f>
        <v>-0.10000000000000009</v>
      </c>
      <c r="BL65" s="178">
        <v>0</v>
      </c>
      <c r="BM65" s="176">
        <v>0</v>
      </c>
      <c r="BN65" s="176">
        <v>0</v>
      </c>
      <c r="BO65" s="176">
        <v>0</v>
      </c>
      <c r="BP65" s="178">
        <v>0</v>
      </c>
      <c r="BQ65" s="176">
        <v>0</v>
      </c>
      <c r="BR65" s="176">
        <v>0</v>
      </c>
      <c r="BS65" s="176">
        <v>0</v>
      </c>
      <c r="BT65" s="178">
        <v>0</v>
      </c>
      <c r="BU65" s="176">
        <v>0</v>
      </c>
      <c r="BV65" s="176">
        <v>0</v>
      </c>
      <c r="BW65" s="176">
        <v>0</v>
      </c>
      <c r="BX65" s="21"/>
      <c r="BY65" s="173">
        <f>SUM(D65:G65)</f>
        <v>1.2999999999999998</v>
      </c>
      <c r="BZ65" s="173">
        <f>SUM(H65:K65)</f>
        <v>-0.10000000000000009</v>
      </c>
      <c r="CA65" s="173">
        <f>SUM(L65:O65)</f>
        <v>-0.7</v>
      </c>
      <c r="CB65" s="173">
        <f>SUM(P65:S65)</f>
        <v>0.4</v>
      </c>
      <c r="CC65" s="173">
        <f>SUM(T65:W65)</f>
        <v>0.29999999999999993</v>
      </c>
      <c r="CD65" s="173">
        <f>SUM(X65:AA65)</f>
        <v>-0.29999999999999982</v>
      </c>
      <c r="CE65" s="173">
        <f>SUM(AB65:AE65)</f>
        <v>0.19999999999999996</v>
      </c>
      <c r="CF65" s="173">
        <f>SUM(AF65:AI65)</f>
        <v>0.90000000000000013</v>
      </c>
      <c r="CG65" s="173">
        <f>SUM(AJ65:AM65)</f>
        <v>5</v>
      </c>
      <c r="CH65" s="173">
        <f>SUM(AN65:AQ65)</f>
        <v>-8.8999999999999986</v>
      </c>
      <c r="CI65" s="173">
        <f>SUM(AR65:AU65)</f>
        <v>-12.5</v>
      </c>
      <c r="CJ65" s="173">
        <f>SUM(AV65:AY65)</f>
        <v>-4.9000000000000004</v>
      </c>
      <c r="CK65" s="173">
        <f>SUM(AZ65:BC65)</f>
        <v>-0.39999999999999991</v>
      </c>
      <c r="CL65" s="173">
        <f>SUM(BD65:BG65)</f>
        <v>-0.79999999999999982</v>
      </c>
      <c r="CM65" s="173">
        <f>SUM(BH65:BK65)</f>
        <v>2.2999999999999998</v>
      </c>
      <c r="CN65" s="173">
        <f>SUM(BL65:BO65)</f>
        <v>0</v>
      </c>
      <c r="CO65" s="173">
        <f t="shared" ref="CO65" si="324">SUM(BP65:BS65)</f>
        <v>0</v>
      </c>
      <c r="CP65" s="174">
        <f>SUM(BT65:BW65)</f>
        <v>0</v>
      </c>
      <c r="CQ65" s="22"/>
    </row>
    <row r="66" spans="1:95" ht="14.25" customHeight="1">
      <c r="A66" s="9"/>
      <c r="B66" s="45"/>
      <c r="C66" s="46"/>
      <c r="D66" s="186"/>
      <c r="E66" s="186"/>
      <c r="F66" s="186"/>
      <c r="G66" s="186"/>
      <c r="H66" s="187"/>
      <c r="I66" s="186"/>
      <c r="J66" s="186"/>
      <c r="K66" s="186"/>
      <c r="L66" s="187"/>
      <c r="M66" s="186"/>
      <c r="N66" s="186"/>
      <c r="O66" s="186"/>
      <c r="P66" s="187"/>
      <c r="Q66" s="186"/>
      <c r="R66" s="186"/>
      <c r="S66" s="186"/>
      <c r="T66" s="187"/>
      <c r="U66" s="186"/>
      <c r="V66" s="186"/>
      <c r="W66" s="186"/>
      <c r="X66" s="187"/>
      <c r="Y66" s="186"/>
      <c r="Z66" s="186"/>
      <c r="AA66" s="186"/>
      <c r="AB66" s="187"/>
      <c r="AC66" s="186"/>
      <c r="AD66" s="186"/>
      <c r="AE66" s="186"/>
      <c r="AF66" s="187"/>
      <c r="AG66" s="186"/>
      <c r="AH66" s="186"/>
      <c r="AI66" s="186"/>
      <c r="AJ66" s="187"/>
      <c r="AK66" s="186"/>
      <c r="AL66" s="186"/>
      <c r="AM66" s="186"/>
      <c r="AN66" s="187"/>
      <c r="AO66" s="186"/>
      <c r="AP66" s="186"/>
      <c r="AQ66" s="186"/>
      <c r="AR66" s="187"/>
      <c r="AS66" s="186"/>
      <c r="AT66" s="186"/>
      <c r="AU66" s="186"/>
      <c r="AV66" s="187"/>
      <c r="AW66" s="186"/>
      <c r="AX66" s="186"/>
      <c r="AY66" s="186"/>
      <c r="AZ66" s="187"/>
      <c r="BA66" s="186"/>
      <c r="BB66" s="186"/>
      <c r="BC66" s="186"/>
      <c r="BD66" s="187"/>
      <c r="BE66" s="186"/>
      <c r="BF66" s="186"/>
      <c r="BG66" s="186"/>
      <c r="BH66" s="187"/>
      <c r="BI66" s="186"/>
      <c r="BJ66" s="186"/>
      <c r="BK66" s="186"/>
      <c r="BL66" s="191"/>
      <c r="BM66" s="189"/>
      <c r="BN66" s="189"/>
      <c r="BO66" s="189"/>
      <c r="BP66" s="191"/>
      <c r="BQ66" s="189"/>
      <c r="BR66" s="189"/>
      <c r="BS66" s="189"/>
      <c r="BT66" s="191"/>
      <c r="BU66" s="189"/>
      <c r="BV66" s="189"/>
      <c r="BW66" s="189"/>
      <c r="BX66" s="21"/>
      <c r="BY66" s="189"/>
      <c r="BZ66" s="189"/>
      <c r="CA66" s="189"/>
      <c r="CB66" s="189"/>
      <c r="CC66" s="189"/>
      <c r="CD66" s="189"/>
      <c r="CE66" s="189"/>
      <c r="CF66" s="189"/>
      <c r="CG66" s="189"/>
      <c r="CH66" s="189"/>
      <c r="CI66" s="189"/>
      <c r="CJ66" s="189"/>
      <c r="CK66" s="189"/>
      <c r="CL66" s="189"/>
      <c r="CM66" s="189"/>
      <c r="CN66" s="189"/>
      <c r="CO66" s="189"/>
      <c r="CP66" s="190"/>
      <c r="CQ66" s="22"/>
    </row>
    <row r="67" spans="1:95" ht="14.25" customHeight="1">
      <c r="A67" s="9"/>
      <c r="B67" s="45" t="str">
        <f>B177</f>
        <v>Cash and cash equivalents, beginning of period</v>
      </c>
      <c r="C67" s="46"/>
      <c r="D67" s="186">
        <f>D177</f>
        <v>190.4</v>
      </c>
      <c r="E67" s="186">
        <f t="shared" ref="E67:BK67" si="325">D70</f>
        <v>189.09999999999997</v>
      </c>
      <c r="F67" s="186">
        <f t="shared" si="325"/>
        <v>181.19999999999996</v>
      </c>
      <c r="G67" s="186">
        <f t="shared" si="325"/>
        <v>183.59999999999994</v>
      </c>
      <c r="H67" s="187">
        <f t="shared" si="325"/>
        <v>186.59999999999988</v>
      </c>
      <c r="I67" s="186">
        <f t="shared" si="325"/>
        <v>221.39999999999989</v>
      </c>
      <c r="J67" s="186">
        <f t="shared" si="325"/>
        <v>257.69999999999993</v>
      </c>
      <c r="K67" s="186">
        <f t="shared" si="325"/>
        <v>231.79999999999987</v>
      </c>
      <c r="L67" s="187">
        <f t="shared" si="325"/>
        <v>105.69999999999968</v>
      </c>
      <c r="M67" s="186">
        <f t="shared" si="325"/>
        <v>177.49999999999969</v>
      </c>
      <c r="N67" s="186">
        <f t="shared" si="325"/>
        <v>235.59999999999965</v>
      </c>
      <c r="O67" s="186">
        <f t="shared" si="325"/>
        <v>272.29999999999967</v>
      </c>
      <c r="P67" s="187">
        <f t="shared" si="325"/>
        <v>233.2999999999997</v>
      </c>
      <c r="Q67" s="186">
        <f t="shared" si="325"/>
        <v>251.29999999999973</v>
      </c>
      <c r="R67" s="186">
        <f t="shared" si="325"/>
        <v>294.69999999999976</v>
      </c>
      <c r="S67" s="186">
        <f t="shared" si="325"/>
        <v>233.39999999999975</v>
      </c>
      <c r="T67" s="187">
        <f t="shared" si="325"/>
        <v>268.79999999999978</v>
      </c>
      <c r="U67" s="186">
        <f t="shared" si="325"/>
        <v>275.79999999999978</v>
      </c>
      <c r="V67" s="186">
        <f t="shared" si="325"/>
        <v>255.79999999999978</v>
      </c>
      <c r="W67" s="186">
        <f t="shared" si="325"/>
        <v>327.09999999999974</v>
      </c>
      <c r="X67" s="187">
        <f t="shared" si="325"/>
        <v>274.5999999999998</v>
      </c>
      <c r="Y67" s="186">
        <f t="shared" si="325"/>
        <v>307.89999999999975</v>
      </c>
      <c r="Z67" s="186">
        <f t="shared" si="325"/>
        <v>321.19999999999976</v>
      </c>
      <c r="AA67" s="186">
        <f t="shared" si="325"/>
        <v>417.89999999999975</v>
      </c>
      <c r="AB67" s="187">
        <f t="shared" si="325"/>
        <v>458.69999999999993</v>
      </c>
      <c r="AC67" s="186">
        <f t="shared" si="325"/>
        <v>402.4</v>
      </c>
      <c r="AD67" s="186">
        <f t="shared" si="325"/>
        <v>403.4</v>
      </c>
      <c r="AE67" s="186">
        <f t="shared" si="325"/>
        <v>395.2</v>
      </c>
      <c r="AF67" s="187">
        <f t="shared" si="325"/>
        <v>525.70000000000005</v>
      </c>
      <c r="AG67" s="186">
        <f t="shared" si="325"/>
        <v>560.70000000000005</v>
      </c>
      <c r="AH67" s="186">
        <f t="shared" si="325"/>
        <v>467.1</v>
      </c>
      <c r="AI67" s="186">
        <f t="shared" si="325"/>
        <v>562.90000000000009</v>
      </c>
      <c r="AJ67" s="187">
        <f t="shared" si="325"/>
        <v>623.30000000000007</v>
      </c>
      <c r="AK67" s="186">
        <f t="shared" si="325"/>
        <v>766</v>
      </c>
      <c r="AL67" s="186">
        <f t="shared" si="325"/>
        <v>756.6</v>
      </c>
      <c r="AM67" s="186">
        <f t="shared" si="325"/>
        <v>659.3</v>
      </c>
      <c r="AN67" s="187">
        <f t="shared" si="325"/>
        <v>652.9</v>
      </c>
      <c r="AO67" s="186">
        <f t="shared" si="325"/>
        <v>580.09999999999991</v>
      </c>
      <c r="AP67" s="186">
        <f t="shared" si="325"/>
        <v>517.79999999999984</v>
      </c>
      <c r="AQ67" s="186">
        <f t="shared" si="325"/>
        <v>421.39999999999981</v>
      </c>
      <c r="AR67" s="187">
        <f t="shared" si="325"/>
        <v>486.89999999999986</v>
      </c>
      <c r="AS67" s="186">
        <f t="shared" si="325"/>
        <v>536.99999999999989</v>
      </c>
      <c r="AT67" s="186">
        <f t="shared" si="325"/>
        <v>396.09999999999985</v>
      </c>
      <c r="AU67" s="186">
        <f t="shared" si="325"/>
        <v>369.49999999999989</v>
      </c>
      <c r="AV67" s="187">
        <f t="shared" si="325"/>
        <v>509.5</v>
      </c>
      <c r="AW67" s="186">
        <f t="shared" si="325"/>
        <v>562</v>
      </c>
      <c r="AX67" s="186">
        <f t="shared" si="325"/>
        <v>598.9</v>
      </c>
      <c r="AY67" s="186">
        <f t="shared" si="325"/>
        <v>492.09999999999997</v>
      </c>
      <c r="AZ67" s="187">
        <f t="shared" si="325"/>
        <v>511.70000000000005</v>
      </c>
      <c r="BA67" s="186">
        <f t="shared" si="325"/>
        <v>428.10000000000008</v>
      </c>
      <c r="BB67" s="186">
        <f t="shared" si="325"/>
        <v>576.6</v>
      </c>
      <c r="BC67" s="186">
        <f t="shared" si="325"/>
        <v>556.80000000000018</v>
      </c>
      <c r="BD67" s="187">
        <f t="shared" si="325"/>
        <v>617.60000000000014</v>
      </c>
      <c r="BE67" s="186">
        <f t="shared" si="325"/>
        <v>619.50000000000011</v>
      </c>
      <c r="BF67" s="186">
        <f t="shared" si="325"/>
        <v>588.1</v>
      </c>
      <c r="BG67" s="186">
        <f t="shared" si="325"/>
        <v>880.49999999999977</v>
      </c>
      <c r="BH67" s="187">
        <f t="shared" si="325"/>
        <v>1028.0999999999995</v>
      </c>
      <c r="BI67" s="186">
        <f t="shared" si="325"/>
        <v>728.89999999999941</v>
      </c>
      <c r="BJ67" s="186">
        <f t="shared" si="325"/>
        <v>871.59999999999968</v>
      </c>
      <c r="BK67" s="186">
        <f t="shared" si="325"/>
        <v>901.1999999999997</v>
      </c>
      <c r="BL67" s="187">
        <f t="shared" ref="BL67:BS67" si="326">BK70</f>
        <v>949.19999999999948</v>
      </c>
      <c r="BM67" s="186">
        <f t="shared" si="326"/>
        <v>1062.0130009146897</v>
      </c>
      <c r="BN67" s="186">
        <f t="shared" si="326"/>
        <v>1256.9300877673027</v>
      </c>
      <c r="BO67" s="186">
        <f t="shared" si="326"/>
        <v>1453.1611455586192</v>
      </c>
      <c r="BP67" s="187">
        <f t="shared" si="326"/>
        <v>1724.2509290395128</v>
      </c>
      <c r="BQ67" s="186">
        <f t="shared" si="326"/>
        <v>1977.7614423440818</v>
      </c>
      <c r="BR67" s="186">
        <f t="shared" si="326"/>
        <v>2172.804066065914</v>
      </c>
      <c r="BS67" s="186">
        <f t="shared" si="326"/>
        <v>2410.9291342166198</v>
      </c>
      <c r="BT67" s="187">
        <f t="shared" ref="BT67" si="327">BS70</f>
        <v>2703.1717725719636</v>
      </c>
      <c r="BU67" s="186">
        <f t="shared" ref="BU67" si="328">BT70</f>
        <v>2962.1609819360419</v>
      </c>
      <c r="BV67" s="186">
        <f t="shared" ref="BV67" si="329">BU70</f>
        <v>3185.3270983126895</v>
      </c>
      <c r="BW67" s="186">
        <f t="shared" ref="BW67" si="330">BV70</f>
        <v>3454.8281959573014</v>
      </c>
      <c r="BX67" s="21"/>
      <c r="BY67" s="186">
        <f>D67</f>
        <v>190.4</v>
      </c>
      <c r="BZ67" s="186">
        <f>BY70</f>
        <v>186.6</v>
      </c>
      <c r="CA67" s="186">
        <f t="shared" ref="CA67:CM67" si="331">BZ70</f>
        <v>105.69999999999996</v>
      </c>
      <c r="CB67" s="186">
        <f t="shared" si="331"/>
        <v>233.2999999999999</v>
      </c>
      <c r="CC67" s="186">
        <f t="shared" si="331"/>
        <v>268.79999999999978</v>
      </c>
      <c r="CD67" s="186">
        <f t="shared" si="331"/>
        <v>274.59999999999974</v>
      </c>
      <c r="CE67" s="186">
        <f t="shared" si="331"/>
        <v>458.69999999999976</v>
      </c>
      <c r="CF67" s="186">
        <f t="shared" si="331"/>
        <v>525.69999999999982</v>
      </c>
      <c r="CG67" s="186">
        <f t="shared" si="331"/>
        <v>623.29999999999995</v>
      </c>
      <c r="CH67" s="186">
        <f t="shared" si="331"/>
        <v>652.89999999999986</v>
      </c>
      <c r="CI67" s="186">
        <f t="shared" si="331"/>
        <v>486.89999999999969</v>
      </c>
      <c r="CJ67" s="186">
        <f t="shared" si="331"/>
        <v>509.49999999999977</v>
      </c>
      <c r="CK67" s="186">
        <f t="shared" si="331"/>
        <v>511.69999999999982</v>
      </c>
      <c r="CL67" s="186">
        <f t="shared" si="331"/>
        <v>617.59999999999968</v>
      </c>
      <c r="CM67" s="186">
        <f t="shared" si="331"/>
        <v>1028.0999999999995</v>
      </c>
      <c r="CN67" s="186">
        <f>CM70</f>
        <v>949.19999999999959</v>
      </c>
      <c r="CO67" s="186">
        <f>CN70</f>
        <v>1724.2509290395126</v>
      </c>
      <c r="CP67" s="188">
        <f>CO70</f>
        <v>2703.1717725719627</v>
      </c>
      <c r="CQ67" s="22"/>
    </row>
    <row r="68" spans="1:95" ht="14.25" customHeight="1">
      <c r="A68" s="9"/>
      <c r="B68" s="45" t="str">
        <f>B178</f>
        <v>Change in cash flow due to restatement</v>
      </c>
      <c r="C68" s="46"/>
      <c r="D68" s="186">
        <f>D178</f>
        <v>-0.90000000000000568</v>
      </c>
      <c r="E68" s="452">
        <f>E178-D68</f>
        <v>0.90000000000000568</v>
      </c>
      <c r="F68" s="452">
        <f>F178-D68-E68</f>
        <v>0</v>
      </c>
      <c r="G68" s="452">
        <f>G178-D68-E68-F68</f>
        <v>0</v>
      </c>
      <c r="H68" s="187">
        <f>H178</f>
        <v>29.5</v>
      </c>
      <c r="I68" s="452">
        <f>I178-H68</f>
        <v>59</v>
      </c>
      <c r="J68" s="452">
        <f>J178-H68-I68</f>
        <v>-1</v>
      </c>
      <c r="K68" s="452">
        <f>K178-H68-I68-J68</f>
        <v>-87.5</v>
      </c>
      <c r="L68" s="187">
        <f>L178</f>
        <v>0</v>
      </c>
      <c r="M68" s="452">
        <f>M178-L68</f>
        <v>0</v>
      </c>
      <c r="N68" s="452">
        <f>N178-L68-M68</f>
        <v>0</v>
      </c>
      <c r="O68" s="452">
        <f>O178-L68-M68-N68</f>
        <v>0</v>
      </c>
      <c r="P68" s="187">
        <f>P178</f>
        <v>0</v>
      </c>
      <c r="Q68" s="452">
        <f>Q178-P68</f>
        <v>0</v>
      </c>
      <c r="R68" s="452">
        <f>R178-P68-Q68</f>
        <v>0</v>
      </c>
      <c r="S68" s="452">
        <f>S178-P68-Q68-R68</f>
        <v>0</v>
      </c>
      <c r="T68" s="187">
        <f>T178</f>
        <v>0</v>
      </c>
      <c r="U68" s="452">
        <f>U178-T68</f>
        <v>0</v>
      </c>
      <c r="V68" s="452">
        <f>V178-T68-U68</f>
        <v>0</v>
      </c>
      <c r="W68" s="452">
        <f>W178-T68-U68-V68</f>
        <v>0</v>
      </c>
      <c r="X68" s="187">
        <f>X178</f>
        <v>0</v>
      </c>
      <c r="Y68" s="452">
        <f>Y178-X68</f>
        <v>0</v>
      </c>
      <c r="Z68" s="452">
        <f>Z178-X68-Y68</f>
        <v>0</v>
      </c>
      <c r="AA68" s="452">
        <f>AA178-X68-Y68-Z68</f>
        <v>0</v>
      </c>
      <c r="AB68" s="187">
        <f>AB178</f>
        <v>0</v>
      </c>
      <c r="AC68" s="452">
        <f>AC178-AB68</f>
        <v>0</v>
      </c>
      <c r="AD68" s="452">
        <f>AD178-AB68-AC68</f>
        <v>0</v>
      </c>
      <c r="AE68" s="452">
        <f>AE178-AB68-AC68-AD68</f>
        <v>0</v>
      </c>
      <c r="AF68" s="187">
        <f>AF178</f>
        <v>0</v>
      </c>
      <c r="AG68" s="452">
        <f>AG178-AF68</f>
        <v>0</v>
      </c>
      <c r="AH68" s="452">
        <f>AH178-AF68-AG68</f>
        <v>0</v>
      </c>
      <c r="AI68" s="452">
        <f>AI178-AF68-AG68-AH68</f>
        <v>0</v>
      </c>
      <c r="AJ68" s="187">
        <f>AJ178</f>
        <v>0</v>
      </c>
      <c r="AK68" s="452">
        <f>AK178-AJ68</f>
        <v>0</v>
      </c>
      <c r="AL68" s="452">
        <f>AL178-AJ68-AK68</f>
        <v>0</v>
      </c>
      <c r="AM68" s="452">
        <f>AM178-AJ68-AK68-AL68</f>
        <v>0</v>
      </c>
      <c r="AN68" s="187">
        <f>AN178</f>
        <v>0</v>
      </c>
      <c r="AO68" s="452">
        <f>AO178-AN68</f>
        <v>0</v>
      </c>
      <c r="AP68" s="452">
        <f>AP178-AN68-AO68</f>
        <v>0</v>
      </c>
      <c r="AQ68" s="452">
        <f>AQ178-AN68-AO68-AP68</f>
        <v>0</v>
      </c>
      <c r="AR68" s="187">
        <f>AR178</f>
        <v>0</v>
      </c>
      <c r="AS68" s="452">
        <f>AS178-AR68</f>
        <v>0</v>
      </c>
      <c r="AT68" s="452">
        <f>AT178-AR68-AS68</f>
        <v>0</v>
      </c>
      <c r="AU68" s="452">
        <f>AU178-AR68-AS68-AT68</f>
        <v>0</v>
      </c>
      <c r="AV68" s="187">
        <f>AV178</f>
        <v>0</v>
      </c>
      <c r="AW68" s="452">
        <f>AW178-AV68</f>
        <v>0</v>
      </c>
      <c r="AX68" s="1162">
        <f>AX178-AV68-AW68</f>
        <v>0</v>
      </c>
      <c r="AY68" s="1162">
        <f>AY178-AV68-AW68-AX68</f>
        <v>0</v>
      </c>
      <c r="AZ68" s="187">
        <f>AZ178</f>
        <v>0</v>
      </c>
      <c r="BA68" s="452">
        <f>BA178-AZ68</f>
        <v>0</v>
      </c>
      <c r="BB68" s="1162">
        <f>BB178-AZ68-BA68</f>
        <v>0</v>
      </c>
      <c r="BC68" s="1162">
        <f>BC178-AZ68-BA68-BB68</f>
        <v>0</v>
      </c>
      <c r="BD68" s="187">
        <f>BD178</f>
        <v>0</v>
      </c>
      <c r="BE68" s="452">
        <f>BE178-BD68</f>
        <v>0</v>
      </c>
      <c r="BF68" s="1162">
        <f>BF178-BD68-BE68</f>
        <v>0</v>
      </c>
      <c r="BG68" s="1162">
        <f>BG178-BD68-BE68-BF68</f>
        <v>0</v>
      </c>
      <c r="BH68" s="187">
        <f>BH178</f>
        <v>0</v>
      </c>
      <c r="BI68" s="452">
        <f>BI178-BH68</f>
        <v>0</v>
      </c>
      <c r="BJ68" s="1162">
        <f>BJ178-BH68-BI68</f>
        <v>0</v>
      </c>
      <c r="BK68" s="1162">
        <f>BK178-BH68-BI68-BJ68</f>
        <v>0</v>
      </c>
      <c r="BL68" s="825">
        <v>0</v>
      </c>
      <c r="BM68" s="642">
        <v>0</v>
      </c>
      <c r="BN68" s="642">
        <v>0</v>
      </c>
      <c r="BO68" s="642">
        <v>0</v>
      </c>
      <c r="BP68" s="825">
        <v>0</v>
      </c>
      <c r="BQ68" s="642">
        <v>0</v>
      </c>
      <c r="BR68" s="642">
        <v>0</v>
      </c>
      <c r="BS68" s="642">
        <v>0</v>
      </c>
      <c r="BT68" s="825">
        <v>0</v>
      </c>
      <c r="BU68" s="642">
        <v>0</v>
      </c>
      <c r="BV68" s="642">
        <v>0</v>
      </c>
      <c r="BW68" s="642">
        <v>0</v>
      </c>
      <c r="BX68" s="21"/>
      <c r="BY68" s="173">
        <f>SUM(D68:G68)</f>
        <v>0</v>
      </c>
      <c r="BZ68" s="173">
        <f>SUM(H68:K68)</f>
        <v>0</v>
      </c>
      <c r="CA68" s="173">
        <f>SUM(L68:O68)</f>
        <v>0</v>
      </c>
      <c r="CB68" s="173">
        <f>SUM(P68:S68)</f>
        <v>0</v>
      </c>
      <c r="CC68" s="173">
        <f>SUM(T68:W68)</f>
        <v>0</v>
      </c>
      <c r="CD68" s="173">
        <f>SUM(X68:AA68)</f>
        <v>0</v>
      </c>
      <c r="CE68" s="173">
        <f>SUM(AB68:AE68)</f>
        <v>0</v>
      </c>
      <c r="CF68" s="173">
        <f>SUM(AF68:AI68)</f>
        <v>0</v>
      </c>
      <c r="CG68" s="173">
        <f>SUM(AJ68:AM68)</f>
        <v>0</v>
      </c>
      <c r="CH68" s="173">
        <f>SUM(AN68:AQ68)</f>
        <v>0</v>
      </c>
      <c r="CI68" s="173">
        <f>SUM(AR68:AU68)</f>
        <v>0</v>
      </c>
      <c r="CJ68" s="173">
        <f>SUM(AV68:AY68)</f>
        <v>0</v>
      </c>
      <c r="CK68" s="173">
        <f>SUM(AZ68:BC68)</f>
        <v>0</v>
      </c>
      <c r="CL68" s="173">
        <f>SUM(BD68:BG68)</f>
        <v>0</v>
      </c>
      <c r="CM68" s="173">
        <f>SUM(BH68:BK68)</f>
        <v>0</v>
      </c>
      <c r="CN68" s="173">
        <f>SUM(BL68:BO68)</f>
        <v>0</v>
      </c>
      <c r="CO68" s="173">
        <f t="shared" ref="CO68" si="332">SUM(BP68:BS68)</f>
        <v>0</v>
      </c>
      <c r="CP68" s="190">
        <f>SUM(BT68:BW68)</f>
        <v>0</v>
      </c>
      <c r="CQ68" s="22"/>
    </row>
    <row r="69" spans="1:95" ht="14.25" customHeight="1">
      <c r="A69" s="9"/>
      <c r="B69" s="184" t="str">
        <f>B179</f>
        <v>Net increase (decrease) in cash and cash equivalents</v>
      </c>
      <c r="C69" s="185"/>
      <c r="D69" s="187">
        <f t="shared" ref="D69:AI69" si="333">D37+D49+D63+D65</f>
        <v>-0.40000000000002062</v>
      </c>
      <c r="E69" s="186">
        <f t="shared" si="333"/>
        <v>-8.8000000000000025</v>
      </c>
      <c r="F69" s="186">
        <f t="shared" si="333"/>
        <v>2.3999999999999906</v>
      </c>
      <c r="G69" s="186">
        <f t="shared" si="333"/>
        <v>2.9999999999999352</v>
      </c>
      <c r="H69" s="187">
        <f t="shared" si="333"/>
        <v>5.3000000000000025</v>
      </c>
      <c r="I69" s="186">
        <f t="shared" si="333"/>
        <v>-22.699999999999932</v>
      </c>
      <c r="J69" s="186">
        <f t="shared" si="333"/>
        <v>-24.900000000000059</v>
      </c>
      <c r="K69" s="186">
        <f t="shared" si="333"/>
        <v>-38.6000000000002</v>
      </c>
      <c r="L69" s="187">
        <f t="shared" si="333"/>
        <v>71.800000000000011</v>
      </c>
      <c r="M69" s="186">
        <f t="shared" si="333"/>
        <v>58.099999999999973</v>
      </c>
      <c r="N69" s="186">
        <f t="shared" si="333"/>
        <v>36.700000000000003</v>
      </c>
      <c r="O69" s="186">
        <f t="shared" si="333"/>
        <v>-38.999999999999964</v>
      </c>
      <c r="P69" s="187">
        <f t="shared" si="333"/>
        <v>18.000000000000014</v>
      </c>
      <c r="Q69" s="186">
        <f t="shared" si="333"/>
        <v>43.400000000000048</v>
      </c>
      <c r="R69" s="186">
        <f t="shared" si="333"/>
        <v>-61.300000000000026</v>
      </c>
      <c r="S69" s="186">
        <f t="shared" si="333"/>
        <v>35.400000000000027</v>
      </c>
      <c r="T69" s="187">
        <f t="shared" si="333"/>
        <v>6.9999999999999742</v>
      </c>
      <c r="U69" s="186">
        <f t="shared" si="333"/>
        <v>-19.999999999999993</v>
      </c>
      <c r="V69" s="186">
        <f t="shared" si="333"/>
        <v>71.299999999999969</v>
      </c>
      <c r="W69" s="186">
        <f t="shared" si="333"/>
        <v>-52.499999999999964</v>
      </c>
      <c r="X69" s="187">
        <f t="shared" si="333"/>
        <v>33.299999999999969</v>
      </c>
      <c r="Y69" s="186">
        <f t="shared" si="333"/>
        <v>13.30000000000001</v>
      </c>
      <c r="Z69" s="186">
        <f t="shared" si="333"/>
        <v>96.699999999999989</v>
      </c>
      <c r="AA69" s="186">
        <f t="shared" si="333"/>
        <v>40.800000000000175</v>
      </c>
      <c r="AB69" s="187">
        <f t="shared" si="333"/>
        <v>-56.299999999999983</v>
      </c>
      <c r="AC69" s="186">
        <f t="shared" si="333"/>
        <v>1.0000000000000113</v>
      </c>
      <c r="AD69" s="186">
        <f t="shared" si="333"/>
        <v>-8.2000000000000153</v>
      </c>
      <c r="AE69" s="186">
        <f t="shared" si="333"/>
        <v>130.50000000000003</v>
      </c>
      <c r="AF69" s="187">
        <f t="shared" si="333"/>
        <v>35.00000000000005</v>
      </c>
      <c r="AG69" s="186">
        <f t="shared" si="333"/>
        <v>-93.600000000000009</v>
      </c>
      <c r="AH69" s="186">
        <f t="shared" si="333"/>
        <v>95.800000000000011</v>
      </c>
      <c r="AI69" s="186">
        <f t="shared" si="333"/>
        <v>60.399999999999956</v>
      </c>
      <c r="AJ69" s="187">
        <f t="shared" ref="AJ69:BO69" si="334">AJ37+AJ49+AJ63+AJ65</f>
        <v>142.69999999999996</v>
      </c>
      <c r="AK69" s="186">
        <f t="shared" si="334"/>
        <v>-9.4000000000000234</v>
      </c>
      <c r="AL69" s="186">
        <f t="shared" si="334"/>
        <v>-97.300000000000026</v>
      </c>
      <c r="AM69" s="186">
        <f t="shared" si="334"/>
        <v>-6.4000000000000101</v>
      </c>
      <c r="AN69" s="187">
        <f t="shared" si="334"/>
        <v>-72.800000000000026</v>
      </c>
      <c r="AO69" s="186">
        <f t="shared" si="334"/>
        <v>-62.300000000000018</v>
      </c>
      <c r="AP69" s="186">
        <f t="shared" si="334"/>
        <v>-96.400000000000034</v>
      </c>
      <c r="AQ69" s="186">
        <f t="shared" si="334"/>
        <v>65.500000000000057</v>
      </c>
      <c r="AR69" s="187">
        <f t="shared" si="334"/>
        <v>50.099999999999987</v>
      </c>
      <c r="AS69" s="186">
        <f t="shared" si="334"/>
        <v>-140.90000000000003</v>
      </c>
      <c r="AT69" s="186">
        <f t="shared" si="334"/>
        <v>-26.599999999999987</v>
      </c>
      <c r="AU69" s="186">
        <f t="shared" si="334"/>
        <v>140.00000000000009</v>
      </c>
      <c r="AV69" s="187">
        <f t="shared" si="334"/>
        <v>52.500000000000014</v>
      </c>
      <c r="AW69" s="186">
        <f t="shared" si="334"/>
        <v>36.89999999999997</v>
      </c>
      <c r="AX69" s="186">
        <f t="shared" si="334"/>
        <v>-106.80000000000003</v>
      </c>
      <c r="AY69" s="186">
        <f t="shared" si="334"/>
        <v>19.600000000000097</v>
      </c>
      <c r="AZ69" s="187">
        <f t="shared" si="334"/>
        <v>-83.59999999999998</v>
      </c>
      <c r="BA69" s="186">
        <f t="shared" si="334"/>
        <v>148.49999999999997</v>
      </c>
      <c r="BB69" s="186">
        <f t="shared" si="334"/>
        <v>-19.79999999999988</v>
      </c>
      <c r="BC69" s="186">
        <f t="shared" si="334"/>
        <v>60.799999999999912</v>
      </c>
      <c r="BD69" s="187">
        <f t="shared" si="334"/>
        <v>1.8999999999999799</v>
      </c>
      <c r="BE69" s="186">
        <f t="shared" si="334"/>
        <v>-31.400000000000041</v>
      </c>
      <c r="BF69" s="186">
        <f t="shared" si="334"/>
        <v>292.39999999999981</v>
      </c>
      <c r="BG69" s="186">
        <f t="shared" ref="BG69:BJ69" si="335">BG37+BG49+BG63+BG65</f>
        <v>147.59999999999977</v>
      </c>
      <c r="BH69" s="187">
        <f t="shared" si="335"/>
        <v>-299.2000000000001</v>
      </c>
      <c r="BI69" s="186">
        <f t="shared" si="335"/>
        <v>142.70000000000027</v>
      </c>
      <c r="BJ69" s="186">
        <f t="shared" si="335"/>
        <v>29.600000000000062</v>
      </c>
      <c r="BK69" s="186">
        <f t="shared" ref="BK69" si="336">BK37+BK49+BK63+BK65</f>
        <v>47.999999999999822</v>
      </c>
      <c r="BL69" s="187">
        <f t="shared" si="334"/>
        <v>112.81300091469011</v>
      </c>
      <c r="BM69" s="186">
        <f t="shared" si="334"/>
        <v>194.91708685261312</v>
      </c>
      <c r="BN69" s="186">
        <f t="shared" si="334"/>
        <v>196.23105779131646</v>
      </c>
      <c r="BO69" s="186">
        <f t="shared" si="334"/>
        <v>271.08978348089357</v>
      </c>
      <c r="BP69" s="187">
        <f t="shared" ref="BP69:BS69" si="337">BP37+BP49+BP63+BP65</f>
        <v>253.51051330456909</v>
      </c>
      <c r="BQ69" s="186">
        <f t="shared" si="337"/>
        <v>195.04262372183223</v>
      </c>
      <c r="BR69" s="186">
        <f t="shared" si="337"/>
        <v>238.12506815070572</v>
      </c>
      <c r="BS69" s="186">
        <f t="shared" si="337"/>
        <v>292.24263835534362</v>
      </c>
      <c r="BT69" s="187">
        <f t="shared" ref="BT69:BW69" si="338">BT37+BT49+BT63+BT65</f>
        <v>258.98920936407848</v>
      </c>
      <c r="BU69" s="186">
        <f t="shared" si="338"/>
        <v>223.16611637664775</v>
      </c>
      <c r="BV69" s="186">
        <f t="shared" si="338"/>
        <v>269.50109764461183</v>
      </c>
      <c r="BW69" s="186">
        <f t="shared" si="338"/>
        <v>322.96368395090917</v>
      </c>
      <c r="BX69" s="21"/>
      <c r="BY69" s="186">
        <f t="shared" ref="BY69:CN69" si="339">BY37+BY49+BY63+BY65</f>
        <v>-3.8000000000000087</v>
      </c>
      <c r="BZ69" s="186">
        <f t="shared" si="339"/>
        <v>-80.900000000000034</v>
      </c>
      <c r="CA69" s="186">
        <f t="shared" si="339"/>
        <v>127.59999999999995</v>
      </c>
      <c r="CB69" s="186">
        <f t="shared" si="339"/>
        <v>35.499999999999879</v>
      </c>
      <c r="CC69" s="186">
        <f t="shared" si="339"/>
        <v>5.7999999999999359</v>
      </c>
      <c r="CD69" s="186">
        <f t="shared" si="339"/>
        <v>184.10000000000002</v>
      </c>
      <c r="CE69" s="186">
        <f t="shared" si="339"/>
        <v>67.000000000000043</v>
      </c>
      <c r="CF69" s="186">
        <f t="shared" si="339"/>
        <v>97.60000000000008</v>
      </c>
      <c r="CG69" s="186">
        <f t="shared" si="339"/>
        <v>29.599999999999852</v>
      </c>
      <c r="CH69" s="186">
        <f t="shared" si="339"/>
        <v>-166.00000000000017</v>
      </c>
      <c r="CI69" s="186">
        <f t="shared" si="339"/>
        <v>22.60000000000008</v>
      </c>
      <c r="CJ69" s="186">
        <f t="shared" si="339"/>
        <v>2.2000000000000224</v>
      </c>
      <c r="CK69" s="186">
        <f t="shared" si="339"/>
        <v>105.89999999999989</v>
      </c>
      <c r="CL69" s="186">
        <f t="shared" si="339"/>
        <v>410.49999999999972</v>
      </c>
      <c r="CM69" s="186">
        <f t="shared" si="339"/>
        <v>-78.899999999999821</v>
      </c>
      <c r="CN69" s="186">
        <f t="shared" si="339"/>
        <v>775.05092903951299</v>
      </c>
      <c r="CO69" s="186">
        <f t="shared" ref="CO69" si="340">CO37+CO49+CO63+CO65</f>
        <v>978.92084353245036</v>
      </c>
      <c r="CP69" s="188">
        <f>CP37+CP49+CP63+CP65</f>
        <v>1074.620107336247</v>
      </c>
      <c r="CQ69" s="22"/>
    </row>
    <row r="70" spans="1:95" ht="14.25" customHeight="1">
      <c r="A70" s="9"/>
      <c r="B70" s="324" t="str">
        <f>B180</f>
        <v>Cash and cash equivalents, end of period</v>
      </c>
      <c r="C70" s="192"/>
      <c r="D70" s="194">
        <f t="shared" ref="D70:AV70" si="341">D67+D69+D68</f>
        <v>189.09999999999997</v>
      </c>
      <c r="E70" s="193">
        <f t="shared" si="341"/>
        <v>181.19999999999996</v>
      </c>
      <c r="F70" s="193">
        <f t="shared" si="341"/>
        <v>183.59999999999994</v>
      </c>
      <c r="G70" s="195">
        <f t="shared" si="341"/>
        <v>186.59999999999988</v>
      </c>
      <c r="H70" s="194">
        <f t="shared" si="341"/>
        <v>221.39999999999989</v>
      </c>
      <c r="I70" s="193">
        <f t="shared" si="341"/>
        <v>257.69999999999993</v>
      </c>
      <c r="J70" s="193">
        <f t="shared" si="341"/>
        <v>231.79999999999987</v>
      </c>
      <c r="K70" s="195">
        <f t="shared" si="341"/>
        <v>105.69999999999968</v>
      </c>
      <c r="L70" s="194">
        <f t="shared" si="341"/>
        <v>177.49999999999969</v>
      </c>
      <c r="M70" s="193">
        <f t="shared" si="341"/>
        <v>235.59999999999965</v>
      </c>
      <c r="N70" s="193">
        <f t="shared" si="341"/>
        <v>272.29999999999967</v>
      </c>
      <c r="O70" s="193">
        <f t="shared" si="341"/>
        <v>233.2999999999997</v>
      </c>
      <c r="P70" s="194">
        <f t="shared" si="341"/>
        <v>251.29999999999973</v>
      </c>
      <c r="Q70" s="193">
        <f t="shared" si="341"/>
        <v>294.69999999999976</v>
      </c>
      <c r="R70" s="193">
        <f t="shared" si="341"/>
        <v>233.39999999999975</v>
      </c>
      <c r="S70" s="193">
        <f t="shared" si="341"/>
        <v>268.79999999999978</v>
      </c>
      <c r="T70" s="194">
        <f t="shared" si="341"/>
        <v>275.79999999999978</v>
      </c>
      <c r="U70" s="193">
        <f t="shared" si="341"/>
        <v>255.79999999999978</v>
      </c>
      <c r="V70" s="193">
        <f t="shared" si="341"/>
        <v>327.09999999999974</v>
      </c>
      <c r="W70" s="193">
        <f t="shared" si="341"/>
        <v>274.5999999999998</v>
      </c>
      <c r="X70" s="194">
        <f t="shared" si="341"/>
        <v>307.89999999999975</v>
      </c>
      <c r="Y70" s="193">
        <f t="shared" si="341"/>
        <v>321.19999999999976</v>
      </c>
      <c r="Z70" s="193">
        <f t="shared" si="341"/>
        <v>417.89999999999975</v>
      </c>
      <c r="AA70" s="193">
        <f t="shared" si="341"/>
        <v>458.69999999999993</v>
      </c>
      <c r="AB70" s="194">
        <f t="shared" si="341"/>
        <v>402.4</v>
      </c>
      <c r="AC70" s="193">
        <f t="shared" si="341"/>
        <v>403.4</v>
      </c>
      <c r="AD70" s="193">
        <f t="shared" si="341"/>
        <v>395.2</v>
      </c>
      <c r="AE70" s="193">
        <f t="shared" si="341"/>
        <v>525.70000000000005</v>
      </c>
      <c r="AF70" s="194">
        <f t="shared" si="341"/>
        <v>560.70000000000005</v>
      </c>
      <c r="AG70" s="193">
        <f t="shared" si="341"/>
        <v>467.1</v>
      </c>
      <c r="AH70" s="193">
        <f t="shared" si="341"/>
        <v>562.90000000000009</v>
      </c>
      <c r="AI70" s="193">
        <f t="shared" si="341"/>
        <v>623.30000000000007</v>
      </c>
      <c r="AJ70" s="194">
        <f t="shared" si="341"/>
        <v>766</v>
      </c>
      <c r="AK70" s="193">
        <f t="shared" si="341"/>
        <v>756.6</v>
      </c>
      <c r="AL70" s="193">
        <f t="shared" si="341"/>
        <v>659.3</v>
      </c>
      <c r="AM70" s="193">
        <f t="shared" si="341"/>
        <v>652.9</v>
      </c>
      <c r="AN70" s="194">
        <f t="shared" si="341"/>
        <v>580.09999999999991</v>
      </c>
      <c r="AO70" s="193">
        <f t="shared" si="341"/>
        <v>517.79999999999984</v>
      </c>
      <c r="AP70" s="193">
        <f t="shared" si="341"/>
        <v>421.39999999999981</v>
      </c>
      <c r="AQ70" s="193">
        <f t="shared" si="341"/>
        <v>486.89999999999986</v>
      </c>
      <c r="AR70" s="194">
        <f t="shared" si="341"/>
        <v>536.99999999999989</v>
      </c>
      <c r="AS70" s="193">
        <f t="shared" si="341"/>
        <v>396.09999999999985</v>
      </c>
      <c r="AT70" s="193">
        <f t="shared" si="341"/>
        <v>369.49999999999989</v>
      </c>
      <c r="AU70" s="193">
        <f>AU67+AU69+AU68</f>
        <v>509.5</v>
      </c>
      <c r="AV70" s="194">
        <f t="shared" si="341"/>
        <v>562</v>
      </c>
      <c r="AW70" s="193">
        <f>AW67+AW69+AW68</f>
        <v>598.9</v>
      </c>
      <c r="AX70" s="193">
        <f>AX67+AX69+AX68</f>
        <v>492.09999999999997</v>
      </c>
      <c r="AY70" s="193">
        <f t="shared" ref="AY70:BD70" si="342">AY67+AY69+AY68</f>
        <v>511.70000000000005</v>
      </c>
      <c r="AZ70" s="194">
        <f t="shared" si="342"/>
        <v>428.10000000000008</v>
      </c>
      <c r="BA70" s="193">
        <f t="shared" si="342"/>
        <v>576.6</v>
      </c>
      <c r="BB70" s="193">
        <f t="shared" si="342"/>
        <v>556.80000000000018</v>
      </c>
      <c r="BC70" s="193">
        <f t="shared" si="342"/>
        <v>617.60000000000014</v>
      </c>
      <c r="BD70" s="194">
        <f t="shared" si="342"/>
        <v>619.50000000000011</v>
      </c>
      <c r="BE70" s="193">
        <f>BE67+BE69+BE68</f>
        <v>588.1</v>
      </c>
      <c r="BF70" s="193">
        <f t="shared" ref="BF70:BH70" si="343">BF67+BF69+BF68</f>
        <v>880.49999999999977</v>
      </c>
      <c r="BG70" s="193">
        <f t="shared" si="343"/>
        <v>1028.0999999999995</v>
      </c>
      <c r="BH70" s="194">
        <f t="shared" si="343"/>
        <v>728.89999999999941</v>
      </c>
      <c r="BI70" s="193">
        <f>BI67+BI69+BI68</f>
        <v>871.59999999999968</v>
      </c>
      <c r="BJ70" s="193">
        <f t="shared" ref="BJ70:BK70" si="344">BJ67+BJ69+BJ68</f>
        <v>901.1999999999997</v>
      </c>
      <c r="BK70" s="193">
        <f t="shared" si="344"/>
        <v>949.19999999999948</v>
      </c>
      <c r="BL70" s="194">
        <f t="shared" ref="BL70:BO70" si="345">BL67+BL69+BL68</f>
        <v>1062.0130009146897</v>
      </c>
      <c r="BM70" s="193">
        <f t="shared" si="345"/>
        <v>1256.9300877673027</v>
      </c>
      <c r="BN70" s="193">
        <f t="shared" si="345"/>
        <v>1453.1611455586192</v>
      </c>
      <c r="BO70" s="193">
        <f t="shared" si="345"/>
        <v>1724.2509290395128</v>
      </c>
      <c r="BP70" s="194">
        <f t="shared" ref="BP70:BS70" si="346">BP67+BP69+BP68</f>
        <v>1977.7614423440818</v>
      </c>
      <c r="BQ70" s="193">
        <f t="shared" si="346"/>
        <v>2172.804066065914</v>
      </c>
      <c r="BR70" s="193">
        <f t="shared" si="346"/>
        <v>2410.9291342166198</v>
      </c>
      <c r="BS70" s="193">
        <f t="shared" si="346"/>
        <v>2703.1717725719636</v>
      </c>
      <c r="BT70" s="194">
        <f t="shared" ref="BT70:BW70" si="347">BT67+BT69+BT68</f>
        <v>2962.1609819360419</v>
      </c>
      <c r="BU70" s="193">
        <f t="shared" si="347"/>
        <v>3185.3270983126895</v>
      </c>
      <c r="BV70" s="193">
        <f t="shared" si="347"/>
        <v>3454.8281959573014</v>
      </c>
      <c r="BW70" s="193">
        <f t="shared" si="347"/>
        <v>3777.7918799082108</v>
      </c>
      <c r="BX70" s="21"/>
      <c r="BY70" s="193">
        <f t="shared" ref="BY70:CL70" si="348">BY67+BY69+BY68</f>
        <v>186.6</v>
      </c>
      <c r="BZ70" s="193">
        <f t="shared" si="348"/>
        <v>105.69999999999996</v>
      </c>
      <c r="CA70" s="193">
        <f t="shared" si="348"/>
        <v>233.2999999999999</v>
      </c>
      <c r="CB70" s="193">
        <f t="shared" si="348"/>
        <v>268.79999999999978</v>
      </c>
      <c r="CC70" s="193">
        <f t="shared" si="348"/>
        <v>274.59999999999974</v>
      </c>
      <c r="CD70" s="193">
        <f t="shared" si="348"/>
        <v>458.69999999999976</v>
      </c>
      <c r="CE70" s="193">
        <f t="shared" si="348"/>
        <v>525.69999999999982</v>
      </c>
      <c r="CF70" s="193">
        <f t="shared" si="348"/>
        <v>623.29999999999995</v>
      </c>
      <c r="CG70" s="193">
        <f t="shared" si="348"/>
        <v>652.89999999999986</v>
      </c>
      <c r="CH70" s="193">
        <f t="shared" si="348"/>
        <v>486.89999999999969</v>
      </c>
      <c r="CI70" s="193">
        <f t="shared" si="348"/>
        <v>509.49999999999977</v>
      </c>
      <c r="CJ70" s="193">
        <f t="shared" si="348"/>
        <v>511.69999999999982</v>
      </c>
      <c r="CK70" s="193">
        <f t="shared" si="348"/>
        <v>617.59999999999968</v>
      </c>
      <c r="CL70" s="193">
        <f t="shared" si="348"/>
        <v>1028.0999999999995</v>
      </c>
      <c r="CM70" s="193">
        <f>CM67+CM69+CM68</f>
        <v>949.19999999999959</v>
      </c>
      <c r="CN70" s="193">
        <f>CN67+CN69+CN68</f>
        <v>1724.2509290395126</v>
      </c>
      <c r="CO70" s="193">
        <f>CO67+CO69+CO68</f>
        <v>2703.1717725719627</v>
      </c>
      <c r="CP70" s="188">
        <f>CP67+CP69+CP68</f>
        <v>3777.7918799082099</v>
      </c>
      <c r="CQ70" s="22"/>
    </row>
    <row r="71" spans="1:95" ht="14.25" customHeight="1">
      <c r="A71" s="9"/>
      <c r="B71" s="243"/>
      <c r="C71" s="19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186"/>
      <c r="R71" s="186"/>
      <c r="S71" s="186"/>
      <c r="T71" s="186"/>
      <c r="U71" s="186"/>
      <c r="V71" s="186"/>
      <c r="W71" s="186"/>
      <c r="X71" s="186"/>
      <c r="Y71" s="186"/>
      <c r="Z71" s="186"/>
      <c r="AA71" s="186"/>
      <c r="AB71" s="186"/>
      <c r="AC71" s="186"/>
      <c r="AD71" s="186"/>
      <c r="AE71" s="186"/>
      <c r="AF71" s="186"/>
      <c r="AG71" s="186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5"/>
      <c r="BY71" s="197"/>
      <c r="BZ71" s="197"/>
      <c r="CA71" s="197"/>
      <c r="CB71" s="197"/>
      <c r="CC71" s="197"/>
      <c r="CD71" s="197"/>
      <c r="CE71" s="197"/>
      <c r="CF71" s="197"/>
      <c r="CG71" s="197"/>
      <c r="CH71" s="197"/>
      <c r="CI71" s="197"/>
      <c r="CJ71" s="197"/>
      <c r="CK71" s="197"/>
      <c r="CL71" s="197"/>
      <c r="CM71" s="197"/>
      <c r="CN71" s="197"/>
      <c r="CO71" s="197"/>
      <c r="CP71" s="139"/>
      <c r="CQ71" s="15"/>
    </row>
    <row r="72" spans="1:95" ht="14.25" customHeight="1">
      <c r="A72" s="9"/>
      <c r="B72" s="61" t="str">
        <f>B182</f>
        <v>vs. Balance Sheet</v>
      </c>
      <c r="C72" s="198"/>
      <c r="D72" s="650">
        <f>BS!D9</f>
        <v>189.1</v>
      </c>
      <c r="E72" s="199">
        <f>BS!E9</f>
        <v>181.2</v>
      </c>
      <c r="F72" s="199">
        <f>BS!F9</f>
        <v>183.6</v>
      </c>
      <c r="G72" s="146">
        <f>BS!G9</f>
        <v>186.6</v>
      </c>
      <c r="H72" s="650">
        <f>BS!H9</f>
        <v>221.4</v>
      </c>
      <c r="I72" s="199">
        <f>BS!I9</f>
        <v>257.7</v>
      </c>
      <c r="J72" s="199">
        <f>BS!J9</f>
        <v>231.8</v>
      </c>
      <c r="K72" s="146">
        <f>BS!K9</f>
        <v>105.7</v>
      </c>
      <c r="L72" s="650">
        <f>BS!L9</f>
        <v>177.5</v>
      </c>
      <c r="M72" s="199">
        <f>BS!M9</f>
        <v>235.6</v>
      </c>
      <c r="N72" s="199">
        <f>BS!N9</f>
        <v>272.3</v>
      </c>
      <c r="O72" s="146">
        <f>BS!O9</f>
        <v>233.3</v>
      </c>
      <c r="P72" s="650">
        <f>BS!P9</f>
        <v>251.3</v>
      </c>
      <c r="Q72" s="199">
        <f>BS!Q9</f>
        <v>294.7</v>
      </c>
      <c r="R72" s="199">
        <f>BS!R9</f>
        <v>233.4</v>
      </c>
      <c r="S72" s="146">
        <f>BS!S9</f>
        <v>268.8</v>
      </c>
      <c r="T72" s="650">
        <f>BS!T9</f>
        <v>275.8</v>
      </c>
      <c r="U72" s="199">
        <f>BS!U9</f>
        <v>255.8</v>
      </c>
      <c r="V72" s="199">
        <f>BS!V9</f>
        <v>327.10000000000002</v>
      </c>
      <c r="W72" s="146">
        <f>BS!W9</f>
        <v>274.60000000000002</v>
      </c>
      <c r="X72" s="650">
        <f>BS!X9</f>
        <v>307.89999999999998</v>
      </c>
      <c r="Y72" s="199">
        <f>BS!Y9</f>
        <v>321.2</v>
      </c>
      <c r="Z72" s="199">
        <f>BS!Z9</f>
        <v>417.9</v>
      </c>
      <c r="AA72" s="146">
        <f>BS!AA9</f>
        <v>458.7</v>
      </c>
      <c r="AB72" s="650">
        <f>BS!AB9</f>
        <v>402.4</v>
      </c>
      <c r="AC72" s="199">
        <f>BS!AC9</f>
        <v>403.4</v>
      </c>
      <c r="AD72" s="199">
        <f>BS!AD9</f>
        <v>395.2</v>
      </c>
      <c r="AE72" s="146">
        <f>BS!AE9</f>
        <v>525.70000000000005</v>
      </c>
      <c r="AF72" s="650">
        <f>BS!AF9</f>
        <v>560.70000000000005</v>
      </c>
      <c r="AG72" s="199">
        <f>BS!AG9</f>
        <v>467.1</v>
      </c>
      <c r="AH72" s="199">
        <f>BS!AH9</f>
        <v>562.9</v>
      </c>
      <c r="AI72" s="146">
        <f>BS!AI9</f>
        <v>623.29999999999995</v>
      </c>
      <c r="AJ72" s="650">
        <f>BS!AJ9</f>
        <v>766</v>
      </c>
      <c r="AK72" s="199">
        <f>BS!AK9</f>
        <v>756.6</v>
      </c>
      <c r="AL72" s="199">
        <f>BS!AL9</f>
        <v>659.3</v>
      </c>
      <c r="AM72" s="146">
        <f>BS!AM9</f>
        <v>652.9</v>
      </c>
      <c r="AN72" s="650">
        <f>BS!AN9</f>
        <v>580.1</v>
      </c>
      <c r="AO72" s="199">
        <f>BS!AO9</f>
        <v>517.79999999999995</v>
      </c>
      <c r="AP72" s="199">
        <f>BS!AP9</f>
        <v>421.4</v>
      </c>
      <c r="AQ72" s="146">
        <f>BS!AQ9</f>
        <v>486.9</v>
      </c>
      <c r="AR72" s="650">
        <f>BS!AR9</f>
        <v>537</v>
      </c>
      <c r="AS72" s="199">
        <f>BS!AS9</f>
        <v>396.1</v>
      </c>
      <c r="AT72" s="199">
        <f>BS!AT9</f>
        <v>369.5</v>
      </c>
      <c r="AU72" s="146">
        <f>BS!AU9</f>
        <v>509.5</v>
      </c>
      <c r="AV72" s="650">
        <f>BS!AV9</f>
        <v>562</v>
      </c>
      <c r="AW72" s="199">
        <f>BS!AW9</f>
        <v>598.9</v>
      </c>
      <c r="AX72" s="199">
        <f>BS!AX9</f>
        <v>492.1</v>
      </c>
      <c r="AY72" s="146">
        <f>BS!AY9</f>
        <v>511.7</v>
      </c>
      <c r="AZ72" s="650">
        <f>BS!AZ9</f>
        <v>428.1</v>
      </c>
      <c r="BA72" s="145">
        <f>BS!BA9</f>
        <v>576.6</v>
      </c>
      <c r="BB72" s="199">
        <f>BS!BB9</f>
        <v>556.79999999999995</v>
      </c>
      <c r="BC72" s="146">
        <f>BS!BC9</f>
        <v>617.6</v>
      </c>
      <c r="BD72" s="650">
        <f>BS!BD9</f>
        <v>619.5</v>
      </c>
      <c r="BE72" s="145">
        <f>BS!BE9</f>
        <v>588.1</v>
      </c>
      <c r="BF72" s="199">
        <f>BS!BF9</f>
        <v>880.5</v>
      </c>
      <c r="BG72" s="146">
        <f>BS!BG9</f>
        <v>1028.0999999999999</v>
      </c>
      <c r="BH72" s="650">
        <f>BS!BH9</f>
        <v>728.9</v>
      </c>
      <c r="BI72" s="145">
        <f>BS!BI9</f>
        <v>871.6</v>
      </c>
      <c r="BJ72" s="199">
        <f>BS!BJ9</f>
        <v>901.2</v>
      </c>
      <c r="BK72" s="146">
        <f>BS!BK9</f>
        <v>949.2</v>
      </c>
      <c r="BL72" s="145">
        <f>BS!BL9</f>
        <v>1062.0130009146901</v>
      </c>
      <c r="BM72" s="145">
        <f>BS!BM9</f>
        <v>1256.9300877673031</v>
      </c>
      <c r="BN72" s="145">
        <f>BS!BN9</f>
        <v>1453.1611455586196</v>
      </c>
      <c r="BO72" s="146">
        <f>BS!BO9</f>
        <v>1724.2509290395133</v>
      </c>
      <c r="BP72" s="145">
        <f>BS!BP9</f>
        <v>1977.7614423440823</v>
      </c>
      <c r="BQ72" s="145">
        <f>BS!BQ9</f>
        <v>2172.8040660659144</v>
      </c>
      <c r="BR72" s="145">
        <f>BS!BR9</f>
        <v>2410.9291342166202</v>
      </c>
      <c r="BS72" s="146">
        <f>BS!BS9</f>
        <v>2703.1717725719636</v>
      </c>
      <c r="BT72" s="145">
        <f>BS!BT9</f>
        <v>2962.1609819360419</v>
      </c>
      <c r="BU72" s="145">
        <f>BS!BU9</f>
        <v>3185.3270983126895</v>
      </c>
      <c r="BV72" s="145">
        <f>BS!BV9</f>
        <v>3454.8281959573014</v>
      </c>
      <c r="BW72" s="146">
        <f>BS!BW9</f>
        <v>3777.7918799082108</v>
      </c>
      <c r="BX72" s="21"/>
      <c r="BY72" s="199">
        <f>BS!BY9</f>
        <v>186.6</v>
      </c>
      <c r="BZ72" s="199">
        <f>BS!BZ9</f>
        <v>105.7</v>
      </c>
      <c r="CA72" s="199">
        <f>BS!CA9</f>
        <v>233.3</v>
      </c>
      <c r="CB72" s="199">
        <f>BS!CB9</f>
        <v>268.8</v>
      </c>
      <c r="CC72" s="199">
        <f>BS!CC9</f>
        <v>274.60000000000002</v>
      </c>
      <c r="CD72" s="199">
        <f>BS!CD9</f>
        <v>458.7</v>
      </c>
      <c r="CE72" s="199">
        <f>BS!CE9</f>
        <v>525.70000000000005</v>
      </c>
      <c r="CF72" s="199">
        <f>BS!CF9</f>
        <v>623.29999999999995</v>
      </c>
      <c r="CG72" s="199">
        <f>BS!CG9</f>
        <v>652.9</v>
      </c>
      <c r="CH72" s="199">
        <f>BS!CH9</f>
        <v>486.9</v>
      </c>
      <c r="CI72" s="199">
        <f>BS!CI9</f>
        <v>509.5</v>
      </c>
      <c r="CJ72" s="199">
        <f>BS!CJ9</f>
        <v>511.7</v>
      </c>
      <c r="CK72" s="199">
        <f>BS!CK9</f>
        <v>617.6</v>
      </c>
      <c r="CL72" s="199">
        <f>BS!CL9</f>
        <v>1028.0999999999999</v>
      </c>
      <c r="CM72" s="199">
        <f>BS!CM9</f>
        <v>949.2</v>
      </c>
      <c r="CN72" s="199">
        <f>BS!CN9</f>
        <v>1724.2509290395133</v>
      </c>
      <c r="CO72" s="199">
        <f>BS!CO9</f>
        <v>2703.1717725719636</v>
      </c>
      <c r="CP72" s="222">
        <f>BS!CP9</f>
        <v>3777.7918799082108</v>
      </c>
      <c r="CQ72" s="22"/>
    </row>
    <row r="73" spans="1:95" ht="14.25" customHeight="1">
      <c r="A73" s="9"/>
      <c r="B73" s="123" t="str">
        <f>B183</f>
        <v>Check</v>
      </c>
      <c r="C73" s="124"/>
      <c r="D73" s="127">
        <f t="shared" ref="D73:AV73" si="349">D70-D72</f>
        <v>0</v>
      </c>
      <c r="E73" s="125">
        <f t="shared" si="349"/>
        <v>0</v>
      </c>
      <c r="F73" s="125">
        <f t="shared" si="349"/>
        <v>0</v>
      </c>
      <c r="G73" s="126">
        <f t="shared" si="349"/>
        <v>0</v>
      </c>
      <c r="H73" s="127">
        <f t="shared" si="349"/>
        <v>0</v>
      </c>
      <c r="I73" s="125">
        <f t="shared" si="349"/>
        <v>0</v>
      </c>
      <c r="J73" s="125">
        <f t="shared" si="349"/>
        <v>0</v>
      </c>
      <c r="K73" s="126">
        <f t="shared" si="349"/>
        <v>-3.2684965844964609E-13</v>
      </c>
      <c r="L73" s="127">
        <f t="shared" si="349"/>
        <v>-3.1263880373444408E-13</v>
      </c>
      <c r="M73" s="125">
        <f t="shared" si="349"/>
        <v>-3.4106051316484809E-13</v>
      </c>
      <c r="N73" s="125">
        <f t="shared" si="349"/>
        <v>0</v>
      </c>
      <c r="O73" s="126">
        <f t="shared" si="349"/>
        <v>-3.1263880373444408E-13</v>
      </c>
      <c r="P73" s="127">
        <f t="shared" si="349"/>
        <v>-2.8421709430404007E-13</v>
      </c>
      <c r="Q73" s="125">
        <f t="shared" si="349"/>
        <v>0</v>
      </c>
      <c r="R73" s="125">
        <f t="shared" si="349"/>
        <v>-2.5579538487363607E-13</v>
      </c>
      <c r="S73" s="126">
        <f t="shared" si="349"/>
        <v>0</v>
      </c>
      <c r="T73" s="127">
        <f t="shared" si="349"/>
        <v>0</v>
      </c>
      <c r="U73" s="125">
        <f t="shared" si="349"/>
        <v>-2.2737367544323206E-13</v>
      </c>
      <c r="V73" s="125">
        <f t="shared" si="349"/>
        <v>0</v>
      </c>
      <c r="W73" s="126">
        <f t="shared" si="349"/>
        <v>0</v>
      </c>
      <c r="X73" s="127">
        <f t="shared" si="349"/>
        <v>0</v>
      </c>
      <c r="Y73" s="125">
        <f t="shared" si="349"/>
        <v>0</v>
      </c>
      <c r="Z73" s="125">
        <f t="shared" si="349"/>
        <v>0</v>
      </c>
      <c r="AA73" s="126">
        <f t="shared" si="349"/>
        <v>0</v>
      </c>
      <c r="AB73" s="127">
        <f t="shared" si="349"/>
        <v>0</v>
      </c>
      <c r="AC73" s="125">
        <f t="shared" si="349"/>
        <v>0</v>
      </c>
      <c r="AD73" s="125">
        <f t="shared" si="349"/>
        <v>0</v>
      </c>
      <c r="AE73" s="126">
        <f t="shared" si="349"/>
        <v>0</v>
      </c>
      <c r="AF73" s="127">
        <f t="shared" si="349"/>
        <v>0</v>
      </c>
      <c r="AG73" s="125">
        <f t="shared" si="349"/>
        <v>0</v>
      </c>
      <c r="AH73" s="125">
        <f t="shared" si="349"/>
        <v>0</v>
      </c>
      <c r="AI73" s="126">
        <f t="shared" si="349"/>
        <v>0</v>
      </c>
      <c r="AJ73" s="127">
        <f t="shared" si="349"/>
        <v>0</v>
      </c>
      <c r="AK73" s="125">
        <f t="shared" si="349"/>
        <v>0</v>
      </c>
      <c r="AL73" s="125">
        <f t="shared" si="349"/>
        <v>0</v>
      </c>
      <c r="AM73" s="126">
        <f t="shared" si="349"/>
        <v>0</v>
      </c>
      <c r="AN73" s="127">
        <f t="shared" si="349"/>
        <v>0</v>
      </c>
      <c r="AO73" s="125">
        <f t="shared" si="349"/>
        <v>0</v>
      </c>
      <c r="AP73" s="125">
        <f t="shared" si="349"/>
        <v>0</v>
      </c>
      <c r="AQ73" s="126">
        <f t="shared" si="349"/>
        <v>0</v>
      </c>
      <c r="AR73" s="127">
        <f t="shared" si="349"/>
        <v>0</v>
      </c>
      <c r="AS73" s="125">
        <f t="shared" si="349"/>
        <v>0</v>
      </c>
      <c r="AT73" s="125">
        <f t="shared" si="349"/>
        <v>0</v>
      </c>
      <c r="AU73" s="126">
        <f>AU70-AU72</f>
        <v>0</v>
      </c>
      <c r="AV73" s="127">
        <f t="shared" si="349"/>
        <v>0</v>
      </c>
      <c r="AW73" s="125">
        <f>AW70-AW72</f>
        <v>0</v>
      </c>
      <c r="AX73" s="125">
        <f>AX70-AX72</f>
        <v>0</v>
      </c>
      <c r="AY73" s="126">
        <f>AY70-AY72</f>
        <v>0</v>
      </c>
      <c r="AZ73" s="127">
        <f>AZ70-AZ72</f>
        <v>0</v>
      </c>
      <c r="BA73" s="125">
        <f t="shared" ref="BA73" si="350">BA70-BA72</f>
        <v>0</v>
      </c>
      <c r="BB73" s="125">
        <f t="shared" ref="BB73:BG73" si="351">BB70-BB72</f>
        <v>0</v>
      </c>
      <c r="BC73" s="126">
        <f t="shared" si="351"/>
        <v>0</v>
      </c>
      <c r="BD73" s="127">
        <f t="shared" si="351"/>
        <v>0</v>
      </c>
      <c r="BE73" s="125">
        <f t="shared" si="351"/>
        <v>0</v>
      </c>
      <c r="BF73" s="125">
        <f t="shared" si="351"/>
        <v>0</v>
      </c>
      <c r="BG73" s="126">
        <f t="shared" si="351"/>
        <v>0</v>
      </c>
      <c r="BH73" s="127">
        <f t="shared" ref="BH73:BK73" si="352">BH70-BH72</f>
        <v>0</v>
      </c>
      <c r="BI73" s="125">
        <f t="shared" si="352"/>
        <v>0</v>
      </c>
      <c r="BJ73" s="125">
        <f t="shared" si="352"/>
        <v>0</v>
      </c>
      <c r="BK73" s="126">
        <f t="shared" si="352"/>
        <v>0</v>
      </c>
      <c r="BL73" s="127">
        <f t="shared" ref="BL73:BO73" si="353">BL70-BL72</f>
        <v>0</v>
      </c>
      <c r="BM73" s="125">
        <f t="shared" si="353"/>
        <v>0</v>
      </c>
      <c r="BN73" s="125">
        <f t="shared" si="353"/>
        <v>0</v>
      </c>
      <c r="BO73" s="126">
        <f t="shared" si="353"/>
        <v>0</v>
      </c>
      <c r="BP73" s="127">
        <f t="shared" ref="BP73:BS73" si="354">BP70-BP72</f>
        <v>0</v>
      </c>
      <c r="BQ73" s="125">
        <f t="shared" si="354"/>
        <v>0</v>
      </c>
      <c r="BR73" s="125">
        <f t="shared" si="354"/>
        <v>0</v>
      </c>
      <c r="BS73" s="126">
        <f t="shared" si="354"/>
        <v>0</v>
      </c>
      <c r="BT73" s="127">
        <f t="shared" ref="BT73:BW73" si="355">BT70-BT72</f>
        <v>0</v>
      </c>
      <c r="BU73" s="125">
        <f t="shared" si="355"/>
        <v>0</v>
      </c>
      <c r="BV73" s="125">
        <f t="shared" si="355"/>
        <v>0</v>
      </c>
      <c r="BW73" s="126">
        <f t="shared" si="355"/>
        <v>0</v>
      </c>
      <c r="BX73" s="21"/>
      <c r="BY73" s="125">
        <f t="shared" ref="BY73:CI73" si="356">BY70-BY72</f>
        <v>0</v>
      </c>
      <c r="BZ73" s="125">
        <f t="shared" si="356"/>
        <v>0</v>
      </c>
      <c r="CA73" s="125">
        <f t="shared" si="356"/>
        <v>0</v>
      </c>
      <c r="CB73" s="125">
        <f t="shared" si="356"/>
        <v>0</v>
      </c>
      <c r="CC73" s="125">
        <f t="shared" si="356"/>
        <v>0</v>
      </c>
      <c r="CD73" s="125">
        <f t="shared" si="356"/>
        <v>0</v>
      </c>
      <c r="CE73" s="125">
        <f t="shared" si="356"/>
        <v>0</v>
      </c>
      <c r="CF73" s="125">
        <f t="shared" si="356"/>
        <v>0</v>
      </c>
      <c r="CG73" s="125">
        <f t="shared" si="356"/>
        <v>0</v>
      </c>
      <c r="CH73" s="125">
        <f t="shared" si="356"/>
        <v>0</v>
      </c>
      <c r="CI73" s="125">
        <f t="shared" si="356"/>
        <v>0</v>
      </c>
      <c r="CJ73" s="125">
        <f t="shared" ref="CJ73:CO73" si="357">CJ70-CJ72</f>
        <v>0</v>
      </c>
      <c r="CK73" s="125">
        <f t="shared" si="357"/>
        <v>0</v>
      </c>
      <c r="CL73" s="125">
        <f t="shared" si="357"/>
        <v>0</v>
      </c>
      <c r="CM73" s="125">
        <f t="shared" si="357"/>
        <v>0</v>
      </c>
      <c r="CN73" s="125">
        <f t="shared" si="357"/>
        <v>0</v>
      </c>
      <c r="CO73" s="125">
        <f t="shared" si="357"/>
        <v>0</v>
      </c>
      <c r="CP73" s="126">
        <f t="shared" ref="CP73" si="358">CP70-CP72</f>
        <v>0</v>
      </c>
      <c r="CQ73" s="22"/>
    </row>
    <row r="74" spans="1:95" ht="14.25" customHeight="1">
      <c r="A74" s="9"/>
      <c r="B74" s="200"/>
      <c r="C74" s="200"/>
      <c r="D74" s="201"/>
      <c r="E74" s="201"/>
      <c r="F74" s="201"/>
      <c r="G74" s="201"/>
      <c r="H74" s="201"/>
      <c r="I74" s="201"/>
      <c r="J74" s="201"/>
      <c r="K74" s="201"/>
      <c r="L74" s="201"/>
      <c r="M74" s="201"/>
      <c r="N74" s="201"/>
      <c r="O74" s="201"/>
      <c r="P74" s="201"/>
      <c r="Q74" s="201"/>
      <c r="R74" s="201"/>
      <c r="S74" s="201"/>
      <c r="T74" s="201"/>
      <c r="U74" s="201"/>
      <c r="V74" s="201"/>
      <c r="W74" s="201"/>
      <c r="X74" s="201"/>
      <c r="Y74" s="201"/>
      <c r="Z74" s="201"/>
      <c r="AA74" s="201"/>
      <c r="AB74" s="201"/>
      <c r="AC74" s="201"/>
      <c r="AD74" s="201"/>
      <c r="AE74" s="201"/>
      <c r="AF74" s="201"/>
      <c r="AG74" s="201"/>
      <c r="AH74" s="201"/>
      <c r="AI74" s="201"/>
      <c r="AJ74" s="201"/>
      <c r="AK74" s="201"/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15"/>
      <c r="BY74" s="201"/>
      <c r="BZ74" s="201"/>
      <c r="CA74" s="201"/>
      <c r="CB74" s="201"/>
      <c r="CC74" s="201"/>
      <c r="CD74" s="201"/>
      <c r="CE74" s="201"/>
      <c r="CF74" s="201"/>
      <c r="CG74" s="201"/>
      <c r="CH74" s="201"/>
      <c r="CI74" s="201"/>
      <c r="CJ74" s="201"/>
      <c r="CK74" s="201"/>
      <c r="CL74" s="201"/>
      <c r="CM74" s="201"/>
      <c r="CN74" s="201"/>
      <c r="CO74" s="201"/>
      <c r="CP74" s="201"/>
      <c r="CQ74" s="15"/>
    </row>
    <row r="75" spans="1:95" ht="14.25" customHeight="1">
      <c r="A75" s="9"/>
      <c r="B75" s="15"/>
      <c r="C75" s="15"/>
      <c r="D75" s="202"/>
      <c r="E75" s="202"/>
      <c r="F75" s="202"/>
      <c r="G75" s="202"/>
      <c r="H75" s="202"/>
      <c r="I75" s="202"/>
      <c r="J75" s="202"/>
      <c r="K75" s="202"/>
      <c r="L75" s="202"/>
      <c r="M75" s="202"/>
      <c r="N75" s="202"/>
      <c r="O75" s="202"/>
      <c r="P75" s="202"/>
      <c r="Q75" s="202"/>
      <c r="R75" s="202"/>
      <c r="S75" s="202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  <c r="AD75" s="202"/>
      <c r="AE75" s="202"/>
      <c r="AF75" s="202"/>
      <c r="AG75" s="202"/>
      <c r="AH75" s="202"/>
      <c r="AI75" s="202"/>
      <c r="AJ75" s="232"/>
      <c r="AK75" s="202"/>
      <c r="AL75" s="202"/>
      <c r="AM75" s="202"/>
      <c r="AN75" s="202"/>
      <c r="AO75" s="202"/>
      <c r="AP75" s="202"/>
      <c r="AQ75" s="202"/>
      <c r="AR75" s="202"/>
      <c r="AS75" s="202"/>
      <c r="AT75" s="202"/>
      <c r="AU75" s="202"/>
      <c r="AV75" s="202"/>
      <c r="AW75" s="202"/>
      <c r="AX75" s="202"/>
      <c r="AY75" s="202"/>
      <c r="AZ75" s="202"/>
      <c r="BA75" s="202"/>
      <c r="BB75" s="202"/>
      <c r="BC75" s="202"/>
      <c r="BD75" s="202"/>
      <c r="BE75" s="202"/>
      <c r="BF75" s="202"/>
      <c r="BG75" s="202"/>
      <c r="BH75" s="202"/>
      <c r="BI75" s="202"/>
      <c r="BJ75" s="202"/>
      <c r="BK75" s="202"/>
      <c r="BL75" s="202"/>
      <c r="BM75" s="202"/>
      <c r="BN75" s="202"/>
      <c r="BO75" s="202"/>
      <c r="BP75" s="202"/>
      <c r="BQ75" s="202"/>
      <c r="BR75" s="202"/>
      <c r="BS75" s="202"/>
      <c r="BT75" s="202"/>
      <c r="BU75" s="202"/>
      <c r="BV75" s="202"/>
      <c r="BW75" s="202"/>
      <c r="BX75" s="15"/>
      <c r="BY75" s="202"/>
      <c r="BZ75" s="202"/>
      <c r="CA75" s="202"/>
      <c r="CB75" s="202"/>
      <c r="CC75" s="202"/>
      <c r="CD75" s="202"/>
      <c r="CE75" s="202"/>
      <c r="CF75" s="202"/>
      <c r="CG75" s="202"/>
      <c r="CH75" s="202"/>
      <c r="CI75" s="202"/>
      <c r="CJ75" s="202"/>
      <c r="CK75" s="202"/>
      <c r="CL75" s="202"/>
      <c r="CM75" s="202"/>
      <c r="CN75" s="202"/>
      <c r="CO75" s="202"/>
      <c r="CP75" s="555"/>
      <c r="CQ75" s="15"/>
    </row>
    <row r="76" spans="1:95" ht="14.25" customHeight="1">
      <c r="A76" s="9"/>
      <c r="B76" s="15"/>
      <c r="C76" s="203"/>
      <c r="D76" s="202"/>
      <c r="E76" s="202"/>
      <c r="F76" s="202"/>
      <c r="G76" s="202"/>
      <c r="H76" s="202"/>
      <c r="I76" s="202"/>
      <c r="J76" s="202"/>
      <c r="K76" s="202"/>
      <c r="L76" s="202"/>
      <c r="M76" s="202"/>
      <c r="N76" s="202"/>
      <c r="O76" s="202"/>
      <c r="P76" s="202"/>
      <c r="Q76" s="202"/>
      <c r="R76" s="202"/>
      <c r="S76" s="202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  <c r="AD76" s="202"/>
      <c r="AE76" s="202"/>
      <c r="AF76" s="202"/>
      <c r="AG76" s="202"/>
      <c r="AH76" s="202"/>
      <c r="AI76" s="202"/>
      <c r="AJ76" s="202"/>
      <c r="AK76" s="202"/>
      <c r="AL76" s="202"/>
      <c r="AM76" s="202"/>
      <c r="AN76" s="202"/>
      <c r="AO76" s="202"/>
      <c r="AP76" s="202"/>
      <c r="AQ76" s="416"/>
      <c r="AR76" s="202"/>
      <c r="AS76" s="202"/>
      <c r="AT76" s="202"/>
      <c r="AU76" s="416"/>
      <c r="AV76" s="202"/>
      <c r="AW76" s="202"/>
      <c r="AX76" s="202"/>
      <c r="AY76" s="416"/>
      <c r="AZ76" s="202"/>
      <c r="BA76" s="202"/>
      <c r="BB76" s="202"/>
      <c r="BC76" s="416"/>
      <c r="BD76" s="202"/>
      <c r="BE76" s="202"/>
      <c r="BF76" s="202"/>
      <c r="BG76" s="416"/>
      <c r="BH76" s="202"/>
      <c r="BI76" s="202"/>
      <c r="BJ76" s="202"/>
      <c r="BK76" s="416"/>
      <c r="BL76" s="202"/>
      <c r="BM76" s="202"/>
      <c r="BN76" s="202"/>
      <c r="BO76" s="416"/>
      <c r="BP76" s="202"/>
      <c r="BQ76" s="202"/>
      <c r="BR76" s="202"/>
      <c r="BS76" s="416"/>
      <c r="BT76" s="202"/>
      <c r="BU76" s="202"/>
      <c r="BV76" s="202"/>
      <c r="BW76" s="416"/>
      <c r="BX76" s="15"/>
      <c r="BY76" s="202"/>
      <c r="BZ76" s="202"/>
      <c r="CA76" s="202"/>
      <c r="CB76" s="202"/>
      <c r="CC76" s="202"/>
      <c r="CD76" s="202"/>
      <c r="CE76" s="202"/>
      <c r="CF76" s="202"/>
      <c r="CG76" s="202"/>
      <c r="CH76" s="202"/>
      <c r="CI76" s="202"/>
      <c r="CJ76" s="202"/>
      <c r="CK76" s="202"/>
      <c r="CL76" s="202"/>
      <c r="CM76" s="202"/>
      <c r="CN76" s="202"/>
      <c r="CO76" s="202"/>
      <c r="CP76" s="555"/>
      <c r="CQ76" s="15"/>
    </row>
    <row r="77" spans="1:95" ht="14.25" customHeight="1">
      <c r="A77" s="9"/>
      <c r="B77" s="131" t="s">
        <v>279</v>
      </c>
      <c r="C77" s="132"/>
      <c r="D77" s="204" t="str">
        <f t="shared" ref="D77:AI77" si="359">D7</f>
        <v>F1Q03A</v>
      </c>
      <c r="E77" s="204" t="str">
        <f t="shared" si="359"/>
        <v>F2Q03A</v>
      </c>
      <c r="F77" s="204" t="str">
        <f t="shared" si="359"/>
        <v>F3Q03A</v>
      </c>
      <c r="G77" s="204" t="str">
        <f t="shared" si="359"/>
        <v>F4Q03A</v>
      </c>
      <c r="H77" s="234" t="str">
        <f t="shared" si="359"/>
        <v>F1Q04A</v>
      </c>
      <c r="I77" s="204" t="str">
        <f t="shared" si="359"/>
        <v>F2Q04A</v>
      </c>
      <c r="J77" s="204" t="str">
        <f t="shared" si="359"/>
        <v>F3Q04A</v>
      </c>
      <c r="K77" s="204" t="str">
        <f t="shared" si="359"/>
        <v>F4Q04A</v>
      </c>
      <c r="L77" s="234" t="str">
        <f t="shared" si="359"/>
        <v>F1Q05A</v>
      </c>
      <c r="M77" s="204" t="str">
        <f t="shared" si="359"/>
        <v>F2Q05A</v>
      </c>
      <c r="N77" s="204" t="str">
        <f t="shared" si="359"/>
        <v>F3Q05A</v>
      </c>
      <c r="O77" s="204" t="str">
        <f t="shared" si="359"/>
        <v>F4Q05A</v>
      </c>
      <c r="P77" s="234" t="str">
        <f t="shared" si="359"/>
        <v>F1Q06A</v>
      </c>
      <c r="Q77" s="204" t="str">
        <f t="shared" si="359"/>
        <v>F2Q06A</v>
      </c>
      <c r="R77" s="204" t="str">
        <f t="shared" si="359"/>
        <v>F3Q06A</v>
      </c>
      <c r="S77" s="204" t="str">
        <f t="shared" si="359"/>
        <v>F4Q06A</v>
      </c>
      <c r="T77" s="234" t="str">
        <f t="shared" si="359"/>
        <v>F1Q07A</v>
      </c>
      <c r="U77" s="204" t="str">
        <f t="shared" si="359"/>
        <v>F2Q07A</v>
      </c>
      <c r="V77" s="204" t="str">
        <f t="shared" si="359"/>
        <v>F3Q07A</v>
      </c>
      <c r="W77" s="204" t="str">
        <f t="shared" si="359"/>
        <v>F4Q07A</v>
      </c>
      <c r="X77" s="234" t="str">
        <f t="shared" si="359"/>
        <v>F1Q08A</v>
      </c>
      <c r="Y77" s="204" t="str">
        <f t="shared" si="359"/>
        <v>F2Q08A</v>
      </c>
      <c r="Z77" s="204" t="str">
        <f t="shared" si="359"/>
        <v>F3Q08A</v>
      </c>
      <c r="AA77" s="204" t="str">
        <f t="shared" si="359"/>
        <v>F4Q08A</v>
      </c>
      <c r="AB77" s="234" t="str">
        <f t="shared" si="359"/>
        <v>F1Q09A</v>
      </c>
      <c r="AC77" s="204" t="str">
        <f t="shared" si="359"/>
        <v>F2Q09A</v>
      </c>
      <c r="AD77" s="204" t="str">
        <f t="shared" si="359"/>
        <v>F3Q09A</v>
      </c>
      <c r="AE77" s="204" t="str">
        <f t="shared" si="359"/>
        <v>F4Q09A</v>
      </c>
      <c r="AF77" s="234" t="str">
        <f t="shared" si="359"/>
        <v>F1Q10A</v>
      </c>
      <c r="AG77" s="204" t="str">
        <f t="shared" si="359"/>
        <v>F2Q10A</v>
      </c>
      <c r="AH77" s="204" t="str">
        <f t="shared" si="359"/>
        <v>F3Q10A</v>
      </c>
      <c r="AI77" s="204" t="str">
        <f t="shared" si="359"/>
        <v>F4Q10A</v>
      </c>
      <c r="AJ77" s="234" t="str">
        <f t="shared" ref="AJ77:BO77" si="360">AJ7</f>
        <v>F1Q11A</v>
      </c>
      <c r="AK77" s="204" t="str">
        <f t="shared" si="360"/>
        <v>F2Q11A</v>
      </c>
      <c r="AL77" s="204" t="str">
        <f t="shared" si="360"/>
        <v>F3Q11A</v>
      </c>
      <c r="AM77" s="204" t="str">
        <f t="shared" si="360"/>
        <v>F4Q11A</v>
      </c>
      <c r="AN77" s="234" t="str">
        <f t="shared" si="360"/>
        <v>F1Q12A</v>
      </c>
      <c r="AO77" s="204" t="str">
        <f t="shared" si="360"/>
        <v>F2Q12A</v>
      </c>
      <c r="AP77" s="204" t="str">
        <f t="shared" si="360"/>
        <v>F3Q12A</v>
      </c>
      <c r="AQ77" s="204" t="str">
        <f t="shared" si="360"/>
        <v>F4Q12A</v>
      </c>
      <c r="AR77" s="234" t="str">
        <f t="shared" si="360"/>
        <v>F1Q13A</v>
      </c>
      <c r="AS77" s="204" t="str">
        <f t="shared" si="360"/>
        <v>F2Q13A</v>
      </c>
      <c r="AT77" s="204" t="str">
        <f t="shared" si="360"/>
        <v>F3Q13A</v>
      </c>
      <c r="AU77" s="205" t="str">
        <f t="shared" si="360"/>
        <v>F4Q13A</v>
      </c>
      <c r="AV77" s="234" t="str">
        <f t="shared" si="360"/>
        <v>F1Q14A</v>
      </c>
      <c r="AW77" s="204" t="str">
        <f t="shared" si="360"/>
        <v>F2Q14A</v>
      </c>
      <c r="AX77" s="204" t="str">
        <f t="shared" si="360"/>
        <v>F3Q14A</v>
      </c>
      <c r="AY77" s="204" t="str">
        <f t="shared" si="360"/>
        <v>F4Q14A</v>
      </c>
      <c r="AZ77" s="234" t="str">
        <f t="shared" si="360"/>
        <v>F1Q15A</v>
      </c>
      <c r="BA77" s="204" t="str">
        <f t="shared" si="360"/>
        <v>F2Q15A</v>
      </c>
      <c r="BB77" s="204" t="str">
        <f t="shared" si="360"/>
        <v>F3Q15A</v>
      </c>
      <c r="BC77" s="204" t="str">
        <f t="shared" si="360"/>
        <v>F4Q15A</v>
      </c>
      <c r="BD77" s="234" t="str">
        <f t="shared" si="360"/>
        <v>F1Q16A</v>
      </c>
      <c r="BE77" s="204" t="str">
        <f t="shared" si="360"/>
        <v>F2Q16A</v>
      </c>
      <c r="BF77" s="204" t="str">
        <f t="shared" si="360"/>
        <v>F3Q16A</v>
      </c>
      <c r="BG77" s="1250" t="str">
        <f t="shared" ref="BG77" si="361">BG7</f>
        <v>F4Q16A</v>
      </c>
      <c r="BH77" s="234" t="str">
        <f t="shared" si="360"/>
        <v>F1Q17A</v>
      </c>
      <c r="BI77" s="204" t="str">
        <f t="shared" si="360"/>
        <v>F2Q17A</v>
      </c>
      <c r="BJ77" s="204" t="str">
        <f t="shared" si="360"/>
        <v>F3Q17A</v>
      </c>
      <c r="BK77" s="204" t="str">
        <f t="shared" si="360"/>
        <v>F4Q17A</v>
      </c>
      <c r="BL77" s="234" t="str">
        <f t="shared" si="360"/>
        <v>F1Q18E</v>
      </c>
      <c r="BM77" s="204" t="str">
        <f t="shared" si="360"/>
        <v>F2Q18E</v>
      </c>
      <c r="BN77" s="204" t="str">
        <f t="shared" si="360"/>
        <v>F3Q18E</v>
      </c>
      <c r="BO77" s="204" t="str">
        <f t="shared" si="360"/>
        <v>F4Q18E</v>
      </c>
      <c r="BP77" s="234" t="str">
        <f t="shared" ref="BP77:BS77" si="362">BP7</f>
        <v>F1Q19E</v>
      </c>
      <c r="BQ77" s="1250" t="str">
        <f t="shared" si="362"/>
        <v>F2Q19E</v>
      </c>
      <c r="BR77" s="1250" t="str">
        <f t="shared" si="362"/>
        <v>F3Q19E</v>
      </c>
      <c r="BS77" s="1250" t="str">
        <f t="shared" si="362"/>
        <v>F4Q19E</v>
      </c>
      <c r="BT77" s="234" t="str">
        <f t="shared" ref="BT77:BW77" si="363">BT7</f>
        <v>F1Q20E</v>
      </c>
      <c r="BU77" s="1250" t="str">
        <f t="shared" si="363"/>
        <v>F2Q20E</v>
      </c>
      <c r="BV77" s="1250" t="str">
        <f t="shared" si="363"/>
        <v>F3Q20E</v>
      </c>
      <c r="BW77" s="1250" t="str">
        <f t="shared" si="363"/>
        <v>F4Q20E</v>
      </c>
      <c r="BX77" s="21"/>
      <c r="BY77" s="204" t="str">
        <f t="shared" ref="BY77:CN77" si="364">BY7</f>
        <v>FY2003A</v>
      </c>
      <c r="BZ77" s="204" t="str">
        <f t="shared" si="364"/>
        <v>FY2004A</v>
      </c>
      <c r="CA77" s="204" t="str">
        <f t="shared" si="364"/>
        <v>FY2005A</v>
      </c>
      <c r="CB77" s="204" t="str">
        <f t="shared" si="364"/>
        <v>FY2006A</v>
      </c>
      <c r="CC77" s="204" t="str">
        <f t="shared" si="364"/>
        <v>FY2007A</v>
      </c>
      <c r="CD77" s="204" t="str">
        <f t="shared" si="364"/>
        <v>FY2008A</v>
      </c>
      <c r="CE77" s="1250" t="str">
        <f t="shared" si="364"/>
        <v>FY2009A</v>
      </c>
      <c r="CF77" s="1250" t="str">
        <f t="shared" si="364"/>
        <v>FY2010A</v>
      </c>
      <c r="CG77" s="1250" t="str">
        <f t="shared" si="364"/>
        <v>FY2011A</v>
      </c>
      <c r="CH77" s="1250" t="str">
        <f t="shared" si="364"/>
        <v>FY2012A</v>
      </c>
      <c r="CI77" s="1250" t="str">
        <f t="shared" si="364"/>
        <v>FY2013A</v>
      </c>
      <c r="CJ77" s="1250" t="str">
        <f t="shared" si="364"/>
        <v>FY2014A</v>
      </c>
      <c r="CK77" s="1250" t="str">
        <f t="shared" si="364"/>
        <v>FY2015A</v>
      </c>
      <c r="CL77" s="1250" t="str">
        <f t="shared" si="364"/>
        <v>FY2016</v>
      </c>
      <c r="CM77" s="1250" t="str">
        <f t="shared" si="364"/>
        <v>FY2017A</v>
      </c>
      <c r="CN77" s="1250" t="str">
        <f t="shared" si="364"/>
        <v>FY2018E</v>
      </c>
      <c r="CO77" s="1250" t="str">
        <f t="shared" ref="CO77:CP77" si="365">CO7</f>
        <v>FY2019E</v>
      </c>
      <c r="CP77" s="205" t="str">
        <f t="shared" si="365"/>
        <v>FY2020E</v>
      </c>
      <c r="CQ77" s="22"/>
    </row>
    <row r="78" spans="1:95" ht="14.25" customHeight="1">
      <c r="A78" s="9"/>
      <c r="B78" s="22" t="s">
        <v>280</v>
      </c>
      <c r="C78" s="206"/>
      <c r="D78" s="319">
        <f t="shared" ref="D78:AI78" si="366">-D40</f>
        <v>6.2</v>
      </c>
      <c r="E78" s="320">
        <f t="shared" si="366"/>
        <v>18.400000000000002</v>
      </c>
      <c r="F78" s="320">
        <f t="shared" si="366"/>
        <v>16.899999999999995</v>
      </c>
      <c r="G78" s="619">
        <f t="shared" si="366"/>
        <v>18.299999999999994</v>
      </c>
      <c r="H78" s="319">
        <f t="shared" si="366"/>
        <v>30.6</v>
      </c>
      <c r="I78" s="320">
        <f t="shared" si="366"/>
        <v>18.100000000000001</v>
      </c>
      <c r="J78" s="320">
        <f t="shared" si="366"/>
        <v>16.399999999999991</v>
      </c>
      <c r="K78" s="619">
        <f t="shared" si="366"/>
        <v>16.700000000000003</v>
      </c>
      <c r="L78" s="319">
        <f t="shared" si="366"/>
        <v>9</v>
      </c>
      <c r="M78" s="320">
        <f t="shared" si="366"/>
        <v>13</v>
      </c>
      <c r="N78" s="320">
        <f t="shared" si="366"/>
        <v>12.5</v>
      </c>
      <c r="O78" s="619">
        <f t="shared" si="366"/>
        <v>11.600000000000001</v>
      </c>
      <c r="P78" s="319">
        <f t="shared" si="366"/>
        <v>31.7</v>
      </c>
      <c r="Q78" s="320">
        <f t="shared" si="366"/>
        <v>103.39999999999999</v>
      </c>
      <c r="R78" s="320">
        <f t="shared" si="366"/>
        <v>51.300000000000026</v>
      </c>
      <c r="S78" s="619">
        <f t="shared" si="366"/>
        <v>12.599999999999994</v>
      </c>
      <c r="T78" s="319">
        <f t="shared" si="366"/>
        <v>49</v>
      </c>
      <c r="U78" s="320">
        <f t="shared" si="366"/>
        <v>27.599999999999994</v>
      </c>
      <c r="V78" s="320">
        <f t="shared" si="366"/>
        <v>33.800000000000011</v>
      </c>
      <c r="W78" s="619">
        <f t="shared" si="366"/>
        <v>30.299999999999983</v>
      </c>
      <c r="X78" s="319">
        <f t="shared" si="366"/>
        <v>15.5</v>
      </c>
      <c r="Y78" s="320">
        <f t="shared" si="366"/>
        <v>29.4</v>
      </c>
      <c r="Z78" s="320">
        <f t="shared" si="366"/>
        <v>30.000000000000007</v>
      </c>
      <c r="AA78" s="619">
        <f t="shared" si="366"/>
        <v>20.099999999999994</v>
      </c>
      <c r="AB78" s="319">
        <f t="shared" si="366"/>
        <v>22.3</v>
      </c>
      <c r="AC78" s="320">
        <f t="shared" si="366"/>
        <v>14.7</v>
      </c>
      <c r="AD78" s="320">
        <f t="shared" si="366"/>
        <v>9.2999999999999972</v>
      </c>
      <c r="AE78" s="619">
        <f t="shared" si="366"/>
        <v>9.0000000000000036</v>
      </c>
      <c r="AF78" s="319">
        <f t="shared" si="366"/>
        <v>41</v>
      </c>
      <c r="AG78" s="320">
        <f t="shared" si="366"/>
        <v>52.5</v>
      </c>
      <c r="AH78" s="320">
        <f t="shared" si="366"/>
        <v>52.400000000000006</v>
      </c>
      <c r="AI78" s="619">
        <f t="shared" si="366"/>
        <v>43</v>
      </c>
      <c r="AJ78" s="319">
        <f t="shared" ref="AJ78:BF78" si="367">-AJ40</f>
        <v>88.7</v>
      </c>
      <c r="AK78" s="320">
        <f t="shared" si="367"/>
        <v>84.8</v>
      </c>
      <c r="AL78" s="320">
        <f t="shared" si="367"/>
        <v>85.800000000000026</v>
      </c>
      <c r="AM78" s="619">
        <f t="shared" si="367"/>
        <v>57.099999999999952</v>
      </c>
      <c r="AN78" s="319">
        <f t="shared" si="367"/>
        <v>50.4</v>
      </c>
      <c r="AO78" s="320">
        <f t="shared" si="367"/>
        <v>64.300000000000011</v>
      </c>
      <c r="AP78" s="320">
        <f t="shared" si="367"/>
        <v>84.1</v>
      </c>
      <c r="AQ78" s="619">
        <f t="shared" si="367"/>
        <v>57.5</v>
      </c>
      <c r="AR78" s="209">
        <f t="shared" si="367"/>
        <v>38.9</v>
      </c>
      <c r="AS78" s="320">
        <f t="shared" si="367"/>
        <v>45.800000000000004</v>
      </c>
      <c r="AT78" s="320">
        <f t="shared" si="367"/>
        <v>50.399999999999984</v>
      </c>
      <c r="AU78" s="619">
        <f t="shared" si="367"/>
        <v>20.099999999999987</v>
      </c>
      <c r="AV78" s="209">
        <f t="shared" si="367"/>
        <v>47.7</v>
      </c>
      <c r="AW78" s="320">
        <f t="shared" si="367"/>
        <v>48.8</v>
      </c>
      <c r="AX78" s="320">
        <f t="shared" si="367"/>
        <v>66.5</v>
      </c>
      <c r="AY78" s="619">
        <f t="shared" si="367"/>
        <v>41.300000000000026</v>
      </c>
      <c r="AZ78" s="209">
        <f t="shared" si="367"/>
        <v>64.8</v>
      </c>
      <c r="BA78" s="320">
        <f t="shared" si="367"/>
        <v>75.500000000000014</v>
      </c>
      <c r="BB78" s="320">
        <f t="shared" si="367"/>
        <v>64.499999999999986</v>
      </c>
      <c r="BC78" s="619">
        <f t="shared" si="367"/>
        <v>66.000000000000014</v>
      </c>
      <c r="BD78" s="209">
        <f t="shared" si="367"/>
        <v>72.900000000000006</v>
      </c>
      <c r="BE78" s="320">
        <f t="shared" si="367"/>
        <v>52</v>
      </c>
      <c r="BF78" s="320">
        <f t="shared" si="367"/>
        <v>35.900000000000006</v>
      </c>
      <c r="BG78" s="619">
        <f t="shared" ref="BG78:BJ78" si="368">-BG40</f>
        <v>49.899999999999977</v>
      </c>
      <c r="BH78" s="209">
        <f t="shared" si="368"/>
        <v>52.7</v>
      </c>
      <c r="BI78" s="320">
        <f t="shared" si="368"/>
        <v>69</v>
      </c>
      <c r="BJ78" s="320">
        <f t="shared" si="368"/>
        <v>90.100000000000023</v>
      </c>
      <c r="BK78" s="822">
        <f>BK80*IS!BK8</f>
        <v>144.63749999999999</v>
      </c>
      <c r="BL78" s="535">
        <f>BL80*IS!BL8</f>
        <v>89.040705000000017</v>
      </c>
      <c r="BM78" s="535">
        <f>BM80*IS!BM8</f>
        <v>92.845055549999998</v>
      </c>
      <c r="BN78" s="821">
        <f>BN80*IS!BN8</f>
        <v>95.037860099000014</v>
      </c>
      <c r="BO78" s="822">
        <f>BO80*IS!BO8</f>
        <v>93.354025407369988</v>
      </c>
      <c r="BP78" s="535">
        <f>BP80*IS!BP8</f>
        <v>92.836095251633495</v>
      </c>
      <c r="BQ78" s="535">
        <f>BQ80*IS!BQ8</f>
        <v>96.30563445925884</v>
      </c>
      <c r="BR78" s="821">
        <f>BR80*IS!BR8</f>
        <v>98.39697193705932</v>
      </c>
      <c r="BS78" s="822">
        <f>BS80*IS!BS8</f>
        <v>96.687629342022163</v>
      </c>
      <c r="BT78" s="535">
        <f>BT80*IS!BT8</f>
        <v>96.290303397802418</v>
      </c>
      <c r="BU78" s="535">
        <f>BU80*IS!BU8</f>
        <v>99.880250757801861</v>
      </c>
      <c r="BV78" s="1422">
        <f>BV80*IS!BV8</f>
        <v>101.95239349085935</v>
      </c>
      <c r="BW78" s="1423">
        <f>BW80*IS!BW8</f>
        <v>100.2169727176336</v>
      </c>
      <c r="BX78" s="21"/>
      <c r="BY78" s="320">
        <f t="shared" ref="BY78:CN78" si="369">-BY40</f>
        <v>59.8</v>
      </c>
      <c r="BZ78" s="320">
        <f t="shared" si="369"/>
        <v>81.8</v>
      </c>
      <c r="CA78" s="320">
        <f t="shared" si="369"/>
        <v>46.1</v>
      </c>
      <c r="CB78" s="320">
        <f t="shared" si="369"/>
        <v>199.00000000000003</v>
      </c>
      <c r="CC78" s="320">
        <f t="shared" si="369"/>
        <v>140.69999999999999</v>
      </c>
      <c r="CD78" s="320">
        <f t="shared" si="369"/>
        <v>95</v>
      </c>
      <c r="CE78" s="320">
        <f t="shared" si="369"/>
        <v>55.3</v>
      </c>
      <c r="CF78" s="320">
        <f t="shared" si="369"/>
        <v>188.9</v>
      </c>
      <c r="CG78" s="320">
        <f t="shared" si="369"/>
        <v>316.39999999999998</v>
      </c>
      <c r="CH78" s="320">
        <f t="shared" si="369"/>
        <v>256.3</v>
      </c>
      <c r="CI78" s="320">
        <f t="shared" si="369"/>
        <v>155.19999999999999</v>
      </c>
      <c r="CJ78" s="320">
        <f t="shared" si="369"/>
        <v>204.3</v>
      </c>
      <c r="CK78" s="320">
        <f t="shared" si="369"/>
        <v>270.8</v>
      </c>
      <c r="CL78" s="320">
        <f t="shared" si="369"/>
        <v>210.7</v>
      </c>
      <c r="CM78" s="320">
        <f t="shared" si="369"/>
        <v>387.5</v>
      </c>
      <c r="CN78" s="320">
        <f t="shared" si="369"/>
        <v>370.27764605637003</v>
      </c>
      <c r="CO78" s="320">
        <f t="shared" ref="CO78:CP78" si="370">-CO40</f>
        <v>384.2263309899738</v>
      </c>
      <c r="CP78" s="148">
        <f t="shared" si="370"/>
        <v>398.33992036409728</v>
      </c>
      <c r="CQ78" s="22"/>
    </row>
    <row r="79" spans="1:95" ht="14.25" customHeight="1">
      <c r="A79" s="9"/>
      <c r="B79" s="22" t="s">
        <v>281</v>
      </c>
      <c r="C79" s="211"/>
      <c r="D79" s="321">
        <v>0</v>
      </c>
      <c r="E79" s="213">
        <v>0</v>
      </c>
      <c r="F79" s="213">
        <v>0</v>
      </c>
      <c r="G79" s="214">
        <v>0</v>
      </c>
      <c r="H79" s="321">
        <v>0</v>
      </c>
      <c r="I79" s="213">
        <v>0</v>
      </c>
      <c r="J79" s="213">
        <v>0</v>
      </c>
      <c r="K79" s="214">
        <v>0</v>
      </c>
      <c r="L79" s="321">
        <v>0</v>
      </c>
      <c r="M79" s="213">
        <v>0</v>
      </c>
      <c r="N79" s="213">
        <v>0</v>
      </c>
      <c r="O79" s="214">
        <v>0</v>
      </c>
      <c r="P79" s="321">
        <v>0</v>
      </c>
      <c r="Q79" s="213">
        <v>0</v>
      </c>
      <c r="R79" s="213">
        <v>0</v>
      </c>
      <c r="S79" s="214">
        <v>0</v>
      </c>
      <c r="T79" s="321">
        <v>0</v>
      </c>
      <c r="U79" s="213">
        <v>0</v>
      </c>
      <c r="V79" s="213">
        <v>0</v>
      </c>
      <c r="W79" s="214">
        <v>0</v>
      </c>
      <c r="X79" s="321">
        <v>0</v>
      </c>
      <c r="Y79" s="213">
        <v>0</v>
      </c>
      <c r="Z79" s="213">
        <v>0</v>
      </c>
      <c r="AA79" s="214">
        <v>0</v>
      </c>
      <c r="AB79" s="321">
        <v>0</v>
      </c>
      <c r="AC79" s="213">
        <v>0</v>
      </c>
      <c r="AD79" s="213">
        <v>0</v>
      </c>
      <c r="AE79" s="214">
        <v>0</v>
      </c>
      <c r="AF79" s="321">
        <v>0</v>
      </c>
      <c r="AG79" s="213">
        <v>0</v>
      </c>
      <c r="AH79" s="213">
        <v>0</v>
      </c>
      <c r="AI79" s="214">
        <v>0</v>
      </c>
      <c r="AJ79" s="321">
        <v>0</v>
      </c>
      <c r="AK79" s="213">
        <v>0</v>
      </c>
      <c r="AL79" s="213">
        <v>0</v>
      </c>
      <c r="AM79" s="214">
        <v>0</v>
      </c>
      <c r="AN79" s="321">
        <v>0</v>
      </c>
      <c r="AO79" s="213">
        <v>0</v>
      </c>
      <c r="AP79" s="213">
        <v>0</v>
      </c>
      <c r="AQ79" s="214">
        <v>0</v>
      </c>
      <c r="AR79" s="321">
        <v>0</v>
      </c>
      <c r="AS79" s="213">
        <v>0</v>
      </c>
      <c r="AT79" s="213">
        <v>0</v>
      </c>
      <c r="AU79" s="214">
        <v>0</v>
      </c>
      <c r="AV79" s="321">
        <v>0</v>
      </c>
      <c r="AW79" s="213">
        <v>0</v>
      </c>
      <c r="AX79" s="213">
        <v>0</v>
      </c>
      <c r="AY79" s="214">
        <v>0</v>
      </c>
      <c r="AZ79" s="321">
        <v>0</v>
      </c>
      <c r="BA79" s="213">
        <v>0</v>
      </c>
      <c r="BB79" s="213">
        <v>0</v>
      </c>
      <c r="BC79" s="214">
        <v>0</v>
      </c>
      <c r="BD79" s="321">
        <v>0</v>
      </c>
      <c r="BE79" s="213">
        <v>0</v>
      </c>
      <c r="BF79" s="213">
        <v>0</v>
      </c>
      <c r="BG79" s="214">
        <v>0</v>
      </c>
      <c r="BH79" s="321">
        <v>0</v>
      </c>
      <c r="BI79" s="213">
        <v>0</v>
      </c>
      <c r="BJ79" s="213">
        <v>0</v>
      </c>
      <c r="BK79" s="1483">
        <v>32.962500000000091</v>
      </c>
      <c r="BL79" s="321">
        <v>0</v>
      </c>
      <c r="BM79" s="213">
        <v>0</v>
      </c>
      <c r="BN79" s="213">
        <v>0</v>
      </c>
      <c r="BO79" s="214">
        <v>0</v>
      </c>
      <c r="BP79" s="321">
        <v>0</v>
      </c>
      <c r="BQ79" s="213">
        <v>0</v>
      </c>
      <c r="BR79" s="213">
        <v>0</v>
      </c>
      <c r="BS79" s="214">
        <v>0</v>
      </c>
      <c r="BT79" s="321">
        <v>0</v>
      </c>
      <c r="BU79" s="213">
        <v>0</v>
      </c>
      <c r="BV79" s="213">
        <v>0</v>
      </c>
      <c r="BW79" s="214">
        <v>0</v>
      </c>
      <c r="BX79" s="21"/>
      <c r="BY79" s="225">
        <f>G79</f>
        <v>0</v>
      </c>
      <c r="BZ79" s="225">
        <f>K79</f>
        <v>0</v>
      </c>
      <c r="CA79" s="225">
        <f>O79</f>
        <v>0</v>
      </c>
      <c r="CB79" s="225">
        <f>S79</f>
        <v>0</v>
      </c>
      <c r="CC79" s="225">
        <f>W79</f>
        <v>0</v>
      </c>
      <c r="CD79" s="225">
        <f>AA79</f>
        <v>0</v>
      </c>
      <c r="CE79" s="225">
        <f>AE79</f>
        <v>0</v>
      </c>
      <c r="CF79" s="225">
        <f>AI79</f>
        <v>0</v>
      </c>
      <c r="CG79" s="225">
        <f>AM79</f>
        <v>0</v>
      </c>
      <c r="CH79" s="225">
        <f>AQ79</f>
        <v>0</v>
      </c>
      <c r="CI79" s="225">
        <f>AU79</f>
        <v>0</v>
      </c>
      <c r="CJ79" s="225">
        <f>AY79</f>
        <v>0</v>
      </c>
      <c r="CK79" s="225">
        <f>BC79</f>
        <v>0</v>
      </c>
      <c r="CL79" s="225">
        <f>BG79</f>
        <v>0</v>
      </c>
      <c r="CM79" s="225">
        <f>BK79</f>
        <v>32.962500000000091</v>
      </c>
      <c r="CN79" s="225">
        <f>BO79</f>
        <v>0</v>
      </c>
      <c r="CO79" s="225">
        <f>BS79</f>
        <v>0</v>
      </c>
      <c r="CP79" s="208">
        <f>BW79</f>
        <v>0</v>
      </c>
      <c r="CQ79" s="22"/>
    </row>
    <row r="80" spans="1:95" ht="14.25" customHeight="1">
      <c r="A80" s="9"/>
      <c r="B80" s="217" t="s">
        <v>282</v>
      </c>
      <c r="C80" s="218"/>
      <c r="D80" s="1133">
        <f>D78/IS!D8</f>
        <v>2.3005565862708719E-2</v>
      </c>
      <c r="E80" s="1133">
        <f>E78/IS!E8</f>
        <v>7.1818891491022649E-2</v>
      </c>
      <c r="F80" s="1133">
        <f>F78/IS!F8</f>
        <v>6.3821752265861009E-2</v>
      </c>
      <c r="G80" s="1134">
        <f>G78/IS!G8</f>
        <v>6.5685570710696306E-2</v>
      </c>
      <c r="H80" s="1133">
        <f>H78/IS!H8</f>
        <v>9.928617780661908E-2</v>
      </c>
      <c r="I80" s="1133">
        <f>I78/IS!I8</f>
        <v>5.4272863568215896E-2</v>
      </c>
      <c r="J80" s="1133">
        <f>J78/IS!J8</f>
        <v>5.1507537688442191E-2</v>
      </c>
      <c r="K80" s="1134">
        <f>K78/IS!K8</f>
        <v>5.4432855280312914E-2</v>
      </c>
      <c r="L80" s="1133">
        <f>L78/IS!L8</f>
        <v>2.9761904761904764E-2</v>
      </c>
      <c r="M80" s="1133">
        <f>M78/IS!M8</f>
        <v>4.2932628797886389E-2</v>
      </c>
      <c r="N80" s="1133">
        <f>N78/IS!N8</f>
        <v>3.985969387755102E-2</v>
      </c>
      <c r="O80" s="1134">
        <f>O78/IS!O8</f>
        <v>3.3937975424224699E-2</v>
      </c>
      <c r="P80" s="1133">
        <f>P78/IS!P8</f>
        <v>9.4910179640718559E-2</v>
      </c>
      <c r="Q80" s="1133">
        <f>Q78/IS!Q8</f>
        <v>0.27551292299493735</v>
      </c>
      <c r="R80" s="1133">
        <f>R78/IS!R8</f>
        <v>0.12188168210976486</v>
      </c>
      <c r="S80" s="1134">
        <f>S78/IS!S8</f>
        <v>3.1374501992031859E-2</v>
      </c>
      <c r="T80" s="1133">
        <f>T78/IS!T8</f>
        <v>0.1309460181721005</v>
      </c>
      <c r="U80" s="1133">
        <f>U78/IS!U8</f>
        <v>7.2402938090241328E-2</v>
      </c>
      <c r="V80" s="1133">
        <f>V78/IS!V8</f>
        <v>8.3891784561926072E-2</v>
      </c>
      <c r="W80" s="1134">
        <f>W78/IS!W8</f>
        <v>7.4282912478548624E-2</v>
      </c>
      <c r="X80" s="1133">
        <f>X78/IS!X8</f>
        <v>3.6738563640673148E-2</v>
      </c>
      <c r="Y80" s="1133">
        <f>Y78/IS!Y8</f>
        <v>5.2248089568153536E-2</v>
      </c>
      <c r="Z80" s="1133">
        <f>Z78/IS!Z8</f>
        <v>5.1590713671539133E-2</v>
      </c>
      <c r="AA80" s="1134">
        <f>AA78/IS!AA8</f>
        <v>4.1129527317372613E-2</v>
      </c>
      <c r="AB80" s="1133">
        <f>AB78/IS!AB8</f>
        <v>5.8823529411764705E-2</v>
      </c>
      <c r="AC80" s="1133">
        <f>AC78/IS!AC8</f>
        <v>3.5016674606955692E-2</v>
      </c>
      <c r="AD80" s="1133">
        <f>AD78/IS!AD8</f>
        <v>1.9665891308944805E-2</v>
      </c>
      <c r="AE80" s="1134">
        <f>AE78/IS!AE8</f>
        <v>1.8105009052504534E-2</v>
      </c>
      <c r="AF80" s="1133">
        <f>AF78/IS!AF8</f>
        <v>7.4518356961105051E-2</v>
      </c>
      <c r="AG80" s="1133">
        <f>AG78/IS!AG8</f>
        <v>9.0005143151037206E-2</v>
      </c>
      <c r="AH80" s="1133">
        <f>AH78/IS!AH8</f>
        <v>8.7231563176294324E-2</v>
      </c>
      <c r="AI80" s="1134">
        <f>AI78/IS!AI8</f>
        <v>7.4240331491712705E-2</v>
      </c>
      <c r="AJ80" s="1133">
        <f>AJ78/IS!AJ8</f>
        <v>0.10188375832759017</v>
      </c>
      <c r="AK80" s="1133">
        <f>AK78/IS!AK8</f>
        <v>9.3618900419518661E-2</v>
      </c>
      <c r="AL80" s="1133">
        <f>AL78/IS!AL8</f>
        <v>9.554565701559023E-2</v>
      </c>
      <c r="AM80" s="1134">
        <f>AM78/IS!AM8</f>
        <v>7.4358640447974939E-2</v>
      </c>
      <c r="AN80" s="1133">
        <f>AN78/IS!AN8</f>
        <v>6.7705534658785593E-2</v>
      </c>
      <c r="AO80" s="1133">
        <f>AO78/IS!AO8</f>
        <v>8.6331901181525256E-2</v>
      </c>
      <c r="AP80" s="1133">
        <f>AP78/IS!AP8</f>
        <v>0.11592005513439006</v>
      </c>
      <c r="AQ80" s="1134">
        <f>AQ78/IS!AQ8</f>
        <v>8.4533960599823571E-2</v>
      </c>
      <c r="AR80" s="1133">
        <f>AR78/IS!AR8</f>
        <v>5.8850226928895612E-2</v>
      </c>
      <c r="AS80" s="1133">
        <v>6.5000000000000002E-2</v>
      </c>
      <c r="AT80" s="1133">
        <f>AT78/IS!AT8</f>
        <v>7.0450097847358104E-2</v>
      </c>
      <c r="AU80" s="1134">
        <f>AU78/IS!AU8</f>
        <v>2.7994428969359313E-2</v>
      </c>
      <c r="AV80" s="1133">
        <f>AV78/IS!AV8</f>
        <v>6.751592356687898E-2</v>
      </c>
      <c r="AW80" s="1133">
        <v>6.5000000000000002E-2</v>
      </c>
      <c r="AX80" s="1133">
        <f>AX78/IS!AX8</f>
        <v>7.9784043191361731E-2</v>
      </c>
      <c r="AY80" s="1134">
        <f>AY78/IS!AY8</f>
        <v>4.7789863457533006E-2</v>
      </c>
      <c r="AZ80" s="1133">
        <f>AZ78/IS!AZ8</f>
        <v>7.4414331649058335E-2</v>
      </c>
      <c r="BA80" s="1133">
        <v>6.5000000000000002E-2</v>
      </c>
      <c r="BB80" s="1133">
        <f>BB78/IS!BB8</f>
        <v>7.1333775713337738E-2</v>
      </c>
      <c r="BC80" s="1134">
        <f>BC78/IS!BC8</f>
        <v>7.8543377365226721E-2</v>
      </c>
      <c r="BD80" s="1133">
        <f>BD78/IS!BD8</f>
        <v>8.9207048458149779E-2</v>
      </c>
      <c r="BE80" s="1133">
        <f>BE78/IS!BE8</f>
        <v>5.9239006607427661E-2</v>
      </c>
      <c r="BF80" s="1133">
        <f>BF78/IS!BF8</f>
        <v>3.775370701440741E-2</v>
      </c>
      <c r="BG80" s="1134">
        <f>BG78/IS!BG8</f>
        <v>3.9571768437747804E-2</v>
      </c>
      <c r="BH80" s="1133">
        <f>BH78/IS!BH8</f>
        <v>3.6681283496902625E-2</v>
      </c>
      <c r="BI80" s="1133">
        <f>BI78/IS!BI8</f>
        <v>5.1569506726457402E-2</v>
      </c>
      <c r="BJ80" s="1133">
        <f>BJ78/IS!BJ8</f>
        <v>6.47782011647135E-2</v>
      </c>
      <c r="BK80" s="1482">
        <v>0.105</v>
      </c>
      <c r="BL80" s="1145">
        <v>6.5000000000000002E-2</v>
      </c>
      <c r="BM80" s="1143">
        <f t="shared" ref="BM80:BS80" si="371">BL80</f>
        <v>6.5000000000000002E-2</v>
      </c>
      <c r="BN80" s="1143">
        <f t="shared" si="371"/>
        <v>6.5000000000000002E-2</v>
      </c>
      <c r="BO80" s="1144">
        <f t="shared" si="371"/>
        <v>6.5000000000000002E-2</v>
      </c>
      <c r="BP80" s="1145">
        <f t="shared" si="371"/>
        <v>6.5000000000000002E-2</v>
      </c>
      <c r="BQ80" s="1143">
        <f t="shared" si="371"/>
        <v>6.5000000000000002E-2</v>
      </c>
      <c r="BR80" s="1143">
        <f t="shared" si="371"/>
        <v>6.5000000000000002E-2</v>
      </c>
      <c r="BS80" s="1144">
        <f t="shared" si="371"/>
        <v>6.5000000000000002E-2</v>
      </c>
      <c r="BT80" s="1145">
        <f t="shared" ref="BT80" si="372">BS80</f>
        <v>6.5000000000000002E-2</v>
      </c>
      <c r="BU80" s="1143">
        <f t="shared" ref="BU80" si="373">BT80</f>
        <v>6.5000000000000002E-2</v>
      </c>
      <c r="BV80" s="1143">
        <f t="shared" ref="BV80" si="374">BU80</f>
        <v>6.5000000000000002E-2</v>
      </c>
      <c r="BW80" s="1144">
        <f t="shared" ref="BW80" si="375">BV80</f>
        <v>6.5000000000000002E-2</v>
      </c>
      <c r="BX80" s="21"/>
      <c r="BY80" s="1146">
        <f>BY78/IS!BY8</f>
        <v>5.5934898512767749E-2</v>
      </c>
      <c r="BZ80" s="1133">
        <f>BZ78/IS!BZ8</f>
        <v>6.4567053437524655E-2</v>
      </c>
      <c r="CA80" s="1133">
        <f>CA78/IS!CA8</f>
        <v>3.6569887355227669E-2</v>
      </c>
      <c r="CB80" s="1133">
        <f>CB78/IS!CB8</f>
        <v>0.12991252121686908</v>
      </c>
      <c r="CC80" s="1133">
        <f>CC78/IS!CC8</f>
        <v>8.9835270080449503E-2</v>
      </c>
      <c r="CD80" s="1133">
        <f>CD78/IS!CD8</f>
        <v>4.6233210044773217E-2</v>
      </c>
      <c r="CE80" s="1133">
        <f>CE78/IS!CE8</f>
        <v>3.1262366442421842E-2</v>
      </c>
      <c r="CF80" s="1133">
        <f>CF78/IS!CF8</f>
        <v>8.1654707357136674E-2</v>
      </c>
      <c r="CG80" s="1133">
        <f>CG78/IS!CG8</f>
        <v>9.1915289196176961E-2</v>
      </c>
      <c r="CH80" s="1133">
        <f>CH78/IS!CH8</f>
        <v>8.8535009844899662E-2</v>
      </c>
      <c r="CI80" s="1133">
        <f>CI78/IS!CI8</f>
        <v>5.5773169942861252E-2</v>
      </c>
      <c r="CJ80" s="1133">
        <f>CJ78/IS!CJ8</f>
        <v>6.4615092668732999E-2</v>
      </c>
      <c r="CK80" s="1133">
        <f>CK78/IS!CK8</f>
        <v>7.7464385834429883E-2</v>
      </c>
      <c r="CL80" s="1133">
        <f>CL78/IS!CL8</f>
        <v>5.3930226010391866E-2</v>
      </c>
      <c r="CM80" s="1133">
        <f>CM78/IS!CM8</f>
        <v>6.9906730890656854E-2</v>
      </c>
      <c r="CN80" s="1133">
        <f>CN78/IS!CN8</f>
        <v>6.5000000000000002E-2</v>
      </c>
      <c r="CO80" s="1133">
        <f>CO78/IS!CO8</f>
        <v>6.5000000000000002E-2</v>
      </c>
      <c r="CP80" s="1134">
        <f>CP78/IS!CP8</f>
        <v>6.5000000000000016E-2</v>
      </c>
      <c r="CQ80" s="22"/>
    </row>
    <row r="81" spans="1:95" ht="14.25" customHeight="1">
      <c r="A81" s="9"/>
      <c r="B81" s="16" t="s">
        <v>188</v>
      </c>
      <c r="C81" s="17"/>
      <c r="D81" s="224">
        <f t="shared" ref="D81:AI81" si="376">D41+D13</f>
        <v>0.3</v>
      </c>
      <c r="E81" s="223">
        <f t="shared" si="376"/>
        <v>-0.3</v>
      </c>
      <c r="F81" s="223">
        <f t="shared" si="376"/>
        <v>10</v>
      </c>
      <c r="G81" s="222">
        <f t="shared" si="376"/>
        <v>0.40000000000000036</v>
      </c>
      <c r="H81" s="224">
        <f t="shared" si="376"/>
        <v>12.1</v>
      </c>
      <c r="I81" s="223">
        <f t="shared" si="376"/>
        <v>3.8</v>
      </c>
      <c r="J81" s="223">
        <f t="shared" si="376"/>
        <v>0</v>
      </c>
      <c r="K81" s="222">
        <f t="shared" si="376"/>
        <v>1.3000000000000016</v>
      </c>
      <c r="L81" s="224">
        <f t="shared" si="376"/>
        <v>0.19999999999999996</v>
      </c>
      <c r="M81" s="223">
        <f t="shared" si="376"/>
        <v>0.60000000000000009</v>
      </c>
      <c r="N81" s="223">
        <f t="shared" si="376"/>
        <v>0.9</v>
      </c>
      <c r="O81" s="222">
        <f t="shared" si="376"/>
        <v>1.3000000000000003</v>
      </c>
      <c r="P81" s="224">
        <f t="shared" si="376"/>
        <v>0.2</v>
      </c>
      <c r="Q81" s="223">
        <f t="shared" si="376"/>
        <v>0.70000000000000018</v>
      </c>
      <c r="R81" s="223">
        <f t="shared" si="376"/>
        <v>0.7</v>
      </c>
      <c r="S81" s="222">
        <f t="shared" si="376"/>
        <v>73.5</v>
      </c>
      <c r="T81" s="224">
        <f t="shared" si="376"/>
        <v>4.7</v>
      </c>
      <c r="U81" s="223">
        <f t="shared" si="376"/>
        <v>-1.8000000000000007</v>
      </c>
      <c r="V81" s="223">
        <f t="shared" si="376"/>
        <v>0.10000000000000053</v>
      </c>
      <c r="W81" s="222">
        <f t="shared" si="376"/>
        <v>-1.5</v>
      </c>
      <c r="X81" s="224">
        <f t="shared" si="376"/>
        <v>36.300000000000004</v>
      </c>
      <c r="Y81" s="223">
        <f t="shared" si="376"/>
        <v>-1.7000000000000002</v>
      </c>
      <c r="Z81" s="223">
        <f t="shared" si="376"/>
        <v>-1.0000000000000027</v>
      </c>
      <c r="AA81" s="222">
        <f t="shared" si="376"/>
        <v>-1.4999999999999956</v>
      </c>
      <c r="AB81" s="224">
        <f t="shared" si="376"/>
        <v>-1.3</v>
      </c>
      <c r="AC81" s="223">
        <f t="shared" si="376"/>
        <v>0.9</v>
      </c>
      <c r="AD81" s="223">
        <f t="shared" si="376"/>
        <v>-1.8000000000000003</v>
      </c>
      <c r="AE81" s="222">
        <f t="shared" si="376"/>
        <v>-1.3999999999999992</v>
      </c>
      <c r="AF81" s="224">
        <f t="shared" si="376"/>
        <v>-2.1</v>
      </c>
      <c r="AG81" s="223">
        <f t="shared" si="376"/>
        <v>-1.6</v>
      </c>
      <c r="AH81" s="223">
        <f t="shared" si="376"/>
        <v>-1.5</v>
      </c>
      <c r="AI81" s="222">
        <f t="shared" si="376"/>
        <v>35.4</v>
      </c>
      <c r="AJ81" s="224">
        <f t="shared" ref="AJ81:BO81" si="377">AJ41+AJ13</f>
        <v>-2.1</v>
      </c>
      <c r="AK81" s="223">
        <f t="shared" si="377"/>
        <v>0.30000000000000027</v>
      </c>
      <c r="AL81" s="223">
        <f t="shared" si="377"/>
        <v>-1.8000000000000012</v>
      </c>
      <c r="AM81" s="222">
        <f t="shared" si="377"/>
        <v>-1.7999999999999989</v>
      </c>
      <c r="AN81" s="224">
        <f t="shared" si="377"/>
        <v>0.39999999999999991</v>
      </c>
      <c r="AO81" s="223">
        <f t="shared" si="377"/>
        <v>-0.5</v>
      </c>
      <c r="AP81" s="223">
        <f t="shared" si="377"/>
        <v>0.49999999999999956</v>
      </c>
      <c r="AQ81" s="222">
        <f t="shared" si="377"/>
        <v>-3.6999999999999988</v>
      </c>
      <c r="AR81" s="224">
        <f t="shared" si="377"/>
        <v>0.59999999999999964</v>
      </c>
      <c r="AS81" s="223">
        <f t="shared" si="377"/>
        <v>0.70000000000000107</v>
      </c>
      <c r="AT81" s="223">
        <f t="shared" si="377"/>
        <v>-0.30000000000000071</v>
      </c>
      <c r="AU81" s="222">
        <f t="shared" si="377"/>
        <v>1.8999999999999995</v>
      </c>
      <c r="AV81" s="224">
        <f t="shared" si="377"/>
        <v>-9.9999999999999978E-2</v>
      </c>
      <c r="AW81" s="223">
        <f t="shared" si="377"/>
        <v>0</v>
      </c>
      <c r="AX81" s="223">
        <f t="shared" si="377"/>
        <v>-0.2</v>
      </c>
      <c r="AY81" s="222">
        <f t="shared" si="377"/>
        <v>0.40000000000000036</v>
      </c>
      <c r="AZ81" s="224">
        <f t="shared" si="377"/>
        <v>5.4</v>
      </c>
      <c r="BA81" s="223">
        <f t="shared" si="377"/>
        <v>0.40000000000000036</v>
      </c>
      <c r="BB81" s="223">
        <f t="shared" si="377"/>
        <v>0.5</v>
      </c>
      <c r="BC81" s="222">
        <f t="shared" si="377"/>
        <v>0.89999999999999902</v>
      </c>
      <c r="BD81" s="224">
        <f t="shared" si="377"/>
        <v>0.19999999999999998</v>
      </c>
      <c r="BE81" s="223">
        <f t="shared" si="377"/>
        <v>0.40000000000000008</v>
      </c>
      <c r="BF81" s="223">
        <f t="shared" si="377"/>
        <v>0.39999999999999991</v>
      </c>
      <c r="BG81" s="222">
        <f t="shared" ref="BG81:BJ81" si="378">BG41+BG13</f>
        <v>0.90000000000000013</v>
      </c>
      <c r="BH81" s="224">
        <f t="shared" si="378"/>
        <v>3.1</v>
      </c>
      <c r="BI81" s="223">
        <f t="shared" si="378"/>
        <v>0.50000000000000022</v>
      </c>
      <c r="BJ81" s="223">
        <f t="shared" si="378"/>
        <v>1.2999999999999998</v>
      </c>
      <c r="BK81" s="222">
        <f t="shared" si="377"/>
        <v>13.3</v>
      </c>
      <c r="BL81" s="223">
        <f t="shared" si="377"/>
        <v>0</v>
      </c>
      <c r="BM81" s="223">
        <f t="shared" si="377"/>
        <v>0</v>
      </c>
      <c r="BN81" s="223">
        <f t="shared" si="377"/>
        <v>0</v>
      </c>
      <c r="BO81" s="222">
        <f t="shared" si="377"/>
        <v>0</v>
      </c>
      <c r="BP81" s="223">
        <f t="shared" ref="BP81:BS81" si="379">BP41+BP13</f>
        <v>0</v>
      </c>
      <c r="BQ81" s="223">
        <f t="shared" si="379"/>
        <v>0</v>
      </c>
      <c r="BR81" s="223">
        <f t="shared" si="379"/>
        <v>0</v>
      </c>
      <c r="BS81" s="222">
        <f t="shared" si="379"/>
        <v>0</v>
      </c>
      <c r="BT81" s="223">
        <f t="shared" ref="BT81:BW81" si="380">BT41+BT13</f>
        <v>0</v>
      </c>
      <c r="BU81" s="223">
        <f t="shared" si="380"/>
        <v>0</v>
      </c>
      <c r="BV81" s="223">
        <f t="shared" si="380"/>
        <v>0</v>
      </c>
      <c r="BW81" s="222">
        <f t="shared" si="380"/>
        <v>0</v>
      </c>
      <c r="BX81" s="21"/>
      <c r="BY81" s="223">
        <f t="shared" ref="BY81:CN81" si="381">BY41+BY13</f>
        <v>10.399999999999999</v>
      </c>
      <c r="BZ81" s="223">
        <f t="shared" si="381"/>
        <v>17.200000000000003</v>
      </c>
      <c r="CA81" s="223">
        <f t="shared" si="381"/>
        <v>3</v>
      </c>
      <c r="CB81" s="223">
        <f t="shared" si="381"/>
        <v>75.099999999999994</v>
      </c>
      <c r="CC81" s="223">
        <f t="shared" si="381"/>
        <v>1.5</v>
      </c>
      <c r="CD81" s="223">
        <f t="shared" si="381"/>
        <v>32.1</v>
      </c>
      <c r="CE81" s="223">
        <f t="shared" si="381"/>
        <v>-3.5999999999999996</v>
      </c>
      <c r="CF81" s="223">
        <f t="shared" si="381"/>
        <v>30.200000000000003</v>
      </c>
      <c r="CG81" s="223">
        <f t="shared" si="381"/>
        <v>-5.3999999999999995</v>
      </c>
      <c r="CH81" s="223">
        <f t="shared" si="381"/>
        <v>-3.2999999999999989</v>
      </c>
      <c r="CI81" s="223">
        <f t="shared" si="381"/>
        <v>2.8999999999999995</v>
      </c>
      <c r="CJ81" s="223">
        <f t="shared" si="381"/>
        <v>0.10000000000000031</v>
      </c>
      <c r="CK81" s="223">
        <f t="shared" si="381"/>
        <v>7.1999999999999993</v>
      </c>
      <c r="CL81" s="223">
        <f t="shared" si="381"/>
        <v>1.9</v>
      </c>
      <c r="CM81" s="223">
        <f t="shared" si="381"/>
        <v>18.2</v>
      </c>
      <c r="CN81" s="223">
        <f t="shared" si="381"/>
        <v>0</v>
      </c>
      <c r="CO81" s="223">
        <f t="shared" ref="CO81:CP81" si="382">CO41+CO13</f>
        <v>0</v>
      </c>
      <c r="CP81" s="222">
        <f t="shared" si="382"/>
        <v>0</v>
      </c>
      <c r="CQ81" s="22"/>
    </row>
    <row r="82" spans="1:95" ht="14.25" customHeight="1">
      <c r="A82" s="9"/>
      <c r="B82" s="22" t="s">
        <v>283</v>
      </c>
      <c r="C82" s="211"/>
      <c r="D82" s="321">
        <v>1259.5999999999999</v>
      </c>
      <c r="E82" s="213">
        <v>1406.2</v>
      </c>
      <c r="F82" s="213">
        <v>1408.6</v>
      </c>
      <c r="G82" s="213">
        <v>1388.8</v>
      </c>
      <c r="H82" s="321">
        <v>1396.4</v>
      </c>
      <c r="I82" s="213">
        <v>1402.3</v>
      </c>
      <c r="J82" s="213">
        <v>1418.3</v>
      </c>
      <c r="K82" s="213">
        <v>1435.1</v>
      </c>
      <c r="L82" s="618">
        <v>1431.3</v>
      </c>
      <c r="M82" s="213">
        <v>1411.5</v>
      </c>
      <c r="N82" s="213">
        <v>1387.6</v>
      </c>
      <c r="O82" s="317">
        <v>1355</v>
      </c>
      <c r="P82" s="321">
        <v>1385.4</v>
      </c>
      <c r="Q82" s="213">
        <v>1511.1</v>
      </c>
      <c r="R82" s="213">
        <v>1526</v>
      </c>
      <c r="S82" s="647">
        <v>1554.1</v>
      </c>
      <c r="T82" s="618">
        <v>1583.9</v>
      </c>
      <c r="U82" s="213">
        <v>1583.4</v>
      </c>
      <c r="V82" s="213">
        <v>1612.4</v>
      </c>
      <c r="W82" s="647">
        <v>1621</v>
      </c>
      <c r="X82" s="618">
        <v>1773.6</v>
      </c>
      <c r="Y82" s="213">
        <v>1790.4</v>
      </c>
      <c r="Z82" s="213">
        <v>1807</v>
      </c>
      <c r="AA82" s="317">
        <v>1875</v>
      </c>
      <c r="AB82" s="321">
        <v>1852.7</v>
      </c>
      <c r="AC82" s="213">
        <v>1865.6</v>
      </c>
      <c r="AD82" s="213">
        <v>1894.7</v>
      </c>
      <c r="AE82" s="647">
        <v>1891.9</v>
      </c>
      <c r="AF82" s="618">
        <v>1955.6</v>
      </c>
      <c r="AG82" s="213">
        <v>2027.5</v>
      </c>
      <c r="AH82" s="213">
        <v>2094.9</v>
      </c>
      <c r="AI82" s="317">
        <v>2163.8000000000002</v>
      </c>
      <c r="AJ82" s="213">
        <v>2405.5</v>
      </c>
      <c r="AK82" s="213">
        <v>2532</v>
      </c>
      <c r="AL82" s="213">
        <v>2550.9</v>
      </c>
      <c r="AM82" s="213">
        <v>2558.9</v>
      </c>
      <c r="AN82" s="618">
        <v>2609.6</v>
      </c>
      <c r="AO82" s="213">
        <v>2672.4</v>
      </c>
      <c r="AP82" s="213">
        <v>2743.4</v>
      </c>
      <c r="AQ82" s="213">
        <v>2619.1999999999998</v>
      </c>
      <c r="AR82" s="618">
        <v>2444.6</v>
      </c>
      <c r="AS82" s="213">
        <v>2482.9</v>
      </c>
      <c r="AT82" s="213">
        <v>2476.9</v>
      </c>
      <c r="AU82" s="317">
        <v>2438.4</v>
      </c>
      <c r="AV82" s="618">
        <v>2484.1</v>
      </c>
      <c r="AW82" s="213">
        <v>2571.9</v>
      </c>
      <c r="AX82" s="213">
        <v>2684.9</v>
      </c>
      <c r="AY82" s="317">
        <v>2695.4</v>
      </c>
      <c r="AZ82" s="618">
        <v>2746.2</v>
      </c>
      <c r="BA82" s="213">
        <v>2790.8</v>
      </c>
      <c r="BB82" s="213">
        <v>2866</v>
      </c>
      <c r="BC82" s="317">
        <v>2887.3</v>
      </c>
      <c r="BD82" s="618">
        <v>2932.9</v>
      </c>
      <c r="BE82" s="213">
        <v>2991.9</v>
      </c>
      <c r="BF82" s="213">
        <v>3839.3</v>
      </c>
      <c r="BG82" s="317">
        <v>3991.1</v>
      </c>
      <c r="BH82" s="618">
        <v>4063.8</v>
      </c>
      <c r="BI82" s="213">
        <v>4195.8999999999996</v>
      </c>
      <c r="BJ82" s="213">
        <v>4249.1000000000004</v>
      </c>
      <c r="BK82" s="210">
        <f t="shared" ref="BK82" si="383">BJ82+BK78+BK79-BK81</f>
        <v>4413.4000000000005</v>
      </c>
      <c r="BL82" s="209">
        <f t="shared" ref="BL82:BS82" si="384">BK82+BL78+BL79-BL81</f>
        <v>4502.4407050000009</v>
      </c>
      <c r="BM82" s="209">
        <f t="shared" si="384"/>
        <v>4595.2857605500012</v>
      </c>
      <c r="BN82" s="209">
        <f t="shared" si="384"/>
        <v>4690.323620649001</v>
      </c>
      <c r="BO82" s="210">
        <f t="shared" si="384"/>
        <v>4783.6776460563706</v>
      </c>
      <c r="BP82" s="209">
        <f t="shared" si="384"/>
        <v>4876.5137413080038</v>
      </c>
      <c r="BQ82" s="209">
        <f t="shared" si="384"/>
        <v>4972.8193757672625</v>
      </c>
      <c r="BR82" s="209">
        <f t="shared" si="384"/>
        <v>5071.2163477043214</v>
      </c>
      <c r="BS82" s="210">
        <f t="shared" si="384"/>
        <v>5167.9039770463432</v>
      </c>
      <c r="BT82" s="209">
        <f t="shared" ref="BT82" si="385">BS82+BT78+BT79-BT81</f>
        <v>5264.194280444146</v>
      </c>
      <c r="BU82" s="209">
        <f t="shared" ref="BU82" si="386">BT82+BU78+BU79-BU81</f>
        <v>5364.074531201948</v>
      </c>
      <c r="BV82" s="209">
        <f t="shared" ref="BV82" si="387">BU82+BV78+BV79-BV81</f>
        <v>5466.0269246928074</v>
      </c>
      <c r="BW82" s="210">
        <f t="shared" ref="BW82" si="388">BV82+BW78+BW79-BW81</f>
        <v>5566.2438974104407</v>
      </c>
      <c r="BX82" s="21"/>
      <c r="BY82" s="225">
        <f>G82</f>
        <v>1388.8</v>
      </c>
      <c r="BZ82" s="225">
        <f>K82</f>
        <v>1435.1</v>
      </c>
      <c r="CA82" s="225">
        <f>O82</f>
        <v>1355</v>
      </c>
      <c r="CB82" s="225">
        <f>S82</f>
        <v>1554.1</v>
      </c>
      <c r="CC82" s="225">
        <f>W82</f>
        <v>1621</v>
      </c>
      <c r="CD82" s="225">
        <f>AA82</f>
        <v>1875</v>
      </c>
      <c r="CE82" s="225">
        <f>AE82</f>
        <v>1891.9</v>
      </c>
      <c r="CF82" s="225">
        <f>AI82</f>
        <v>2163.8000000000002</v>
      </c>
      <c r="CG82" s="225">
        <f>AM82</f>
        <v>2558.9</v>
      </c>
      <c r="CH82" s="225">
        <f>AQ82</f>
        <v>2619.1999999999998</v>
      </c>
      <c r="CI82" s="225">
        <f>AU82</f>
        <v>2438.4</v>
      </c>
      <c r="CJ82" s="225">
        <f>AY82</f>
        <v>2695.4</v>
      </c>
      <c r="CK82" s="225">
        <f>BC82</f>
        <v>2887.3</v>
      </c>
      <c r="CL82" s="225">
        <f>BG82</f>
        <v>3991.1</v>
      </c>
      <c r="CM82" s="225">
        <f>BK82</f>
        <v>4413.4000000000005</v>
      </c>
      <c r="CN82" s="225">
        <f>BO82</f>
        <v>4783.6776460563706</v>
      </c>
      <c r="CO82" s="225">
        <f>BS82</f>
        <v>5167.9039770463432</v>
      </c>
      <c r="CP82" s="208">
        <f>BW82</f>
        <v>5566.2438974104407</v>
      </c>
      <c r="CQ82" s="22"/>
    </row>
    <row r="83" spans="1:95" ht="14.25" customHeight="1">
      <c r="A83" s="9"/>
      <c r="B83" s="217" t="s">
        <v>284</v>
      </c>
      <c r="C83" s="218"/>
      <c r="D83" s="1133">
        <f>D82/BS!D23</f>
        <v>1.0534414987036882</v>
      </c>
      <c r="E83" s="1133">
        <f>E82/BS!E23</f>
        <v>1.1944279283105412</v>
      </c>
      <c r="F83" s="1133">
        <f>F82/BS!F23</f>
        <v>1.1842946023204977</v>
      </c>
      <c r="G83" s="1134">
        <f>G82/BS!G23</f>
        <v>1.1926148561614427</v>
      </c>
      <c r="H83" s="1133">
        <f>H82/BS!H23</f>
        <v>1.1508158892368552</v>
      </c>
      <c r="I83" s="1133">
        <f>I82/BS!I23</f>
        <v>1.1110847001030031</v>
      </c>
      <c r="J83" s="1133">
        <f>J82/BS!J23</f>
        <v>1.161874334398296</v>
      </c>
      <c r="K83" s="1134">
        <f>K82/BS!K23</f>
        <v>1.2927664174398703</v>
      </c>
      <c r="L83" s="1133">
        <f>L82/BS!L23</f>
        <v>1.2867931313494563</v>
      </c>
      <c r="M83" s="1133">
        <f>M82/BS!M23</f>
        <v>1.2467979860436358</v>
      </c>
      <c r="N83" s="1133">
        <f>N82/BS!N23</f>
        <v>1.1854762921828277</v>
      </c>
      <c r="O83" s="1134">
        <f>O82/BS!O23</f>
        <v>1.1797997387897257</v>
      </c>
      <c r="P83" s="1133">
        <f>P82/BS!P23</f>
        <v>1.1440132122213047</v>
      </c>
      <c r="Q83" s="1133">
        <f>Q82/BS!Q23</f>
        <v>1.0619114546732256</v>
      </c>
      <c r="R83" s="1133">
        <f>R82/BS!R23</f>
        <v>1.0771511258558619</v>
      </c>
      <c r="S83" s="1134">
        <f>S82/BS!S23</f>
        <v>1.0971408400988352</v>
      </c>
      <c r="T83" s="1133">
        <f>T82/BS!T23</f>
        <v>1.0993961268827654</v>
      </c>
      <c r="U83" s="1133">
        <f>U82/BS!U23</f>
        <v>1.1090565244799329</v>
      </c>
      <c r="V83" s="1133">
        <f>V82/BS!V23</f>
        <v>1.0564109283889143</v>
      </c>
      <c r="W83" s="1134">
        <f>W82/BS!W23</f>
        <v>0.98986321446018566</v>
      </c>
      <c r="X83" s="1133">
        <f>X82/BS!X23</f>
        <v>0.61748424607457431</v>
      </c>
      <c r="Y83" s="1133">
        <f>Y82/BS!Y23</f>
        <v>0.63084457911983371</v>
      </c>
      <c r="Z83" s="1133">
        <f>Z82/BS!Z23</f>
        <v>0.6211756617394294</v>
      </c>
      <c r="AA83" s="1134">
        <f>AA82/BS!AA23</f>
        <v>0.79465988556897649</v>
      </c>
      <c r="AB83" s="1133">
        <f>AB82/BS!AB23</f>
        <v>0.83794663048394391</v>
      </c>
      <c r="AC83" s="1133">
        <f>AC82/BS!AC23</f>
        <v>0.83877349159248271</v>
      </c>
      <c r="AD83" s="1133">
        <f>AD82/BS!AD23</f>
        <v>0.83298162314253066</v>
      </c>
      <c r="AE83" s="1134">
        <f>AE82/BS!AE23</f>
        <v>0.78362258211489866</v>
      </c>
      <c r="AF83" s="1133">
        <f>AF82/BS!AF23</f>
        <v>0.76816717731165052</v>
      </c>
      <c r="AG83" s="1133">
        <f>AG82/BS!AG23</f>
        <v>0.79791420700511606</v>
      </c>
      <c r="AH83" s="1133">
        <f>AH82/BS!AH23</f>
        <v>0.77747262943032103</v>
      </c>
      <c r="AI83" s="1134">
        <f>AI82/BS!AI23</f>
        <v>0.74123047410249399</v>
      </c>
      <c r="AJ83" s="1133">
        <f>AJ82/BS!AJ23</f>
        <v>0.5988597888866759</v>
      </c>
      <c r="AK83" s="1133">
        <f>AK82/BS!AK23</f>
        <v>0.6101498867415297</v>
      </c>
      <c r="AL83" s="1133">
        <f>AL82/BS!AL23</f>
        <v>0.63583339564794739</v>
      </c>
      <c r="AM83" s="1134">
        <f>AM82/BS!AM23</f>
        <v>0.65891592635509211</v>
      </c>
      <c r="AN83" s="1133">
        <f>AN82/BS!AN23</f>
        <v>0.68150005223023091</v>
      </c>
      <c r="AO83" s="1133">
        <f>AO82/BS!AO23</f>
        <v>0.70872782242024035</v>
      </c>
      <c r="AP83" s="1133">
        <f>AP82/BS!AP23</f>
        <v>0.74754080492656483</v>
      </c>
      <c r="AQ83" s="1134">
        <f>AQ82/BS!AQ23</f>
        <v>0.78692464847974997</v>
      </c>
      <c r="AR83" s="1133">
        <f>AR82/BS!AR23</f>
        <v>0.7562099792742909</v>
      </c>
      <c r="AS83" s="1133">
        <f>AS82/BS!AS23</f>
        <v>0.76599617449250323</v>
      </c>
      <c r="AT83" s="1133">
        <f>AT82/BS!AT23</f>
        <v>0.76242804814233389</v>
      </c>
      <c r="AU83" s="1134">
        <f>AU82/BS!AU23</f>
        <v>0.74866441510592574</v>
      </c>
      <c r="AV83" s="1133">
        <f>AV82/BS!AV23</f>
        <v>0.75580369367450639</v>
      </c>
      <c r="AW83" s="1133">
        <f>AW82/BS!AW23</f>
        <v>0.75236952960449344</v>
      </c>
      <c r="AX83" s="1133">
        <f>AX82/BS!AX23</f>
        <v>0.6915923960640874</v>
      </c>
      <c r="AY83" s="1134">
        <f>AY82/BS!AY23</f>
        <v>0.70504839131572061</v>
      </c>
      <c r="AZ83" s="1133">
        <f>AZ82/BS!AZ23</f>
        <v>0.73304326935910091</v>
      </c>
      <c r="BA83" s="1133">
        <f>BA82/BS!BA23</f>
        <v>0.71277519538233658</v>
      </c>
      <c r="BB83" s="1133">
        <f>BB82/BS!BB23</f>
        <v>0.72555125186704128</v>
      </c>
      <c r="BC83" s="1134">
        <f>BC82/BS!BC23</f>
        <v>0.74614947281372768</v>
      </c>
      <c r="BD83" s="1133">
        <f>BD82/BS!BD23</f>
        <v>0.76078441544966413</v>
      </c>
      <c r="BE83" s="1133">
        <f>BE82/BS!BE23</f>
        <v>0.49065236642723603</v>
      </c>
      <c r="BF83" s="1133">
        <f>BF82/BS!BF23</f>
        <v>0.56535952524702182</v>
      </c>
      <c r="BG83" s="1134">
        <f>BG82/BS!BG23</f>
        <v>0.57638206920455204</v>
      </c>
      <c r="BH83" s="1133">
        <f>BH82/BS!BH23</f>
        <v>0.6122578117937747</v>
      </c>
      <c r="BI83" s="1133">
        <f>BI82/BS!BI23</f>
        <v>0.61394729526067049</v>
      </c>
      <c r="BJ83" s="1133">
        <f>BJ82/BS!BJ23</f>
        <v>0.61928497515048175</v>
      </c>
      <c r="BK83" s="1134">
        <f>BK82/BS!BK23</f>
        <v>0.6133896679684786</v>
      </c>
      <c r="BL83" s="1133">
        <f>BL82/BS!BL23</f>
        <v>0.61998823852795037</v>
      </c>
      <c r="BM83" s="1133">
        <f>BM82/BS!BM23</f>
        <v>0.61546865207938228</v>
      </c>
      <c r="BN83" s="1133">
        <f>BN82/BS!BN23</f>
        <v>0.61120387828544231</v>
      </c>
      <c r="BO83" s="1134">
        <f>BO82/BS!BO23</f>
        <v>0.60905825924645862</v>
      </c>
      <c r="BP83" s="1133">
        <f>BP82/BS!BP23</f>
        <v>0.60674232406048945</v>
      </c>
      <c r="BQ83" s="1133">
        <f>BQ82/BS!BQ23</f>
        <v>0.60220035383752735</v>
      </c>
      <c r="BR83" s="1133">
        <f>BR82/BS!BR23</f>
        <v>0.59755439147218514</v>
      </c>
      <c r="BS83" s="1134">
        <f>BS82/BS!BS23</f>
        <v>0.59440514659156407</v>
      </c>
      <c r="BT83" s="1133">
        <f>BT82/BS!BT23</f>
        <v>0.59120911272491328</v>
      </c>
      <c r="BU83" s="1133">
        <f>BU82/BS!BU23</f>
        <v>0.58640046765129428</v>
      </c>
      <c r="BV83" s="1133">
        <f>BV82/BS!BV23</f>
        <v>0.5815597822915044</v>
      </c>
      <c r="BW83" s="1134">
        <f>BW82/BS!BW23</f>
        <v>0.5780525334009482</v>
      </c>
      <c r="BX83" s="21"/>
      <c r="BY83" s="1146">
        <f>BY82/BS!BY23</f>
        <v>1.1926148561614427</v>
      </c>
      <c r="BZ83" s="1133">
        <f>BZ82/BS!BZ23</f>
        <v>1.2927664174398703</v>
      </c>
      <c r="CA83" s="1133">
        <f>CA82/BS!CA23</f>
        <v>1.1797997387897257</v>
      </c>
      <c r="CB83" s="1133">
        <f>CB82/BS!CB23</f>
        <v>1.0971408400988352</v>
      </c>
      <c r="CC83" s="1133">
        <f>CC82/BS!CC23</f>
        <v>0.98986321446018566</v>
      </c>
      <c r="CD83" s="1133">
        <f>CD82/BS!CD23</f>
        <v>0.79465988556897649</v>
      </c>
      <c r="CE83" s="1133">
        <f>CE82/BS!CE23</f>
        <v>0.78362258211489866</v>
      </c>
      <c r="CF83" s="1133">
        <f>CF82/BS!CF23</f>
        <v>0.74123047410249399</v>
      </c>
      <c r="CG83" s="1133">
        <f>CG82/BS!CG23</f>
        <v>0.65891592635509211</v>
      </c>
      <c r="CH83" s="1133">
        <f>CH82/BS!CH23</f>
        <v>0.78692464847974997</v>
      </c>
      <c r="CI83" s="1133">
        <f>CI82/BS!CI23</f>
        <v>0.74866441510592574</v>
      </c>
      <c r="CJ83" s="1133">
        <f>CJ82/BS!CJ23</f>
        <v>0.70504839131572061</v>
      </c>
      <c r="CK83" s="1133">
        <f>CK82/BS!CK23</f>
        <v>0.74614947281372768</v>
      </c>
      <c r="CL83" s="1133">
        <f>CL82/BS!CL23</f>
        <v>0.57638206920455204</v>
      </c>
      <c r="CM83" s="1133">
        <f>CM82/BS!CM23</f>
        <v>0.6133896679684786</v>
      </c>
      <c r="CN83" s="1133">
        <f>CN82/BS!CN23</f>
        <v>0.60905825924645862</v>
      </c>
      <c r="CO83" s="1133">
        <f>CO82/BS!CO23</f>
        <v>0.59440514659156407</v>
      </c>
      <c r="CP83" s="1134">
        <f>CP82/BS!CP23</f>
        <v>0.5780525334009482</v>
      </c>
      <c r="CQ83" s="22"/>
    </row>
    <row r="84" spans="1:95" ht="14.25" customHeight="1">
      <c r="A84" s="9"/>
      <c r="B84" s="16" t="s">
        <v>285</v>
      </c>
      <c r="C84" s="17"/>
      <c r="D84" s="215">
        <v>828.6</v>
      </c>
      <c r="E84" s="216">
        <v>873.5</v>
      </c>
      <c r="F84" s="216">
        <v>888.7</v>
      </c>
      <c r="G84" s="216">
        <v>889.7</v>
      </c>
      <c r="H84" s="215">
        <v>899.2</v>
      </c>
      <c r="I84" s="216">
        <v>912.2</v>
      </c>
      <c r="J84" s="216">
        <v>938.5</v>
      </c>
      <c r="K84" s="216">
        <v>963.1</v>
      </c>
      <c r="L84" s="215">
        <v>975.7</v>
      </c>
      <c r="M84" s="216">
        <v>968.8</v>
      </c>
      <c r="N84" s="216">
        <v>953.7</v>
      </c>
      <c r="O84" s="316">
        <v>916.5</v>
      </c>
      <c r="P84" s="215">
        <v>935.4</v>
      </c>
      <c r="Q84" s="216">
        <v>943.7</v>
      </c>
      <c r="R84" s="216">
        <v>958.9</v>
      </c>
      <c r="S84" s="648">
        <v>976</v>
      </c>
      <c r="T84" s="215">
        <v>989.1</v>
      </c>
      <c r="U84" s="216">
        <v>985.5</v>
      </c>
      <c r="V84" s="216">
        <v>1003.9</v>
      </c>
      <c r="W84" s="648">
        <v>1006.1</v>
      </c>
      <c r="X84" s="649">
        <v>1039.4000000000001</v>
      </c>
      <c r="Y84" s="216">
        <v>1046</v>
      </c>
      <c r="Z84" s="216">
        <v>1054.5</v>
      </c>
      <c r="AA84" s="316">
        <v>1104.2</v>
      </c>
      <c r="AB84" s="215">
        <v>1107.8</v>
      </c>
      <c r="AC84" s="216">
        <v>1131.5</v>
      </c>
      <c r="AD84" s="216">
        <v>1179.4000000000001</v>
      </c>
      <c r="AE84" s="648">
        <v>1186.4000000000001</v>
      </c>
      <c r="AF84" s="215">
        <v>1214</v>
      </c>
      <c r="AG84" s="216">
        <v>1242.5999999999999</v>
      </c>
      <c r="AH84" s="216">
        <v>1274.4000000000001</v>
      </c>
      <c r="AI84" s="316">
        <v>1299.5</v>
      </c>
      <c r="AJ84" s="212">
        <v>1344.2</v>
      </c>
      <c r="AK84" s="212">
        <v>1381.1</v>
      </c>
      <c r="AL84" s="212">
        <v>1420.1</v>
      </c>
      <c r="AM84" s="216">
        <v>1449.4</v>
      </c>
      <c r="AN84" s="215">
        <v>1454.1</v>
      </c>
      <c r="AO84" s="212">
        <v>1471</v>
      </c>
      <c r="AP84" s="212">
        <v>1511.8</v>
      </c>
      <c r="AQ84" s="212">
        <v>1515.9</v>
      </c>
      <c r="AR84" s="215">
        <v>1350.4</v>
      </c>
      <c r="AS84" s="212">
        <v>1381.4</v>
      </c>
      <c r="AT84" s="212">
        <v>1384</v>
      </c>
      <c r="AU84" s="1035">
        <v>1364.2</v>
      </c>
      <c r="AV84" s="215">
        <v>1402.7</v>
      </c>
      <c r="AW84" s="212">
        <v>1430.2</v>
      </c>
      <c r="AX84" s="212">
        <v>1473</v>
      </c>
      <c r="AY84" s="1035">
        <v>1491.5</v>
      </c>
      <c r="AZ84" s="215">
        <v>1537.8</v>
      </c>
      <c r="BA84" s="212">
        <v>1565.3</v>
      </c>
      <c r="BB84" s="212">
        <v>1609.9</v>
      </c>
      <c r="BC84" s="1035">
        <v>1613.2</v>
      </c>
      <c r="BD84" s="215">
        <v>1662.5</v>
      </c>
      <c r="BE84" s="212">
        <v>1714.7</v>
      </c>
      <c r="BF84" s="212">
        <v>1764.7</v>
      </c>
      <c r="BG84" s="1035">
        <v>1832</v>
      </c>
      <c r="BH84" s="215">
        <v>1907.7</v>
      </c>
      <c r="BI84" s="212">
        <v>1980.9</v>
      </c>
      <c r="BJ84" s="212">
        <v>2010.9</v>
      </c>
      <c r="BK84" s="208">
        <f t="shared" ref="BK84" si="389">BJ84+BK93</f>
        <v>2134.3000000000002</v>
      </c>
      <c r="BL84" s="207">
        <f t="shared" ref="BL84:BS84" si="390">BK84+BL93</f>
        <v>2260.1896050657092</v>
      </c>
      <c r="BM84" s="207">
        <f t="shared" si="390"/>
        <v>2388.6751859901369</v>
      </c>
      <c r="BN84" s="207">
        <f t="shared" si="390"/>
        <v>2519.8180542522673</v>
      </c>
      <c r="BO84" s="208">
        <f t="shared" si="390"/>
        <v>2653.5711293244012</v>
      </c>
      <c r="BP84" s="207">
        <f t="shared" si="390"/>
        <v>2789.9199297225991</v>
      </c>
      <c r="BQ84" s="207">
        <f t="shared" si="390"/>
        <v>2928.9614648133861</v>
      </c>
      <c r="BR84" s="207">
        <f t="shared" si="390"/>
        <v>3070.7542090257198</v>
      </c>
      <c r="BS84" s="208">
        <f t="shared" si="390"/>
        <v>3215.2503686231998</v>
      </c>
      <c r="BT84" s="207">
        <f t="shared" ref="BT84" si="391">BS84+BT93</f>
        <v>3362.4388342521497</v>
      </c>
      <c r="BU84" s="207">
        <f t="shared" ref="BU84" si="392">BT84+BU93</f>
        <v>3512.4199819274841</v>
      </c>
      <c r="BV84" s="207">
        <f t="shared" ref="BV84" si="393">BU84+BV93</f>
        <v>3665.2517493872865</v>
      </c>
      <c r="BW84" s="208">
        <f t="shared" ref="BW84" si="394">BV84+BW93</f>
        <v>3820.8856137414009</v>
      </c>
      <c r="BX84" s="21"/>
      <c r="BY84" s="225">
        <f>G84</f>
        <v>889.7</v>
      </c>
      <c r="BZ84" s="225">
        <f>K84</f>
        <v>963.1</v>
      </c>
      <c r="CA84" s="225">
        <f>O84</f>
        <v>916.5</v>
      </c>
      <c r="CB84" s="225">
        <f>S84</f>
        <v>976</v>
      </c>
      <c r="CC84" s="225">
        <f>W84</f>
        <v>1006.1</v>
      </c>
      <c r="CD84" s="225">
        <f>AA84</f>
        <v>1104.2</v>
      </c>
      <c r="CE84" s="225">
        <f>AE84</f>
        <v>1186.4000000000001</v>
      </c>
      <c r="CF84" s="225">
        <f>AI84</f>
        <v>1299.5</v>
      </c>
      <c r="CG84" s="225">
        <f>AM84</f>
        <v>1449.4</v>
      </c>
      <c r="CH84" s="225">
        <f>AQ84</f>
        <v>1515.9</v>
      </c>
      <c r="CI84" s="225">
        <f>AU84</f>
        <v>1364.2</v>
      </c>
      <c r="CJ84" s="225">
        <f>AY84</f>
        <v>1491.5</v>
      </c>
      <c r="CK84" s="225">
        <f>BC84</f>
        <v>1613.2</v>
      </c>
      <c r="CL84" s="225">
        <f>BG84</f>
        <v>1832</v>
      </c>
      <c r="CM84" s="225">
        <f>BK84</f>
        <v>2134.3000000000002</v>
      </c>
      <c r="CN84" s="225">
        <f>BO84</f>
        <v>2653.5711293244012</v>
      </c>
      <c r="CO84" s="225">
        <f>BS84</f>
        <v>3215.2503686231998</v>
      </c>
      <c r="CP84" s="208">
        <f>BW84</f>
        <v>3820.8856137414009</v>
      </c>
      <c r="CQ84" s="22"/>
    </row>
    <row r="85" spans="1:95" ht="14.25" customHeight="1">
      <c r="A85" s="9"/>
      <c r="B85" s="226" t="s">
        <v>286</v>
      </c>
      <c r="C85" s="227"/>
      <c r="D85" s="230">
        <f t="shared" ref="D85:AV85" si="395">D82-D84</f>
        <v>430.99999999999989</v>
      </c>
      <c r="E85" s="228">
        <f t="shared" si="395"/>
        <v>532.70000000000005</v>
      </c>
      <c r="F85" s="228">
        <f t="shared" si="395"/>
        <v>519.89999999999986</v>
      </c>
      <c r="G85" s="228">
        <f t="shared" si="395"/>
        <v>499.09999999999991</v>
      </c>
      <c r="H85" s="230">
        <f t="shared" si="395"/>
        <v>497.20000000000005</v>
      </c>
      <c r="I85" s="228">
        <f t="shared" si="395"/>
        <v>490.09999999999991</v>
      </c>
      <c r="J85" s="228">
        <f t="shared" si="395"/>
        <v>479.79999999999995</v>
      </c>
      <c r="K85" s="228">
        <f t="shared" si="395"/>
        <v>471.99999999999989</v>
      </c>
      <c r="L85" s="230">
        <f t="shared" si="395"/>
        <v>455.59999999999991</v>
      </c>
      <c r="M85" s="228">
        <f t="shared" si="395"/>
        <v>442.70000000000005</v>
      </c>
      <c r="N85" s="228">
        <f t="shared" si="395"/>
        <v>433.89999999999986</v>
      </c>
      <c r="O85" s="228">
        <f t="shared" si="395"/>
        <v>438.5</v>
      </c>
      <c r="P85" s="230">
        <f t="shared" si="395"/>
        <v>450.00000000000011</v>
      </c>
      <c r="Q85" s="228">
        <f t="shared" si="395"/>
        <v>567.39999999999986</v>
      </c>
      <c r="R85" s="228">
        <f t="shared" si="395"/>
        <v>567.1</v>
      </c>
      <c r="S85" s="228">
        <f t="shared" si="395"/>
        <v>578.09999999999991</v>
      </c>
      <c r="T85" s="230">
        <f t="shared" si="395"/>
        <v>594.80000000000007</v>
      </c>
      <c r="U85" s="228">
        <f t="shared" si="395"/>
        <v>597.90000000000009</v>
      </c>
      <c r="V85" s="228">
        <f t="shared" si="395"/>
        <v>608.50000000000011</v>
      </c>
      <c r="W85" s="228">
        <f t="shared" si="395"/>
        <v>614.9</v>
      </c>
      <c r="X85" s="230">
        <f t="shared" si="395"/>
        <v>734.19999999999982</v>
      </c>
      <c r="Y85" s="228">
        <f t="shared" si="395"/>
        <v>744.40000000000009</v>
      </c>
      <c r="Z85" s="228">
        <f t="shared" si="395"/>
        <v>752.5</v>
      </c>
      <c r="AA85" s="228">
        <f t="shared" si="395"/>
        <v>770.8</v>
      </c>
      <c r="AB85" s="230">
        <f t="shared" si="395"/>
        <v>744.90000000000009</v>
      </c>
      <c r="AC85" s="228">
        <f t="shared" si="395"/>
        <v>734.09999999999991</v>
      </c>
      <c r="AD85" s="228">
        <f t="shared" si="395"/>
        <v>715.3</v>
      </c>
      <c r="AE85" s="228">
        <f t="shared" si="395"/>
        <v>705.5</v>
      </c>
      <c r="AF85" s="230">
        <f t="shared" si="395"/>
        <v>741.59999999999991</v>
      </c>
      <c r="AG85" s="228">
        <f t="shared" si="395"/>
        <v>784.90000000000009</v>
      </c>
      <c r="AH85" s="228">
        <f t="shared" si="395"/>
        <v>820.5</v>
      </c>
      <c r="AI85" s="228">
        <f t="shared" si="395"/>
        <v>864.30000000000018</v>
      </c>
      <c r="AJ85" s="230">
        <f t="shared" si="395"/>
        <v>1061.3</v>
      </c>
      <c r="AK85" s="228">
        <f t="shared" si="395"/>
        <v>1150.9000000000001</v>
      </c>
      <c r="AL85" s="228">
        <f t="shared" si="395"/>
        <v>1130.8000000000002</v>
      </c>
      <c r="AM85" s="228">
        <f t="shared" si="395"/>
        <v>1109.5</v>
      </c>
      <c r="AN85" s="230">
        <f t="shared" si="395"/>
        <v>1155.5</v>
      </c>
      <c r="AO85" s="228">
        <f t="shared" si="395"/>
        <v>1201.4000000000001</v>
      </c>
      <c r="AP85" s="228">
        <f t="shared" si="395"/>
        <v>1231.6000000000001</v>
      </c>
      <c r="AQ85" s="228">
        <f t="shared" si="395"/>
        <v>1103.2999999999997</v>
      </c>
      <c r="AR85" s="230">
        <f t="shared" si="395"/>
        <v>1094.1999999999998</v>
      </c>
      <c r="AS85" s="228">
        <f t="shared" si="395"/>
        <v>1101.5</v>
      </c>
      <c r="AT85" s="228">
        <f t="shared" si="395"/>
        <v>1092.9000000000001</v>
      </c>
      <c r="AU85" s="228">
        <f>AU82-AU84</f>
        <v>1074.2</v>
      </c>
      <c r="AV85" s="230">
        <f t="shared" si="395"/>
        <v>1081.3999999999999</v>
      </c>
      <c r="AW85" s="228">
        <f t="shared" ref="AW85:BA85" si="396">AW82-AW84</f>
        <v>1141.7</v>
      </c>
      <c r="AX85" s="228">
        <f t="shared" si="396"/>
        <v>1211.9000000000001</v>
      </c>
      <c r="AY85" s="228">
        <f>AY82-AY84</f>
        <v>1203.9000000000001</v>
      </c>
      <c r="AZ85" s="228">
        <f t="shared" si="396"/>
        <v>1208.3999999999999</v>
      </c>
      <c r="BA85" s="228">
        <f t="shared" si="396"/>
        <v>1225.5000000000002</v>
      </c>
      <c r="BB85" s="228">
        <f t="shared" ref="BB85:BF85" si="397">BB82-BB84</f>
        <v>1256.0999999999999</v>
      </c>
      <c r="BC85" s="228">
        <f t="shared" si="397"/>
        <v>1274.1000000000001</v>
      </c>
      <c r="BD85" s="228">
        <f t="shared" si="397"/>
        <v>1270.4000000000001</v>
      </c>
      <c r="BE85" s="228">
        <f t="shared" si="397"/>
        <v>1277.2</v>
      </c>
      <c r="BF85" s="228">
        <f t="shared" si="397"/>
        <v>2074.6000000000004</v>
      </c>
      <c r="BG85" s="228">
        <f t="shared" ref="BG85:BH85" si="398">BG82-BG84</f>
        <v>2159.1</v>
      </c>
      <c r="BH85" s="228">
        <f t="shared" si="398"/>
        <v>2156.1000000000004</v>
      </c>
      <c r="BI85" s="228">
        <f t="shared" ref="BI85:BO85" si="399">BI82-BI84</f>
        <v>2214.9999999999995</v>
      </c>
      <c r="BJ85" s="228">
        <f t="shared" si="399"/>
        <v>2238.2000000000003</v>
      </c>
      <c r="BK85" s="229">
        <f t="shared" si="399"/>
        <v>2279.1000000000004</v>
      </c>
      <c r="BL85" s="228">
        <f t="shared" si="399"/>
        <v>2242.2510999342917</v>
      </c>
      <c r="BM85" s="228">
        <f t="shared" si="399"/>
        <v>2206.6105745598643</v>
      </c>
      <c r="BN85" s="228">
        <f t="shared" si="399"/>
        <v>2170.5055663967337</v>
      </c>
      <c r="BO85" s="229">
        <f t="shared" si="399"/>
        <v>2130.1065167319694</v>
      </c>
      <c r="BP85" s="228">
        <f t="shared" ref="BP85:BS85" si="400">BP82-BP84</f>
        <v>2086.5938115854046</v>
      </c>
      <c r="BQ85" s="228">
        <f t="shared" si="400"/>
        <v>2043.8579109538764</v>
      </c>
      <c r="BR85" s="228">
        <f t="shared" si="400"/>
        <v>2000.4621386786016</v>
      </c>
      <c r="BS85" s="229">
        <f t="shared" si="400"/>
        <v>1952.6536084231434</v>
      </c>
      <c r="BT85" s="228">
        <f t="shared" ref="BT85:BW85" si="401">BT82-BT84</f>
        <v>1901.7554461919963</v>
      </c>
      <c r="BU85" s="228">
        <f t="shared" si="401"/>
        <v>1851.654549274464</v>
      </c>
      <c r="BV85" s="228">
        <f t="shared" si="401"/>
        <v>1800.7751753055209</v>
      </c>
      <c r="BW85" s="229">
        <f t="shared" si="401"/>
        <v>1745.3582836690398</v>
      </c>
      <c r="BX85" s="21"/>
      <c r="BY85" s="228">
        <f>BY82-BY84</f>
        <v>499.09999999999991</v>
      </c>
      <c r="BZ85" s="228">
        <f t="shared" ref="BZ85:CH85" si="402">BZ82-BZ84</f>
        <v>471.99999999999989</v>
      </c>
      <c r="CA85" s="228">
        <f t="shared" si="402"/>
        <v>438.5</v>
      </c>
      <c r="CB85" s="228">
        <f t="shared" si="402"/>
        <v>578.09999999999991</v>
      </c>
      <c r="CC85" s="228">
        <f t="shared" si="402"/>
        <v>614.9</v>
      </c>
      <c r="CD85" s="228">
        <f t="shared" si="402"/>
        <v>770.8</v>
      </c>
      <c r="CE85" s="228">
        <f t="shared" si="402"/>
        <v>705.5</v>
      </c>
      <c r="CF85" s="228">
        <f t="shared" si="402"/>
        <v>864.30000000000018</v>
      </c>
      <c r="CG85" s="228">
        <f t="shared" si="402"/>
        <v>1109.5</v>
      </c>
      <c r="CH85" s="228">
        <f t="shared" si="402"/>
        <v>1103.2999999999997</v>
      </c>
      <c r="CI85" s="228">
        <f t="shared" ref="CI85:CN85" si="403">CI82-CI84</f>
        <v>1074.2</v>
      </c>
      <c r="CJ85" s="228">
        <f t="shared" si="403"/>
        <v>1203.9000000000001</v>
      </c>
      <c r="CK85" s="228">
        <f t="shared" si="403"/>
        <v>1274.1000000000001</v>
      </c>
      <c r="CL85" s="228">
        <f t="shared" si="403"/>
        <v>2159.1</v>
      </c>
      <c r="CM85" s="228">
        <f t="shared" si="403"/>
        <v>2279.1000000000004</v>
      </c>
      <c r="CN85" s="228">
        <f t="shared" si="403"/>
        <v>2130.1065167319694</v>
      </c>
      <c r="CO85" s="228">
        <f t="shared" ref="CO85:CP85" si="404">CO82-CO84</f>
        <v>1952.6536084231434</v>
      </c>
      <c r="CP85" s="229">
        <f t="shared" si="404"/>
        <v>1745.3582836690398</v>
      </c>
      <c r="CQ85" s="22"/>
    </row>
    <row r="86" spans="1:95" ht="14.25" customHeight="1">
      <c r="A86" s="9"/>
      <c r="B86" s="251"/>
      <c r="C86" s="251"/>
      <c r="D86" s="407"/>
      <c r="E86" s="407"/>
      <c r="F86" s="407"/>
      <c r="G86" s="407"/>
      <c r="H86" s="407"/>
      <c r="I86" s="407"/>
      <c r="J86" s="407"/>
      <c r="K86" s="407"/>
      <c r="L86" s="407"/>
      <c r="M86" s="407"/>
      <c r="N86" s="407"/>
      <c r="O86" s="407"/>
      <c r="P86" s="407"/>
      <c r="Q86" s="407"/>
      <c r="R86" s="407"/>
      <c r="S86" s="407"/>
      <c r="T86" s="407"/>
      <c r="U86" s="407"/>
      <c r="V86" s="407"/>
      <c r="W86" s="407"/>
      <c r="X86" s="407"/>
      <c r="Y86" s="407"/>
      <c r="Z86" s="407"/>
      <c r="AA86" s="407"/>
      <c r="AB86" s="407"/>
      <c r="AC86" s="407"/>
      <c r="AD86" s="407"/>
      <c r="AE86" s="407"/>
      <c r="AF86" s="407"/>
      <c r="AG86" s="407"/>
      <c r="AH86" s="407"/>
      <c r="AI86" s="407"/>
      <c r="AJ86" s="407"/>
      <c r="AK86" s="407"/>
      <c r="AL86" s="407"/>
      <c r="AM86" s="407"/>
      <c r="AN86" s="407"/>
      <c r="AO86" s="407"/>
      <c r="AP86" s="407"/>
      <c r="AQ86" s="407"/>
      <c r="AR86" s="407"/>
      <c r="AS86" s="407"/>
      <c r="AT86" s="407"/>
      <c r="AU86" s="407"/>
      <c r="AV86" s="407"/>
      <c r="AW86" s="407"/>
      <c r="AX86" s="407"/>
      <c r="AY86" s="407"/>
      <c r="AZ86" s="407"/>
      <c r="BA86" s="407"/>
      <c r="BB86" s="407"/>
      <c r="BC86" s="407"/>
      <c r="BD86" s="407"/>
      <c r="BE86" s="407"/>
      <c r="BF86" s="407"/>
      <c r="BG86" s="407"/>
      <c r="BH86" s="407"/>
      <c r="BI86" s="407"/>
      <c r="BJ86" s="407"/>
      <c r="BK86" s="407"/>
      <c r="BL86" s="407"/>
      <c r="BM86" s="407"/>
      <c r="BN86" s="407"/>
      <c r="BO86" s="407"/>
      <c r="BP86" s="407"/>
      <c r="BQ86" s="407"/>
      <c r="BR86" s="407"/>
      <c r="BS86" s="407"/>
      <c r="BT86" s="407"/>
      <c r="BU86" s="407"/>
      <c r="BV86" s="407"/>
      <c r="BW86" s="407"/>
      <c r="BX86" s="15"/>
      <c r="BY86" s="407"/>
      <c r="BZ86" s="407"/>
      <c r="CA86" s="407"/>
      <c r="CB86" s="407"/>
      <c r="CC86" s="407"/>
      <c r="CD86" s="407"/>
      <c r="CE86" s="407"/>
      <c r="CF86" s="407"/>
      <c r="CG86" s="407"/>
      <c r="CH86" s="407"/>
      <c r="CI86" s="407"/>
      <c r="CJ86" s="407"/>
      <c r="CK86" s="407"/>
      <c r="CL86" s="407"/>
      <c r="CM86" s="407"/>
      <c r="CN86" s="407"/>
      <c r="CO86" s="407"/>
      <c r="CP86" s="407"/>
      <c r="CQ86" s="15"/>
    </row>
    <row r="87" spans="1:95" ht="14.25" customHeight="1">
      <c r="A87" s="9"/>
      <c r="B87" s="61" t="s">
        <v>181</v>
      </c>
      <c r="C87" s="198"/>
      <c r="D87" s="145">
        <f>BS!D17</f>
        <v>431</v>
      </c>
      <c r="E87" s="145">
        <f>BS!E17</f>
        <v>532.70000000000005</v>
      </c>
      <c r="F87" s="145">
        <f>BS!F17</f>
        <v>519.9</v>
      </c>
      <c r="G87" s="145">
        <f>BS!G17</f>
        <v>499.1</v>
      </c>
      <c r="H87" s="147">
        <f>BS!H17</f>
        <v>497.2</v>
      </c>
      <c r="I87" s="145">
        <f>BS!I17</f>
        <v>490.1</v>
      </c>
      <c r="J87" s="145">
        <f>BS!J17</f>
        <v>479.8</v>
      </c>
      <c r="K87" s="145">
        <f>BS!K17</f>
        <v>472</v>
      </c>
      <c r="L87" s="147">
        <f>BS!L17</f>
        <v>455.6</v>
      </c>
      <c r="M87" s="145">
        <f>BS!M17</f>
        <v>442.7</v>
      </c>
      <c r="N87" s="145">
        <f>BS!N17</f>
        <v>433.9</v>
      </c>
      <c r="O87" s="145">
        <f>BS!O17</f>
        <v>438.5</v>
      </c>
      <c r="P87" s="147">
        <f>BS!P17</f>
        <v>450</v>
      </c>
      <c r="Q87" s="145">
        <f>BS!Q17</f>
        <v>567.4</v>
      </c>
      <c r="R87" s="145">
        <f>BS!R17</f>
        <v>567.1</v>
      </c>
      <c r="S87" s="145">
        <f>BS!S17</f>
        <v>578.1</v>
      </c>
      <c r="T87" s="147">
        <f>BS!T17</f>
        <v>594.79999999999995</v>
      </c>
      <c r="U87" s="145">
        <f>BS!U17</f>
        <v>597.9</v>
      </c>
      <c r="V87" s="145">
        <f>BS!V17</f>
        <v>608.5</v>
      </c>
      <c r="W87" s="145">
        <f>BS!W17</f>
        <v>614.9</v>
      </c>
      <c r="X87" s="147">
        <f>BS!X17</f>
        <v>734.2</v>
      </c>
      <c r="Y87" s="145">
        <f>BS!Y17</f>
        <v>744.4</v>
      </c>
      <c r="Z87" s="145">
        <f>BS!Z17</f>
        <v>752.5</v>
      </c>
      <c r="AA87" s="145">
        <f>BS!AA17</f>
        <v>770.8</v>
      </c>
      <c r="AB87" s="147">
        <f>BS!AB17</f>
        <v>744.9</v>
      </c>
      <c r="AC87" s="145">
        <f>BS!AC17</f>
        <v>734.1</v>
      </c>
      <c r="AD87" s="145">
        <f>BS!AD17</f>
        <v>715.3</v>
      </c>
      <c r="AE87" s="145">
        <f>BS!AE17</f>
        <v>705.5</v>
      </c>
      <c r="AF87" s="147">
        <f>BS!AF17</f>
        <v>741.6</v>
      </c>
      <c r="AG87" s="145">
        <f>BS!AG17</f>
        <v>784.9</v>
      </c>
      <c r="AH87" s="145">
        <f>BS!AH17</f>
        <v>820.5</v>
      </c>
      <c r="AI87" s="145">
        <f>BS!AI17</f>
        <v>864.3</v>
      </c>
      <c r="AJ87" s="147">
        <f>BS!AJ17</f>
        <v>1061.3</v>
      </c>
      <c r="AK87" s="145">
        <f>BS!AK17</f>
        <v>1150.9000000000001</v>
      </c>
      <c r="AL87" s="145">
        <f>BS!AL17</f>
        <v>1130.8</v>
      </c>
      <c r="AM87" s="145">
        <f>BS!AM17</f>
        <v>1109.5</v>
      </c>
      <c r="AN87" s="147">
        <f>BS!AN17</f>
        <v>1155.5</v>
      </c>
      <c r="AO87" s="145">
        <f>BS!AO17</f>
        <v>1201.4000000000001</v>
      </c>
      <c r="AP87" s="145">
        <f>BS!AP17</f>
        <v>1231.5999999999999</v>
      </c>
      <c r="AQ87" s="145">
        <f>BS!AQ17</f>
        <v>1103.3</v>
      </c>
      <c r="AR87" s="147">
        <f>BS!AR17</f>
        <v>1094.2</v>
      </c>
      <c r="AS87" s="145">
        <f>BS!AS17</f>
        <v>1101.5</v>
      </c>
      <c r="AT87" s="145">
        <f>BS!AT17</f>
        <v>1092.9000000000001</v>
      </c>
      <c r="AU87" s="145">
        <f>BS!AU17</f>
        <v>1074.2</v>
      </c>
      <c r="AV87" s="147">
        <f>BS!AV17</f>
        <v>1081.4000000000001</v>
      </c>
      <c r="AW87" s="145">
        <f>BS!AW17</f>
        <v>1141.7</v>
      </c>
      <c r="AX87" s="145">
        <f>BS!AX17</f>
        <v>1211.9000000000001</v>
      </c>
      <c r="AY87" s="146">
        <f>BS!AY17</f>
        <v>1203.9000000000001</v>
      </c>
      <c r="AZ87" s="145">
        <f>BS!AZ17</f>
        <v>1208.4000000000001</v>
      </c>
      <c r="BA87" s="145">
        <f>BS!BA17</f>
        <v>1225.5</v>
      </c>
      <c r="BB87" s="145">
        <f>BS!BB17</f>
        <v>1256.0999999999999</v>
      </c>
      <c r="BC87" s="146">
        <f>BS!BC17</f>
        <v>1274.0999999999999</v>
      </c>
      <c r="BD87" s="145">
        <f>BS!BD17</f>
        <v>1270.4000000000001</v>
      </c>
      <c r="BE87" s="145">
        <f>BS!BE17</f>
        <v>1277.2</v>
      </c>
      <c r="BF87" s="145">
        <f>BS!BF17</f>
        <v>2074.6</v>
      </c>
      <c r="BG87" s="146">
        <f>BS!BG17</f>
        <v>2159.1</v>
      </c>
      <c r="BH87" s="145">
        <f>BS!BH17</f>
        <v>2156.1</v>
      </c>
      <c r="BI87" s="145">
        <f>BS!BI17</f>
        <v>2215</v>
      </c>
      <c r="BJ87" s="145">
        <f>BS!BJ17</f>
        <v>2238.1999999999998</v>
      </c>
      <c r="BK87" s="146">
        <f>BS!BK17</f>
        <v>2279.1</v>
      </c>
      <c r="BL87" s="145">
        <f>BS!BL17</f>
        <v>2242.2510999342917</v>
      </c>
      <c r="BM87" s="145">
        <f>BS!BM17</f>
        <v>2206.6105745598643</v>
      </c>
      <c r="BN87" s="145">
        <f>BS!BN17</f>
        <v>2170.5055663967337</v>
      </c>
      <c r="BO87" s="146">
        <f>BS!BO17</f>
        <v>2130.1065167319694</v>
      </c>
      <c r="BP87" s="145">
        <f>BS!BP17</f>
        <v>2086.5938115854046</v>
      </c>
      <c r="BQ87" s="145">
        <f>BS!BQ17</f>
        <v>2043.8579109538764</v>
      </c>
      <c r="BR87" s="145">
        <f>BS!BR17</f>
        <v>2000.4621386786016</v>
      </c>
      <c r="BS87" s="146">
        <f>BS!BS17</f>
        <v>1952.6536084231434</v>
      </c>
      <c r="BT87" s="145">
        <f>BS!BT17</f>
        <v>1901.7554461919963</v>
      </c>
      <c r="BU87" s="145">
        <f>BS!BU17</f>
        <v>1851.654549274464</v>
      </c>
      <c r="BV87" s="145">
        <f>BS!BV17</f>
        <v>1800.7751753055209</v>
      </c>
      <c r="BW87" s="146">
        <f>BS!BW17</f>
        <v>1745.3582836690398</v>
      </c>
      <c r="BX87" s="149"/>
      <c r="BY87" s="145">
        <f>BS!BY17</f>
        <v>499.1</v>
      </c>
      <c r="BZ87" s="145">
        <f>BS!BZ17</f>
        <v>472</v>
      </c>
      <c r="CA87" s="145">
        <f>BS!CA17</f>
        <v>438.5</v>
      </c>
      <c r="CB87" s="145">
        <f>BS!CB17</f>
        <v>578.1</v>
      </c>
      <c r="CC87" s="145">
        <f>BS!CC17</f>
        <v>614.9</v>
      </c>
      <c r="CD87" s="145">
        <f>BS!CD17</f>
        <v>770.8</v>
      </c>
      <c r="CE87" s="145">
        <f>BS!CE17</f>
        <v>705.5</v>
      </c>
      <c r="CF87" s="145">
        <f>BS!CF17</f>
        <v>864.3</v>
      </c>
      <c r="CG87" s="145">
        <f>BS!CG17</f>
        <v>1109.5</v>
      </c>
      <c r="CH87" s="145">
        <f>BS!CH17</f>
        <v>1103.3</v>
      </c>
      <c r="CI87" s="145">
        <f>BS!CI17</f>
        <v>1074.2</v>
      </c>
      <c r="CJ87" s="145">
        <f>BS!CJ17</f>
        <v>1203.9000000000001</v>
      </c>
      <c r="CK87" s="145">
        <f>BS!CK17</f>
        <v>1274.0999999999999</v>
      </c>
      <c r="CL87" s="145">
        <f>BS!CL17</f>
        <v>2159.1</v>
      </c>
      <c r="CM87" s="145">
        <f>BS!CM17</f>
        <v>2279.1</v>
      </c>
      <c r="CN87" s="145">
        <f>BS!CN17</f>
        <v>2130.1065167319694</v>
      </c>
      <c r="CO87" s="145">
        <f>BS!CO17</f>
        <v>1952.6536084231434</v>
      </c>
      <c r="CP87" s="148">
        <f>BS!CP17</f>
        <v>1745.3582836690398</v>
      </c>
      <c r="CQ87" s="22"/>
    </row>
    <row r="88" spans="1:95" ht="14.25" customHeight="1">
      <c r="A88" s="9"/>
      <c r="B88" s="123" t="s">
        <v>166</v>
      </c>
      <c r="C88" s="124"/>
      <c r="D88" s="127">
        <f t="shared" ref="D88:AV88" si="405">D87-D85</f>
        <v>0</v>
      </c>
      <c r="E88" s="125">
        <f t="shared" si="405"/>
        <v>0</v>
      </c>
      <c r="F88" s="125">
        <f t="shared" si="405"/>
        <v>0</v>
      </c>
      <c r="G88" s="125">
        <f t="shared" si="405"/>
        <v>0</v>
      </c>
      <c r="H88" s="127">
        <f t="shared" si="405"/>
        <v>0</v>
      </c>
      <c r="I88" s="125">
        <f t="shared" si="405"/>
        <v>0</v>
      </c>
      <c r="J88" s="125">
        <f t="shared" si="405"/>
        <v>0</v>
      </c>
      <c r="K88" s="125">
        <f t="shared" si="405"/>
        <v>0</v>
      </c>
      <c r="L88" s="127">
        <f t="shared" si="405"/>
        <v>0</v>
      </c>
      <c r="M88" s="125">
        <f t="shared" si="405"/>
        <v>0</v>
      </c>
      <c r="N88" s="125">
        <f t="shared" si="405"/>
        <v>0</v>
      </c>
      <c r="O88" s="125">
        <f t="shared" si="405"/>
        <v>0</v>
      </c>
      <c r="P88" s="127">
        <f t="shared" si="405"/>
        <v>0</v>
      </c>
      <c r="Q88" s="125">
        <f t="shared" si="405"/>
        <v>0</v>
      </c>
      <c r="R88" s="125">
        <f t="shared" si="405"/>
        <v>0</v>
      </c>
      <c r="S88" s="125">
        <f t="shared" si="405"/>
        <v>0</v>
      </c>
      <c r="T88" s="127">
        <f t="shared" si="405"/>
        <v>0</v>
      </c>
      <c r="U88" s="125">
        <f t="shared" si="405"/>
        <v>0</v>
      </c>
      <c r="V88" s="125">
        <f t="shared" si="405"/>
        <v>0</v>
      </c>
      <c r="W88" s="125">
        <f t="shared" si="405"/>
        <v>0</v>
      </c>
      <c r="X88" s="127">
        <f t="shared" si="405"/>
        <v>0</v>
      </c>
      <c r="Y88" s="125">
        <f t="shared" si="405"/>
        <v>0</v>
      </c>
      <c r="Z88" s="125">
        <f t="shared" si="405"/>
        <v>0</v>
      </c>
      <c r="AA88" s="125">
        <f t="shared" si="405"/>
        <v>0</v>
      </c>
      <c r="AB88" s="127">
        <f t="shared" si="405"/>
        <v>0</v>
      </c>
      <c r="AC88" s="125">
        <f t="shared" si="405"/>
        <v>0</v>
      </c>
      <c r="AD88" s="125">
        <f t="shared" si="405"/>
        <v>0</v>
      </c>
      <c r="AE88" s="125">
        <f t="shared" si="405"/>
        <v>0</v>
      </c>
      <c r="AF88" s="127">
        <f t="shared" si="405"/>
        <v>0</v>
      </c>
      <c r="AG88" s="125">
        <f t="shared" si="405"/>
        <v>0</v>
      </c>
      <c r="AH88" s="125">
        <f t="shared" si="405"/>
        <v>0</v>
      </c>
      <c r="AI88" s="125">
        <f t="shared" si="405"/>
        <v>0</v>
      </c>
      <c r="AJ88" s="127">
        <f t="shared" si="405"/>
        <v>0</v>
      </c>
      <c r="AK88" s="125">
        <f t="shared" si="405"/>
        <v>0</v>
      </c>
      <c r="AL88" s="125">
        <f t="shared" si="405"/>
        <v>0</v>
      </c>
      <c r="AM88" s="125">
        <f t="shared" si="405"/>
        <v>0</v>
      </c>
      <c r="AN88" s="127">
        <f t="shared" si="405"/>
        <v>0</v>
      </c>
      <c r="AO88" s="125">
        <f t="shared" si="405"/>
        <v>0</v>
      </c>
      <c r="AP88" s="125">
        <f t="shared" si="405"/>
        <v>0</v>
      </c>
      <c r="AQ88" s="125">
        <f t="shared" si="405"/>
        <v>0</v>
      </c>
      <c r="AR88" s="127">
        <f t="shared" si="405"/>
        <v>0</v>
      </c>
      <c r="AS88" s="125">
        <f t="shared" si="405"/>
        <v>0</v>
      </c>
      <c r="AT88" s="125">
        <f t="shared" si="405"/>
        <v>0</v>
      </c>
      <c r="AU88" s="125">
        <f>AU87-AU85</f>
        <v>0</v>
      </c>
      <c r="AV88" s="127">
        <f t="shared" si="405"/>
        <v>0</v>
      </c>
      <c r="AW88" s="125">
        <f t="shared" ref="AW88:BB88" si="406">AW87-AW85</f>
        <v>0</v>
      </c>
      <c r="AX88" s="125">
        <f t="shared" si="406"/>
        <v>0</v>
      </c>
      <c r="AY88" s="125">
        <f t="shared" si="406"/>
        <v>0</v>
      </c>
      <c r="AZ88" s="127">
        <f t="shared" si="406"/>
        <v>0</v>
      </c>
      <c r="BA88" s="125">
        <f t="shared" si="406"/>
        <v>0</v>
      </c>
      <c r="BB88" s="125">
        <f t="shared" si="406"/>
        <v>0</v>
      </c>
      <c r="BC88" s="125">
        <f t="shared" ref="BC88:BH88" si="407">BC87-BC85</f>
        <v>0</v>
      </c>
      <c r="BD88" s="127">
        <f t="shared" si="407"/>
        <v>0</v>
      </c>
      <c r="BE88" s="125">
        <f t="shared" si="407"/>
        <v>0</v>
      </c>
      <c r="BF88" s="125">
        <f t="shared" si="407"/>
        <v>0</v>
      </c>
      <c r="BG88" s="125">
        <f t="shared" si="407"/>
        <v>0</v>
      </c>
      <c r="BH88" s="127">
        <f t="shared" si="407"/>
        <v>0</v>
      </c>
      <c r="BI88" s="125">
        <f t="shared" ref="BI88:BK88" si="408">BI87-BI85</f>
        <v>0</v>
      </c>
      <c r="BJ88" s="125">
        <f t="shared" si="408"/>
        <v>0</v>
      </c>
      <c r="BK88" s="125">
        <f t="shared" si="408"/>
        <v>0</v>
      </c>
      <c r="BL88" s="127">
        <f t="shared" ref="BL88:BS88" si="409">BL87-BL85</f>
        <v>0</v>
      </c>
      <c r="BM88" s="125">
        <f t="shared" si="409"/>
        <v>0</v>
      </c>
      <c r="BN88" s="125">
        <f t="shared" si="409"/>
        <v>0</v>
      </c>
      <c r="BO88" s="125">
        <f t="shared" si="409"/>
        <v>0</v>
      </c>
      <c r="BP88" s="127">
        <f t="shared" si="409"/>
        <v>0</v>
      </c>
      <c r="BQ88" s="125">
        <f t="shared" si="409"/>
        <v>0</v>
      </c>
      <c r="BR88" s="125">
        <f t="shared" si="409"/>
        <v>0</v>
      </c>
      <c r="BS88" s="125">
        <f t="shared" si="409"/>
        <v>0</v>
      </c>
      <c r="BT88" s="127">
        <f t="shared" ref="BT88:BW88" si="410">BT87-BT85</f>
        <v>0</v>
      </c>
      <c r="BU88" s="125">
        <f t="shared" si="410"/>
        <v>0</v>
      </c>
      <c r="BV88" s="125">
        <f t="shared" si="410"/>
        <v>0</v>
      </c>
      <c r="BW88" s="125">
        <f t="shared" si="410"/>
        <v>0</v>
      </c>
      <c r="BX88" s="149"/>
      <c r="BY88" s="125">
        <f t="shared" ref="BY88:CH88" si="411">BY87-BY85</f>
        <v>0</v>
      </c>
      <c r="BZ88" s="125">
        <f t="shared" si="411"/>
        <v>0</v>
      </c>
      <c r="CA88" s="125">
        <f t="shared" si="411"/>
        <v>0</v>
      </c>
      <c r="CB88" s="125">
        <f t="shared" si="411"/>
        <v>0</v>
      </c>
      <c r="CC88" s="125">
        <f t="shared" si="411"/>
        <v>0</v>
      </c>
      <c r="CD88" s="125">
        <f t="shared" si="411"/>
        <v>0</v>
      </c>
      <c r="CE88" s="125">
        <f t="shared" si="411"/>
        <v>0</v>
      </c>
      <c r="CF88" s="125">
        <f t="shared" si="411"/>
        <v>0</v>
      </c>
      <c r="CG88" s="125">
        <f t="shared" si="411"/>
        <v>0</v>
      </c>
      <c r="CH88" s="125">
        <f t="shared" si="411"/>
        <v>0</v>
      </c>
      <c r="CI88" s="125">
        <f t="shared" ref="CI88:CN88" si="412">CI87-CI85</f>
        <v>0</v>
      </c>
      <c r="CJ88" s="125">
        <f t="shared" si="412"/>
        <v>0</v>
      </c>
      <c r="CK88" s="125">
        <f t="shared" si="412"/>
        <v>0</v>
      </c>
      <c r="CL88" s="125">
        <f t="shared" si="412"/>
        <v>0</v>
      </c>
      <c r="CM88" s="125">
        <f t="shared" si="412"/>
        <v>0</v>
      </c>
      <c r="CN88" s="125">
        <f t="shared" si="412"/>
        <v>0</v>
      </c>
      <c r="CO88" s="125">
        <f t="shared" ref="CO88:CP88" si="413">CO87-CO85</f>
        <v>0</v>
      </c>
      <c r="CP88" s="126">
        <f t="shared" si="413"/>
        <v>0</v>
      </c>
      <c r="CQ88" s="22"/>
    </row>
    <row r="89" spans="1:95" ht="14.25" customHeight="1">
      <c r="A89" s="9"/>
      <c r="B89" s="15"/>
      <c r="C89" s="15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1"/>
      <c r="P89" s="232"/>
      <c r="Q89" s="232"/>
      <c r="R89" s="232"/>
      <c r="S89" s="231"/>
      <c r="T89" s="232"/>
      <c r="U89" s="232"/>
      <c r="V89" s="232"/>
      <c r="W89" s="231"/>
      <c r="X89" s="232"/>
      <c r="Y89" s="232"/>
      <c r="Z89" s="232"/>
      <c r="AA89" s="231"/>
      <c r="AB89" s="232"/>
      <c r="AC89" s="232"/>
      <c r="AD89" s="232"/>
      <c r="AE89" s="231"/>
      <c r="AF89" s="232"/>
      <c r="AG89" s="232"/>
      <c r="AH89" s="232"/>
      <c r="AI89" s="231"/>
      <c r="AJ89" s="232"/>
      <c r="AK89" s="232"/>
      <c r="AL89" s="232"/>
      <c r="AM89" s="232"/>
      <c r="AN89" s="232"/>
      <c r="AO89" s="232"/>
      <c r="AP89" s="232"/>
      <c r="AQ89" s="232"/>
      <c r="AR89" s="232"/>
      <c r="AS89" s="232"/>
      <c r="AT89" s="232"/>
      <c r="AU89" s="232"/>
      <c r="AV89" s="232"/>
      <c r="AW89" s="232"/>
      <c r="AX89" s="232"/>
      <c r="AY89" s="232"/>
      <c r="AZ89" s="232"/>
      <c r="BA89" s="232"/>
      <c r="BB89" s="232"/>
      <c r="BC89" s="232"/>
      <c r="BD89" s="232"/>
      <c r="BE89" s="232"/>
      <c r="BF89" s="232"/>
      <c r="BG89" s="232"/>
      <c r="BH89" s="232"/>
      <c r="BI89" s="232"/>
      <c r="BJ89" s="232"/>
      <c r="BK89" s="232"/>
      <c r="BL89" s="232"/>
      <c r="BM89" s="232"/>
      <c r="BN89" s="232"/>
      <c r="BO89" s="232"/>
      <c r="BP89" s="232"/>
      <c r="BQ89" s="232"/>
      <c r="BR89" s="232"/>
      <c r="BS89" s="232"/>
      <c r="BT89" s="232"/>
      <c r="BU89" s="232"/>
      <c r="BV89" s="232"/>
      <c r="BW89" s="232"/>
      <c r="BX89" s="9"/>
      <c r="BY89" s="202"/>
      <c r="BZ89" s="202"/>
      <c r="CA89" s="202"/>
      <c r="CB89" s="202"/>
      <c r="CC89" s="202"/>
      <c r="CD89" s="202"/>
      <c r="CE89" s="202"/>
      <c r="CF89" s="202"/>
      <c r="CG89" s="202"/>
      <c r="CH89" s="202"/>
      <c r="CI89" s="202"/>
      <c r="CJ89" s="202"/>
      <c r="CK89" s="202"/>
      <c r="CL89" s="202"/>
      <c r="CM89" s="202"/>
      <c r="CN89" s="202"/>
      <c r="CO89" s="202"/>
      <c r="CP89" s="1171"/>
      <c r="CQ89" s="15"/>
    </row>
    <row r="90" spans="1:95" ht="14.25" customHeight="1">
      <c r="A90" s="9"/>
      <c r="B90" s="15"/>
      <c r="C90" s="15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12"/>
      <c r="P90" s="232"/>
      <c r="Q90" s="232"/>
      <c r="R90" s="232"/>
      <c r="S90" s="212"/>
      <c r="T90" s="232"/>
      <c r="U90" s="232"/>
      <c r="V90" s="232"/>
      <c r="W90" s="212"/>
      <c r="X90" s="232"/>
      <c r="Y90" s="232"/>
      <c r="Z90" s="232"/>
      <c r="AA90" s="212"/>
      <c r="AB90" s="232"/>
      <c r="AC90" s="232"/>
      <c r="AD90" s="232"/>
      <c r="AE90" s="212"/>
      <c r="AF90" s="232"/>
      <c r="AG90" s="232"/>
      <c r="AH90" s="232"/>
      <c r="AI90" s="212"/>
      <c r="AJ90" s="232"/>
      <c r="AK90" s="232"/>
      <c r="AL90" s="232"/>
      <c r="AM90" s="232"/>
      <c r="AN90" s="232"/>
      <c r="AO90" s="232"/>
      <c r="AP90" s="232"/>
      <c r="AQ90" s="232"/>
      <c r="AR90" s="232"/>
      <c r="AS90" s="232"/>
      <c r="AT90" s="232"/>
      <c r="AU90" s="232"/>
      <c r="AV90" s="232"/>
      <c r="AW90" s="232"/>
      <c r="AX90" s="232"/>
      <c r="AY90" s="232"/>
      <c r="AZ90" s="232"/>
      <c r="BA90" s="232"/>
      <c r="BB90" s="232"/>
      <c r="BC90" s="232"/>
      <c r="BD90" s="232"/>
      <c r="BE90" s="232"/>
      <c r="BF90" s="232"/>
      <c r="BG90" s="232"/>
      <c r="BH90" s="232"/>
      <c r="BI90" s="232"/>
      <c r="BJ90" s="232"/>
      <c r="BK90" s="232"/>
      <c r="BL90" s="232"/>
      <c r="BM90" s="232"/>
      <c r="BN90" s="232"/>
      <c r="BO90" s="232"/>
      <c r="BP90" s="232"/>
      <c r="BQ90" s="232"/>
      <c r="BR90" s="232"/>
      <c r="BS90" s="232"/>
      <c r="BT90" s="232"/>
      <c r="BU90" s="232"/>
      <c r="BV90" s="232"/>
      <c r="BW90" s="232"/>
      <c r="BX90" s="9"/>
      <c r="BY90" s="202"/>
      <c r="BZ90" s="202"/>
      <c r="CA90" s="202"/>
      <c r="CB90" s="202"/>
      <c r="CC90" s="202"/>
      <c r="CD90" s="202"/>
      <c r="CE90" s="202"/>
      <c r="CF90" s="202"/>
      <c r="CG90" s="202"/>
      <c r="CH90" s="202"/>
      <c r="CI90" s="202"/>
      <c r="CJ90" s="202"/>
      <c r="CK90" s="202"/>
      <c r="CL90" s="202"/>
      <c r="CM90" s="202"/>
      <c r="CN90" s="202"/>
      <c r="CO90" s="202"/>
      <c r="CP90" s="556"/>
      <c r="CQ90" s="15"/>
    </row>
    <row r="91" spans="1:95" ht="14.25" customHeight="1">
      <c r="A91" s="9"/>
      <c r="B91" s="15"/>
      <c r="C91" s="15"/>
      <c r="D91" s="202"/>
      <c r="E91" s="202"/>
      <c r="F91" s="202"/>
      <c r="G91" s="202"/>
      <c r="H91" s="202"/>
      <c r="I91" s="202"/>
      <c r="J91" s="202"/>
      <c r="K91" s="202"/>
      <c r="L91" s="202"/>
      <c r="M91" s="202"/>
      <c r="N91" s="202"/>
      <c r="O91" s="233"/>
      <c r="P91" s="202"/>
      <c r="Q91" s="202"/>
      <c r="R91" s="202"/>
      <c r="S91" s="233"/>
      <c r="T91" s="202"/>
      <c r="U91" s="202"/>
      <c r="V91" s="202"/>
      <c r="W91" s="233"/>
      <c r="X91" s="202"/>
      <c r="Y91" s="202"/>
      <c r="Z91" s="202"/>
      <c r="AA91" s="233"/>
      <c r="AB91" s="202"/>
      <c r="AC91" s="202"/>
      <c r="AD91" s="202"/>
      <c r="AE91" s="233"/>
      <c r="AF91" s="202"/>
      <c r="AG91" s="202"/>
      <c r="AH91" s="202"/>
      <c r="AI91" s="233"/>
      <c r="AJ91" s="202"/>
      <c r="AK91" s="202"/>
      <c r="AL91" s="202"/>
      <c r="AM91" s="202"/>
      <c r="AN91" s="202"/>
      <c r="AO91" s="202"/>
      <c r="AP91" s="202"/>
      <c r="AQ91" s="415"/>
      <c r="AR91" s="202"/>
      <c r="AS91" s="202"/>
      <c r="AT91" s="202"/>
      <c r="AU91" s="415"/>
      <c r="AV91" s="276"/>
      <c r="AW91" s="202"/>
      <c r="AX91" s="202"/>
      <c r="AY91" s="202"/>
      <c r="AZ91" s="276"/>
      <c r="BA91" s="202"/>
      <c r="BB91" s="202"/>
      <c r="BC91" s="202"/>
      <c r="BD91" s="276"/>
      <c r="BE91" s="202"/>
      <c r="BF91" s="202"/>
      <c r="BG91" s="202"/>
      <c r="BH91" s="276"/>
      <c r="BI91" s="202"/>
      <c r="BJ91" s="202"/>
      <c r="BK91" s="202"/>
      <c r="BL91" s="276"/>
      <c r="BM91" s="202"/>
      <c r="BN91" s="202"/>
      <c r="BO91" s="202"/>
      <c r="BP91" s="276"/>
      <c r="BQ91" s="202"/>
      <c r="BR91" s="202"/>
      <c r="BS91" s="202"/>
      <c r="BT91" s="276"/>
      <c r="BU91" s="202"/>
      <c r="BV91" s="202"/>
      <c r="BW91" s="202"/>
      <c r="BX91" s="9"/>
      <c r="BY91" s="202"/>
      <c r="BZ91" s="202"/>
      <c r="CA91" s="202"/>
      <c r="CB91" s="202"/>
      <c r="CC91" s="202"/>
      <c r="CD91" s="202"/>
      <c r="CE91" s="202"/>
      <c r="CF91" s="202"/>
      <c r="CG91" s="202"/>
      <c r="CH91" s="202"/>
      <c r="CI91" s="202"/>
      <c r="CJ91" s="202"/>
      <c r="CK91" s="202"/>
      <c r="CL91" s="202"/>
      <c r="CM91" s="202"/>
      <c r="CN91" s="202"/>
      <c r="CO91" s="202"/>
      <c r="CP91" s="202"/>
      <c r="CQ91" s="15"/>
    </row>
    <row r="92" spans="1:95" ht="14.25" customHeight="1">
      <c r="A92" s="9"/>
      <c r="B92" s="131" t="s">
        <v>287</v>
      </c>
      <c r="C92" s="132"/>
      <c r="D92" s="234" t="str">
        <f>D77</f>
        <v>F1Q03A</v>
      </c>
      <c r="E92" s="204" t="str">
        <f t="shared" ref="E92:AA92" si="414">E77</f>
        <v>F2Q03A</v>
      </c>
      <c r="F92" s="204" t="str">
        <f t="shared" si="414"/>
        <v>F3Q03A</v>
      </c>
      <c r="G92" s="205" t="str">
        <f t="shared" si="414"/>
        <v>F4Q03A</v>
      </c>
      <c r="H92" s="234" t="str">
        <f>H77</f>
        <v>F1Q04A</v>
      </c>
      <c r="I92" s="204" t="str">
        <f t="shared" si="414"/>
        <v>F2Q04A</v>
      </c>
      <c r="J92" s="204" t="str">
        <f t="shared" si="414"/>
        <v>F3Q04A</v>
      </c>
      <c r="K92" s="205" t="str">
        <f t="shared" si="414"/>
        <v>F4Q04A</v>
      </c>
      <c r="L92" s="234" t="str">
        <f>L77</f>
        <v>F1Q05A</v>
      </c>
      <c r="M92" s="204" t="str">
        <f t="shared" si="414"/>
        <v>F2Q05A</v>
      </c>
      <c r="N92" s="204" t="str">
        <f t="shared" si="414"/>
        <v>F3Q05A</v>
      </c>
      <c r="O92" s="205" t="str">
        <f t="shared" si="414"/>
        <v>F4Q05A</v>
      </c>
      <c r="P92" s="234" t="str">
        <f>P77</f>
        <v>F1Q06A</v>
      </c>
      <c r="Q92" s="204" t="str">
        <f t="shared" si="414"/>
        <v>F2Q06A</v>
      </c>
      <c r="R92" s="204" t="str">
        <f t="shared" si="414"/>
        <v>F3Q06A</v>
      </c>
      <c r="S92" s="205" t="str">
        <f t="shared" si="414"/>
        <v>F4Q06A</v>
      </c>
      <c r="T92" s="234" t="str">
        <f>T77</f>
        <v>F1Q07A</v>
      </c>
      <c r="U92" s="204" t="str">
        <f t="shared" si="414"/>
        <v>F2Q07A</v>
      </c>
      <c r="V92" s="204" t="str">
        <f t="shared" si="414"/>
        <v>F3Q07A</v>
      </c>
      <c r="W92" s="205" t="str">
        <f t="shared" si="414"/>
        <v>F4Q07A</v>
      </c>
      <c r="X92" s="234" t="str">
        <f>X77</f>
        <v>F1Q08A</v>
      </c>
      <c r="Y92" s="204" t="str">
        <f t="shared" si="414"/>
        <v>F2Q08A</v>
      </c>
      <c r="Z92" s="204" t="str">
        <f t="shared" si="414"/>
        <v>F3Q08A</v>
      </c>
      <c r="AA92" s="205" t="str">
        <f t="shared" si="414"/>
        <v>F4Q08A</v>
      </c>
      <c r="AB92" s="234" t="str">
        <f t="shared" ref="AB92:AY92" si="415">AB77</f>
        <v>F1Q09A</v>
      </c>
      <c r="AC92" s="204" t="str">
        <f t="shared" si="415"/>
        <v>F2Q09A</v>
      </c>
      <c r="AD92" s="204" t="str">
        <f t="shared" si="415"/>
        <v>F3Q09A</v>
      </c>
      <c r="AE92" s="205" t="str">
        <f t="shared" si="415"/>
        <v>F4Q09A</v>
      </c>
      <c r="AF92" s="234" t="str">
        <f t="shared" si="415"/>
        <v>F1Q10A</v>
      </c>
      <c r="AG92" s="204" t="str">
        <f t="shared" si="415"/>
        <v>F2Q10A</v>
      </c>
      <c r="AH92" s="204" t="str">
        <f t="shared" si="415"/>
        <v>F3Q10A</v>
      </c>
      <c r="AI92" s="205" t="str">
        <f t="shared" si="415"/>
        <v>F4Q10A</v>
      </c>
      <c r="AJ92" s="234" t="str">
        <f t="shared" si="415"/>
        <v>F1Q11A</v>
      </c>
      <c r="AK92" s="204" t="str">
        <f t="shared" si="415"/>
        <v>F2Q11A</v>
      </c>
      <c r="AL92" s="204" t="str">
        <f t="shared" si="415"/>
        <v>F3Q11A</v>
      </c>
      <c r="AM92" s="205" t="str">
        <f t="shared" si="415"/>
        <v>F4Q11A</v>
      </c>
      <c r="AN92" s="234" t="str">
        <f t="shared" si="415"/>
        <v>F1Q12A</v>
      </c>
      <c r="AO92" s="204" t="str">
        <f t="shared" si="415"/>
        <v>F2Q12A</v>
      </c>
      <c r="AP92" s="204" t="str">
        <f t="shared" si="415"/>
        <v>F3Q12A</v>
      </c>
      <c r="AQ92" s="205" t="str">
        <f t="shared" si="415"/>
        <v>F4Q12A</v>
      </c>
      <c r="AR92" s="234" t="str">
        <f>AR77</f>
        <v>F1Q13A</v>
      </c>
      <c r="AS92" s="204" t="str">
        <f t="shared" si="415"/>
        <v>F2Q13A</v>
      </c>
      <c r="AT92" s="204" t="str">
        <f t="shared" si="415"/>
        <v>F3Q13A</v>
      </c>
      <c r="AU92" s="205" t="str">
        <f t="shared" si="415"/>
        <v>F4Q13A</v>
      </c>
      <c r="AV92" s="234" t="str">
        <f t="shared" si="415"/>
        <v>F1Q14A</v>
      </c>
      <c r="AW92" s="204" t="str">
        <f t="shared" si="415"/>
        <v>F2Q14A</v>
      </c>
      <c r="AX92" s="204" t="str">
        <f t="shared" si="415"/>
        <v>F3Q14A</v>
      </c>
      <c r="AY92" s="205" t="str">
        <f t="shared" si="415"/>
        <v>F4Q14A</v>
      </c>
      <c r="AZ92" s="234" t="str">
        <f t="shared" ref="AZ92:BF92" si="416">AZ77</f>
        <v>F1Q15A</v>
      </c>
      <c r="BA92" s="204" t="str">
        <f t="shared" si="416"/>
        <v>F2Q15A</v>
      </c>
      <c r="BB92" s="204" t="str">
        <f t="shared" si="416"/>
        <v>F3Q15A</v>
      </c>
      <c r="BC92" s="205" t="str">
        <f t="shared" si="416"/>
        <v>F4Q15A</v>
      </c>
      <c r="BD92" s="234" t="str">
        <f>BD77</f>
        <v>F1Q16A</v>
      </c>
      <c r="BE92" s="204" t="str">
        <f t="shared" si="416"/>
        <v>F2Q16A</v>
      </c>
      <c r="BF92" s="204" t="str">
        <f t="shared" si="416"/>
        <v>F3Q16A</v>
      </c>
      <c r="BG92" s="205" t="str">
        <f t="shared" ref="BG92" si="417">BG77</f>
        <v>F4Q16A</v>
      </c>
      <c r="BH92" s="234" t="str">
        <f t="shared" ref="BH92:BO92" si="418">BH77</f>
        <v>F1Q17A</v>
      </c>
      <c r="BI92" s="204" t="str">
        <f t="shared" si="418"/>
        <v>F2Q17A</v>
      </c>
      <c r="BJ92" s="204" t="str">
        <f t="shared" si="418"/>
        <v>F3Q17A</v>
      </c>
      <c r="BK92" s="205" t="str">
        <f t="shared" si="418"/>
        <v>F4Q17A</v>
      </c>
      <c r="BL92" s="234" t="str">
        <f t="shared" si="418"/>
        <v>F1Q18E</v>
      </c>
      <c r="BM92" s="204" t="str">
        <f t="shared" si="418"/>
        <v>F2Q18E</v>
      </c>
      <c r="BN92" s="204" t="str">
        <f t="shared" si="418"/>
        <v>F3Q18E</v>
      </c>
      <c r="BO92" s="205" t="str">
        <f t="shared" si="418"/>
        <v>F4Q18E</v>
      </c>
      <c r="BP92" s="234" t="str">
        <f t="shared" ref="BP92:BS92" si="419">BP77</f>
        <v>F1Q19E</v>
      </c>
      <c r="BQ92" s="1250" t="str">
        <f t="shared" si="419"/>
        <v>F2Q19E</v>
      </c>
      <c r="BR92" s="1250" t="str">
        <f t="shared" si="419"/>
        <v>F3Q19E</v>
      </c>
      <c r="BS92" s="205" t="str">
        <f t="shared" si="419"/>
        <v>F4Q19E</v>
      </c>
      <c r="BT92" s="234" t="str">
        <f t="shared" ref="BT92:BW92" si="420">BT77</f>
        <v>F1Q20E</v>
      </c>
      <c r="BU92" s="1250" t="str">
        <f t="shared" si="420"/>
        <v>F2Q20E</v>
      </c>
      <c r="BV92" s="1250" t="str">
        <f t="shared" si="420"/>
        <v>F3Q20E</v>
      </c>
      <c r="BW92" s="205" t="str">
        <f t="shared" si="420"/>
        <v>F4Q20E</v>
      </c>
      <c r="BX92" s="21"/>
      <c r="BY92" s="18" t="str">
        <f>BY77</f>
        <v>FY2003A</v>
      </c>
      <c r="BZ92" s="19" t="str">
        <f t="shared" ref="BZ92:CJ92" si="421">BZ77</f>
        <v>FY2004A</v>
      </c>
      <c r="CA92" s="19" t="str">
        <f t="shared" si="421"/>
        <v>FY2005A</v>
      </c>
      <c r="CB92" s="19" t="str">
        <f t="shared" si="421"/>
        <v>FY2006A</v>
      </c>
      <c r="CC92" s="19" t="str">
        <f t="shared" si="421"/>
        <v>FY2007A</v>
      </c>
      <c r="CD92" s="19" t="str">
        <f t="shared" si="421"/>
        <v>FY2008A</v>
      </c>
      <c r="CE92" s="1391" t="str">
        <f t="shared" si="421"/>
        <v>FY2009A</v>
      </c>
      <c r="CF92" s="1391" t="str">
        <f t="shared" si="421"/>
        <v>FY2010A</v>
      </c>
      <c r="CG92" s="1391" t="str">
        <f t="shared" si="421"/>
        <v>FY2011A</v>
      </c>
      <c r="CH92" s="1391" t="str">
        <f t="shared" si="421"/>
        <v>FY2012A</v>
      </c>
      <c r="CI92" s="1391" t="str">
        <f t="shared" si="421"/>
        <v>FY2013A</v>
      </c>
      <c r="CJ92" s="1391" t="str">
        <f t="shared" si="421"/>
        <v>FY2014A</v>
      </c>
      <c r="CK92" s="1391" t="str">
        <f t="shared" ref="CK92:CP92" si="422">CK77</f>
        <v>FY2015A</v>
      </c>
      <c r="CL92" s="1391" t="str">
        <f t="shared" si="422"/>
        <v>FY2016</v>
      </c>
      <c r="CM92" s="1391" t="str">
        <f t="shared" si="422"/>
        <v>FY2017A</v>
      </c>
      <c r="CN92" s="1391" t="str">
        <f t="shared" si="422"/>
        <v>FY2018E</v>
      </c>
      <c r="CO92" s="1391" t="str">
        <f t="shared" si="422"/>
        <v>FY2019E</v>
      </c>
      <c r="CP92" s="1392" t="str">
        <f t="shared" si="422"/>
        <v>FY2020E</v>
      </c>
      <c r="CQ92" s="22"/>
    </row>
    <row r="93" spans="1:95" ht="14.25" customHeight="1">
      <c r="A93" s="9"/>
      <c r="B93" s="45" t="s">
        <v>509</v>
      </c>
      <c r="C93" s="11"/>
      <c r="D93" s="319">
        <f t="shared" ref="D93:AI93" si="423">D11</f>
        <v>33</v>
      </c>
      <c r="E93" s="320">
        <f t="shared" si="423"/>
        <v>33.699999999999989</v>
      </c>
      <c r="F93" s="320">
        <f t="shared" si="423"/>
        <v>28</v>
      </c>
      <c r="G93" s="320">
        <f t="shared" si="423"/>
        <v>27.200000000000003</v>
      </c>
      <c r="H93" s="319">
        <f t="shared" si="423"/>
        <v>26.3</v>
      </c>
      <c r="I93" s="320">
        <f t="shared" si="423"/>
        <v>24.8</v>
      </c>
      <c r="J93" s="320">
        <f t="shared" si="423"/>
        <v>25.499999999999996</v>
      </c>
      <c r="K93" s="320">
        <f t="shared" si="423"/>
        <v>25.500000000000004</v>
      </c>
      <c r="L93" s="319">
        <f t="shared" si="423"/>
        <v>25.1</v>
      </c>
      <c r="M93" s="320">
        <f t="shared" si="423"/>
        <v>24.799999999999997</v>
      </c>
      <c r="N93" s="320">
        <f t="shared" si="423"/>
        <v>25.000000000000007</v>
      </c>
      <c r="O93" s="320">
        <f t="shared" si="423"/>
        <v>24.1</v>
      </c>
      <c r="P93" s="319">
        <f t="shared" si="423"/>
        <v>23.5</v>
      </c>
      <c r="Q93" s="320">
        <f t="shared" si="423"/>
        <v>16.900000000000006</v>
      </c>
      <c r="R93" s="320">
        <f t="shared" si="423"/>
        <v>18.899999999999991</v>
      </c>
      <c r="S93" s="320">
        <f t="shared" si="423"/>
        <v>20.600000000000009</v>
      </c>
      <c r="T93" s="319">
        <f t="shared" si="423"/>
        <v>21.5</v>
      </c>
      <c r="U93" s="320">
        <f t="shared" si="423"/>
        <v>22.099999999999994</v>
      </c>
      <c r="V93" s="320">
        <f t="shared" si="423"/>
        <v>22.299999999999997</v>
      </c>
      <c r="W93" s="320">
        <f t="shared" si="423"/>
        <v>24.5</v>
      </c>
      <c r="X93" s="319">
        <f t="shared" si="423"/>
        <v>24.9</v>
      </c>
      <c r="Y93" s="320">
        <f t="shared" si="423"/>
        <v>30.4</v>
      </c>
      <c r="Z93" s="320">
        <f t="shared" si="423"/>
        <v>30.599999999999994</v>
      </c>
      <c r="AA93" s="320">
        <f t="shared" si="423"/>
        <v>31.29999999999999</v>
      </c>
      <c r="AB93" s="319">
        <f t="shared" si="423"/>
        <v>31.900000000000002</v>
      </c>
      <c r="AC93" s="320">
        <f t="shared" si="423"/>
        <v>31.2</v>
      </c>
      <c r="AD93" s="320">
        <f t="shared" si="423"/>
        <v>30.999999999999989</v>
      </c>
      <c r="AE93" s="320">
        <f t="shared" si="423"/>
        <v>30.2</v>
      </c>
      <c r="AF93" s="319">
        <f t="shared" si="423"/>
        <v>31.300000000000004</v>
      </c>
      <c r="AG93" s="320">
        <f t="shared" si="423"/>
        <v>31.599999999999994</v>
      </c>
      <c r="AH93" s="320">
        <f t="shared" si="423"/>
        <v>33.900000000000006</v>
      </c>
      <c r="AI93" s="320">
        <f t="shared" si="423"/>
        <v>36</v>
      </c>
      <c r="AJ93" s="319">
        <f t="shared" ref="AJ93:BF93" si="424">AJ11</f>
        <v>42.5</v>
      </c>
      <c r="AK93" s="320">
        <f t="shared" si="424"/>
        <v>45.2</v>
      </c>
      <c r="AL93" s="320">
        <f t="shared" si="424"/>
        <v>46.3</v>
      </c>
      <c r="AM93" s="320">
        <f t="shared" si="424"/>
        <v>51.600000000000023</v>
      </c>
      <c r="AN93" s="319">
        <f t="shared" si="424"/>
        <v>50</v>
      </c>
      <c r="AO93" s="320">
        <f t="shared" si="424"/>
        <v>49.2</v>
      </c>
      <c r="AP93" s="320">
        <f t="shared" si="424"/>
        <v>50.199999999999974</v>
      </c>
      <c r="AQ93" s="320">
        <f t="shared" si="424"/>
        <v>49.800000000000011</v>
      </c>
      <c r="AR93" s="319">
        <f t="shared" si="424"/>
        <v>40.199999999999996</v>
      </c>
      <c r="AS93" s="320">
        <f t="shared" si="424"/>
        <v>46.800000000000004</v>
      </c>
      <c r="AT93" s="320">
        <f t="shared" si="424"/>
        <v>44.699999999999996</v>
      </c>
      <c r="AU93" s="320">
        <f t="shared" si="424"/>
        <v>47.000000000000021</v>
      </c>
      <c r="AV93" s="319">
        <f t="shared" si="424"/>
        <v>52.4</v>
      </c>
      <c r="AW93" s="320">
        <f t="shared" si="424"/>
        <v>41.29999999999999</v>
      </c>
      <c r="AX93" s="320">
        <f t="shared" si="424"/>
        <v>49.100000000000016</v>
      </c>
      <c r="AY93" s="320">
        <f t="shared" si="424"/>
        <v>57.6</v>
      </c>
      <c r="AZ93" s="319">
        <f t="shared" si="424"/>
        <v>90.2</v>
      </c>
      <c r="BA93" s="320">
        <f t="shared" si="424"/>
        <v>88.399999999999991</v>
      </c>
      <c r="BB93" s="320">
        <f t="shared" si="424"/>
        <v>89.200000000000031</v>
      </c>
      <c r="BC93" s="320">
        <f t="shared" si="424"/>
        <v>89.800000000000026</v>
      </c>
      <c r="BD93" s="319">
        <f t="shared" si="424"/>
        <v>80.7</v>
      </c>
      <c r="BE93" s="320">
        <f t="shared" si="424"/>
        <v>79.600000000000009</v>
      </c>
      <c r="BF93" s="320">
        <f t="shared" si="424"/>
        <v>83.799999999999969</v>
      </c>
      <c r="BG93" s="320">
        <f t="shared" ref="BG93:BJ93" si="425">BG11</f>
        <v>120.00000000000004</v>
      </c>
      <c r="BH93" s="319">
        <f t="shared" si="425"/>
        <v>114.3</v>
      </c>
      <c r="BI93" s="320">
        <f t="shared" si="425"/>
        <v>116.50000000000001</v>
      </c>
      <c r="BJ93" s="320">
        <f t="shared" si="425"/>
        <v>127.69999999999997</v>
      </c>
      <c r="BK93" s="320">
        <f t="shared" ref="BK93" si="426">BK11</f>
        <v>123.39999999999999</v>
      </c>
      <c r="BL93" s="147">
        <f t="shared" ref="BL93:BS93" si="427">BL82*BL94/4</f>
        <v>125.88960506570898</v>
      </c>
      <c r="BM93" s="145">
        <f t="shared" si="427"/>
        <v>128.48558092442789</v>
      </c>
      <c r="BN93" s="145">
        <f t="shared" si="427"/>
        <v>131.14286826213046</v>
      </c>
      <c r="BO93" s="145">
        <f t="shared" si="427"/>
        <v>133.75307507213395</v>
      </c>
      <c r="BP93" s="147">
        <f t="shared" si="427"/>
        <v>136.34880039819811</v>
      </c>
      <c r="BQ93" s="145">
        <f t="shared" si="427"/>
        <v>139.04153509078716</v>
      </c>
      <c r="BR93" s="145">
        <f t="shared" si="427"/>
        <v>141.79274421233362</v>
      </c>
      <c r="BS93" s="145">
        <f t="shared" si="427"/>
        <v>144.4961595974801</v>
      </c>
      <c r="BT93" s="147">
        <f t="shared" ref="BT93:BW93" si="428">BT82*BT94/4</f>
        <v>147.1884656289499</v>
      </c>
      <c r="BU93" s="145">
        <f t="shared" si="428"/>
        <v>149.98114767533426</v>
      </c>
      <c r="BV93" s="145">
        <f t="shared" si="428"/>
        <v>152.83176745980248</v>
      </c>
      <c r="BW93" s="145">
        <f t="shared" si="428"/>
        <v>155.63386435411434</v>
      </c>
      <c r="BX93" s="21"/>
      <c r="BY93" s="494">
        <f t="shared" ref="BY93:CJ93" si="429">BY82*BY94</f>
        <v>121.9</v>
      </c>
      <c r="BZ93" s="494">
        <f t="shared" si="429"/>
        <v>102.1</v>
      </c>
      <c r="CA93" s="494">
        <f t="shared" si="429"/>
        <v>99</v>
      </c>
      <c r="CB93" s="494">
        <f t="shared" si="429"/>
        <v>79.900000000000006</v>
      </c>
      <c r="CC93" s="494">
        <f t="shared" si="429"/>
        <v>90.399999999999991</v>
      </c>
      <c r="CD93" s="494">
        <f t="shared" si="429"/>
        <v>117.19999999999997</v>
      </c>
      <c r="CE93" s="494">
        <f t="shared" si="429"/>
        <v>124.30000000000001</v>
      </c>
      <c r="CF93" s="494">
        <f t="shared" si="429"/>
        <v>132.80000000000001</v>
      </c>
      <c r="CG93" s="494">
        <f t="shared" si="429"/>
        <v>185.60000000000005</v>
      </c>
      <c r="CH93" s="494">
        <f t="shared" si="429"/>
        <v>199.2</v>
      </c>
      <c r="CI93" s="494">
        <f t="shared" si="429"/>
        <v>178.70000000000002</v>
      </c>
      <c r="CJ93" s="494">
        <f t="shared" si="429"/>
        <v>200.4</v>
      </c>
      <c r="CK93" s="494">
        <f t="shared" ref="CK93:CP93" si="430">CK82*CK94</f>
        <v>357.6</v>
      </c>
      <c r="CL93" s="494">
        <f t="shared" si="430"/>
        <v>364.1</v>
      </c>
      <c r="CM93" s="494">
        <f t="shared" si="430"/>
        <v>481.9</v>
      </c>
      <c r="CN93" s="494">
        <f t="shared" si="430"/>
        <v>519.27112932440127</v>
      </c>
      <c r="CO93" s="494">
        <f t="shared" si="430"/>
        <v>561.67923929879896</v>
      </c>
      <c r="CP93" s="1454">
        <f t="shared" si="430"/>
        <v>605.63524511820106</v>
      </c>
      <c r="CQ93" s="22"/>
    </row>
    <row r="94" spans="1:95" ht="14.25" customHeight="1">
      <c r="A94" s="9"/>
      <c r="B94" s="840" t="s">
        <v>288</v>
      </c>
      <c r="C94" s="237"/>
      <c r="D94" s="318">
        <f>D93/D82*4</f>
        <v>0.10479517307081614</v>
      </c>
      <c r="E94" s="221">
        <f t="shared" ref="E94:AV94" si="431">E93/E82*4</f>
        <v>9.5861186175508428E-2</v>
      </c>
      <c r="F94" s="221">
        <f t="shared" si="431"/>
        <v>7.951157177339202E-2</v>
      </c>
      <c r="G94" s="614">
        <f t="shared" si="431"/>
        <v>7.83410138248848E-2</v>
      </c>
      <c r="H94" s="318">
        <f t="shared" si="431"/>
        <v>7.533657977656831E-2</v>
      </c>
      <c r="I94" s="221">
        <f t="shared" si="431"/>
        <v>7.0740925622192113E-2</v>
      </c>
      <c r="J94" s="221">
        <f t="shared" si="431"/>
        <v>7.1917083832757522E-2</v>
      </c>
      <c r="K94" s="614">
        <f t="shared" si="431"/>
        <v>7.107518639816042E-2</v>
      </c>
      <c r="L94" s="318">
        <f t="shared" si="431"/>
        <v>7.0146021099699585E-2</v>
      </c>
      <c r="M94" s="221">
        <f t="shared" si="431"/>
        <v>7.0279844137442427E-2</v>
      </c>
      <c r="N94" s="221">
        <f t="shared" si="431"/>
        <v>7.2066878062842343E-2</v>
      </c>
      <c r="O94" s="614">
        <f t="shared" si="431"/>
        <v>7.1143911439114402E-2</v>
      </c>
      <c r="P94" s="318">
        <f t="shared" si="431"/>
        <v>6.7850440306048795E-2</v>
      </c>
      <c r="Q94" s="221">
        <f t="shared" si="431"/>
        <v>4.4735623056051901E-2</v>
      </c>
      <c r="R94" s="221">
        <f t="shared" si="431"/>
        <v>4.95412844036697E-2</v>
      </c>
      <c r="S94" s="614">
        <f t="shared" si="431"/>
        <v>5.302104111704526E-2</v>
      </c>
      <c r="T94" s="318">
        <f t="shared" si="431"/>
        <v>5.4296357093250834E-2</v>
      </c>
      <c r="U94" s="221">
        <f t="shared" si="431"/>
        <v>5.5829228243021327E-2</v>
      </c>
      <c r="V94" s="221">
        <f t="shared" si="431"/>
        <v>5.5321260233192747E-2</v>
      </c>
      <c r="W94" s="614">
        <f t="shared" si="431"/>
        <v>6.0456508328192472E-2</v>
      </c>
      <c r="X94" s="318">
        <f t="shared" si="431"/>
        <v>5.615696887686062E-2</v>
      </c>
      <c r="Y94" s="221">
        <f t="shared" si="431"/>
        <v>6.7917783735478104E-2</v>
      </c>
      <c r="Z94" s="221">
        <f t="shared" si="431"/>
        <v>6.7736579966795787E-2</v>
      </c>
      <c r="AA94" s="614">
        <f t="shared" si="431"/>
        <v>6.677333333333331E-2</v>
      </c>
      <c r="AB94" s="318">
        <f t="shared" si="431"/>
        <v>6.8872456414961952E-2</v>
      </c>
      <c r="AC94" s="221">
        <f t="shared" si="431"/>
        <v>6.6895368782161235E-2</v>
      </c>
      <c r="AD94" s="221">
        <f t="shared" si="431"/>
        <v>6.544571700005275E-2</v>
      </c>
      <c r="AE94" s="614">
        <f t="shared" si="431"/>
        <v>6.3851154923621756E-2</v>
      </c>
      <c r="AF94" s="318">
        <f t="shared" si="431"/>
        <v>6.4021272243812655E-2</v>
      </c>
      <c r="AG94" s="221">
        <f t="shared" si="431"/>
        <v>6.2342786683107262E-2</v>
      </c>
      <c r="AH94" s="221">
        <f t="shared" si="431"/>
        <v>6.4728626664757274E-2</v>
      </c>
      <c r="AI94" s="614">
        <f t="shared" si="431"/>
        <v>6.6549588686569919E-2</v>
      </c>
      <c r="AJ94" s="318">
        <f t="shared" si="431"/>
        <v>7.0671378091872794E-2</v>
      </c>
      <c r="AK94" s="221">
        <f t="shared" si="431"/>
        <v>7.1406003159557668E-2</v>
      </c>
      <c r="AL94" s="221">
        <f t="shared" si="431"/>
        <v>7.2601826806225248E-2</v>
      </c>
      <c r="AM94" s="614">
        <f t="shared" si="431"/>
        <v>8.0659658446988969E-2</v>
      </c>
      <c r="AN94" s="318">
        <f t="shared" si="431"/>
        <v>7.6640098099325565E-2</v>
      </c>
      <c r="AO94" s="221">
        <f t="shared" si="431"/>
        <v>7.3641670408621462E-2</v>
      </c>
      <c r="AP94" s="221">
        <f t="shared" si="431"/>
        <v>7.3193847051104433E-2</v>
      </c>
      <c r="AQ94" s="221">
        <f t="shared" si="431"/>
        <v>7.6053756872327447E-2</v>
      </c>
      <c r="AR94" s="318">
        <f t="shared" si="431"/>
        <v>6.5777632332487929E-2</v>
      </c>
      <c r="AS94" s="221">
        <f t="shared" si="431"/>
        <v>7.5395706633372264E-2</v>
      </c>
      <c r="AT94" s="221">
        <f t="shared" si="431"/>
        <v>7.2187007953490243E-2</v>
      </c>
      <c r="AU94" s="221">
        <f>AU93/AU82*4</f>
        <v>7.7099737532808438E-2</v>
      </c>
      <c r="AV94" s="318">
        <f t="shared" si="431"/>
        <v>8.4376635401151326E-2</v>
      </c>
      <c r="AW94" s="221">
        <f t="shared" ref="AW94:BB94" si="432">AW93/AW82*4</f>
        <v>6.423266845522764E-2</v>
      </c>
      <c r="AX94" s="221">
        <f t="shared" si="432"/>
        <v>7.3149837982792676E-2</v>
      </c>
      <c r="AY94" s="221">
        <f t="shared" si="432"/>
        <v>8.5478964161163462E-2</v>
      </c>
      <c r="AZ94" s="318">
        <f t="shared" si="432"/>
        <v>0.13138154540820043</v>
      </c>
      <c r="BA94" s="221">
        <f t="shared" si="432"/>
        <v>0.12670202092589936</v>
      </c>
      <c r="BB94" s="221">
        <f t="shared" si="432"/>
        <v>0.12449406838799726</v>
      </c>
      <c r="BC94" s="221">
        <f t="shared" ref="BC94:BG94" si="433">BC93/BC82*4</f>
        <v>0.12440688532539053</v>
      </c>
      <c r="BD94" s="318">
        <f t="shared" si="433"/>
        <v>0.11006171366224556</v>
      </c>
      <c r="BE94" s="221">
        <f t="shared" si="433"/>
        <v>0.10642066914001137</v>
      </c>
      <c r="BF94" s="221">
        <f t="shared" si="433"/>
        <v>8.7307582111322335E-2</v>
      </c>
      <c r="BG94" s="221">
        <f t="shared" si="433"/>
        <v>0.12026759539976452</v>
      </c>
      <c r="BH94" s="318">
        <f t="shared" ref="BH94:BK94" si="434">BH93/BH82*4</f>
        <v>0.11250553668979772</v>
      </c>
      <c r="BI94" s="221">
        <f t="shared" si="434"/>
        <v>0.11106079744512502</v>
      </c>
      <c r="BJ94" s="221">
        <f t="shared" si="434"/>
        <v>0.12021369231131294</v>
      </c>
      <c r="BK94" s="221">
        <f t="shared" si="434"/>
        <v>0.111841210857842</v>
      </c>
      <c r="BL94" s="1147">
        <f t="shared" ref="BL94:BO94" si="435">BK94</f>
        <v>0.111841210857842</v>
      </c>
      <c r="BM94" s="1148">
        <f t="shared" si="435"/>
        <v>0.111841210857842</v>
      </c>
      <c r="BN94" s="1148">
        <f t="shared" si="435"/>
        <v>0.111841210857842</v>
      </c>
      <c r="BO94" s="1149">
        <f t="shared" si="435"/>
        <v>0.111841210857842</v>
      </c>
      <c r="BP94" s="1147">
        <f t="shared" ref="BP94" si="436">BO94</f>
        <v>0.111841210857842</v>
      </c>
      <c r="BQ94" s="1148">
        <f t="shared" ref="BQ94" si="437">BP94</f>
        <v>0.111841210857842</v>
      </c>
      <c r="BR94" s="1148">
        <f t="shared" ref="BR94" si="438">BQ94</f>
        <v>0.111841210857842</v>
      </c>
      <c r="BS94" s="1149">
        <f t="shared" ref="BS94" si="439">BR94</f>
        <v>0.111841210857842</v>
      </c>
      <c r="BT94" s="1147">
        <f t="shared" ref="BT94" si="440">BS94</f>
        <v>0.111841210857842</v>
      </c>
      <c r="BU94" s="1148">
        <f t="shared" ref="BU94" si="441">BT94</f>
        <v>0.111841210857842</v>
      </c>
      <c r="BV94" s="1148">
        <f t="shared" ref="BV94" si="442">BU94</f>
        <v>0.111841210857842</v>
      </c>
      <c r="BW94" s="1149">
        <f t="shared" ref="BW94" si="443">BV94</f>
        <v>0.111841210857842</v>
      </c>
      <c r="BX94" s="21"/>
      <c r="BY94" s="238">
        <f t="shared" ref="BY94:CJ94" si="444">BY96/BY82</f>
        <v>8.7773617511520741E-2</v>
      </c>
      <c r="BZ94" s="238">
        <f t="shared" si="444"/>
        <v>7.114486795345272E-2</v>
      </c>
      <c r="CA94" s="238">
        <f t="shared" si="444"/>
        <v>7.3062730627306269E-2</v>
      </c>
      <c r="CB94" s="238">
        <f t="shared" si="444"/>
        <v>5.141239302490188E-2</v>
      </c>
      <c r="CC94" s="238">
        <f t="shared" si="444"/>
        <v>5.576804441702652E-2</v>
      </c>
      <c r="CD94" s="238">
        <f t="shared" si="444"/>
        <v>6.2506666666666655E-2</v>
      </c>
      <c r="CE94" s="238">
        <f t="shared" si="444"/>
        <v>6.5701146995084309E-2</v>
      </c>
      <c r="CF94" s="238">
        <f t="shared" si="444"/>
        <v>6.1373509566503372E-2</v>
      </c>
      <c r="CG94" s="238">
        <f t="shared" si="444"/>
        <v>7.253116573527689E-2</v>
      </c>
      <c r="CH94" s="238">
        <f t="shared" si="444"/>
        <v>7.6053756872327433E-2</v>
      </c>
      <c r="CI94" s="238">
        <f t="shared" si="444"/>
        <v>7.3285761154855647E-2</v>
      </c>
      <c r="CJ94" s="238">
        <f t="shared" si="444"/>
        <v>7.4348890702678638E-2</v>
      </c>
      <c r="CK94" s="238">
        <f t="shared" ref="CK94:CP94" si="445">CK96/CK82</f>
        <v>0.12385273438852908</v>
      </c>
      <c r="CL94" s="238">
        <f t="shared" si="445"/>
        <v>9.122798226052968E-2</v>
      </c>
      <c r="CM94" s="238">
        <f t="shared" si="445"/>
        <v>0.10919019350160872</v>
      </c>
      <c r="CN94" s="238">
        <f t="shared" si="445"/>
        <v>0.10855061058566198</v>
      </c>
      <c r="CO94" s="238">
        <f t="shared" si="445"/>
        <v>0.10868608275106155</v>
      </c>
      <c r="CP94" s="914">
        <f t="shared" si="445"/>
        <v>0.10880501398797097</v>
      </c>
      <c r="CQ94" s="22"/>
    </row>
    <row r="95" spans="1:95" ht="14.25" customHeight="1">
      <c r="A95" s="9"/>
      <c r="B95" s="15"/>
      <c r="C95" s="15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G95" s="209"/>
      <c r="AH95" s="209"/>
      <c r="AI95" s="209"/>
      <c r="AJ95" s="209"/>
      <c r="AK95" s="209"/>
      <c r="AL95" s="209"/>
      <c r="AM95" s="209"/>
      <c r="AN95" s="209"/>
      <c r="AO95" s="209"/>
      <c r="AP95" s="209"/>
      <c r="AQ95" s="209"/>
      <c r="AR95" s="209"/>
      <c r="AS95" s="209"/>
      <c r="AT95" s="209"/>
      <c r="AU95" s="209"/>
      <c r="AV95" s="209"/>
      <c r="AW95" s="209"/>
      <c r="AX95" s="209"/>
      <c r="AY95" s="209"/>
      <c r="AZ95" s="209"/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  <c r="BK95" s="209"/>
      <c r="BL95" s="209"/>
      <c r="BM95" s="209"/>
      <c r="BN95" s="209"/>
      <c r="BO95" s="209"/>
      <c r="BP95" s="209"/>
      <c r="BQ95" s="209"/>
      <c r="BR95" s="209"/>
      <c r="BS95" s="209"/>
      <c r="BT95" s="209"/>
      <c r="BU95" s="209"/>
      <c r="BV95" s="209"/>
      <c r="BW95" s="209"/>
      <c r="BX95" s="9"/>
      <c r="BY95" s="209"/>
      <c r="BZ95" s="209"/>
      <c r="CA95" s="209"/>
      <c r="CB95" s="209"/>
      <c r="CC95" s="209"/>
      <c r="CD95" s="209"/>
      <c r="CE95" s="209"/>
      <c r="CF95" s="209"/>
      <c r="CG95" s="209"/>
      <c r="CH95" s="209"/>
      <c r="CI95" s="209"/>
      <c r="CJ95" s="209"/>
      <c r="CK95" s="209"/>
      <c r="CL95" s="209"/>
      <c r="CM95" s="209"/>
      <c r="CN95" s="209"/>
      <c r="CO95" s="209"/>
      <c r="CP95" s="210"/>
      <c r="CQ95" s="15"/>
    </row>
    <row r="96" spans="1:95" ht="14.25" customHeight="1">
      <c r="A96" s="9"/>
      <c r="B96" s="61" t="s">
        <v>289</v>
      </c>
      <c r="C96" s="198"/>
      <c r="D96" s="650">
        <f t="shared" ref="D96:AI96" si="446">D11</f>
        <v>33</v>
      </c>
      <c r="E96" s="199">
        <f t="shared" si="446"/>
        <v>33.699999999999989</v>
      </c>
      <c r="F96" s="199">
        <f t="shared" si="446"/>
        <v>28</v>
      </c>
      <c r="G96" s="199">
        <f t="shared" si="446"/>
        <v>27.200000000000003</v>
      </c>
      <c r="H96" s="650">
        <f t="shared" si="446"/>
        <v>26.3</v>
      </c>
      <c r="I96" s="199">
        <f t="shared" si="446"/>
        <v>24.8</v>
      </c>
      <c r="J96" s="199">
        <f t="shared" si="446"/>
        <v>25.499999999999996</v>
      </c>
      <c r="K96" s="199">
        <f t="shared" si="446"/>
        <v>25.500000000000004</v>
      </c>
      <c r="L96" s="650">
        <f t="shared" si="446"/>
        <v>25.1</v>
      </c>
      <c r="M96" s="199">
        <f t="shared" si="446"/>
        <v>24.799999999999997</v>
      </c>
      <c r="N96" s="199">
        <f t="shared" si="446"/>
        <v>25.000000000000007</v>
      </c>
      <c r="O96" s="199">
        <f t="shared" si="446"/>
        <v>24.1</v>
      </c>
      <c r="P96" s="650">
        <f t="shared" si="446"/>
        <v>23.5</v>
      </c>
      <c r="Q96" s="199">
        <f t="shared" si="446"/>
        <v>16.900000000000006</v>
      </c>
      <c r="R96" s="199">
        <f t="shared" si="446"/>
        <v>18.899999999999991</v>
      </c>
      <c r="S96" s="199">
        <f t="shared" si="446"/>
        <v>20.600000000000009</v>
      </c>
      <c r="T96" s="650">
        <f t="shared" si="446"/>
        <v>21.5</v>
      </c>
      <c r="U96" s="199">
        <f t="shared" si="446"/>
        <v>22.099999999999994</v>
      </c>
      <c r="V96" s="199">
        <f t="shared" si="446"/>
        <v>22.299999999999997</v>
      </c>
      <c r="W96" s="199">
        <f t="shared" si="446"/>
        <v>24.5</v>
      </c>
      <c r="X96" s="650">
        <f t="shared" si="446"/>
        <v>24.9</v>
      </c>
      <c r="Y96" s="199">
        <f t="shared" si="446"/>
        <v>30.4</v>
      </c>
      <c r="Z96" s="199">
        <f t="shared" si="446"/>
        <v>30.599999999999994</v>
      </c>
      <c r="AA96" s="199">
        <f t="shared" si="446"/>
        <v>31.29999999999999</v>
      </c>
      <c r="AB96" s="650">
        <f t="shared" si="446"/>
        <v>31.900000000000002</v>
      </c>
      <c r="AC96" s="199">
        <f t="shared" si="446"/>
        <v>31.2</v>
      </c>
      <c r="AD96" s="199">
        <f t="shared" si="446"/>
        <v>30.999999999999989</v>
      </c>
      <c r="AE96" s="199">
        <f t="shared" si="446"/>
        <v>30.2</v>
      </c>
      <c r="AF96" s="650">
        <f t="shared" si="446"/>
        <v>31.300000000000004</v>
      </c>
      <c r="AG96" s="199">
        <f t="shared" si="446"/>
        <v>31.599999999999994</v>
      </c>
      <c r="AH96" s="199">
        <f t="shared" si="446"/>
        <v>33.900000000000006</v>
      </c>
      <c r="AI96" s="199">
        <f t="shared" si="446"/>
        <v>36</v>
      </c>
      <c r="AJ96" s="650">
        <f t="shared" ref="AJ96:BO96" si="447">AJ11</f>
        <v>42.5</v>
      </c>
      <c r="AK96" s="199">
        <f t="shared" si="447"/>
        <v>45.2</v>
      </c>
      <c r="AL96" s="199">
        <f t="shared" si="447"/>
        <v>46.3</v>
      </c>
      <c r="AM96" s="199">
        <f t="shared" si="447"/>
        <v>51.600000000000023</v>
      </c>
      <c r="AN96" s="650">
        <f t="shared" si="447"/>
        <v>50</v>
      </c>
      <c r="AO96" s="199">
        <f t="shared" si="447"/>
        <v>49.2</v>
      </c>
      <c r="AP96" s="199">
        <f t="shared" si="447"/>
        <v>50.199999999999974</v>
      </c>
      <c r="AQ96" s="199">
        <f t="shared" si="447"/>
        <v>49.800000000000011</v>
      </c>
      <c r="AR96" s="650">
        <f t="shared" si="447"/>
        <v>40.199999999999996</v>
      </c>
      <c r="AS96" s="199">
        <f t="shared" si="447"/>
        <v>46.800000000000004</v>
      </c>
      <c r="AT96" s="199">
        <f t="shared" si="447"/>
        <v>44.699999999999996</v>
      </c>
      <c r="AU96" s="199">
        <f t="shared" si="447"/>
        <v>47.000000000000021</v>
      </c>
      <c r="AV96" s="650">
        <f t="shared" si="447"/>
        <v>52.4</v>
      </c>
      <c r="AW96" s="199">
        <f t="shared" si="447"/>
        <v>41.29999999999999</v>
      </c>
      <c r="AX96" s="199">
        <f t="shared" si="447"/>
        <v>49.100000000000016</v>
      </c>
      <c r="AY96" s="199">
        <f t="shared" si="447"/>
        <v>57.6</v>
      </c>
      <c r="AZ96" s="650">
        <f t="shared" si="447"/>
        <v>90.2</v>
      </c>
      <c r="BA96" s="199">
        <f t="shared" si="447"/>
        <v>88.399999999999991</v>
      </c>
      <c r="BB96" s="199">
        <f t="shared" si="447"/>
        <v>89.200000000000031</v>
      </c>
      <c r="BC96" s="199">
        <f t="shared" si="447"/>
        <v>89.800000000000026</v>
      </c>
      <c r="BD96" s="650">
        <f t="shared" si="447"/>
        <v>80.7</v>
      </c>
      <c r="BE96" s="199">
        <f t="shared" si="447"/>
        <v>79.600000000000009</v>
      </c>
      <c r="BF96" s="199">
        <f t="shared" si="447"/>
        <v>83.799999999999969</v>
      </c>
      <c r="BG96" s="199">
        <f t="shared" ref="BG96:BJ96" si="448">BG11</f>
        <v>120.00000000000004</v>
      </c>
      <c r="BH96" s="650">
        <f t="shared" si="448"/>
        <v>114.3</v>
      </c>
      <c r="BI96" s="199">
        <f t="shared" si="448"/>
        <v>116.50000000000001</v>
      </c>
      <c r="BJ96" s="199">
        <f t="shared" si="448"/>
        <v>127.69999999999997</v>
      </c>
      <c r="BK96" s="199">
        <f t="shared" ref="BK96" si="449">BK11</f>
        <v>123.39999999999999</v>
      </c>
      <c r="BL96" s="650">
        <f t="shared" si="447"/>
        <v>125.88960506570898</v>
      </c>
      <c r="BM96" s="199">
        <f t="shared" si="447"/>
        <v>128.48558092442789</v>
      </c>
      <c r="BN96" s="199">
        <f t="shared" si="447"/>
        <v>131.14286826213046</v>
      </c>
      <c r="BO96" s="199">
        <f t="shared" si="447"/>
        <v>133.75307507213395</v>
      </c>
      <c r="BP96" s="650">
        <f t="shared" ref="BP96:BS96" si="450">BP11</f>
        <v>136.34880039819811</v>
      </c>
      <c r="BQ96" s="199">
        <f t="shared" si="450"/>
        <v>139.04153509078716</v>
      </c>
      <c r="BR96" s="199">
        <f t="shared" si="450"/>
        <v>141.79274421233362</v>
      </c>
      <c r="BS96" s="199">
        <f t="shared" si="450"/>
        <v>144.4961595974801</v>
      </c>
      <c r="BT96" s="650">
        <f t="shared" ref="BT96:BW96" si="451">BT11</f>
        <v>147.1884656289499</v>
      </c>
      <c r="BU96" s="199">
        <f t="shared" si="451"/>
        <v>149.98114767533426</v>
      </c>
      <c r="BV96" s="199">
        <f t="shared" si="451"/>
        <v>152.83176745980248</v>
      </c>
      <c r="BW96" s="199">
        <f t="shared" si="451"/>
        <v>155.63386435411434</v>
      </c>
      <c r="BX96" s="149"/>
      <c r="BY96" s="199">
        <f t="shared" ref="BY96:CN96" si="452">BY11</f>
        <v>121.89999999999999</v>
      </c>
      <c r="BZ96" s="199">
        <f t="shared" si="452"/>
        <v>102.1</v>
      </c>
      <c r="CA96" s="199">
        <f t="shared" si="452"/>
        <v>99</v>
      </c>
      <c r="CB96" s="199">
        <f t="shared" si="452"/>
        <v>79.900000000000006</v>
      </c>
      <c r="CC96" s="199">
        <f t="shared" si="452"/>
        <v>90.399999999999991</v>
      </c>
      <c r="CD96" s="199">
        <f t="shared" si="452"/>
        <v>117.19999999999999</v>
      </c>
      <c r="CE96" s="199">
        <f t="shared" si="452"/>
        <v>124.3</v>
      </c>
      <c r="CF96" s="199">
        <f t="shared" si="452"/>
        <v>132.80000000000001</v>
      </c>
      <c r="CG96" s="199">
        <f t="shared" si="452"/>
        <v>185.60000000000002</v>
      </c>
      <c r="CH96" s="199">
        <f t="shared" si="452"/>
        <v>199.2</v>
      </c>
      <c r="CI96" s="199">
        <f t="shared" si="452"/>
        <v>178.70000000000002</v>
      </c>
      <c r="CJ96" s="199">
        <f t="shared" si="452"/>
        <v>200.4</v>
      </c>
      <c r="CK96" s="199">
        <f t="shared" si="452"/>
        <v>357.6</v>
      </c>
      <c r="CL96" s="199">
        <f t="shared" si="452"/>
        <v>364.1</v>
      </c>
      <c r="CM96" s="199">
        <f t="shared" si="452"/>
        <v>481.9</v>
      </c>
      <c r="CN96" s="199">
        <f t="shared" si="452"/>
        <v>519.27112932440127</v>
      </c>
      <c r="CO96" s="199">
        <f t="shared" ref="CO96:CP96" si="453">CO11</f>
        <v>561.67923929879896</v>
      </c>
      <c r="CP96" s="146">
        <f t="shared" si="453"/>
        <v>605.63524511820106</v>
      </c>
      <c r="CQ96" s="22"/>
    </row>
    <row r="97" spans="1:95" ht="14.25" customHeight="1">
      <c r="A97" s="9"/>
      <c r="B97" s="123" t="s">
        <v>166</v>
      </c>
      <c r="C97" s="124"/>
      <c r="D97" s="127">
        <f t="shared" ref="D97:AT97" si="454">D93-D96</f>
        <v>0</v>
      </c>
      <c r="E97" s="125">
        <f t="shared" si="454"/>
        <v>0</v>
      </c>
      <c r="F97" s="125">
        <f t="shared" si="454"/>
        <v>0</v>
      </c>
      <c r="G97" s="126">
        <f t="shared" si="454"/>
        <v>0</v>
      </c>
      <c r="H97" s="127">
        <f t="shared" si="454"/>
        <v>0</v>
      </c>
      <c r="I97" s="125">
        <f t="shared" si="454"/>
        <v>0</v>
      </c>
      <c r="J97" s="125">
        <f t="shared" si="454"/>
        <v>0</v>
      </c>
      <c r="K97" s="126">
        <f t="shared" si="454"/>
        <v>0</v>
      </c>
      <c r="L97" s="127">
        <f t="shared" si="454"/>
        <v>0</v>
      </c>
      <c r="M97" s="125">
        <f t="shared" si="454"/>
        <v>0</v>
      </c>
      <c r="N97" s="125">
        <f t="shared" si="454"/>
        <v>0</v>
      </c>
      <c r="O97" s="126">
        <f t="shared" si="454"/>
        <v>0</v>
      </c>
      <c r="P97" s="127">
        <f t="shared" si="454"/>
        <v>0</v>
      </c>
      <c r="Q97" s="125">
        <f t="shared" si="454"/>
        <v>0</v>
      </c>
      <c r="R97" s="125">
        <f t="shared" si="454"/>
        <v>0</v>
      </c>
      <c r="S97" s="126">
        <f t="shared" si="454"/>
        <v>0</v>
      </c>
      <c r="T97" s="127">
        <f t="shared" si="454"/>
        <v>0</v>
      </c>
      <c r="U97" s="125">
        <f t="shared" si="454"/>
        <v>0</v>
      </c>
      <c r="V97" s="125">
        <f t="shared" si="454"/>
        <v>0</v>
      </c>
      <c r="W97" s="126">
        <f t="shared" si="454"/>
        <v>0</v>
      </c>
      <c r="X97" s="127">
        <f t="shared" si="454"/>
        <v>0</v>
      </c>
      <c r="Y97" s="125">
        <f t="shared" si="454"/>
        <v>0</v>
      </c>
      <c r="Z97" s="125">
        <f t="shared" si="454"/>
        <v>0</v>
      </c>
      <c r="AA97" s="126">
        <f t="shared" si="454"/>
        <v>0</v>
      </c>
      <c r="AB97" s="127">
        <f t="shared" si="454"/>
        <v>0</v>
      </c>
      <c r="AC97" s="125">
        <f t="shared" si="454"/>
        <v>0</v>
      </c>
      <c r="AD97" s="125">
        <f t="shared" si="454"/>
        <v>0</v>
      </c>
      <c r="AE97" s="126">
        <f t="shared" si="454"/>
        <v>0</v>
      </c>
      <c r="AF97" s="127">
        <f t="shared" si="454"/>
        <v>0</v>
      </c>
      <c r="AG97" s="125">
        <f t="shared" si="454"/>
        <v>0</v>
      </c>
      <c r="AH97" s="125">
        <f t="shared" si="454"/>
        <v>0</v>
      </c>
      <c r="AI97" s="126">
        <f t="shared" si="454"/>
        <v>0</v>
      </c>
      <c r="AJ97" s="127">
        <f t="shared" si="454"/>
        <v>0</v>
      </c>
      <c r="AK97" s="125">
        <f t="shared" si="454"/>
        <v>0</v>
      </c>
      <c r="AL97" s="125">
        <f t="shared" si="454"/>
        <v>0</v>
      </c>
      <c r="AM97" s="126">
        <f t="shared" si="454"/>
        <v>0</v>
      </c>
      <c r="AN97" s="127">
        <f t="shared" si="454"/>
        <v>0</v>
      </c>
      <c r="AO97" s="125">
        <f t="shared" si="454"/>
        <v>0</v>
      </c>
      <c r="AP97" s="125">
        <f t="shared" si="454"/>
        <v>0</v>
      </c>
      <c r="AQ97" s="125">
        <f t="shared" si="454"/>
        <v>0</v>
      </c>
      <c r="AR97" s="127">
        <f t="shared" si="454"/>
        <v>0</v>
      </c>
      <c r="AS97" s="125">
        <f t="shared" si="454"/>
        <v>0</v>
      </c>
      <c r="AT97" s="125">
        <f t="shared" si="454"/>
        <v>0</v>
      </c>
      <c r="AU97" s="125">
        <f>AU93-AU96</f>
        <v>0</v>
      </c>
      <c r="AV97" s="127">
        <f t="shared" ref="AV97:BA97" si="455">AV93-AV96</f>
        <v>0</v>
      </c>
      <c r="AW97" s="125">
        <f t="shared" si="455"/>
        <v>0</v>
      </c>
      <c r="AX97" s="125">
        <f t="shared" si="455"/>
        <v>0</v>
      </c>
      <c r="AY97" s="125">
        <f>AY93-AY96</f>
        <v>0</v>
      </c>
      <c r="AZ97" s="127">
        <f>AZ93-AZ96</f>
        <v>0</v>
      </c>
      <c r="BA97" s="125">
        <f t="shared" si="455"/>
        <v>0</v>
      </c>
      <c r="BB97" s="125">
        <f>BB93-BB96</f>
        <v>0</v>
      </c>
      <c r="BC97" s="125">
        <f>BC93-BC96</f>
        <v>0</v>
      </c>
      <c r="BD97" s="127">
        <f>BD93-BD96</f>
        <v>0</v>
      </c>
      <c r="BE97" s="125">
        <f t="shared" ref="BE97:BJ97" si="456">BE93-BE96</f>
        <v>0</v>
      </c>
      <c r="BF97" s="125">
        <f t="shared" ref="BF97" si="457">BF93-BF96</f>
        <v>0</v>
      </c>
      <c r="BG97" s="125">
        <f>BG93-BG96</f>
        <v>0</v>
      </c>
      <c r="BH97" s="127">
        <f>BH93-BH96</f>
        <v>0</v>
      </c>
      <c r="BI97" s="125">
        <f t="shared" si="456"/>
        <v>0</v>
      </c>
      <c r="BJ97" s="125">
        <f t="shared" si="456"/>
        <v>0</v>
      </c>
      <c r="BK97" s="125">
        <f>BK93-BK96</f>
        <v>0</v>
      </c>
      <c r="BL97" s="127">
        <f t="shared" ref="BL97:BS97" si="458">BL93-BL96</f>
        <v>0</v>
      </c>
      <c r="BM97" s="125">
        <f t="shared" si="458"/>
        <v>0</v>
      </c>
      <c r="BN97" s="125">
        <f t="shared" si="458"/>
        <v>0</v>
      </c>
      <c r="BO97" s="126">
        <f t="shared" si="458"/>
        <v>0</v>
      </c>
      <c r="BP97" s="127">
        <f t="shared" si="458"/>
        <v>0</v>
      </c>
      <c r="BQ97" s="125">
        <f t="shared" si="458"/>
        <v>0</v>
      </c>
      <c r="BR97" s="125">
        <f t="shared" si="458"/>
        <v>0</v>
      </c>
      <c r="BS97" s="126">
        <f t="shared" si="458"/>
        <v>0</v>
      </c>
      <c r="BT97" s="127">
        <f t="shared" ref="BT97:BW97" si="459">BT93-BT96</f>
        <v>0</v>
      </c>
      <c r="BU97" s="125">
        <f t="shared" si="459"/>
        <v>0</v>
      </c>
      <c r="BV97" s="125">
        <f t="shared" si="459"/>
        <v>0</v>
      </c>
      <c r="BW97" s="126">
        <f t="shared" si="459"/>
        <v>0</v>
      </c>
      <c r="BX97" s="149"/>
      <c r="BY97" s="125">
        <f t="shared" ref="BY97:CH97" si="460">BY93-BY96</f>
        <v>0</v>
      </c>
      <c r="BZ97" s="125">
        <f t="shared" si="460"/>
        <v>0</v>
      </c>
      <c r="CA97" s="125">
        <f t="shared" si="460"/>
        <v>0</v>
      </c>
      <c r="CB97" s="125">
        <f t="shared" si="460"/>
        <v>0</v>
      </c>
      <c r="CC97" s="125">
        <f t="shared" si="460"/>
        <v>0</v>
      </c>
      <c r="CD97" s="125">
        <f t="shared" si="460"/>
        <v>0</v>
      </c>
      <c r="CE97" s="125">
        <f t="shared" si="460"/>
        <v>0</v>
      </c>
      <c r="CF97" s="125">
        <f t="shared" si="460"/>
        <v>0</v>
      </c>
      <c r="CG97" s="125">
        <f t="shared" si="460"/>
        <v>0</v>
      </c>
      <c r="CH97" s="125">
        <f t="shared" si="460"/>
        <v>0</v>
      </c>
      <c r="CI97" s="125">
        <f t="shared" ref="CI97:CN97" si="461">CI93-CI96</f>
        <v>0</v>
      </c>
      <c r="CJ97" s="125">
        <f t="shared" si="461"/>
        <v>0</v>
      </c>
      <c r="CK97" s="125">
        <f t="shared" si="461"/>
        <v>0</v>
      </c>
      <c r="CL97" s="125">
        <f t="shared" si="461"/>
        <v>0</v>
      </c>
      <c r="CM97" s="125">
        <f t="shared" si="461"/>
        <v>0</v>
      </c>
      <c r="CN97" s="125">
        <f t="shared" si="461"/>
        <v>0</v>
      </c>
      <c r="CO97" s="125">
        <f t="shared" ref="CO97:CP97" si="462">CO93-CO96</f>
        <v>0</v>
      </c>
      <c r="CP97" s="126">
        <f t="shared" si="462"/>
        <v>0</v>
      </c>
      <c r="CQ97" s="22"/>
    </row>
    <row r="98" spans="1:95" ht="14.25" customHeight="1">
      <c r="A98" s="9"/>
      <c r="B98" s="15"/>
      <c r="C98" s="15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15"/>
      <c r="CQ98" s="15"/>
    </row>
    <row r="99" spans="1:95" ht="14.25" customHeight="1">
      <c r="A99" s="9"/>
      <c r="B99" s="15"/>
      <c r="C99" s="15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15"/>
      <c r="CQ99" s="15"/>
    </row>
    <row r="100" spans="1:95" ht="14.25" customHeight="1">
      <c r="A100" s="9"/>
      <c r="B100" s="131" t="s">
        <v>290</v>
      </c>
      <c r="C100" s="132"/>
      <c r="D100" s="234" t="str">
        <f>D92</f>
        <v>F1Q03A</v>
      </c>
      <c r="E100" s="204" t="str">
        <f t="shared" ref="E100:AY100" si="463">E92</f>
        <v>F2Q03A</v>
      </c>
      <c r="F100" s="204" t="str">
        <f t="shared" si="463"/>
        <v>F3Q03A</v>
      </c>
      <c r="G100" s="205" t="str">
        <f t="shared" si="463"/>
        <v>F4Q03A</v>
      </c>
      <c r="H100" s="234" t="str">
        <f>H92</f>
        <v>F1Q04A</v>
      </c>
      <c r="I100" s="204" t="str">
        <f t="shared" si="463"/>
        <v>F2Q04A</v>
      </c>
      <c r="J100" s="204" t="str">
        <f t="shared" si="463"/>
        <v>F3Q04A</v>
      </c>
      <c r="K100" s="205" t="str">
        <f t="shared" si="463"/>
        <v>F4Q04A</v>
      </c>
      <c r="L100" s="234" t="str">
        <f>L92</f>
        <v>F1Q05A</v>
      </c>
      <c r="M100" s="204" t="str">
        <f t="shared" si="463"/>
        <v>F2Q05A</v>
      </c>
      <c r="N100" s="204" t="str">
        <f t="shared" si="463"/>
        <v>F3Q05A</v>
      </c>
      <c r="O100" s="205" t="str">
        <f t="shared" si="463"/>
        <v>F4Q05A</v>
      </c>
      <c r="P100" s="234" t="str">
        <f>P92</f>
        <v>F1Q06A</v>
      </c>
      <c r="Q100" s="204" t="str">
        <f t="shared" si="463"/>
        <v>F2Q06A</v>
      </c>
      <c r="R100" s="204" t="str">
        <f t="shared" si="463"/>
        <v>F3Q06A</v>
      </c>
      <c r="S100" s="205" t="str">
        <f t="shared" si="463"/>
        <v>F4Q06A</v>
      </c>
      <c r="T100" s="234" t="str">
        <f>T92</f>
        <v>F1Q07A</v>
      </c>
      <c r="U100" s="204" t="str">
        <f t="shared" si="463"/>
        <v>F2Q07A</v>
      </c>
      <c r="V100" s="204" t="str">
        <f t="shared" si="463"/>
        <v>F3Q07A</v>
      </c>
      <c r="W100" s="205" t="str">
        <f t="shared" si="463"/>
        <v>F4Q07A</v>
      </c>
      <c r="X100" s="234" t="str">
        <f>X92</f>
        <v>F1Q08A</v>
      </c>
      <c r="Y100" s="204" t="str">
        <f t="shared" si="463"/>
        <v>F2Q08A</v>
      </c>
      <c r="Z100" s="204" t="str">
        <f t="shared" si="463"/>
        <v>F3Q08A</v>
      </c>
      <c r="AA100" s="205" t="str">
        <f t="shared" si="463"/>
        <v>F4Q08A</v>
      </c>
      <c r="AB100" s="234" t="str">
        <f>AB92</f>
        <v>F1Q09A</v>
      </c>
      <c r="AC100" s="204" t="str">
        <f t="shared" si="463"/>
        <v>F2Q09A</v>
      </c>
      <c r="AD100" s="204" t="str">
        <f t="shared" si="463"/>
        <v>F3Q09A</v>
      </c>
      <c r="AE100" s="205" t="str">
        <f t="shared" si="463"/>
        <v>F4Q09A</v>
      </c>
      <c r="AF100" s="234" t="str">
        <f>AF92</f>
        <v>F1Q10A</v>
      </c>
      <c r="AG100" s="204" t="str">
        <f t="shared" si="463"/>
        <v>F2Q10A</v>
      </c>
      <c r="AH100" s="204" t="str">
        <f t="shared" si="463"/>
        <v>F3Q10A</v>
      </c>
      <c r="AI100" s="205" t="str">
        <f t="shared" si="463"/>
        <v>F4Q10A</v>
      </c>
      <c r="AJ100" s="234" t="str">
        <f>AJ92</f>
        <v>F1Q11A</v>
      </c>
      <c r="AK100" s="204" t="str">
        <f t="shared" si="463"/>
        <v>F2Q11A</v>
      </c>
      <c r="AL100" s="204" t="str">
        <f t="shared" si="463"/>
        <v>F3Q11A</v>
      </c>
      <c r="AM100" s="205" t="str">
        <f t="shared" si="463"/>
        <v>F4Q11A</v>
      </c>
      <c r="AN100" s="234" t="str">
        <f>AN92</f>
        <v>F1Q12A</v>
      </c>
      <c r="AO100" s="204" t="str">
        <f t="shared" si="463"/>
        <v>F2Q12A</v>
      </c>
      <c r="AP100" s="204" t="str">
        <f t="shared" si="463"/>
        <v>F3Q12A</v>
      </c>
      <c r="AQ100" s="205" t="str">
        <f t="shared" si="463"/>
        <v>F4Q12A</v>
      </c>
      <c r="AR100" s="234" t="str">
        <f>AR92</f>
        <v>F1Q13A</v>
      </c>
      <c r="AS100" s="204" t="str">
        <f t="shared" si="463"/>
        <v>F2Q13A</v>
      </c>
      <c r="AT100" s="204" t="str">
        <f t="shared" si="463"/>
        <v>F3Q13A</v>
      </c>
      <c r="AU100" s="205" t="str">
        <f t="shared" si="463"/>
        <v>F4Q13A</v>
      </c>
      <c r="AV100" s="234" t="str">
        <f>AV92</f>
        <v>F1Q14A</v>
      </c>
      <c r="AW100" s="204" t="str">
        <f t="shared" si="463"/>
        <v>F2Q14A</v>
      </c>
      <c r="AX100" s="204" t="str">
        <f t="shared" si="463"/>
        <v>F3Q14A</v>
      </c>
      <c r="AY100" s="205" t="str">
        <f t="shared" si="463"/>
        <v>F4Q14A</v>
      </c>
      <c r="AZ100" s="234" t="str">
        <f t="shared" ref="AZ100:BF100" si="464">AZ92</f>
        <v>F1Q15A</v>
      </c>
      <c r="BA100" s="204" t="str">
        <f t="shared" si="464"/>
        <v>F2Q15A</v>
      </c>
      <c r="BB100" s="204" t="str">
        <f t="shared" si="464"/>
        <v>F3Q15A</v>
      </c>
      <c r="BC100" s="205" t="str">
        <f t="shared" si="464"/>
        <v>F4Q15A</v>
      </c>
      <c r="BD100" s="234" t="str">
        <f>BD92</f>
        <v>F1Q16A</v>
      </c>
      <c r="BE100" s="204" t="str">
        <f t="shared" si="464"/>
        <v>F2Q16A</v>
      </c>
      <c r="BF100" s="204" t="str">
        <f t="shared" si="464"/>
        <v>F3Q16A</v>
      </c>
      <c r="BG100" s="205" t="str">
        <f t="shared" ref="BG100" si="465">BG92</f>
        <v>F4Q16A</v>
      </c>
      <c r="BH100" s="234" t="str">
        <f t="shared" ref="BH100:BO100" si="466">BH92</f>
        <v>F1Q17A</v>
      </c>
      <c r="BI100" s="204" t="str">
        <f t="shared" si="466"/>
        <v>F2Q17A</v>
      </c>
      <c r="BJ100" s="204" t="str">
        <f t="shared" si="466"/>
        <v>F3Q17A</v>
      </c>
      <c r="BK100" s="205" t="str">
        <f t="shared" si="466"/>
        <v>F4Q17A</v>
      </c>
      <c r="BL100" s="234" t="str">
        <f t="shared" si="466"/>
        <v>F1Q18E</v>
      </c>
      <c r="BM100" s="204" t="str">
        <f t="shared" si="466"/>
        <v>F2Q18E</v>
      </c>
      <c r="BN100" s="204" t="str">
        <f t="shared" si="466"/>
        <v>F3Q18E</v>
      </c>
      <c r="BO100" s="205" t="str">
        <f t="shared" si="466"/>
        <v>F4Q18E</v>
      </c>
      <c r="BP100" s="234" t="str">
        <f t="shared" ref="BP100:BS100" si="467">BP92</f>
        <v>F1Q19E</v>
      </c>
      <c r="BQ100" s="1250" t="str">
        <f t="shared" si="467"/>
        <v>F2Q19E</v>
      </c>
      <c r="BR100" s="1250" t="str">
        <f t="shared" si="467"/>
        <v>F3Q19E</v>
      </c>
      <c r="BS100" s="205" t="str">
        <f t="shared" si="467"/>
        <v>F4Q19E</v>
      </c>
      <c r="BT100" s="234" t="str">
        <f t="shared" ref="BT100:BW100" si="468">BT92</f>
        <v>F1Q20E</v>
      </c>
      <c r="BU100" s="1250" t="str">
        <f t="shared" si="468"/>
        <v>F2Q20E</v>
      </c>
      <c r="BV100" s="1250" t="str">
        <f t="shared" si="468"/>
        <v>F3Q20E</v>
      </c>
      <c r="BW100" s="205" t="str">
        <f t="shared" si="468"/>
        <v>F4Q20E</v>
      </c>
      <c r="BX100" s="211"/>
      <c r="BY100" s="18" t="str">
        <f>BY92</f>
        <v>FY2003A</v>
      </c>
      <c r="BZ100" s="19" t="str">
        <f t="shared" ref="BZ100:CJ100" si="469">BZ92</f>
        <v>FY2004A</v>
      </c>
      <c r="CA100" s="19" t="str">
        <f t="shared" si="469"/>
        <v>FY2005A</v>
      </c>
      <c r="CB100" s="19" t="str">
        <f t="shared" si="469"/>
        <v>FY2006A</v>
      </c>
      <c r="CC100" s="19" t="str">
        <f t="shared" si="469"/>
        <v>FY2007A</v>
      </c>
      <c r="CD100" s="19" t="str">
        <f t="shared" si="469"/>
        <v>FY2008A</v>
      </c>
      <c r="CE100" s="1391" t="str">
        <f t="shared" si="469"/>
        <v>FY2009A</v>
      </c>
      <c r="CF100" s="1391" t="str">
        <f t="shared" si="469"/>
        <v>FY2010A</v>
      </c>
      <c r="CG100" s="1391" t="str">
        <f t="shared" si="469"/>
        <v>FY2011A</v>
      </c>
      <c r="CH100" s="1391" t="str">
        <f t="shared" si="469"/>
        <v>FY2012A</v>
      </c>
      <c r="CI100" s="1391" t="str">
        <f t="shared" si="469"/>
        <v>FY2013A</v>
      </c>
      <c r="CJ100" s="1391" t="str">
        <f t="shared" si="469"/>
        <v>FY2014A</v>
      </c>
      <c r="CK100" s="1391" t="str">
        <f t="shared" ref="CK100:CP100" si="470">CK92</f>
        <v>FY2015A</v>
      </c>
      <c r="CL100" s="1391" t="str">
        <f t="shared" si="470"/>
        <v>FY2016</v>
      </c>
      <c r="CM100" s="1391" t="str">
        <f t="shared" si="470"/>
        <v>FY2017A</v>
      </c>
      <c r="CN100" s="1391" t="str">
        <f t="shared" si="470"/>
        <v>FY2018E</v>
      </c>
      <c r="CO100" s="1391" t="str">
        <f t="shared" si="470"/>
        <v>FY2019E</v>
      </c>
      <c r="CP100" s="1392" t="str">
        <f t="shared" si="470"/>
        <v>FY2020E</v>
      </c>
      <c r="CQ100" s="22"/>
    </row>
    <row r="101" spans="1:95" ht="14.25" customHeight="1">
      <c r="A101" s="57"/>
      <c r="B101" s="184"/>
      <c r="C101" s="196"/>
      <c r="D101" s="996"/>
      <c r="E101" s="996"/>
      <c r="F101" s="996"/>
      <c r="G101" s="1003"/>
      <c r="H101" s="996"/>
      <c r="I101" s="996"/>
      <c r="J101" s="996"/>
      <c r="K101" s="1003"/>
      <c r="L101" s="996"/>
      <c r="M101" s="996"/>
      <c r="N101" s="996"/>
      <c r="O101" s="1003"/>
      <c r="P101" s="996"/>
      <c r="Q101" s="996"/>
      <c r="R101" s="996"/>
      <c r="S101" s="1003"/>
      <c r="T101" s="996"/>
      <c r="U101" s="996"/>
      <c r="V101" s="996"/>
      <c r="W101" s="1003"/>
      <c r="X101" s="996"/>
      <c r="Y101" s="996"/>
      <c r="Z101" s="996"/>
      <c r="AA101" s="1003"/>
      <c r="AB101" s="996"/>
      <c r="AC101" s="996"/>
      <c r="AD101" s="996"/>
      <c r="AE101" s="1003"/>
      <c r="AF101" s="996"/>
      <c r="AG101" s="996"/>
      <c r="AH101" s="996"/>
      <c r="AI101" s="1003"/>
      <c r="AJ101" s="996"/>
      <c r="AK101" s="996"/>
      <c r="AL101" s="996"/>
      <c r="AM101" s="1003"/>
      <c r="AN101" s="996"/>
      <c r="AO101" s="996"/>
      <c r="AP101" s="996"/>
      <c r="AQ101" s="1003"/>
      <c r="AR101" s="996"/>
      <c r="AS101" s="996"/>
      <c r="AT101" s="996"/>
      <c r="AU101" s="1003"/>
      <c r="AV101" s="996"/>
      <c r="AW101" s="996"/>
      <c r="AX101" s="996"/>
      <c r="AY101" s="1003"/>
      <c r="AZ101" s="996"/>
      <c r="BA101" s="996"/>
      <c r="BB101" s="996"/>
      <c r="BC101" s="1003"/>
      <c r="BD101" s="996"/>
      <c r="BE101" s="996"/>
      <c r="BF101" s="996"/>
      <c r="BG101" s="1003"/>
      <c r="BH101" s="996"/>
      <c r="BI101" s="996"/>
      <c r="BJ101" s="996"/>
      <c r="BK101" s="1003"/>
      <c r="BL101" s="996"/>
      <c r="BM101" s="996"/>
      <c r="BN101" s="996"/>
      <c r="BO101" s="1003"/>
      <c r="BP101" s="996"/>
      <c r="BQ101" s="996"/>
      <c r="BR101" s="996"/>
      <c r="BS101" s="1003"/>
      <c r="BT101" s="996"/>
      <c r="BU101" s="996"/>
      <c r="BV101" s="996"/>
      <c r="BW101" s="1003"/>
      <c r="BX101" s="24"/>
      <c r="BY101" s="997"/>
      <c r="BZ101" s="997"/>
      <c r="CA101" s="997"/>
      <c r="CB101" s="997"/>
      <c r="CC101" s="997"/>
      <c r="CD101" s="997"/>
      <c r="CE101" s="997"/>
      <c r="CF101" s="997"/>
      <c r="CG101" s="997"/>
      <c r="CH101" s="997"/>
      <c r="CI101" s="997"/>
      <c r="CJ101" s="997"/>
      <c r="CK101" s="997"/>
      <c r="CL101" s="997"/>
      <c r="CM101" s="997"/>
      <c r="CN101" s="997"/>
      <c r="CO101" s="997"/>
      <c r="CP101" s="1023"/>
      <c r="CQ101" s="23"/>
    </row>
    <row r="102" spans="1:95" ht="14.25" customHeight="1">
      <c r="A102" s="843"/>
      <c r="B102" s="998" t="s">
        <v>575</v>
      </c>
      <c r="C102" s="1000"/>
      <c r="D102" s="535">
        <f>+IS!D139</f>
        <v>54.000000000000007</v>
      </c>
      <c r="E102" s="535">
        <f>+IS!E139</f>
        <v>55.799999999999962</v>
      </c>
      <c r="F102" s="821">
        <f>+IS!F139</f>
        <v>51.200000000000024</v>
      </c>
      <c r="G102" s="822">
        <f>+IS!G139</f>
        <v>49.80000000000004</v>
      </c>
      <c r="H102" s="535">
        <f>+IS!H139</f>
        <v>63.09999999999998</v>
      </c>
      <c r="I102" s="535">
        <f>+IS!I139</f>
        <v>73.800000000000011</v>
      </c>
      <c r="J102" s="821">
        <f>+IS!J139</f>
        <v>68.999999999999972</v>
      </c>
      <c r="K102" s="822">
        <f>+IS!K139</f>
        <v>65.700000000000031</v>
      </c>
      <c r="L102" s="535">
        <f>+IS!L139</f>
        <v>58.499999999999986</v>
      </c>
      <c r="M102" s="535">
        <f>+IS!M139</f>
        <v>63.9</v>
      </c>
      <c r="N102" s="821">
        <f>+IS!N139</f>
        <v>67.400000000000034</v>
      </c>
      <c r="O102" s="822">
        <f>+IS!O139</f>
        <v>80.100000000000023</v>
      </c>
      <c r="P102" s="535">
        <f>+IS!P139</f>
        <v>78.3</v>
      </c>
      <c r="Q102" s="535">
        <f>+IS!Q139</f>
        <v>103.60000000000001</v>
      </c>
      <c r="R102" s="821">
        <f>+IS!R139</f>
        <v>110.39999999999995</v>
      </c>
      <c r="S102" s="822">
        <f>+IS!S139</f>
        <v>109.40000000000003</v>
      </c>
      <c r="T102" s="535">
        <f>+IS!T139</f>
        <v>88.1</v>
      </c>
      <c r="U102" s="535">
        <f>+IS!U139</f>
        <v>97.699999999999989</v>
      </c>
      <c r="V102" s="821">
        <f>+IS!V139</f>
        <v>102.09999999999995</v>
      </c>
      <c r="W102" s="822">
        <f>+IS!W139</f>
        <v>104</v>
      </c>
      <c r="X102" s="535">
        <f>+IS!X139</f>
        <v>101.79999999999998</v>
      </c>
      <c r="Y102" s="535">
        <f>+IS!Y139</f>
        <v>139.10000000000002</v>
      </c>
      <c r="Z102" s="821">
        <f>+IS!Z139</f>
        <v>148.20000000000002</v>
      </c>
      <c r="AA102" s="822">
        <f>+IS!AA139</f>
        <v>100</v>
      </c>
      <c r="AB102" s="535">
        <f>+IS!AB139</f>
        <v>55.60000000000008</v>
      </c>
      <c r="AC102" s="535">
        <f>+IS!AC139</f>
        <v>71.299999999999983</v>
      </c>
      <c r="AD102" s="821">
        <f>+IS!AD139</f>
        <v>106.79999999999994</v>
      </c>
      <c r="AE102" s="822">
        <f>+IS!AE139</f>
        <v>132.20000000000005</v>
      </c>
      <c r="AF102" s="535">
        <f>+IS!AF139</f>
        <v>139.20000000000005</v>
      </c>
      <c r="AG102" s="535">
        <f>+IS!AG139</f>
        <v>156.10000000000002</v>
      </c>
      <c r="AH102" s="821">
        <f>+IS!AH139</f>
        <v>160.50000000000009</v>
      </c>
      <c r="AI102" s="822">
        <f>+IS!AI139</f>
        <v>154.00000000000006</v>
      </c>
      <c r="AJ102" s="535">
        <f>+IS!AJ139</f>
        <v>178.49999999999994</v>
      </c>
      <c r="AK102" s="535">
        <f>+IS!AK139</f>
        <v>183.49999999999991</v>
      </c>
      <c r="AL102" s="821">
        <f>+IS!AL139</f>
        <v>184</v>
      </c>
      <c r="AM102" s="822">
        <f>+IS!AM139</f>
        <v>136.6999999999999</v>
      </c>
      <c r="AN102" s="535">
        <f>+IS!AN139</f>
        <v>127.29999999999998</v>
      </c>
      <c r="AO102" s="535">
        <f>+IS!AO139</f>
        <v>141.19999999999996</v>
      </c>
      <c r="AP102" s="821">
        <f>+IS!AP139</f>
        <v>131.29999999999995</v>
      </c>
      <c r="AQ102" s="822">
        <f>+IS!AQ139</f>
        <v>106.30000000000001</v>
      </c>
      <c r="AR102" s="535">
        <f>+IS!AR139</f>
        <v>105.00000000000001</v>
      </c>
      <c r="AS102" s="535">
        <f>+IS!AS139</f>
        <v>117.49999999999997</v>
      </c>
      <c r="AT102" s="821">
        <f>+IS!AT139</f>
        <v>139.39999999999998</v>
      </c>
      <c r="AU102" s="822">
        <f>+IS!AU139</f>
        <v>140.60000000000002</v>
      </c>
      <c r="AV102" s="535">
        <f>+IS!AV139</f>
        <v>140.00000000000003</v>
      </c>
      <c r="AW102" s="535">
        <f>+IS!AW139</f>
        <v>159.09999999999997</v>
      </c>
      <c r="AX102" s="821">
        <f>+IS!AX139</f>
        <v>182.5</v>
      </c>
      <c r="AY102" s="822">
        <f>+IS!AY139</f>
        <v>172.7000000000001</v>
      </c>
      <c r="AZ102" s="535">
        <f>+IS!AZ139</f>
        <v>190.2</v>
      </c>
      <c r="BA102" s="535">
        <f>+IS!BA139</f>
        <v>196.99999999999994</v>
      </c>
      <c r="BB102" s="821">
        <f>+IS!BB139</f>
        <v>195.8</v>
      </c>
      <c r="BC102" s="822">
        <f>+IS!BC139</f>
        <v>183.00000000000006</v>
      </c>
      <c r="BD102" s="535">
        <f>+IS!BD139</f>
        <v>167</v>
      </c>
      <c r="BE102" s="535">
        <f>+IS!BE139</f>
        <v>187.8</v>
      </c>
      <c r="BF102" s="535">
        <f>+IS!BF139</f>
        <v>206.7</v>
      </c>
      <c r="BG102" s="822">
        <f>+IS!BG139</f>
        <v>282.2</v>
      </c>
      <c r="BH102" s="535">
        <f>+IS!BH139</f>
        <v>283.50000000000006</v>
      </c>
      <c r="BI102" s="535">
        <f>+IS!BI139</f>
        <v>313.09999999999997</v>
      </c>
      <c r="BJ102" s="821">
        <f>+IS!BJ139</f>
        <v>358.70000000000005</v>
      </c>
      <c r="BK102" s="822">
        <f>+IS!BK139</f>
        <v>334.90000000000003</v>
      </c>
      <c r="BL102" s="535">
        <f>+IS!BL139</f>
        <v>372.07171018186119</v>
      </c>
      <c r="BM102" s="535">
        <f>+IS!BM139</f>
        <v>364.6947120481085</v>
      </c>
      <c r="BN102" s="821">
        <f>+IS!BN139</f>
        <v>377.71821897291818</v>
      </c>
      <c r="BO102" s="822">
        <f>+IS!BO139</f>
        <v>370.06337882521143</v>
      </c>
      <c r="BP102" s="535">
        <f>+IS!BP139</f>
        <v>233.11112687518317</v>
      </c>
      <c r="BQ102" s="535">
        <f>+IS!BQ139</f>
        <v>382.38653623642682</v>
      </c>
      <c r="BR102" s="821">
        <f>+IS!BR139</f>
        <v>375.62669741313425</v>
      </c>
      <c r="BS102" s="822">
        <f>+IS!BS139</f>
        <v>364.57681913520321</v>
      </c>
      <c r="BT102" s="535">
        <f>+IS!BT139</f>
        <v>335.81242368159008</v>
      </c>
      <c r="BU102" s="535">
        <f>+IS!BU139</f>
        <v>369.80340065184203</v>
      </c>
      <c r="BV102" s="1422">
        <f>+IS!BV139</f>
        <v>438.77248998062726</v>
      </c>
      <c r="BW102" s="1423">
        <f>+IS!BW139</f>
        <v>443.97227877434466</v>
      </c>
      <c r="BX102" s="891"/>
      <c r="BY102" s="1018">
        <f>SUM(D102:G102)</f>
        <v>210.80000000000004</v>
      </c>
      <c r="BZ102" s="1018">
        <f>SUM(H102:K102)</f>
        <v>271.59999999999997</v>
      </c>
      <c r="CA102" s="1018">
        <f>SUM(L102:O102)</f>
        <v>269.90000000000003</v>
      </c>
      <c r="CB102" s="1018">
        <f>SUM(P102:S102)</f>
        <v>401.7</v>
      </c>
      <c r="CC102" s="1018">
        <f>SUM(T102:W102)</f>
        <v>391.89999999999992</v>
      </c>
      <c r="CD102" s="1018">
        <f>SUM(X102:AA102)</f>
        <v>489.1</v>
      </c>
      <c r="CE102" s="1018">
        <f>SUM(AB102:AE102)</f>
        <v>365.90000000000003</v>
      </c>
      <c r="CF102" s="1018">
        <f>SUM(AF102:AI102)</f>
        <v>609.80000000000018</v>
      </c>
      <c r="CG102" s="1018">
        <f>SUM(AJ102:AM102)</f>
        <v>682.69999999999982</v>
      </c>
      <c r="CH102" s="1018">
        <f>SUM(AN102:AQ102)</f>
        <v>506.09999999999991</v>
      </c>
      <c r="CI102" s="1018">
        <f>SUM(AR102:AU102)</f>
        <v>502.5</v>
      </c>
      <c r="CJ102" s="1018">
        <f>SUM(AV102:AY102)</f>
        <v>654.30000000000018</v>
      </c>
      <c r="CK102" s="1018">
        <f>SUM(AZ102:BC102)</f>
        <v>766</v>
      </c>
      <c r="CL102" s="1018">
        <f>SUM(BD102:BG102)</f>
        <v>843.7</v>
      </c>
      <c r="CM102" s="1018">
        <f>SUM(BH102:BK102)</f>
        <v>1290.2</v>
      </c>
      <c r="CN102" s="1018">
        <f>SUM(BL102:BO102)</f>
        <v>1484.5480200280992</v>
      </c>
      <c r="CO102" s="1018">
        <f>SUM(BP102:BS102)</f>
        <v>1355.7011796599475</v>
      </c>
      <c r="CP102" s="1024">
        <f>SUM(BT102:BW102)</f>
        <v>1588.3605930884039</v>
      </c>
      <c r="CQ102" s="300"/>
    </row>
    <row r="103" spans="1:95" ht="14.25" customHeight="1">
      <c r="A103" s="843"/>
      <c r="B103" s="998" t="s">
        <v>576</v>
      </c>
      <c r="C103" s="1000"/>
      <c r="D103" s="1016">
        <f t="shared" ref="D103:AI103" si="471">+D40</f>
        <v>-6.2</v>
      </c>
      <c r="E103" s="1016">
        <f t="shared" si="471"/>
        <v>-18.400000000000002</v>
      </c>
      <c r="F103" s="1016">
        <f t="shared" si="471"/>
        <v>-16.899999999999995</v>
      </c>
      <c r="G103" s="1017">
        <f t="shared" si="471"/>
        <v>-18.299999999999994</v>
      </c>
      <c r="H103" s="1016">
        <f t="shared" si="471"/>
        <v>-30.6</v>
      </c>
      <c r="I103" s="1016">
        <f t="shared" si="471"/>
        <v>-18.100000000000001</v>
      </c>
      <c r="J103" s="1016">
        <f t="shared" si="471"/>
        <v>-16.399999999999991</v>
      </c>
      <c r="K103" s="1017">
        <f t="shared" si="471"/>
        <v>-16.700000000000003</v>
      </c>
      <c r="L103" s="1016">
        <f t="shared" si="471"/>
        <v>-9</v>
      </c>
      <c r="M103" s="1016">
        <f t="shared" si="471"/>
        <v>-13</v>
      </c>
      <c r="N103" s="1016">
        <f t="shared" si="471"/>
        <v>-12.5</v>
      </c>
      <c r="O103" s="1017">
        <f t="shared" si="471"/>
        <v>-11.600000000000001</v>
      </c>
      <c r="P103" s="1016">
        <f t="shared" si="471"/>
        <v>-31.7</v>
      </c>
      <c r="Q103" s="1016">
        <f t="shared" si="471"/>
        <v>-103.39999999999999</v>
      </c>
      <c r="R103" s="1016">
        <f t="shared" si="471"/>
        <v>-51.300000000000026</v>
      </c>
      <c r="S103" s="1017">
        <f t="shared" si="471"/>
        <v>-12.599999999999994</v>
      </c>
      <c r="T103" s="1016">
        <f t="shared" si="471"/>
        <v>-49</v>
      </c>
      <c r="U103" s="1016">
        <f t="shared" si="471"/>
        <v>-27.599999999999994</v>
      </c>
      <c r="V103" s="1016">
        <f t="shared" si="471"/>
        <v>-33.800000000000011</v>
      </c>
      <c r="W103" s="1017">
        <f t="shared" si="471"/>
        <v>-30.299999999999983</v>
      </c>
      <c r="X103" s="1016">
        <f t="shared" si="471"/>
        <v>-15.5</v>
      </c>
      <c r="Y103" s="1016">
        <f t="shared" si="471"/>
        <v>-29.4</v>
      </c>
      <c r="Z103" s="1016">
        <f t="shared" si="471"/>
        <v>-30.000000000000007</v>
      </c>
      <c r="AA103" s="1017">
        <f t="shared" si="471"/>
        <v>-20.099999999999994</v>
      </c>
      <c r="AB103" s="1016">
        <f t="shared" si="471"/>
        <v>-22.3</v>
      </c>
      <c r="AC103" s="1016">
        <f t="shared" si="471"/>
        <v>-14.7</v>
      </c>
      <c r="AD103" s="1016">
        <f t="shared" si="471"/>
        <v>-9.2999999999999972</v>
      </c>
      <c r="AE103" s="1017">
        <f t="shared" si="471"/>
        <v>-9.0000000000000036</v>
      </c>
      <c r="AF103" s="1016">
        <f t="shared" si="471"/>
        <v>-41</v>
      </c>
      <c r="AG103" s="1016">
        <f t="shared" si="471"/>
        <v>-52.5</v>
      </c>
      <c r="AH103" s="1016">
        <f t="shared" si="471"/>
        <v>-52.400000000000006</v>
      </c>
      <c r="AI103" s="1017">
        <f t="shared" si="471"/>
        <v>-43</v>
      </c>
      <c r="AJ103" s="1016">
        <f t="shared" ref="AJ103:BO103" si="472">+AJ40</f>
        <v>-88.7</v>
      </c>
      <c r="AK103" s="1016">
        <f t="shared" si="472"/>
        <v>-84.8</v>
      </c>
      <c r="AL103" s="1016">
        <f t="shared" si="472"/>
        <v>-85.800000000000026</v>
      </c>
      <c r="AM103" s="1017">
        <f t="shared" si="472"/>
        <v>-57.099999999999952</v>
      </c>
      <c r="AN103" s="1016">
        <f t="shared" si="472"/>
        <v>-50.4</v>
      </c>
      <c r="AO103" s="1016">
        <f t="shared" si="472"/>
        <v>-64.300000000000011</v>
      </c>
      <c r="AP103" s="1016">
        <f t="shared" si="472"/>
        <v>-84.1</v>
      </c>
      <c r="AQ103" s="1017">
        <f t="shared" si="472"/>
        <v>-57.5</v>
      </c>
      <c r="AR103" s="1016">
        <f t="shared" si="472"/>
        <v>-38.9</v>
      </c>
      <c r="AS103" s="1016">
        <f t="shared" si="472"/>
        <v>-45.800000000000004</v>
      </c>
      <c r="AT103" s="1016">
        <f t="shared" si="472"/>
        <v>-50.399999999999984</v>
      </c>
      <c r="AU103" s="1017">
        <f t="shared" si="472"/>
        <v>-20.099999999999987</v>
      </c>
      <c r="AV103" s="1016">
        <f t="shared" si="472"/>
        <v>-47.7</v>
      </c>
      <c r="AW103" s="1016">
        <f t="shared" si="472"/>
        <v>-48.8</v>
      </c>
      <c r="AX103" s="1016">
        <f t="shared" si="472"/>
        <v>-66.5</v>
      </c>
      <c r="AY103" s="1017">
        <f t="shared" si="472"/>
        <v>-41.300000000000026</v>
      </c>
      <c r="AZ103" s="1016">
        <f t="shared" si="472"/>
        <v>-64.8</v>
      </c>
      <c r="BA103" s="1016">
        <f t="shared" si="472"/>
        <v>-75.500000000000014</v>
      </c>
      <c r="BB103" s="1016">
        <f t="shared" si="472"/>
        <v>-64.499999999999986</v>
      </c>
      <c r="BC103" s="1017">
        <f t="shared" si="472"/>
        <v>-66.000000000000014</v>
      </c>
      <c r="BD103" s="1016">
        <f t="shared" si="472"/>
        <v>-72.900000000000006</v>
      </c>
      <c r="BE103" s="1016">
        <f t="shared" si="472"/>
        <v>-52</v>
      </c>
      <c r="BF103" s="1016">
        <f t="shared" si="472"/>
        <v>-35.900000000000006</v>
      </c>
      <c r="BG103" s="1017">
        <f t="shared" ref="BG103:BH103" si="473">+BG40</f>
        <v>-49.899999999999977</v>
      </c>
      <c r="BH103" s="1016">
        <f t="shared" si="473"/>
        <v>-52.7</v>
      </c>
      <c r="BI103" s="1016">
        <f t="shared" si="472"/>
        <v>-69</v>
      </c>
      <c r="BJ103" s="1016">
        <f t="shared" ref="BJ103" si="474">+BJ40</f>
        <v>-90.100000000000023</v>
      </c>
      <c r="BK103" s="1017">
        <f t="shared" si="472"/>
        <v>-175.7</v>
      </c>
      <c r="BL103" s="1016">
        <f t="shared" si="472"/>
        <v>-89.040705000000017</v>
      </c>
      <c r="BM103" s="1016">
        <f t="shared" si="472"/>
        <v>-92.845055549999998</v>
      </c>
      <c r="BN103" s="1016">
        <f t="shared" si="472"/>
        <v>-95.037860099000014</v>
      </c>
      <c r="BO103" s="1017">
        <f t="shared" si="472"/>
        <v>-93.354025407369988</v>
      </c>
      <c r="BP103" s="1016">
        <f t="shared" ref="BP103:BS103" si="475">+BP40</f>
        <v>-92.836095251633495</v>
      </c>
      <c r="BQ103" s="1016">
        <f t="shared" si="475"/>
        <v>-96.30563445925884</v>
      </c>
      <c r="BR103" s="1016">
        <f t="shared" si="475"/>
        <v>-98.39697193705932</v>
      </c>
      <c r="BS103" s="1017">
        <f t="shared" si="475"/>
        <v>-96.687629342022163</v>
      </c>
      <c r="BT103" s="1016">
        <f t="shared" ref="BT103:BW103" si="476">+BT40</f>
        <v>-96.290303397802418</v>
      </c>
      <c r="BU103" s="1016">
        <f t="shared" si="476"/>
        <v>-99.880250757801861</v>
      </c>
      <c r="BV103" s="1016">
        <f t="shared" si="476"/>
        <v>-101.95239349085935</v>
      </c>
      <c r="BW103" s="1017">
        <f t="shared" si="476"/>
        <v>-100.2169727176336</v>
      </c>
      <c r="BX103" s="891"/>
      <c r="BY103" s="1018">
        <f>SUM(D103:G103)</f>
        <v>-59.8</v>
      </c>
      <c r="BZ103" s="1018">
        <f>SUM(H103:K103)</f>
        <v>-81.8</v>
      </c>
      <c r="CA103" s="1018">
        <f>SUM(L103:O103)</f>
        <v>-46.1</v>
      </c>
      <c r="CB103" s="1018">
        <f>SUM(P103:S103)</f>
        <v>-199.00000000000003</v>
      </c>
      <c r="CC103" s="1018">
        <f>SUM(T103:W103)</f>
        <v>-140.69999999999999</v>
      </c>
      <c r="CD103" s="1018">
        <f>SUM(X103:AA103)</f>
        <v>-95</v>
      </c>
      <c r="CE103" s="1018">
        <f>SUM(AB103:AE103)</f>
        <v>-55.3</v>
      </c>
      <c r="CF103" s="1018">
        <f>SUM(AF103:AI103)</f>
        <v>-188.9</v>
      </c>
      <c r="CG103" s="1018">
        <f>SUM(AJ103:AM103)</f>
        <v>-316.39999999999998</v>
      </c>
      <c r="CH103" s="1018">
        <f>SUM(AN103:AQ103)</f>
        <v>-256.3</v>
      </c>
      <c r="CI103" s="1018">
        <f>SUM(AR103:AU103)</f>
        <v>-155.19999999999999</v>
      </c>
      <c r="CJ103" s="1018">
        <f>SUM(AV103:AY103)</f>
        <v>-204.3</v>
      </c>
      <c r="CK103" s="1018">
        <f>SUM(AZ103:BC103)</f>
        <v>-270.8</v>
      </c>
      <c r="CL103" s="1018">
        <f>SUM(BD103:BG103)</f>
        <v>-210.7</v>
      </c>
      <c r="CM103" s="1018">
        <f>SUM(BH103:BK103)</f>
        <v>-387.5</v>
      </c>
      <c r="CN103" s="1018">
        <f>SUM(BL103:BO103)</f>
        <v>-370.27764605637003</v>
      </c>
      <c r="CO103" s="1018">
        <f t="shared" ref="CO103:CO105" si="477">SUM(BP103:BS103)</f>
        <v>-384.2263309899738</v>
      </c>
      <c r="CP103" s="1024">
        <f t="shared" ref="CP103:CP105" si="478">SUM(BT103:BW103)</f>
        <v>-398.33992036409728</v>
      </c>
      <c r="CQ103" s="300"/>
    </row>
    <row r="104" spans="1:95" ht="14.25" customHeight="1">
      <c r="A104" s="843"/>
      <c r="B104" s="998" t="s">
        <v>577</v>
      </c>
      <c r="C104" s="1000"/>
      <c r="D104" s="535">
        <f>-IS!D94</f>
        <v>-5.0469999999999997</v>
      </c>
      <c r="E104" s="535">
        <f>-IS!E94</f>
        <v>-18.724999999999998</v>
      </c>
      <c r="F104" s="821">
        <f>-IS!F94</f>
        <v>-1.6248</v>
      </c>
      <c r="G104" s="822">
        <f>-IS!G94</f>
        <v>-15.065599999999998</v>
      </c>
      <c r="H104" s="535">
        <f>-IS!H94</f>
        <v>-17.827200000000005</v>
      </c>
      <c r="I104" s="535">
        <f>-IS!I94</f>
        <v>-11.5616</v>
      </c>
      <c r="J104" s="821">
        <f>-IS!J94</f>
        <v>-2.6560000000000001</v>
      </c>
      <c r="K104" s="822">
        <f>-IS!K94</f>
        <v>-38.468800000000002</v>
      </c>
      <c r="L104" s="535">
        <f>-IS!L94</f>
        <v>-2.1839</v>
      </c>
      <c r="M104" s="535">
        <f>-IS!M94</f>
        <v>-2.9771999999999998</v>
      </c>
      <c r="N104" s="821">
        <f>-IS!N94</f>
        <v>-2.5697999999999999</v>
      </c>
      <c r="O104" s="822">
        <f>-IS!O94</f>
        <v>5.0792000000000002</v>
      </c>
      <c r="P104" s="535">
        <f>-IS!P94</f>
        <v>-2</v>
      </c>
      <c r="Q104" s="535">
        <f>-IS!Q94</f>
        <v>-1.8</v>
      </c>
      <c r="R104" s="821">
        <f>-IS!R94</f>
        <v>0</v>
      </c>
      <c r="S104" s="822">
        <f>-IS!S94</f>
        <v>2.9</v>
      </c>
      <c r="T104" s="535">
        <f>-IS!T94</f>
        <v>-0.63500000000000001</v>
      </c>
      <c r="U104" s="535">
        <f>-IS!U94</f>
        <v>-1.4</v>
      </c>
      <c r="V104" s="821">
        <f>-IS!V94</f>
        <v>-3.0999999999999996</v>
      </c>
      <c r="W104" s="822">
        <f>-IS!W94</f>
        <v>0.53500000000000014</v>
      </c>
      <c r="X104" s="535">
        <f>-IS!X94</f>
        <v>0.39999999999999991</v>
      </c>
      <c r="Y104" s="535">
        <f>-IS!Y94</f>
        <v>-0.39999999999999858</v>
      </c>
      <c r="Z104" s="821">
        <f>-IS!Z94</f>
        <v>-1.9</v>
      </c>
      <c r="AA104" s="822">
        <f>-IS!AA94</f>
        <v>-1.7000000000000002</v>
      </c>
      <c r="AB104" s="535">
        <f>-IS!AB94</f>
        <v>-4.9000000000000004</v>
      </c>
      <c r="AC104" s="535">
        <f>-IS!AC94</f>
        <v>-1.2999999999999998</v>
      </c>
      <c r="AD104" s="821">
        <f>-IS!AD94</f>
        <v>-0.89999999999999991</v>
      </c>
      <c r="AE104" s="822">
        <f>-IS!AE94</f>
        <v>-1.4</v>
      </c>
      <c r="AF104" s="535">
        <f>-IS!AF94</f>
        <v>-3.0999999999999996</v>
      </c>
      <c r="AG104" s="535">
        <f>-IS!AG94</f>
        <v>-2</v>
      </c>
      <c r="AH104" s="821">
        <f>-IS!AH94</f>
        <v>-3.3</v>
      </c>
      <c r="AI104" s="822">
        <f>-IS!AI94</f>
        <v>-2.2999999999999998</v>
      </c>
      <c r="AJ104" s="535">
        <f>-IS!AJ94</f>
        <v>-2.1</v>
      </c>
      <c r="AK104" s="535">
        <f>-IS!AK94</f>
        <v>-8.1999999999999993</v>
      </c>
      <c r="AL104" s="821">
        <f>-IS!AL94</f>
        <v>-5.4</v>
      </c>
      <c r="AM104" s="822">
        <f>-IS!AM94</f>
        <v>-4.3000000000000007</v>
      </c>
      <c r="AN104" s="535">
        <f>-IS!AN94</f>
        <v>-4.5999999999999996</v>
      </c>
      <c r="AO104" s="535">
        <f>-IS!AO94</f>
        <v>-6.9</v>
      </c>
      <c r="AP104" s="821">
        <f>-IS!AP94</f>
        <v>-4.2</v>
      </c>
      <c r="AQ104" s="822">
        <f>-IS!AQ94</f>
        <v>-1.8999999999999995</v>
      </c>
      <c r="AR104" s="535">
        <f>-IS!AR94</f>
        <v>-2.5</v>
      </c>
      <c r="AS104" s="535">
        <f>-IS!AS94</f>
        <v>-4.9000000000000004</v>
      </c>
      <c r="AT104" s="821">
        <f>-IS!AT94</f>
        <v>-2.5</v>
      </c>
      <c r="AU104" s="822">
        <f>-IS!AU94</f>
        <v>-3.0000000000000036</v>
      </c>
      <c r="AV104" s="535">
        <f>-IS!AV94</f>
        <v>-5.3</v>
      </c>
      <c r="AW104" s="535">
        <f>-IS!AW94</f>
        <v>-3.3000000000000007</v>
      </c>
      <c r="AX104" s="821">
        <f>-IS!AX94</f>
        <v>-6.8999999999999995</v>
      </c>
      <c r="AY104" s="822">
        <f>-IS!AY94</f>
        <v>-2.6</v>
      </c>
      <c r="AZ104" s="535">
        <f>-IS!AZ94</f>
        <v>-5.4</v>
      </c>
      <c r="BA104" s="535">
        <f>-IS!BA94</f>
        <v>-5.9</v>
      </c>
      <c r="BB104" s="821">
        <f>-IS!BB94</f>
        <v>-3.7</v>
      </c>
      <c r="BC104" s="822">
        <f>-IS!BC94</f>
        <v>-4.8999999999999986</v>
      </c>
      <c r="BD104" s="535">
        <f>-IS!BD94</f>
        <v>-5.3999999999999995</v>
      </c>
      <c r="BE104" s="535">
        <f>-IS!BE94</f>
        <v>-7.5</v>
      </c>
      <c r="BF104" s="535">
        <f>-IS!BF94</f>
        <v>-6.5</v>
      </c>
      <c r="BG104" s="822">
        <f>-IS!BG94</f>
        <v>-8.2000000000000028</v>
      </c>
      <c r="BH104" s="535">
        <f>-IS!BH94</f>
        <v>-18.399999999999999</v>
      </c>
      <c r="BI104" s="535">
        <f>-IS!BI94</f>
        <v>-17.099999999999998</v>
      </c>
      <c r="BJ104" s="821">
        <f>-IS!BJ94</f>
        <v>-13.399999999999999</v>
      </c>
      <c r="BK104" s="822">
        <f>-IS!BK94</f>
        <v>-18.899999999999977</v>
      </c>
      <c r="BL104" s="535">
        <f>-IS!BL94</f>
        <v>-18.218210511615226</v>
      </c>
      <c r="BM104" s="535">
        <f>-IS!BM94</f>
        <v>-20.701758345576078</v>
      </c>
      <c r="BN104" s="821">
        <f>-IS!BN94</f>
        <v>-21.82347963521179</v>
      </c>
      <c r="BO104" s="822">
        <f>-IS!BO94</f>
        <v>-20.882142351761559</v>
      </c>
      <c r="BP104" s="535">
        <f>-IS!BP94</f>
        <v>-20.626270766743165</v>
      </c>
      <c r="BQ104" s="535">
        <f>-IS!BQ94</f>
        <v>-22.836946962624239</v>
      </c>
      <c r="BR104" s="821">
        <f>-IS!BR94</f>
        <v>-24.791068915720992</v>
      </c>
      <c r="BS104" s="822">
        <f>-IS!BS94</f>
        <v>-24.058419174360562</v>
      </c>
      <c r="BT104" s="535">
        <f>-IS!BT94</f>
        <v>-23.007121734613516</v>
      </c>
      <c r="BU104" s="535">
        <f>-IS!BU94</f>
        <v>-25.329638561657575</v>
      </c>
      <c r="BV104" s="1422">
        <f>-IS!BV94</f>
        <v>-27.35811050574732</v>
      </c>
      <c r="BW104" s="1423">
        <f>-IS!BW94</f>
        <v>-26.592053172561794</v>
      </c>
      <c r="BX104" s="891"/>
      <c r="BY104" s="1018">
        <f>SUM(D104:G104)</f>
        <v>-40.462399999999995</v>
      </c>
      <c r="BZ104" s="1018">
        <f>SUM(H104:K104)</f>
        <v>-70.513599999999997</v>
      </c>
      <c r="CA104" s="1018">
        <f>SUM(L104:O104)</f>
        <v>-2.6516999999999991</v>
      </c>
      <c r="CB104" s="1018">
        <f>SUM(P104:S104)</f>
        <v>-0.89999999999999991</v>
      </c>
      <c r="CC104" s="1018">
        <f>SUM(T104:W104)</f>
        <v>-4.5999999999999996</v>
      </c>
      <c r="CD104" s="1018">
        <f>SUM(X104:AA104)</f>
        <v>-3.5999999999999988</v>
      </c>
      <c r="CE104" s="1018">
        <f>SUM(AB104:AE104)</f>
        <v>-8.5</v>
      </c>
      <c r="CF104" s="1018">
        <f>SUM(AF104:AI104)</f>
        <v>-10.7</v>
      </c>
      <c r="CG104" s="1018">
        <f>SUM(AJ104:AM104)</f>
        <v>-20</v>
      </c>
      <c r="CH104" s="1018">
        <f>SUM(AN104:AQ104)</f>
        <v>-17.599999999999998</v>
      </c>
      <c r="CI104" s="1018">
        <f>SUM(AR104:AU104)</f>
        <v>-12.900000000000004</v>
      </c>
      <c r="CJ104" s="1018">
        <f>SUM(AV104:AY104)</f>
        <v>-18.100000000000001</v>
      </c>
      <c r="CK104" s="1018">
        <f>SUM(AZ104:BC104)</f>
        <v>-19.899999999999999</v>
      </c>
      <c r="CL104" s="1018">
        <f>SUM(BD104:BG104)</f>
        <v>-27.6</v>
      </c>
      <c r="CM104" s="1018">
        <f>SUM(BH104:BK104)</f>
        <v>-67.799999999999983</v>
      </c>
      <c r="CN104" s="1018">
        <f>SUM(BL104:BO104)</f>
        <v>-81.625590844164662</v>
      </c>
      <c r="CO104" s="1018">
        <f t="shared" si="477"/>
        <v>-92.312705819448965</v>
      </c>
      <c r="CP104" s="1024">
        <f t="shared" si="478"/>
        <v>-102.2869239745802</v>
      </c>
      <c r="CQ104" s="300"/>
    </row>
    <row r="105" spans="1:95" ht="14.25" customHeight="1">
      <c r="A105" s="1001"/>
      <c r="B105" s="999" t="s">
        <v>578</v>
      </c>
      <c r="C105" s="1002"/>
      <c r="D105" s="1130">
        <f>+SUM(IS!D76:D77)</f>
        <v>-38.4</v>
      </c>
      <c r="E105" s="1130">
        <f>+SUM(IS!E76:E77)</f>
        <v>-38.5</v>
      </c>
      <c r="F105" s="1131">
        <f>+SUM(IS!F76:F77)</f>
        <v>-37.800000000000004</v>
      </c>
      <c r="G105" s="1132">
        <f>+SUM(IS!G76:G77)</f>
        <v>-34.4</v>
      </c>
      <c r="H105" s="1130">
        <f>+SUM(IS!H76:H77)</f>
        <v>-33.9</v>
      </c>
      <c r="I105" s="1130">
        <f>+SUM(IS!I76:I77)</f>
        <v>-23.2</v>
      </c>
      <c r="J105" s="1131">
        <f>+SUM(IS!J76:J77)</f>
        <v>-21.4</v>
      </c>
      <c r="K105" s="1132">
        <f>+SUM(IS!K76:K77)</f>
        <v>-20.5</v>
      </c>
      <c r="L105" s="1130">
        <f>+SUM(IS!L76:L77)</f>
        <v>-13.7</v>
      </c>
      <c r="M105" s="1130">
        <f>+SUM(IS!M76:M77)</f>
        <v>-14.200000000000001</v>
      </c>
      <c r="N105" s="1131">
        <f>+SUM(IS!N76:N77)</f>
        <v>-14.400000000000002</v>
      </c>
      <c r="O105" s="1132">
        <f>+SUM(IS!O76:O77)</f>
        <v>-13.700000000000001</v>
      </c>
      <c r="P105" s="1130">
        <f>+SUM(IS!P76:P77)</f>
        <v>-11</v>
      </c>
      <c r="Q105" s="1130">
        <f>+SUM(IS!Q76:Q77)</f>
        <v>-10.3</v>
      </c>
      <c r="R105" s="1131">
        <f>+SUM(IS!R76:R77)</f>
        <v>-10.200000000000001</v>
      </c>
      <c r="S105" s="1132">
        <f>+SUM(IS!S76:S77)</f>
        <v>-8.5</v>
      </c>
      <c r="T105" s="1130">
        <f>+SUM(IS!T76:T77)</f>
        <v>-6.8999999999999995</v>
      </c>
      <c r="U105" s="1130">
        <f>+SUM(IS!U76:U77)</f>
        <v>-6.5</v>
      </c>
      <c r="V105" s="1131">
        <f>+SUM(IS!V76:V77)</f>
        <v>-6.5</v>
      </c>
      <c r="W105" s="1132">
        <f>+SUM(IS!W76:W77)</f>
        <v>-5.8999999999999995</v>
      </c>
      <c r="X105" s="1130">
        <f>+SUM(IS!X76:X77)</f>
        <v>-17.100000000000001</v>
      </c>
      <c r="Y105" s="1130">
        <f>+SUM(IS!Y76:Y77)</f>
        <v>-18.2</v>
      </c>
      <c r="Z105" s="1131">
        <f>+SUM(IS!Z76:Z77)</f>
        <v>-18.600000000000001</v>
      </c>
      <c r="AA105" s="1132">
        <f>+SUM(IS!AA76:AA77)</f>
        <v>-19.100000000000001</v>
      </c>
      <c r="AB105" s="1130">
        <f>+SUM(IS!AB76:AB77)</f>
        <v>-17.3</v>
      </c>
      <c r="AC105" s="1130">
        <f>+SUM(IS!AC76:AC77)</f>
        <v>-15.5</v>
      </c>
      <c r="AD105" s="1131">
        <f>+SUM(IS!AD76:AD77)</f>
        <v>-15.700000000000001</v>
      </c>
      <c r="AE105" s="1132">
        <f>+SUM(IS!AE76:AE77)</f>
        <v>-15.3</v>
      </c>
      <c r="AF105" s="1130">
        <f>+SUM(IS!AF76:AF77)</f>
        <v>-16.299999999999997</v>
      </c>
      <c r="AG105" s="1130">
        <f>+SUM(IS!AG76:AG77)</f>
        <v>-14.4</v>
      </c>
      <c r="AH105" s="1131">
        <f>+SUM(IS!AH76:AH77)</f>
        <v>-13.9</v>
      </c>
      <c r="AI105" s="1132">
        <f>+SUM(IS!AI76:AI77)</f>
        <v>-16.299999999999997</v>
      </c>
      <c r="AJ105" s="1130">
        <f>+SUM(IS!AJ76:AJ77)</f>
        <v>-17.5</v>
      </c>
      <c r="AK105" s="1130">
        <f>+SUM(IS!AK76:AK77)</f>
        <v>-17.600000000000001</v>
      </c>
      <c r="AL105" s="1131">
        <f>+SUM(IS!AL76:AL77)</f>
        <v>-16.599999999999998</v>
      </c>
      <c r="AM105" s="1132">
        <f>+SUM(IS!AM76:AM77)</f>
        <v>-16.099999999999998</v>
      </c>
      <c r="AN105" s="1130">
        <f>+SUM(IS!AN76:AN77)</f>
        <v>-15.2</v>
      </c>
      <c r="AO105" s="1130">
        <f>+SUM(IS!AO76:AO77)</f>
        <v>-13.799999999999999</v>
      </c>
      <c r="AP105" s="1131">
        <f>+SUM(IS!AP76:AP77)</f>
        <v>-13.299999999999999</v>
      </c>
      <c r="AQ105" s="1132">
        <f>+SUM(IS!AQ76:AQ77)</f>
        <v>-12.299999999999999</v>
      </c>
      <c r="AR105" s="1130">
        <f>+SUM(IS!AR76:AR77)</f>
        <v>-9.7999999999999989</v>
      </c>
      <c r="AS105" s="1130">
        <f>+SUM(IS!AS76:AS77)</f>
        <v>-8.9</v>
      </c>
      <c r="AT105" s="1131">
        <f>+SUM(IS!AT76:AT77)</f>
        <v>-8.8999999999999986</v>
      </c>
      <c r="AU105" s="1132">
        <f>+SUM(IS!AU76:AU77)</f>
        <v>-9.6999999999999993</v>
      </c>
      <c r="AV105" s="1130">
        <f>+SUM(IS!AV76:AV77)</f>
        <v>-7.8999999999999995</v>
      </c>
      <c r="AW105" s="1130">
        <f>+SUM(IS!AW76:AW77)</f>
        <v>-7.7</v>
      </c>
      <c r="AX105" s="1131">
        <f>+SUM(IS!AX76:AX77)</f>
        <v>-8.4</v>
      </c>
      <c r="AY105" s="1132">
        <f>+SUM(IS!AY76:AY77)</f>
        <v>-8.6</v>
      </c>
      <c r="AZ105" s="1130">
        <f>+SUM(IS!AZ76:AZ77)</f>
        <v>-8.8999999999999986</v>
      </c>
      <c r="BA105" s="1130">
        <f>+SUM(IS!BA76:BA77)</f>
        <v>-10.399999999999999</v>
      </c>
      <c r="BB105" s="1131">
        <f>+SUM(IS!BB76:BB77)</f>
        <v>-14.700000000000001</v>
      </c>
      <c r="BC105" s="1132">
        <f>+SUM(IS!BC76:BC77)</f>
        <v>-14.6</v>
      </c>
      <c r="BD105" s="1130">
        <f>+SUM(IS!BD76:BD77)</f>
        <v>-15.299999999999999</v>
      </c>
      <c r="BE105" s="1130">
        <f>+SUM(IS!BE76:BE77)</f>
        <v>-40</v>
      </c>
      <c r="BF105" s="1130">
        <f>+SUM(IS!BF76:BF77)</f>
        <v>-45.300000000000004</v>
      </c>
      <c r="BG105" s="1132">
        <f>+SUM(IS!BG76:BG77)</f>
        <v>-40.199999999999996</v>
      </c>
      <c r="BH105" s="1130">
        <f>+SUM(IS!BH76:BH77)</f>
        <v>-37.799999999999997</v>
      </c>
      <c r="BI105" s="1130">
        <f>+SUM(IS!BI76:BI77)</f>
        <v>-34.200000000000003</v>
      </c>
      <c r="BJ105" s="1131">
        <f>+SUM(IS!BJ76:BJ77)</f>
        <v>-34.199999999999996</v>
      </c>
      <c r="BK105" s="1132">
        <f>+SUM(IS!BK76:BK77)</f>
        <v>-32</v>
      </c>
      <c r="BL105" s="1130">
        <f>+SUM(IS!BL76:BL77)</f>
        <v>-29.1</v>
      </c>
      <c r="BM105" s="1130">
        <f>+SUM(IS!BM76:BM77)</f>
        <v>-28.291547667919854</v>
      </c>
      <c r="BN105" s="1131">
        <f>+SUM(IS!BN76:BN77)</f>
        <v>-27.440554358669793</v>
      </c>
      <c r="BO105" s="1132">
        <f>+SUM(IS!BO76:BO77)</f>
        <v>-26.588880235461858</v>
      </c>
      <c r="BP105" s="1130">
        <f>+SUM(IS!BP76:BP77)</f>
        <v>-25.948419207751549</v>
      </c>
      <c r="BQ105" s="1130">
        <f>+SUM(IS!BQ76:BQ77)</f>
        <v>-25.317066610184416</v>
      </c>
      <c r="BR105" s="1131">
        <f>+SUM(IS!BR76:BR77)</f>
        <v>-24.7160082559244</v>
      </c>
      <c r="BS105" s="1132">
        <f>+SUM(IS!BS76:BS77)</f>
        <v>-24.09262739159761</v>
      </c>
      <c r="BT105" s="1130">
        <f>+SUM(IS!BT76:BT77)</f>
        <v>-23.441206335454943</v>
      </c>
      <c r="BU105" s="1130">
        <f>+SUM(IS!BU76:BU77)</f>
        <v>-22.807015035266303</v>
      </c>
      <c r="BV105" s="1131">
        <f>+SUM(IS!BV76:BV77)</f>
        <v>-22.19138492315405</v>
      </c>
      <c r="BW105" s="1132">
        <f>+SUM(IS!BW76:BW77)</f>
        <v>-21.551747048726789</v>
      </c>
      <c r="BX105" s="1027"/>
      <c r="BY105" s="1019">
        <f>SUM(D105:G105)</f>
        <v>-149.10000000000002</v>
      </c>
      <c r="BZ105" s="1019">
        <f>SUM(H105:K105)</f>
        <v>-99</v>
      </c>
      <c r="CA105" s="1019">
        <f>SUM(L105:O105)</f>
        <v>-56</v>
      </c>
      <c r="CB105" s="1019">
        <f>SUM(P105:S105)</f>
        <v>-40</v>
      </c>
      <c r="CC105" s="1019">
        <f>SUM(T105:W105)</f>
        <v>-25.799999999999997</v>
      </c>
      <c r="CD105" s="1019">
        <f>SUM(X105:AA105)</f>
        <v>-73</v>
      </c>
      <c r="CE105" s="1019">
        <f>SUM(AB105:AE105)</f>
        <v>-63.8</v>
      </c>
      <c r="CF105" s="1019">
        <f>SUM(AF105:AI105)</f>
        <v>-60.899999999999991</v>
      </c>
      <c r="CG105" s="1019">
        <f>SUM(AJ105:AM105)</f>
        <v>-67.8</v>
      </c>
      <c r="CH105" s="1019">
        <f>SUM(AN105:AQ105)</f>
        <v>-54.599999999999994</v>
      </c>
      <c r="CI105" s="1019">
        <f>SUM(AR105:AU105)</f>
        <v>-37.299999999999997</v>
      </c>
      <c r="CJ105" s="1019">
        <f>SUM(AV105:AY105)</f>
        <v>-32.6</v>
      </c>
      <c r="CK105" s="1019">
        <f>SUM(AZ105:BC105)</f>
        <v>-48.6</v>
      </c>
      <c r="CL105" s="1019">
        <f>SUM(BD105:BG105)</f>
        <v>-140.79999999999998</v>
      </c>
      <c r="CM105" s="1019">
        <f>SUM(BH105:BK105)</f>
        <v>-138.19999999999999</v>
      </c>
      <c r="CN105" s="1019">
        <f>SUM(BL105:BO105)</f>
        <v>-111.4209822620515</v>
      </c>
      <c r="CO105" s="1019">
        <f t="shared" si="477"/>
        <v>-100.07412146545798</v>
      </c>
      <c r="CP105" s="1025">
        <f t="shared" si="478"/>
        <v>-89.991353342602082</v>
      </c>
      <c r="CQ105" s="1481"/>
    </row>
    <row r="106" spans="1:95" ht="14.25" customHeight="1">
      <c r="A106" s="57"/>
      <c r="B106" s="869" t="s">
        <v>291</v>
      </c>
      <c r="C106" s="196"/>
      <c r="D106" s="1020">
        <f>+SUM(D102:D105)</f>
        <v>4.3530000000000086</v>
      </c>
      <c r="E106" s="1020">
        <f t="shared" ref="E106:BA106" si="479">+SUM(E102:E105)</f>
        <v>-19.825000000000035</v>
      </c>
      <c r="F106" s="1020">
        <f t="shared" si="479"/>
        <v>-5.1247999999999791</v>
      </c>
      <c r="G106" s="1021">
        <f t="shared" si="479"/>
        <v>-17.965599999999952</v>
      </c>
      <c r="H106" s="1020">
        <f t="shared" si="479"/>
        <v>-19.227200000000025</v>
      </c>
      <c r="I106" s="1020">
        <f t="shared" si="479"/>
        <v>20.938400000000012</v>
      </c>
      <c r="J106" s="1020">
        <f t="shared" si="479"/>
        <v>28.543999999999983</v>
      </c>
      <c r="K106" s="1021">
        <f t="shared" si="479"/>
        <v>-9.9687999999999732</v>
      </c>
      <c r="L106" s="1020">
        <f t="shared" si="479"/>
        <v>33.616099999999989</v>
      </c>
      <c r="M106" s="1020">
        <f t="shared" si="479"/>
        <v>33.722799999999992</v>
      </c>
      <c r="N106" s="1020">
        <f t="shared" si="479"/>
        <v>37.930200000000028</v>
      </c>
      <c r="O106" s="1021">
        <f t="shared" si="479"/>
        <v>59.879200000000026</v>
      </c>
      <c r="P106" s="1020">
        <f t="shared" si="479"/>
        <v>33.599999999999994</v>
      </c>
      <c r="Q106" s="1020">
        <f t="shared" si="479"/>
        <v>-11.899999999999984</v>
      </c>
      <c r="R106" s="1020">
        <f t="shared" si="479"/>
        <v>48.89999999999992</v>
      </c>
      <c r="S106" s="1021">
        <f t="shared" si="479"/>
        <v>91.200000000000045</v>
      </c>
      <c r="T106" s="1020">
        <f t="shared" si="479"/>
        <v>31.564999999999998</v>
      </c>
      <c r="U106" s="1020">
        <f t="shared" si="479"/>
        <v>62.199999999999989</v>
      </c>
      <c r="V106" s="1020">
        <f t="shared" si="479"/>
        <v>58.699999999999946</v>
      </c>
      <c r="W106" s="1021">
        <f t="shared" si="479"/>
        <v>68.335000000000008</v>
      </c>
      <c r="X106" s="1020">
        <f t="shared" si="479"/>
        <v>69.599999999999994</v>
      </c>
      <c r="Y106" s="1020">
        <f t="shared" si="479"/>
        <v>91.100000000000009</v>
      </c>
      <c r="Z106" s="1020">
        <f t="shared" si="479"/>
        <v>97.700000000000017</v>
      </c>
      <c r="AA106" s="1021">
        <f t="shared" si="479"/>
        <v>59.1</v>
      </c>
      <c r="AB106" s="1020">
        <f t="shared" si="479"/>
        <v>11.100000000000083</v>
      </c>
      <c r="AC106" s="1020">
        <f t="shared" si="479"/>
        <v>39.799999999999983</v>
      </c>
      <c r="AD106" s="1020">
        <f t="shared" si="479"/>
        <v>80.899999999999935</v>
      </c>
      <c r="AE106" s="1021">
        <f t="shared" si="479"/>
        <v>106.50000000000004</v>
      </c>
      <c r="AF106" s="1020">
        <f t="shared" si="479"/>
        <v>78.800000000000054</v>
      </c>
      <c r="AG106" s="1020">
        <f t="shared" si="479"/>
        <v>87.200000000000017</v>
      </c>
      <c r="AH106" s="1020">
        <f t="shared" si="479"/>
        <v>90.900000000000077</v>
      </c>
      <c r="AI106" s="1021">
        <f t="shared" si="479"/>
        <v>92.400000000000063</v>
      </c>
      <c r="AJ106" s="1020">
        <f t="shared" si="479"/>
        <v>70.199999999999946</v>
      </c>
      <c r="AK106" s="1020">
        <f t="shared" si="479"/>
        <v>72.89999999999992</v>
      </c>
      <c r="AL106" s="1020">
        <f t="shared" si="479"/>
        <v>76.199999999999974</v>
      </c>
      <c r="AM106" s="1021">
        <f t="shared" si="479"/>
        <v>59.19999999999996</v>
      </c>
      <c r="AN106" s="1020">
        <f t="shared" si="479"/>
        <v>57.09999999999998</v>
      </c>
      <c r="AO106" s="1020">
        <f t="shared" si="479"/>
        <v>56.199999999999946</v>
      </c>
      <c r="AP106" s="1020">
        <f t="shared" si="479"/>
        <v>29.69999999999996</v>
      </c>
      <c r="AQ106" s="1021">
        <f t="shared" si="479"/>
        <v>34.600000000000016</v>
      </c>
      <c r="AR106" s="1020">
        <f t="shared" si="479"/>
        <v>53.800000000000026</v>
      </c>
      <c r="AS106" s="1020">
        <f t="shared" si="479"/>
        <v>57.899999999999956</v>
      </c>
      <c r="AT106" s="1020">
        <f t="shared" si="479"/>
        <v>77.599999999999994</v>
      </c>
      <c r="AU106" s="1021">
        <f t="shared" si="479"/>
        <v>107.80000000000003</v>
      </c>
      <c r="AV106" s="1020">
        <f t="shared" si="479"/>
        <v>79.100000000000023</v>
      </c>
      <c r="AW106" s="1020">
        <f t="shared" si="479"/>
        <v>99.299999999999969</v>
      </c>
      <c r="AX106" s="1020">
        <f t="shared" si="479"/>
        <v>100.69999999999999</v>
      </c>
      <c r="AY106" s="1021">
        <f t="shared" si="479"/>
        <v>120.2000000000001</v>
      </c>
      <c r="AZ106" s="1020">
        <f t="shared" si="479"/>
        <v>111.1</v>
      </c>
      <c r="BA106" s="1020">
        <f t="shared" si="479"/>
        <v>105.19999999999993</v>
      </c>
      <c r="BB106" s="1020">
        <f t="shared" ref="BB106:BG106" si="480">+SUM(BB102:BB105)</f>
        <v>112.9</v>
      </c>
      <c r="BC106" s="1021">
        <f t="shared" si="480"/>
        <v>97.500000000000057</v>
      </c>
      <c r="BD106" s="1020">
        <f t="shared" si="480"/>
        <v>73.399999999999991</v>
      </c>
      <c r="BE106" s="1020">
        <f t="shared" si="480"/>
        <v>88.300000000000011</v>
      </c>
      <c r="BF106" s="1020">
        <f t="shared" si="480"/>
        <v>118.99999999999997</v>
      </c>
      <c r="BG106" s="1021">
        <f t="shared" si="480"/>
        <v>183.90000000000003</v>
      </c>
      <c r="BH106" s="1020">
        <f t="shared" ref="BH106" si="481">+SUM(BH102:BH105)</f>
        <v>174.60000000000008</v>
      </c>
      <c r="BI106" s="1020">
        <f t="shared" ref="BI106:BK106" si="482">+SUM(BI102:BI105)</f>
        <v>192.79999999999995</v>
      </c>
      <c r="BJ106" s="1020">
        <f t="shared" si="482"/>
        <v>221.00000000000003</v>
      </c>
      <c r="BK106" s="1021">
        <f t="shared" si="482"/>
        <v>108.30000000000007</v>
      </c>
      <c r="BL106" s="1020">
        <f t="shared" ref="BL106:BS106" si="483">+SUM(BL102:BL105)</f>
        <v>235.71279467024598</v>
      </c>
      <c r="BM106" s="1020">
        <f t="shared" si="483"/>
        <v>222.85635048461259</v>
      </c>
      <c r="BN106" s="1020">
        <f t="shared" si="483"/>
        <v>233.41632488003657</v>
      </c>
      <c r="BO106" s="1021">
        <f t="shared" si="483"/>
        <v>229.23833083061803</v>
      </c>
      <c r="BP106" s="1020">
        <f t="shared" si="483"/>
        <v>93.700341649054991</v>
      </c>
      <c r="BQ106" s="1020">
        <f t="shared" si="483"/>
        <v>237.9268882043593</v>
      </c>
      <c r="BR106" s="1020">
        <f t="shared" si="483"/>
        <v>227.72264830442953</v>
      </c>
      <c r="BS106" s="1021">
        <f t="shared" si="483"/>
        <v>219.73814322722291</v>
      </c>
      <c r="BT106" s="1020">
        <f t="shared" ref="BT106:BW106" si="484">+SUM(BT102:BT105)</f>
        <v>193.0737922137192</v>
      </c>
      <c r="BU106" s="1020">
        <f t="shared" si="484"/>
        <v>221.78649629711629</v>
      </c>
      <c r="BV106" s="1020">
        <f t="shared" si="484"/>
        <v>287.27060106086657</v>
      </c>
      <c r="BW106" s="1021">
        <f t="shared" si="484"/>
        <v>295.61150583542246</v>
      </c>
      <c r="BX106" s="208"/>
      <c r="BY106" s="1022">
        <f t="shared" ref="BY106:CL106" si="485">+SUM(BY102:BY105)</f>
        <v>-38.562399999999968</v>
      </c>
      <c r="BZ106" s="1022">
        <f t="shared" si="485"/>
        <v>20.286399999999958</v>
      </c>
      <c r="CA106" s="1022">
        <f t="shared" si="485"/>
        <v>165.14830000000003</v>
      </c>
      <c r="CB106" s="1022">
        <f t="shared" si="485"/>
        <v>161.79999999999995</v>
      </c>
      <c r="CC106" s="1022">
        <f t="shared" si="485"/>
        <v>220.79999999999995</v>
      </c>
      <c r="CD106" s="1022">
        <f t="shared" si="485"/>
        <v>317.5</v>
      </c>
      <c r="CE106" s="1022">
        <f t="shared" si="485"/>
        <v>238.3</v>
      </c>
      <c r="CF106" s="1022">
        <f t="shared" si="485"/>
        <v>349.30000000000024</v>
      </c>
      <c r="CG106" s="1022">
        <f t="shared" si="485"/>
        <v>278.49999999999983</v>
      </c>
      <c r="CH106" s="1022">
        <f t="shared" si="485"/>
        <v>177.59999999999991</v>
      </c>
      <c r="CI106" s="1022">
        <f t="shared" si="485"/>
        <v>297.10000000000002</v>
      </c>
      <c r="CJ106" s="1022">
        <f t="shared" si="485"/>
        <v>399.30000000000013</v>
      </c>
      <c r="CK106" s="1022">
        <f t="shared" si="485"/>
        <v>426.7</v>
      </c>
      <c r="CL106" s="1022">
        <f t="shared" si="485"/>
        <v>464.6</v>
      </c>
      <c r="CM106" s="1022">
        <f>+SUM(CM102:CM105)</f>
        <v>696.7</v>
      </c>
      <c r="CN106" s="1022">
        <f>+SUM(CN102:CN105)</f>
        <v>921.22380086551311</v>
      </c>
      <c r="CO106" s="1022">
        <f>+SUM(CO102:CO105)</f>
        <v>779.08802138506667</v>
      </c>
      <c r="CP106" s="1026">
        <f>+SUM(CP102:CP105)</f>
        <v>997.74239540712426</v>
      </c>
      <c r="CQ106" s="23"/>
    </row>
    <row r="107" spans="1:95" ht="14.25" customHeight="1">
      <c r="A107" s="57"/>
      <c r="B107" s="184"/>
      <c r="C107" s="196"/>
      <c r="D107" s="996"/>
      <c r="E107" s="996"/>
      <c r="F107" s="996"/>
      <c r="G107" s="1003"/>
      <c r="H107" s="996"/>
      <c r="I107" s="996"/>
      <c r="J107" s="996"/>
      <c r="K107" s="1003"/>
      <c r="L107" s="996"/>
      <c r="M107" s="996"/>
      <c r="N107" s="996"/>
      <c r="O107" s="1003"/>
      <c r="P107" s="996"/>
      <c r="Q107" s="996"/>
      <c r="R107" s="996"/>
      <c r="S107" s="1003"/>
      <c r="T107" s="996"/>
      <c r="U107" s="996"/>
      <c r="V107" s="996"/>
      <c r="W107" s="1003"/>
      <c r="X107" s="996"/>
      <c r="Y107" s="996"/>
      <c r="Z107" s="996"/>
      <c r="AA107" s="1003"/>
      <c r="AB107" s="996"/>
      <c r="AC107" s="996"/>
      <c r="AD107" s="996"/>
      <c r="AE107" s="1003"/>
      <c r="AF107" s="996"/>
      <c r="AG107" s="996"/>
      <c r="AH107" s="996"/>
      <c r="AI107" s="1003"/>
      <c r="AJ107" s="996"/>
      <c r="AK107" s="996"/>
      <c r="AL107" s="996"/>
      <c r="AM107" s="1003"/>
      <c r="AN107" s="996"/>
      <c r="AO107" s="996"/>
      <c r="AP107" s="996"/>
      <c r="AQ107" s="1003"/>
      <c r="AR107" s="996"/>
      <c r="AS107" s="996"/>
      <c r="AT107" s="996"/>
      <c r="AU107" s="1003"/>
      <c r="AV107" s="996"/>
      <c r="AW107" s="996"/>
      <c r="AX107" s="996"/>
      <c r="AY107" s="1003"/>
      <c r="AZ107" s="996"/>
      <c r="BA107" s="996"/>
      <c r="BB107" s="996"/>
      <c r="BC107" s="1003"/>
      <c r="BD107" s="996"/>
      <c r="BE107" s="996"/>
      <c r="BF107" s="996"/>
      <c r="BG107" s="1003"/>
      <c r="BH107" s="996"/>
      <c r="BI107" s="996"/>
      <c r="BJ107" s="996"/>
      <c r="BK107" s="1003"/>
      <c r="BL107" s="996"/>
      <c r="BM107" s="996"/>
      <c r="BN107" s="996"/>
      <c r="BO107" s="1003"/>
      <c r="BP107" s="996"/>
      <c r="BQ107" s="996"/>
      <c r="BR107" s="996"/>
      <c r="BS107" s="1003"/>
      <c r="BT107" s="996"/>
      <c r="BU107" s="996"/>
      <c r="BV107" s="996"/>
      <c r="BW107" s="1003"/>
      <c r="BX107" s="24"/>
      <c r="BY107" s="997"/>
      <c r="BZ107" s="997"/>
      <c r="CA107" s="997"/>
      <c r="CB107" s="997"/>
      <c r="CC107" s="997"/>
      <c r="CD107" s="997"/>
      <c r="CE107" s="997"/>
      <c r="CF107" s="997"/>
      <c r="CG107" s="997"/>
      <c r="CH107" s="997"/>
      <c r="CI107" s="997"/>
      <c r="CJ107" s="997"/>
      <c r="CK107" s="997"/>
      <c r="CL107" s="997"/>
      <c r="CM107" s="997"/>
      <c r="CN107" s="997"/>
      <c r="CO107" s="997"/>
      <c r="CP107" s="1023"/>
      <c r="CQ107" s="23"/>
    </row>
    <row r="108" spans="1:95" ht="14.25" customHeight="1">
      <c r="A108" s="57"/>
      <c r="B108" s="184" t="s">
        <v>646</v>
      </c>
      <c r="C108" s="196"/>
      <c r="D108" s="996"/>
      <c r="E108" s="996"/>
      <c r="F108" s="996"/>
      <c r="G108" s="1003"/>
      <c r="H108" s="996"/>
      <c r="I108" s="996"/>
      <c r="J108" s="996"/>
      <c r="K108" s="1003"/>
      <c r="L108" s="996">
        <f t="shared" ref="L108:AI108" si="486">L37+L40</f>
        <v>27.200000000000017</v>
      </c>
      <c r="M108" s="996">
        <f t="shared" si="486"/>
        <v>48.999999999999972</v>
      </c>
      <c r="N108" s="996">
        <f t="shared" si="486"/>
        <v>36.20000000000001</v>
      </c>
      <c r="O108" s="1003">
        <f t="shared" si="486"/>
        <v>34.60000000000003</v>
      </c>
      <c r="P108" s="996">
        <f t="shared" si="486"/>
        <v>18.800000000000015</v>
      </c>
      <c r="Q108" s="996">
        <f t="shared" si="486"/>
        <v>-22.19999999999996</v>
      </c>
      <c r="R108" s="996">
        <f t="shared" si="486"/>
        <v>38.199999999999989</v>
      </c>
      <c r="S108" s="1003">
        <f t="shared" si="486"/>
        <v>116.00000000000006</v>
      </c>
      <c r="T108" s="996">
        <f t="shared" si="486"/>
        <v>14.099999999999966</v>
      </c>
      <c r="U108" s="996">
        <f t="shared" si="486"/>
        <v>27.800000000000018</v>
      </c>
      <c r="V108" s="996">
        <f t="shared" si="486"/>
        <v>64.599999999999966</v>
      </c>
      <c r="W108" s="1003">
        <f t="shared" si="486"/>
        <v>69.900000000000034</v>
      </c>
      <c r="X108" s="996">
        <f t="shared" si="486"/>
        <v>121.39999999999998</v>
      </c>
      <c r="Y108" s="996">
        <f t="shared" si="486"/>
        <v>12.500000000000007</v>
      </c>
      <c r="Z108" s="996">
        <f t="shared" si="486"/>
        <v>103.80000000000001</v>
      </c>
      <c r="AA108" s="1003">
        <f t="shared" si="486"/>
        <v>61.100000000000136</v>
      </c>
      <c r="AB108" s="996">
        <f t="shared" si="486"/>
        <v>6.4000000000000128</v>
      </c>
      <c r="AC108" s="996">
        <f t="shared" si="486"/>
        <v>43.600000000000009</v>
      </c>
      <c r="AD108" s="996">
        <f t="shared" si="486"/>
        <v>78.3</v>
      </c>
      <c r="AE108" s="1003">
        <f t="shared" si="486"/>
        <v>93.3</v>
      </c>
      <c r="AF108" s="996">
        <f t="shared" si="486"/>
        <v>68.500000000000043</v>
      </c>
      <c r="AG108" s="996">
        <f t="shared" si="486"/>
        <v>106.4</v>
      </c>
      <c r="AH108" s="996">
        <f t="shared" si="486"/>
        <v>71.199999999999989</v>
      </c>
      <c r="AI108" s="1003">
        <f t="shared" si="486"/>
        <v>116.79999999999995</v>
      </c>
      <c r="AJ108" s="996">
        <f t="shared" ref="AJ108:BC108" si="487">AJ37+AJ40</f>
        <v>36.899999999999991</v>
      </c>
      <c r="AK108" s="996">
        <f t="shared" si="487"/>
        <v>51.199999999999974</v>
      </c>
      <c r="AL108" s="996">
        <f t="shared" si="487"/>
        <v>33.399999999999991</v>
      </c>
      <c r="AM108" s="1003">
        <f t="shared" si="487"/>
        <v>107.60000000000004</v>
      </c>
      <c r="AN108" s="996">
        <f t="shared" si="487"/>
        <v>17.999999999999993</v>
      </c>
      <c r="AO108" s="996">
        <f t="shared" si="487"/>
        <v>-5.2000000000000028</v>
      </c>
      <c r="AP108" s="996">
        <f t="shared" si="487"/>
        <v>-72.200000000000045</v>
      </c>
      <c r="AQ108" s="1003">
        <f t="shared" si="487"/>
        <v>79.100000000000023</v>
      </c>
      <c r="AR108" s="996">
        <f t="shared" si="487"/>
        <v>46.29999999999999</v>
      </c>
      <c r="AS108" s="996">
        <f t="shared" si="487"/>
        <v>9.3999999999999844</v>
      </c>
      <c r="AT108" s="996">
        <f t="shared" si="487"/>
        <v>9.5000000000000355</v>
      </c>
      <c r="AU108" s="1003">
        <f t="shared" si="487"/>
        <v>106.9</v>
      </c>
      <c r="AV108" s="996">
        <f t="shared" si="487"/>
        <v>27.200000000000003</v>
      </c>
      <c r="AW108" s="996">
        <f t="shared" si="487"/>
        <v>102.79999999999997</v>
      </c>
      <c r="AX108" s="996">
        <f t="shared" si="487"/>
        <v>25.80000000000004</v>
      </c>
      <c r="AY108" s="1003">
        <f t="shared" si="487"/>
        <v>121.2</v>
      </c>
      <c r="AZ108" s="996">
        <f t="shared" si="487"/>
        <v>18.700000000000017</v>
      </c>
      <c r="BA108" s="996">
        <f t="shared" si="487"/>
        <v>26.099999999999966</v>
      </c>
      <c r="BB108" s="996">
        <f t="shared" si="487"/>
        <v>63.800000000000026</v>
      </c>
      <c r="BC108" s="1003">
        <f t="shared" si="487"/>
        <v>91.199999999999974</v>
      </c>
      <c r="BD108" s="996">
        <f t="shared" ref="BD108:BI108" si="488">BD37+BD40</f>
        <v>41.999999999999986</v>
      </c>
      <c r="BE108" s="996">
        <f t="shared" si="488"/>
        <v>52.19999999999996</v>
      </c>
      <c r="BF108" s="996">
        <f t="shared" si="488"/>
        <v>96.799999999999983</v>
      </c>
      <c r="BG108" s="1003">
        <f>BG37+BG40</f>
        <v>179.49999999999997</v>
      </c>
      <c r="BH108" s="996">
        <f t="shared" ref="BH108" si="489">BH37+BH40</f>
        <v>155.79999999999995</v>
      </c>
      <c r="BI108" s="996">
        <f t="shared" si="488"/>
        <v>264.20000000000016</v>
      </c>
      <c r="BJ108" s="996">
        <f t="shared" ref="BJ108" si="490">BJ37+BJ40</f>
        <v>238.09999999999997</v>
      </c>
      <c r="BK108" s="1003">
        <f>BK37+BK40</f>
        <v>48.600000000000023</v>
      </c>
      <c r="BL108" s="996"/>
      <c r="BM108" s="996"/>
      <c r="BN108" s="996"/>
      <c r="BO108" s="1003"/>
      <c r="BP108" s="996"/>
      <c r="BQ108" s="996"/>
      <c r="BR108" s="996"/>
      <c r="BS108" s="1003"/>
      <c r="BT108" s="996"/>
      <c r="BU108" s="996"/>
      <c r="BV108" s="996"/>
      <c r="BW108" s="1003"/>
      <c r="BX108" s="24"/>
      <c r="BY108" s="997"/>
      <c r="BZ108" s="997"/>
      <c r="CA108" s="997"/>
      <c r="CB108" s="997"/>
      <c r="CC108" s="997"/>
      <c r="CD108" s="997"/>
      <c r="CE108" s="997"/>
      <c r="CF108" s="997"/>
      <c r="CG108" s="997"/>
      <c r="CH108" s="997"/>
      <c r="CI108" s="997"/>
      <c r="CJ108" s="997">
        <f t="shared" ref="CJ108:CN108" si="491">CJ37+CJ40</f>
        <v>276.99999999999994</v>
      </c>
      <c r="CK108" s="997">
        <f t="shared" si="491"/>
        <v>199.7999999999999</v>
      </c>
      <c r="CL108" s="997">
        <f t="shared" si="491"/>
        <v>370.49999999999994</v>
      </c>
      <c r="CM108" s="997">
        <f>CM37+CM40</f>
        <v>706.70000000000027</v>
      </c>
      <c r="CN108" s="997">
        <f t="shared" si="491"/>
        <v>775.05092903951299</v>
      </c>
      <c r="CO108" s="997">
        <f t="shared" ref="CO108:CP108" si="492">CO37+CO40</f>
        <v>978.92084353245036</v>
      </c>
      <c r="CP108" s="1023">
        <f t="shared" si="492"/>
        <v>1074.620107336247</v>
      </c>
      <c r="CQ108" s="23"/>
    </row>
    <row r="109" spans="1:95" ht="14.25" customHeight="1">
      <c r="A109" s="57"/>
      <c r="B109" s="184"/>
      <c r="C109" s="196"/>
      <c r="D109" s="996"/>
      <c r="E109" s="996"/>
      <c r="F109" s="996"/>
      <c r="G109" s="1003"/>
      <c r="H109" s="996"/>
      <c r="I109" s="996"/>
      <c r="J109" s="996"/>
      <c r="K109" s="1003"/>
      <c r="L109" s="996"/>
      <c r="M109" s="996"/>
      <c r="N109" s="996"/>
      <c r="O109" s="1003"/>
      <c r="P109" s="996"/>
      <c r="Q109" s="996"/>
      <c r="R109" s="996"/>
      <c r="S109" s="1003"/>
      <c r="T109" s="996"/>
      <c r="U109" s="996"/>
      <c r="V109" s="996"/>
      <c r="W109" s="1003"/>
      <c r="X109" s="996"/>
      <c r="Y109" s="996"/>
      <c r="Z109" s="996"/>
      <c r="AA109" s="1003"/>
      <c r="AB109" s="996"/>
      <c r="AC109" s="996"/>
      <c r="AD109" s="996"/>
      <c r="AE109" s="1003"/>
      <c r="AF109" s="996"/>
      <c r="AG109" s="996"/>
      <c r="AH109" s="996"/>
      <c r="AI109" s="1003"/>
      <c r="AJ109" s="996"/>
      <c r="AK109" s="996"/>
      <c r="AL109" s="996"/>
      <c r="AM109" s="1003"/>
      <c r="AN109" s="996"/>
      <c r="AO109" s="996"/>
      <c r="AP109" s="996"/>
      <c r="AQ109" s="1003"/>
      <c r="AR109" s="996"/>
      <c r="AS109" s="996"/>
      <c r="AT109" s="996"/>
      <c r="AU109" s="1003"/>
      <c r="AV109" s="996"/>
      <c r="AW109" s="996"/>
      <c r="AX109" s="996"/>
      <c r="AY109" s="1003"/>
      <c r="AZ109" s="996"/>
      <c r="BA109" s="996"/>
      <c r="BB109" s="996"/>
      <c r="BC109" s="1003"/>
      <c r="BD109" s="996"/>
      <c r="BE109" s="996"/>
      <c r="BF109" s="996"/>
      <c r="BG109" s="1003"/>
      <c r="BH109" s="996"/>
      <c r="BI109" s="996"/>
      <c r="BJ109" s="996"/>
      <c r="BK109" s="1003"/>
      <c r="BL109" s="996"/>
      <c r="BM109" s="996"/>
      <c r="BN109" s="996"/>
      <c r="BO109" s="1003"/>
      <c r="BP109" s="996"/>
      <c r="BQ109" s="996"/>
      <c r="BR109" s="996"/>
      <c r="BS109" s="1003"/>
      <c r="BT109" s="996"/>
      <c r="BU109" s="996"/>
      <c r="BV109" s="996"/>
      <c r="BW109" s="1003"/>
      <c r="BX109" s="24"/>
      <c r="BY109" s="997"/>
      <c r="BZ109" s="997"/>
      <c r="CA109" s="997"/>
      <c r="CB109" s="997"/>
      <c r="CC109" s="997"/>
      <c r="CD109" s="997"/>
      <c r="CE109" s="997"/>
      <c r="CF109" s="997"/>
      <c r="CG109" s="997"/>
      <c r="CH109" s="997"/>
      <c r="CI109" s="997"/>
      <c r="CJ109" s="997"/>
      <c r="CK109" s="997"/>
      <c r="CL109" s="997"/>
      <c r="CM109" s="997"/>
      <c r="CN109" s="997"/>
      <c r="CO109" s="997"/>
      <c r="CP109" s="1023"/>
      <c r="CQ109" s="23"/>
    </row>
    <row r="110" spans="1:95" ht="14.25" customHeight="1">
      <c r="A110" s="9"/>
      <c r="B110" s="22" t="s">
        <v>579</v>
      </c>
      <c r="C110" s="211"/>
      <c r="D110" s="993">
        <f t="shared" ref="D110:AI110" si="493">D37+D40</f>
        <v>-1.5999999999999979</v>
      </c>
      <c r="E110" s="994">
        <f t="shared" si="493"/>
        <v>-6.3000000000000185</v>
      </c>
      <c r="F110" s="994">
        <f t="shared" si="493"/>
        <v>-15.699999999999992</v>
      </c>
      <c r="G110" s="995">
        <f t="shared" si="493"/>
        <v>9.5000000000000071</v>
      </c>
      <c r="H110" s="994">
        <f t="shared" si="493"/>
        <v>-18.8</v>
      </c>
      <c r="I110" s="994">
        <f t="shared" si="493"/>
        <v>13.800000000000004</v>
      </c>
      <c r="J110" s="994">
        <f t="shared" si="493"/>
        <v>11.700000000000014</v>
      </c>
      <c r="K110" s="995">
        <f t="shared" si="493"/>
        <v>-50.099999999999994</v>
      </c>
      <c r="L110" s="994">
        <f t="shared" si="493"/>
        <v>27.200000000000017</v>
      </c>
      <c r="M110" s="994">
        <f t="shared" si="493"/>
        <v>48.999999999999972</v>
      </c>
      <c r="N110" s="994">
        <f t="shared" si="493"/>
        <v>36.20000000000001</v>
      </c>
      <c r="O110" s="995">
        <f t="shared" si="493"/>
        <v>34.60000000000003</v>
      </c>
      <c r="P110" s="994">
        <f t="shared" si="493"/>
        <v>18.800000000000015</v>
      </c>
      <c r="Q110" s="994">
        <f t="shared" si="493"/>
        <v>-22.19999999999996</v>
      </c>
      <c r="R110" s="994">
        <f t="shared" si="493"/>
        <v>38.199999999999989</v>
      </c>
      <c r="S110" s="995">
        <f t="shared" si="493"/>
        <v>116.00000000000006</v>
      </c>
      <c r="T110" s="994">
        <f t="shared" si="493"/>
        <v>14.099999999999966</v>
      </c>
      <c r="U110" s="994">
        <f t="shared" si="493"/>
        <v>27.800000000000018</v>
      </c>
      <c r="V110" s="994">
        <f t="shared" si="493"/>
        <v>64.599999999999966</v>
      </c>
      <c r="W110" s="995">
        <f t="shared" si="493"/>
        <v>69.900000000000034</v>
      </c>
      <c r="X110" s="994">
        <f t="shared" si="493"/>
        <v>121.39999999999998</v>
      </c>
      <c r="Y110" s="994">
        <f t="shared" si="493"/>
        <v>12.500000000000007</v>
      </c>
      <c r="Z110" s="994">
        <f t="shared" si="493"/>
        <v>103.80000000000001</v>
      </c>
      <c r="AA110" s="995">
        <f t="shared" si="493"/>
        <v>61.100000000000136</v>
      </c>
      <c r="AB110" s="994">
        <f t="shared" si="493"/>
        <v>6.4000000000000128</v>
      </c>
      <c r="AC110" s="994">
        <f t="shared" si="493"/>
        <v>43.600000000000009</v>
      </c>
      <c r="AD110" s="994">
        <f t="shared" si="493"/>
        <v>78.3</v>
      </c>
      <c r="AE110" s="995">
        <f t="shared" si="493"/>
        <v>93.3</v>
      </c>
      <c r="AF110" s="994">
        <f t="shared" si="493"/>
        <v>68.500000000000043</v>
      </c>
      <c r="AG110" s="994">
        <f t="shared" si="493"/>
        <v>106.4</v>
      </c>
      <c r="AH110" s="994">
        <f t="shared" si="493"/>
        <v>71.199999999999989</v>
      </c>
      <c r="AI110" s="995">
        <f t="shared" si="493"/>
        <v>116.79999999999995</v>
      </c>
      <c r="AJ110" s="994">
        <f t="shared" ref="AJ110:BO110" si="494">AJ37+AJ40</f>
        <v>36.899999999999991</v>
      </c>
      <c r="AK110" s="994">
        <f t="shared" si="494"/>
        <v>51.199999999999974</v>
      </c>
      <c r="AL110" s="994">
        <f t="shared" si="494"/>
        <v>33.399999999999991</v>
      </c>
      <c r="AM110" s="995">
        <f t="shared" si="494"/>
        <v>107.60000000000004</v>
      </c>
      <c r="AN110" s="994">
        <f t="shared" si="494"/>
        <v>17.999999999999993</v>
      </c>
      <c r="AO110" s="994">
        <f t="shared" si="494"/>
        <v>-5.2000000000000028</v>
      </c>
      <c r="AP110" s="994">
        <f t="shared" si="494"/>
        <v>-72.200000000000045</v>
      </c>
      <c r="AQ110" s="995">
        <f t="shared" si="494"/>
        <v>79.100000000000023</v>
      </c>
      <c r="AR110" s="994">
        <f t="shared" si="494"/>
        <v>46.29999999999999</v>
      </c>
      <c r="AS110" s="994">
        <f t="shared" si="494"/>
        <v>9.3999999999999844</v>
      </c>
      <c r="AT110" s="994">
        <f t="shared" si="494"/>
        <v>9.5000000000000355</v>
      </c>
      <c r="AU110" s="995">
        <f t="shared" si="494"/>
        <v>106.9</v>
      </c>
      <c r="AV110" s="994">
        <f t="shared" si="494"/>
        <v>27.200000000000003</v>
      </c>
      <c r="AW110" s="994">
        <f t="shared" si="494"/>
        <v>102.79999999999997</v>
      </c>
      <c r="AX110" s="994">
        <f t="shared" si="494"/>
        <v>25.80000000000004</v>
      </c>
      <c r="AY110" s="995">
        <f t="shared" si="494"/>
        <v>121.2</v>
      </c>
      <c r="AZ110" s="994">
        <f t="shared" si="494"/>
        <v>18.700000000000017</v>
      </c>
      <c r="BA110" s="994">
        <f t="shared" si="494"/>
        <v>26.099999999999966</v>
      </c>
      <c r="BB110" s="994">
        <f t="shared" si="494"/>
        <v>63.800000000000026</v>
      </c>
      <c r="BC110" s="995">
        <f t="shared" si="494"/>
        <v>91.199999999999974</v>
      </c>
      <c r="BD110" s="994">
        <f t="shared" si="494"/>
        <v>41.999999999999986</v>
      </c>
      <c r="BE110" s="994">
        <f t="shared" si="494"/>
        <v>52.19999999999996</v>
      </c>
      <c r="BF110" s="994">
        <f t="shared" si="494"/>
        <v>96.799999999999983</v>
      </c>
      <c r="BG110" s="995">
        <f t="shared" ref="BG110:BH110" si="495">BG37+BG40</f>
        <v>179.49999999999997</v>
      </c>
      <c r="BH110" s="994">
        <f t="shared" si="495"/>
        <v>155.79999999999995</v>
      </c>
      <c r="BI110" s="994">
        <f t="shared" si="494"/>
        <v>264.20000000000016</v>
      </c>
      <c r="BJ110" s="994">
        <f t="shared" ref="BJ110" si="496">BJ37+BJ40</f>
        <v>238.09999999999997</v>
      </c>
      <c r="BK110" s="995">
        <f t="shared" si="494"/>
        <v>48.600000000000023</v>
      </c>
      <c r="BL110" s="994">
        <f t="shared" si="494"/>
        <v>112.81300091469011</v>
      </c>
      <c r="BM110" s="994">
        <f t="shared" si="494"/>
        <v>194.91708685261312</v>
      </c>
      <c r="BN110" s="994">
        <f t="shared" si="494"/>
        <v>196.23105779131646</v>
      </c>
      <c r="BO110" s="995">
        <f t="shared" si="494"/>
        <v>271.08978348089357</v>
      </c>
      <c r="BP110" s="994">
        <f t="shared" ref="BP110:BS110" si="497">BP37+BP40</f>
        <v>253.51051330456909</v>
      </c>
      <c r="BQ110" s="994">
        <f t="shared" si="497"/>
        <v>195.04262372183223</v>
      </c>
      <c r="BR110" s="994">
        <f t="shared" si="497"/>
        <v>238.12506815070572</v>
      </c>
      <c r="BS110" s="995">
        <f t="shared" si="497"/>
        <v>292.24263835534362</v>
      </c>
      <c r="BT110" s="994">
        <f t="shared" ref="BT110:BW110" si="498">BT37+BT40</f>
        <v>258.98920936407848</v>
      </c>
      <c r="BU110" s="994">
        <f t="shared" si="498"/>
        <v>223.16611637664775</v>
      </c>
      <c r="BV110" s="994">
        <f t="shared" si="498"/>
        <v>269.50109764461183</v>
      </c>
      <c r="BW110" s="995">
        <f t="shared" si="498"/>
        <v>322.96368395090917</v>
      </c>
      <c r="BX110" s="211"/>
      <c r="BY110" s="994">
        <f t="shared" ref="BY110:CN110" si="499">BY37+BY40</f>
        <v>-14.099999999999994</v>
      </c>
      <c r="BZ110" s="994">
        <f t="shared" si="499"/>
        <v>-43.399999999999977</v>
      </c>
      <c r="CA110" s="994">
        <f t="shared" si="499"/>
        <v>147</v>
      </c>
      <c r="CB110" s="994">
        <f t="shared" si="499"/>
        <v>150.79999999999998</v>
      </c>
      <c r="CC110" s="994">
        <f t="shared" si="499"/>
        <v>176.39999999999998</v>
      </c>
      <c r="CD110" s="994">
        <f t="shared" si="499"/>
        <v>298.79999999999995</v>
      </c>
      <c r="CE110" s="994">
        <f t="shared" si="499"/>
        <v>221.60000000000002</v>
      </c>
      <c r="CF110" s="994">
        <f t="shared" si="499"/>
        <v>362.90000000000009</v>
      </c>
      <c r="CG110" s="994">
        <f t="shared" si="499"/>
        <v>229.0999999999998</v>
      </c>
      <c r="CH110" s="994">
        <f t="shared" si="499"/>
        <v>19.699999999999875</v>
      </c>
      <c r="CI110" s="994">
        <f t="shared" si="499"/>
        <v>172.10000000000008</v>
      </c>
      <c r="CJ110" s="994">
        <f t="shared" si="499"/>
        <v>276.99999999999994</v>
      </c>
      <c r="CK110" s="994">
        <f t="shared" si="499"/>
        <v>199.7999999999999</v>
      </c>
      <c r="CL110" s="994">
        <f t="shared" si="499"/>
        <v>370.49999999999994</v>
      </c>
      <c r="CM110" s="994">
        <f t="shared" si="499"/>
        <v>706.70000000000027</v>
      </c>
      <c r="CN110" s="994">
        <f t="shared" si="499"/>
        <v>775.05092903951299</v>
      </c>
      <c r="CO110" s="994">
        <f t="shared" ref="CO110:CP110" si="500">CO37+CO40</f>
        <v>978.92084353245036</v>
      </c>
      <c r="CP110" s="995">
        <f t="shared" si="500"/>
        <v>1074.620107336247</v>
      </c>
      <c r="CQ110" s="22"/>
    </row>
    <row r="111" spans="1:95" ht="14.25" customHeight="1">
      <c r="A111" s="9"/>
      <c r="B111" s="16" t="s">
        <v>580</v>
      </c>
      <c r="C111" s="17"/>
      <c r="D111" s="241">
        <f t="shared" ref="D111:AI111" si="501">D110-D19</f>
        <v>-1.699999999999998</v>
      </c>
      <c r="E111" s="239">
        <f t="shared" si="501"/>
        <v>-6.3000000000000185</v>
      </c>
      <c r="F111" s="239">
        <f t="shared" si="501"/>
        <v>-15.699999999999992</v>
      </c>
      <c r="G111" s="240">
        <f t="shared" si="501"/>
        <v>9.5000000000000071</v>
      </c>
      <c r="H111" s="239">
        <f t="shared" si="501"/>
        <v>-18.8</v>
      </c>
      <c r="I111" s="239">
        <f t="shared" si="501"/>
        <v>13.800000000000004</v>
      </c>
      <c r="J111" s="239">
        <f t="shared" si="501"/>
        <v>11.500000000000014</v>
      </c>
      <c r="K111" s="240">
        <f t="shared" si="501"/>
        <v>-50.099999999999994</v>
      </c>
      <c r="L111" s="239">
        <f t="shared" si="501"/>
        <v>27.200000000000017</v>
      </c>
      <c r="M111" s="239">
        <f t="shared" si="501"/>
        <v>48.999999999999972</v>
      </c>
      <c r="N111" s="239">
        <f t="shared" si="501"/>
        <v>36.20000000000001</v>
      </c>
      <c r="O111" s="240">
        <f t="shared" si="501"/>
        <v>34.60000000000003</v>
      </c>
      <c r="P111" s="239">
        <f t="shared" si="501"/>
        <v>16.900000000000016</v>
      </c>
      <c r="Q111" s="239">
        <f t="shared" si="501"/>
        <v>-24.599999999999959</v>
      </c>
      <c r="R111" s="239">
        <f t="shared" si="501"/>
        <v>35.29999999999999</v>
      </c>
      <c r="S111" s="240">
        <f t="shared" si="501"/>
        <v>113.00000000000006</v>
      </c>
      <c r="T111" s="239">
        <f t="shared" si="501"/>
        <v>10.799999999999965</v>
      </c>
      <c r="U111" s="239">
        <f t="shared" si="501"/>
        <v>24.300000000000018</v>
      </c>
      <c r="V111" s="239">
        <f t="shared" si="501"/>
        <v>60.499999999999964</v>
      </c>
      <c r="W111" s="240">
        <f t="shared" si="501"/>
        <v>64.30000000000004</v>
      </c>
      <c r="X111" s="239">
        <f t="shared" si="501"/>
        <v>114.69999999999997</v>
      </c>
      <c r="Y111" s="239">
        <f t="shared" si="501"/>
        <v>4.2000000000000064</v>
      </c>
      <c r="Z111" s="239">
        <f t="shared" si="501"/>
        <v>92.4</v>
      </c>
      <c r="AA111" s="240">
        <f t="shared" si="501"/>
        <v>54.300000000000132</v>
      </c>
      <c r="AB111" s="239">
        <f t="shared" si="501"/>
        <v>-6.2999999999999865</v>
      </c>
      <c r="AC111" s="239">
        <f t="shared" si="501"/>
        <v>27.500000000000007</v>
      </c>
      <c r="AD111" s="239">
        <f t="shared" si="501"/>
        <v>64.8</v>
      </c>
      <c r="AE111" s="240">
        <f t="shared" si="501"/>
        <v>81.399999999999991</v>
      </c>
      <c r="AF111" s="239">
        <f t="shared" si="501"/>
        <v>54.80000000000004</v>
      </c>
      <c r="AG111" s="239">
        <f t="shared" si="501"/>
        <v>91</v>
      </c>
      <c r="AH111" s="239">
        <f t="shared" si="501"/>
        <v>58.999999999999993</v>
      </c>
      <c r="AI111" s="240">
        <f t="shared" si="501"/>
        <v>105.59999999999995</v>
      </c>
      <c r="AJ111" s="239">
        <f t="shared" ref="AJ111:BO111" si="502">AJ110-AJ19</f>
        <v>26.499999999999993</v>
      </c>
      <c r="AK111" s="239">
        <f t="shared" si="502"/>
        <v>40.699999999999974</v>
      </c>
      <c r="AL111" s="239">
        <f t="shared" si="502"/>
        <v>27.399999999999991</v>
      </c>
      <c r="AM111" s="240">
        <f t="shared" si="502"/>
        <v>101.00000000000003</v>
      </c>
      <c r="AN111" s="239">
        <f t="shared" si="502"/>
        <v>10.599999999999993</v>
      </c>
      <c r="AO111" s="239">
        <f t="shared" si="502"/>
        <v>-10.400000000000002</v>
      </c>
      <c r="AP111" s="239">
        <f t="shared" si="502"/>
        <v>-74.30000000000004</v>
      </c>
      <c r="AQ111" s="240">
        <f t="shared" si="502"/>
        <v>73.300000000000026</v>
      </c>
      <c r="AR111" s="239">
        <f t="shared" si="502"/>
        <v>40.499999999999993</v>
      </c>
      <c r="AS111" s="239">
        <f t="shared" si="502"/>
        <v>-1.2000000000000135</v>
      </c>
      <c r="AT111" s="239">
        <f t="shared" si="502"/>
        <v>2.5000000000000355</v>
      </c>
      <c r="AU111" s="240">
        <f t="shared" si="502"/>
        <v>98</v>
      </c>
      <c r="AV111" s="239">
        <f t="shared" si="502"/>
        <v>18.700000000000003</v>
      </c>
      <c r="AW111" s="239">
        <f t="shared" si="502"/>
        <v>89.399999999999977</v>
      </c>
      <c r="AX111" s="239">
        <f t="shared" si="502"/>
        <v>14.700000000000038</v>
      </c>
      <c r="AY111" s="240">
        <f t="shared" si="502"/>
        <v>108.4</v>
      </c>
      <c r="AZ111" s="239">
        <f t="shared" si="502"/>
        <v>7.4000000000000163</v>
      </c>
      <c r="BA111" s="239">
        <f t="shared" si="502"/>
        <v>11.999999999999968</v>
      </c>
      <c r="BB111" s="239">
        <f t="shared" si="502"/>
        <v>52.900000000000027</v>
      </c>
      <c r="BC111" s="240">
        <f t="shared" si="502"/>
        <v>80.59999999999998</v>
      </c>
      <c r="BD111" s="239">
        <f t="shared" si="502"/>
        <v>30.399999999999984</v>
      </c>
      <c r="BE111" s="239">
        <f t="shared" si="502"/>
        <v>36.099999999999959</v>
      </c>
      <c r="BF111" s="239">
        <f t="shared" si="502"/>
        <v>82.6</v>
      </c>
      <c r="BG111" s="240">
        <f t="shared" ref="BG111:BH111" si="503">BG110-BG19</f>
        <v>165.29999999999995</v>
      </c>
      <c r="BH111" s="239">
        <f t="shared" si="503"/>
        <v>140.69999999999996</v>
      </c>
      <c r="BI111" s="239">
        <f t="shared" si="502"/>
        <v>243.40000000000015</v>
      </c>
      <c r="BJ111" s="239">
        <f t="shared" ref="BJ111" si="504">BJ110-BJ19</f>
        <v>221.29999999999995</v>
      </c>
      <c r="BK111" s="240">
        <f t="shared" si="502"/>
        <v>31.500000000000028</v>
      </c>
      <c r="BL111" s="239">
        <f t="shared" si="502"/>
        <v>112.81300091469011</v>
      </c>
      <c r="BM111" s="239">
        <f t="shared" si="502"/>
        <v>194.91708685261312</v>
      </c>
      <c r="BN111" s="239">
        <f t="shared" si="502"/>
        <v>196.23105779131646</v>
      </c>
      <c r="BO111" s="240">
        <f t="shared" si="502"/>
        <v>271.08978348089357</v>
      </c>
      <c r="BP111" s="239">
        <f t="shared" ref="BP111:BS111" si="505">BP110-BP19</f>
        <v>253.51051330456909</v>
      </c>
      <c r="BQ111" s="239">
        <f t="shared" si="505"/>
        <v>195.04262372183223</v>
      </c>
      <c r="BR111" s="239">
        <f t="shared" si="505"/>
        <v>238.12506815070572</v>
      </c>
      <c r="BS111" s="240">
        <f t="shared" si="505"/>
        <v>292.24263835534362</v>
      </c>
      <c r="BT111" s="239">
        <f t="shared" ref="BT111:BW111" si="506">BT110-BT19</f>
        <v>258.98920936407848</v>
      </c>
      <c r="BU111" s="239">
        <f t="shared" si="506"/>
        <v>223.16611637664775</v>
      </c>
      <c r="BV111" s="239">
        <f t="shared" si="506"/>
        <v>269.50109764461183</v>
      </c>
      <c r="BW111" s="240">
        <f t="shared" si="506"/>
        <v>322.96368395090917</v>
      </c>
      <c r="BX111" s="211"/>
      <c r="BY111" s="239">
        <f t="shared" ref="BY111:CN111" si="507">BY110-BY19</f>
        <v>-14.199999999999994</v>
      </c>
      <c r="BZ111" s="239">
        <f t="shared" si="507"/>
        <v>-43.59999999999998</v>
      </c>
      <c r="CA111" s="239">
        <f t="shared" si="507"/>
        <v>147</v>
      </c>
      <c r="CB111" s="239">
        <f t="shared" si="507"/>
        <v>140.6</v>
      </c>
      <c r="CC111" s="239">
        <f t="shared" si="507"/>
        <v>159.89999999999998</v>
      </c>
      <c r="CD111" s="239">
        <f t="shared" si="507"/>
        <v>265.59999999999997</v>
      </c>
      <c r="CE111" s="239">
        <f t="shared" si="507"/>
        <v>167.40000000000003</v>
      </c>
      <c r="CF111" s="239">
        <f t="shared" si="507"/>
        <v>310.40000000000009</v>
      </c>
      <c r="CG111" s="239">
        <f t="shared" si="507"/>
        <v>195.5999999999998</v>
      </c>
      <c r="CH111" s="239">
        <f t="shared" si="507"/>
        <v>-0.80000000000012506</v>
      </c>
      <c r="CI111" s="239">
        <f t="shared" si="507"/>
        <v>139.80000000000007</v>
      </c>
      <c r="CJ111" s="239">
        <f t="shared" si="507"/>
        <v>231.19999999999993</v>
      </c>
      <c r="CK111" s="239">
        <f t="shared" si="507"/>
        <v>152.89999999999992</v>
      </c>
      <c r="CL111" s="239">
        <f t="shared" si="507"/>
        <v>314.39999999999992</v>
      </c>
      <c r="CM111" s="239">
        <f t="shared" si="507"/>
        <v>636.90000000000032</v>
      </c>
      <c r="CN111" s="239">
        <f t="shared" si="507"/>
        <v>775.05092903951299</v>
      </c>
      <c r="CO111" s="239">
        <f t="shared" ref="CO111:CP111" si="508">CO110-CO19</f>
        <v>978.92084353245036</v>
      </c>
      <c r="CP111" s="240">
        <f t="shared" si="508"/>
        <v>1074.620107336247</v>
      </c>
      <c r="CQ111" s="22"/>
    </row>
    <row r="112" spans="1:95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42"/>
      <c r="BZ112" s="242"/>
      <c r="CA112" s="242"/>
      <c r="CB112" s="242"/>
      <c r="CC112" s="242"/>
      <c r="CD112" s="242"/>
      <c r="CE112" s="242"/>
      <c r="CF112" s="242"/>
      <c r="CG112" s="242"/>
      <c r="CH112" s="242"/>
      <c r="CI112" s="242"/>
      <c r="CJ112" s="242"/>
      <c r="CK112" s="242"/>
      <c r="CL112" s="242"/>
      <c r="CM112" s="242"/>
      <c r="CN112" s="242"/>
      <c r="CO112" s="242"/>
      <c r="CP112" s="2"/>
      <c r="CQ112" s="160"/>
    </row>
    <row r="113" spans="1:95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42"/>
      <c r="BZ113" s="242"/>
      <c r="CA113" s="242"/>
      <c r="CB113" s="242"/>
      <c r="CC113" s="242"/>
      <c r="CD113" s="242"/>
      <c r="CE113" s="242"/>
      <c r="CF113" s="242"/>
      <c r="CG113" s="242"/>
      <c r="CH113" s="242"/>
      <c r="CI113" s="242"/>
      <c r="CJ113" s="242"/>
      <c r="CK113" s="242"/>
      <c r="CL113" s="242"/>
      <c r="CM113" s="242"/>
      <c r="CN113" s="242"/>
      <c r="CO113" s="242"/>
      <c r="CP113" s="2"/>
      <c r="CQ113" s="160"/>
    </row>
    <row r="114" spans="1:95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1037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42"/>
      <c r="BZ114" s="242"/>
      <c r="CA114" s="242"/>
      <c r="CB114" s="242"/>
      <c r="CC114" s="242"/>
      <c r="CD114" s="242"/>
      <c r="CE114" s="242"/>
      <c r="CF114" s="242"/>
      <c r="CG114" s="242"/>
      <c r="CH114" s="242"/>
      <c r="CI114" s="242"/>
      <c r="CJ114" s="242"/>
      <c r="CK114" s="242"/>
      <c r="CL114" s="242"/>
      <c r="CM114" s="242"/>
      <c r="CN114" s="242"/>
      <c r="CO114" s="242"/>
      <c r="CP114" s="2"/>
      <c r="CQ114" s="160"/>
    </row>
    <row r="115" spans="1:95" ht="14.25" customHeight="1" outlineLevel="1">
      <c r="A115" s="9"/>
      <c r="B115" s="10" t="s">
        <v>406</v>
      </c>
      <c r="C115" s="1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1037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15"/>
      <c r="BY115" s="202"/>
      <c r="BZ115" s="202"/>
      <c r="CA115" s="202"/>
      <c r="CB115" s="202"/>
      <c r="CC115" s="202"/>
      <c r="CD115" s="202"/>
      <c r="CE115" s="202"/>
      <c r="CF115" s="202"/>
      <c r="CG115" s="202"/>
      <c r="CH115" s="202"/>
      <c r="CI115" s="202"/>
      <c r="CJ115" s="202"/>
      <c r="CK115" s="202"/>
      <c r="CL115" s="202"/>
      <c r="CM115" s="202"/>
      <c r="CN115" s="202"/>
      <c r="CO115" s="202"/>
      <c r="CP115" s="2"/>
      <c r="CQ115" s="15"/>
    </row>
    <row r="116" spans="1:95" ht="14.25" customHeight="1" outlineLevel="1">
      <c r="A116" s="15"/>
      <c r="B116" s="13" t="s">
        <v>317</v>
      </c>
      <c r="C116" s="14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1037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57"/>
      <c r="BY116" s="95"/>
      <c r="BZ116" s="95"/>
      <c r="CA116" s="95"/>
      <c r="CB116" s="95"/>
      <c r="CC116" s="95"/>
      <c r="CD116" s="95"/>
      <c r="CE116" s="95"/>
      <c r="CF116" s="95"/>
      <c r="CG116" s="95"/>
      <c r="CH116" s="95"/>
      <c r="CI116" s="95"/>
      <c r="CJ116" s="95"/>
      <c r="CK116" s="95"/>
      <c r="CL116" s="95"/>
      <c r="CM116" s="95"/>
      <c r="CN116" s="95"/>
      <c r="CO116" s="95"/>
      <c r="CP116" s="2"/>
      <c r="CQ116" s="15"/>
    </row>
    <row r="117" spans="1:95" ht="14.25" customHeight="1" outlineLevel="1">
      <c r="A117" s="15"/>
      <c r="B117" s="275"/>
      <c r="C117" s="161"/>
      <c r="D117" s="18" t="str">
        <f t="shared" ref="D117:AI117" si="509">D7</f>
        <v>F1Q03A</v>
      </c>
      <c r="E117" s="19" t="str">
        <f t="shared" si="509"/>
        <v>F2Q03A</v>
      </c>
      <c r="F117" s="19" t="str">
        <f t="shared" si="509"/>
        <v>F3Q03A</v>
      </c>
      <c r="G117" s="19" t="str">
        <f t="shared" si="509"/>
        <v>F4Q03A</v>
      </c>
      <c r="H117" s="18" t="str">
        <f t="shared" si="509"/>
        <v>F1Q04A</v>
      </c>
      <c r="I117" s="19" t="str">
        <f t="shared" si="509"/>
        <v>F2Q04A</v>
      </c>
      <c r="J117" s="19" t="str">
        <f t="shared" si="509"/>
        <v>F3Q04A</v>
      </c>
      <c r="K117" s="19" t="str">
        <f t="shared" si="509"/>
        <v>F4Q04A</v>
      </c>
      <c r="L117" s="18" t="str">
        <f t="shared" si="509"/>
        <v>F1Q05A</v>
      </c>
      <c r="M117" s="19" t="str">
        <f t="shared" si="509"/>
        <v>F2Q05A</v>
      </c>
      <c r="N117" s="19" t="str">
        <f t="shared" si="509"/>
        <v>F3Q05A</v>
      </c>
      <c r="O117" s="19" t="str">
        <f t="shared" si="509"/>
        <v>F4Q05A</v>
      </c>
      <c r="P117" s="18" t="str">
        <f t="shared" si="509"/>
        <v>F1Q06A</v>
      </c>
      <c r="Q117" s="19" t="str">
        <f t="shared" si="509"/>
        <v>F2Q06A</v>
      </c>
      <c r="R117" s="19" t="str">
        <f t="shared" si="509"/>
        <v>F3Q06A</v>
      </c>
      <c r="S117" s="19" t="str">
        <f t="shared" si="509"/>
        <v>F4Q06A</v>
      </c>
      <c r="T117" s="18" t="str">
        <f t="shared" si="509"/>
        <v>F1Q07A</v>
      </c>
      <c r="U117" s="19" t="str">
        <f t="shared" si="509"/>
        <v>F2Q07A</v>
      </c>
      <c r="V117" s="19" t="str">
        <f t="shared" si="509"/>
        <v>F3Q07A</v>
      </c>
      <c r="W117" s="19" t="str">
        <f t="shared" si="509"/>
        <v>F4Q07A</v>
      </c>
      <c r="X117" s="18" t="str">
        <f t="shared" si="509"/>
        <v>F1Q08A</v>
      </c>
      <c r="Y117" s="19" t="str">
        <f t="shared" si="509"/>
        <v>F2Q08A</v>
      </c>
      <c r="Z117" s="19" t="str">
        <f t="shared" si="509"/>
        <v>F3Q08A</v>
      </c>
      <c r="AA117" s="19" t="str">
        <f t="shared" si="509"/>
        <v>F4Q08A</v>
      </c>
      <c r="AB117" s="18" t="str">
        <f t="shared" si="509"/>
        <v>F1Q09A</v>
      </c>
      <c r="AC117" s="19" t="str">
        <f t="shared" si="509"/>
        <v>F2Q09A</v>
      </c>
      <c r="AD117" s="19" t="str">
        <f t="shared" si="509"/>
        <v>F3Q09A</v>
      </c>
      <c r="AE117" s="19" t="str">
        <f t="shared" si="509"/>
        <v>F4Q09A</v>
      </c>
      <c r="AF117" s="18" t="str">
        <f t="shared" si="509"/>
        <v>F1Q10A</v>
      </c>
      <c r="AG117" s="19" t="str">
        <f t="shared" si="509"/>
        <v>F2Q10A</v>
      </c>
      <c r="AH117" s="19" t="str">
        <f t="shared" si="509"/>
        <v>F3Q10A</v>
      </c>
      <c r="AI117" s="19" t="str">
        <f t="shared" si="509"/>
        <v>F4Q10A</v>
      </c>
      <c r="AJ117" s="18" t="str">
        <f t="shared" ref="AJ117:BO117" si="510">AJ7</f>
        <v>F1Q11A</v>
      </c>
      <c r="AK117" s="19" t="str">
        <f t="shared" si="510"/>
        <v>F2Q11A</v>
      </c>
      <c r="AL117" s="19" t="str">
        <f t="shared" si="510"/>
        <v>F3Q11A</v>
      </c>
      <c r="AM117" s="20" t="str">
        <f t="shared" si="510"/>
        <v>F4Q11A</v>
      </c>
      <c r="AN117" s="18" t="str">
        <f t="shared" si="510"/>
        <v>F1Q12A</v>
      </c>
      <c r="AO117" s="19" t="str">
        <f t="shared" si="510"/>
        <v>F2Q12A</v>
      </c>
      <c r="AP117" s="19" t="str">
        <f t="shared" si="510"/>
        <v>F3Q12A</v>
      </c>
      <c r="AQ117" s="20" t="str">
        <f t="shared" si="510"/>
        <v>F4Q12A</v>
      </c>
      <c r="AR117" s="18" t="str">
        <f t="shared" si="510"/>
        <v>F1Q13A</v>
      </c>
      <c r="AS117" s="19" t="str">
        <f t="shared" si="510"/>
        <v>F2Q13A</v>
      </c>
      <c r="AT117" s="19" t="str">
        <f t="shared" si="510"/>
        <v>F3Q13A</v>
      </c>
      <c r="AU117" s="20" t="str">
        <f t="shared" si="510"/>
        <v>F4Q13A</v>
      </c>
      <c r="AV117" s="18" t="str">
        <f t="shared" si="510"/>
        <v>F1Q14A</v>
      </c>
      <c r="AW117" s="19" t="str">
        <f t="shared" si="510"/>
        <v>F2Q14A</v>
      </c>
      <c r="AX117" s="19" t="str">
        <f t="shared" si="510"/>
        <v>F3Q14A</v>
      </c>
      <c r="AY117" s="20" t="str">
        <f t="shared" si="510"/>
        <v>F4Q14A</v>
      </c>
      <c r="AZ117" s="18" t="str">
        <f t="shared" si="510"/>
        <v>F1Q15A</v>
      </c>
      <c r="BA117" s="19" t="str">
        <f t="shared" si="510"/>
        <v>F2Q15A</v>
      </c>
      <c r="BB117" s="19" t="str">
        <f t="shared" si="510"/>
        <v>F3Q15A</v>
      </c>
      <c r="BC117" s="20" t="str">
        <f t="shared" si="510"/>
        <v>F4Q15A</v>
      </c>
      <c r="BD117" s="18" t="str">
        <f t="shared" si="510"/>
        <v>F1Q16A</v>
      </c>
      <c r="BE117" s="19" t="str">
        <f t="shared" si="510"/>
        <v>F2Q16A</v>
      </c>
      <c r="BF117" s="1300" t="str">
        <f t="shared" si="510"/>
        <v>F3Q16A</v>
      </c>
      <c r="BG117" s="1301" t="str">
        <f t="shared" ref="BG117" si="511">BG7</f>
        <v>F4Q16A</v>
      </c>
      <c r="BH117" s="18" t="str">
        <f t="shared" si="510"/>
        <v>F1Q17A</v>
      </c>
      <c r="BI117" s="19" t="str">
        <f t="shared" si="510"/>
        <v>F2Q17A</v>
      </c>
      <c r="BJ117" s="19" t="str">
        <f t="shared" si="510"/>
        <v>F3Q17A</v>
      </c>
      <c r="BK117" s="20" t="str">
        <f t="shared" si="510"/>
        <v>F4Q17A</v>
      </c>
      <c r="BL117" s="18" t="str">
        <f t="shared" si="510"/>
        <v>F1Q18E</v>
      </c>
      <c r="BM117" s="19" t="str">
        <f t="shared" si="510"/>
        <v>F2Q18E</v>
      </c>
      <c r="BN117" s="19" t="str">
        <f t="shared" si="510"/>
        <v>F3Q18E</v>
      </c>
      <c r="BO117" s="20" t="str">
        <f t="shared" si="510"/>
        <v>F4Q18E</v>
      </c>
      <c r="BP117" s="1299" t="str">
        <f t="shared" ref="BP117:BS117" si="512">BP7</f>
        <v>F1Q19E</v>
      </c>
      <c r="BQ117" s="1300" t="str">
        <f t="shared" si="512"/>
        <v>F2Q19E</v>
      </c>
      <c r="BR117" s="1300" t="str">
        <f t="shared" si="512"/>
        <v>F3Q19E</v>
      </c>
      <c r="BS117" s="1301" t="str">
        <f t="shared" si="512"/>
        <v>F4Q19E</v>
      </c>
      <c r="BT117" s="1390" t="str">
        <f t="shared" ref="BT117:BW117" si="513">BT7</f>
        <v>F1Q20E</v>
      </c>
      <c r="BU117" s="1391" t="str">
        <f t="shared" si="513"/>
        <v>F2Q20E</v>
      </c>
      <c r="BV117" s="1391" t="str">
        <f t="shared" si="513"/>
        <v>F3Q20E</v>
      </c>
      <c r="BW117" s="1392" t="str">
        <f t="shared" si="513"/>
        <v>F4Q20E</v>
      </c>
      <c r="BX117" s="149"/>
      <c r="BY117" s="19" t="str">
        <f t="shared" ref="BY117:CN117" si="514">BY7</f>
        <v>FY2003A</v>
      </c>
      <c r="BZ117" s="19" t="str">
        <f t="shared" si="514"/>
        <v>FY2004A</v>
      </c>
      <c r="CA117" s="19" t="str">
        <f t="shared" si="514"/>
        <v>FY2005A</v>
      </c>
      <c r="CB117" s="19" t="str">
        <f t="shared" si="514"/>
        <v>FY2006A</v>
      </c>
      <c r="CC117" s="19" t="str">
        <f t="shared" si="514"/>
        <v>FY2007A</v>
      </c>
      <c r="CD117" s="19" t="str">
        <f t="shared" si="514"/>
        <v>FY2008A</v>
      </c>
      <c r="CE117" s="1391" t="str">
        <f t="shared" si="514"/>
        <v>FY2009A</v>
      </c>
      <c r="CF117" s="1391" t="str">
        <f t="shared" si="514"/>
        <v>FY2010A</v>
      </c>
      <c r="CG117" s="1391" t="str">
        <f t="shared" si="514"/>
        <v>FY2011A</v>
      </c>
      <c r="CH117" s="1391" t="str">
        <f t="shared" si="514"/>
        <v>FY2012A</v>
      </c>
      <c r="CI117" s="1391" t="str">
        <f t="shared" si="514"/>
        <v>FY2013A</v>
      </c>
      <c r="CJ117" s="1391" t="str">
        <f t="shared" si="514"/>
        <v>FY2014A</v>
      </c>
      <c r="CK117" s="1391" t="str">
        <f t="shared" si="514"/>
        <v>FY2015A</v>
      </c>
      <c r="CL117" s="1391" t="str">
        <f t="shared" si="514"/>
        <v>FY2016</v>
      </c>
      <c r="CM117" s="1391" t="str">
        <f t="shared" si="514"/>
        <v>FY2017A</v>
      </c>
      <c r="CN117" s="1391" t="str">
        <f t="shared" si="514"/>
        <v>FY2018E</v>
      </c>
      <c r="CO117" s="1391" t="str">
        <f t="shared" ref="CO117:CP117" si="515">CO7</f>
        <v>FY2019E</v>
      </c>
      <c r="CP117" s="1392" t="str">
        <f t="shared" si="515"/>
        <v>FY2020E</v>
      </c>
      <c r="CQ117" s="22"/>
    </row>
    <row r="118" spans="1:95" ht="14.25" customHeight="1" outlineLevel="1">
      <c r="A118" s="9"/>
      <c r="B118" s="162" t="s">
        <v>265</v>
      </c>
      <c r="C118" s="46"/>
      <c r="D118" s="165"/>
      <c r="E118" s="163"/>
      <c r="F118" s="163"/>
      <c r="G118" s="163"/>
      <c r="H118" s="165"/>
      <c r="I118" s="163"/>
      <c r="J118" s="163"/>
      <c r="K118" s="163"/>
      <c r="L118" s="165"/>
      <c r="M118" s="163"/>
      <c r="N118" s="163"/>
      <c r="O118" s="163"/>
      <c r="P118" s="165"/>
      <c r="Q118" s="163"/>
      <c r="R118" s="163"/>
      <c r="S118" s="163"/>
      <c r="T118" s="165"/>
      <c r="U118" s="163"/>
      <c r="V118" s="163"/>
      <c r="W118" s="163"/>
      <c r="X118" s="165"/>
      <c r="Y118" s="163"/>
      <c r="Z118" s="163"/>
      <c r="AA118" s="163"/>
      <c r="AB118" s="165"/>
      <c r="AC118" s="163"/>
      <c r="AD118" s="163"/>
      <c r="AE118" s="163"/>
      <c r="AF118" s="165"/>
      <c r="AG118" s="163"/>
      <c r="AH118" s="163"/>
      <c r="AI118" s="163"/>
      <c r="AJ118" s="165"/>
      <c r="AK118" s="163"/>
      <c r="AL118" s="163"/>
      <c r="AM118" s="164"/>
      <c r="AN118" s="165"/>
      <c r="AO118" s="163"/>
      <c r="AP118" s="163"/>
      <c r="AQ118" s="164"/>
      <c r="AR118" s="165"/>
      <c r="AS118" s="163"/>
      <c r="AT118" s="163"/>
      <c r="AU118" s="164"/>
      <c r="AV118" s="165"/>
      <c r="AW118" s="163"/>
      <c r="AX118" s="163"/>
      <c r="AY118" s="164"/>
      <c r="AZ118" s="165"/>
      <c r="BA118" s="163"/>
      <c r="BB118" s="163"/>
      <c r="BC118" s="164"/>
      <c r="BD118" s="165"/>
      <c r="BE118" s="163"/>
      <c r="BF118" s="163"/>
      <c r="BG118" s="164"/>
      <c r="BH118" s="165"/>
      <c r="BI118" s="163"/>
      <c r="BJ118" s="163"/>
      <c r="BK118" s="164"/>
      <c r="BL118" s="165"/>
      <c r="BM118" s="163"/>
      <c r="BN118" s="163"/>
      <c r="BO118" s="164"/>
      <c r="BP118" s="165"/>
      <c r="BQ118" s="163"/>
      <c r="BR118" s="163"/>
      <c r="BS118" s="164"/>
      <c r="BT118" s="165"/>
      <c r="BU118" s="163"/>
      <c r="BV118" s="163"/>
      <c r="BW118" s="164"/>
      <c r="BX118" s="149"/>
      <c r="BY118" s="163"/>
      <c r="BZ118" s="163"/>
      <c r="CA118" s="163"/>
      <c r="CB118" s="163"/>
      <c r="CC118" s="163"/>
      <c r="CD118" s="163"/>
      <c r="CE118" s="163"/>
      <c r="CF118" s="163"/>
      <c r="CG118" s="163"/>
      <c r="CH118" s="163"/>
      <c r="CI118" s="163"/>
      <c r="CJ118" s="163"/>
      <c r="CK118" s="163"/>
      <c r="CL118" s="163"/>
      <c r="CM118" s="163"/>
      <c r="CN118" s="163"/>
      <c r="CO118" s="163"/>
      <c r="CP118" s="164"/>
      <c r="CQ118" s="22"/>
    </row>
    <row r="119" spans="1:95" ht="14.25" customHeight="1" outlineLevel="1">
      <c r="A119" s="9"/>
      <c r="B119" s="23" t="s">
        <v>266</v>
      </c>
      <c r="C119" s="24"/>
      <c r="D119" s="42">
        <v>-50.5</v>
      </c>
      <c r="E119" s="42">
        <v>-108</v>
      </c>
      <c r="F119" s="42">
        <v>-124.3</v>
      </c>
      <c r="G119" s="42">
        <v>-166.7</v>
      </c>
      <c r="H119" s="50">
        <v>-47.6</v>
      </c>
      <c r="I119" s="42">
        <v>-51.1</v>
      </c>
      <c r="J119" s="42">
        <v>-35.4</v>
      </c>
      <c r="K119" s="42">
        <v>-123.7</v>
      </c>
      <c r="L119" s="50">
        <v>14.8</v>
      </c>
      <c r="M119" s="42">
        <v>33.299999999999997</v>
      </c>
      <c r="N119" s="42">
        <v>56.8</v>
      </c>
      <c r="O119" s="42">
        <v>100.6</v>
      </c>
      <c r="P119" s="50">
        <v>40.4</v>
      </c>
      <c r="Q119" s="42">
        <v>107.9</v>
      </c>
      <c r="R119" s="42">
        <v>184.7</v>
      </c>
      <c r="S119" s="42">
        <v>272.10000000000002</v>
      </c>
      <c r="T119" s="50">
        <v>54</v>
      </c>
      <c r="U119" s="42">
        <v>117.3</v>
      </c>
      <c r="V119" s="42">
        <v>181.1</v>
      </c>
      <c r="W119" s="42">
        <v>242.2</v>
      </c>
      <c r="X119" s="50">
        <v>10.7</v>
      </c>
      <c r="Y119" s="42">
        <v>44.2</v>
      </c>
      <c r="Z119" s="42">
        <v>95.2</v>
      </c>
      <c r="AA119" s="42">
        <v>-428.6</v>
      </c>
      <c r="AB119" s="50">
        <v>-33.5</v>
      </c>
      <c r="AC119" s="42">
        <v>-35.700000000000003</v>
      </c>
      <c r="AD119" s="42">
        <v>-5.0999999999999996</v>
      </c>
      <c r="AE119" s="42">
        <v>63.3</v>
      </c>
      <c r="AF119" s="50">
        <v>63.7</v>
      </c>
      <c r="AG119" s="42">
        <v>143.30000000000001</v>
      </c>
      <c r="AH119" s="42">
        <v>231.7</v>
      </c>
      <c r="AI119" s="42">
        <v>292.89999999999998</v>
      </c>
      <c r="AJ119" s="50">
        <v>36.200000000000003</v>
      </c>
      <c r="AK119" s="42">
        <v>71.3</v>
      </c>
      <c r="AL119" s="42">
        <v>22.3</v>
      </c>
      <c r="AM119" s="42">
        <v>14.9</v>
      </c>
      <c r="AN119" s="50">
        <v>29</v>
      </c>
      <c r="AO119" s="42">
        <v>37.200000000000003</v>
      </c>
      <c r="AP119" s="42">
        <v>50.6</v>
      </c>
      <c r="AQ119" s="42">
        <v>-86.3</v>
      </c>
      <c r="AR119" s="50">
        <v>23.3</v>
      </c>
      <c r="AS119" s="42">
        <v>72</v>
      </c>
      <c r="AT119" s="42">
        <v>124.8</v>
      </c>
      <c r="AU119" s="42">
        <v>154</v>
      </c>
      <c r="AV119" s="50">
        <v>58.6</v>
      </c>
      <c r="AW119" s="42">
        <v>147.6</v>
      </c>
      <c r="AX119" s="42">
        <v>189.6</v>
      </c>
      <c r="AY119" s="42">
        <v>192.1</v>
      </c>
      <c r="AZ119" s="50">
        <v>55.8</v>
      </c>
      <c r="BA119" s="42">
        <v>107.2</v>
      </c>
      <c r="BB119" s="42">
        <v>154</v>
      </c>
      <c r="BC119" s="42">
        <v>209</v>
      </c>
      <c r="BD119" s="50">
        <v>36.4</v>
      </c>
      <c r="BE119" s="42">
        <v>62.2</v>
      </c>
      <c r="BF119" s="42">
        <v>72.8</v>
      </c>
      <c r="BG119" s="42">
        <v>184.5</v>
      </c>
      <c r="BH119" s="50">
        <v>78.7</v>
      </c>
      <c r="BI119" s="42">
        <v>173.1</v>
      </c>
      <c r="BJ119" s="42">
        <v>282</v>
      </c>
      <c r="BK119" s="42">
        <v>813</v>
      </c>
      <c r="BL119" s="85">
        <f>BL9</f>
        <v>140.56389460453701</v>
      </c>
      <c r="BM119" s="86">
        <f>BL119+BM9</f>
        <v>326.87971971472166</v>
      </c>
      <c r="BN119" s="86">
        <f>BM119+BN9</f>
        <v>523.29103643162773</v>
      </c>
      <c r="BO119" s="87">
        <f>BN119+BO9</f>
        <v>711.23031759748176</v>
      </c>
      <c r="BP119" s="85">
        <f>BP9</f>
        <v>185.63643690068847</v>
      </c>
      <c r="BQ119" s="86">
        <f>BP119+BQ9</f>
        <v>391.16895956430665</v>
      </c>
      <c r="BR119" s="86">
        <f>BQ119+BR9</f>
        <v>614.28857980579551</v>
      </c>
      <c r="BS119" s="87">
        <f>BR119+BS9</f>
        <v>830.81435237504058</v>
      </c>
      <c r="BT119" s="85">
        <f>BT9</f>
        <v>207.06409561152162</v>
      </c>
      <c r="BU119" s="86">
        <f>BT119+BU9</f>
        <v>435.03084266643975</v>
      </c>
      <c r="BV119" s="86">
        <f>BU119+BV9</f>
        <v>681.25383721816559</v>
      </c>
      <c r="BW119" s="87">
        <f>BV119+BW9</f>
        <v>920.58231577122172</v>
      </c>
      <c r="BX119" s="149"/>
      <c r="BY119" s="86">
        <f t="shared" ref="BY119:CM119" si="516">BY9</f>
        <v>-166.7</v>
      </c>
      <c r="BZ119" s="86">
        <f t="shared" si="516"/>
        <v>-123.69999999999999</v>
      </c>
      <c r="CA119" s="86">
        <f t="shared" si="516"/>
        <v>100.6</v>
      </c>
      <c r="CB119" s="86">
        <f t="shared" si="516"/>
        <v>272.10000000000002</v>
      </c>
      <c r="CC119" s="86">
        <f t="shared" si="516"/>
        <v>242.2</v>
      </c>
      <c r="CD119" s="86">
        <f t="shared" si="516"/>
        <v>-428.59999999999997</v>
      </c>
      <c r="CE119" s="86">
        <f t="shared" si="516"/>
        <v>63.300000000000004</v>
      </c>
      <c r="CF119" s="86">
        <f t="shared" si="516"/>
        <v>292.89999999999998</v>
      </c>
      <c r="CG119" s="86">
        <f t="shared" si="516"/>
        <v>14.899999999999999</v>
      </c>
      <c r="CH119" s="86">
        <f t="shared" si="516"/>
        <v>-86.300000000000011</v>
      </c>
      <c r="CI119" s="86">
        <f t="shared" si="516"/>
        <v>154</v>
      </c>
      <c r="CJ119" s="86">
        <f t="shared" si="516"/>
        <v>192.1</v>
      </c>
      <c r="CK119" s="86">
        <f t="shared" si="516"/>
        <v>209</v>
      </c>
      <c r="CL119" s="86">
        <f t="shared" si="516"/>
        <v>184.5</v>
      </c>
      <c r="CM119" s="86">
        <f t="shared" si="516"/>
        <v>813</v>
      </c>
      <c r="CN119" s="86">
        <f>CM119+CN9</f>
        <v>1524.2303175974816</v>
      </c>
      <c r="CO119" s="86">
        <f>CN119+CO9</f>
        <v>2355.0446699725221</v>
      </c>
      <c r="CP119" s="87">
        <f>CO119+CP9</f>
        <v>3275.6269857437437</v>
      </c>
      <c r="CQ119" s="22"/>
    </row>
    <row r="120" spans="1:95" ht="14.25" customHeight="1" outlineLevel="1">
      <c r="A120" s="9"/>
      <c r="B120" s="168" t="s">
        <v>320</v>
      </c>
      <c r="C120" s="169"/>
      <c r="D120" s="170"/>
      <c r="E120" s="170"/>
      <c r="F120" s="170"/>
      <c r="G120" s="170"/>
      <c r="H120" s="172"/>
      <c r="I120" s="170"/>
      <c r="J120" s="170"/>
      <c r="K120" s="170"/>
      <c r="L120" s="172"/>
      <c r="M120" s="170"/>
      <c r="N120" s="170"/>
      <c r="O120" s="170"/>
      <c r="P120" s="172"/>
      <c r="Q120" s="170"/>
      <c r="R120" s="170"/>
      <c r="S120" s="170"/>
      <c r="T120" s="172"/>
      <c r="U120" s="170"/>
      <c r="V120" s="170"/>
      <c r="W120" s="170"/>
      <c r="X120" s="172"/>
      <c r="Y120" s="170"/>
      <c r="Z120" s="170"/>
      <c r="AA120" s="170"/>
      <c r="AB120" s="172"/>
      <c r="AC120" s="170"/>
      <c r="AD120" s="170"/>
      <c r="AE120" s="170"/>
      <c r="AF120" s="172"/>
      <c r="AG120" s="170"/>
      <c r="AH120" s="170"/>
      <c r="AI120" s="170"/>
      <c r="AJ120" s="172"/>
      <c r="AK120" s="170"/>
      <c r="AL120" s="170"/>
      <c r="AM120" s="170"/>
      <c r="AN120" s="172"/>
      <c r="AO120" s="170"/>
      <c r="AP120" s="170"/>
      <c r="AQ120" s="170"/>
      <c r="AR120" s="172"/>
      <c r="AS120" s="827"/>
      <c r="AT120" s="170"/>
      <c r="AU120" s="170"/>
      <c r="AV120" s="172"/>
      <c r="AW120" s="827"/>
      <c r="AX120" s="170"/>
      <c r="AY120" s="170"/>
      <c r="AZ120" s="172"/>
      <c r="BA120" s="827"/>
      <c r="BB120" s="170"/>
      <c r="BC120" s="170"/>
      <c r="BD120" s="172"/>
      <c r="BE120" s="827"/>
      <c r="BF120" s="170"/>
      <c r="BG120" s="170"/>
      <c r="BH120" s="826"/>
      <c r="BI120" s="827"/>
      <c r="BJ120" s="170"/>
      <c r="BK120" s="170"/>
      <c r="BL120" s="826"/>
      <c r="BM120" s="827"/>
      <c r="BN120" s="827"/>
      <c r="BO120" s="828"/>
      <c r="BP120" s="826"/>
      <c r="BQ120" s="827"/>
      <c r="BR120" s="827"/>
      <c r="BS120" s="828"/>
      <c r="BT120" s="826"/>
      <c r="BU120" s="827"/>
      <c r="BV120" s="827"/>
      <c r="BW120" s="828"/>
      <c r="BX120" s="149"/>
      <c r="BY120" s="170"/>
      <c r="BZ120" s="170"/>
      <c r="CA120" s="170"/>
      <c r="CB120" s="170"/>
      <c r="CC120" s="170"/>
      <c r="CD120" s="170"/>
      <c r="CE120" s="170"/>
      <c r="CF120" s="170"/>
      <c r="CG120" s="170"/>
      <c r="CH120" s="170"/>
      <c r="CI120" s="170"/>
      <c r="CJ120" s="170"/>
      <c r="CK120" s="170"/>
      <c r="CL120" s="170"/>
      <c r="CM120" s="170"/>
      <c r="CN120" s="170"/>
      <c r="CO120" s="170"/>
      <c r="CP120" s="828"/>
      <c r="CQ120" s="22"/>
    </row>
    <row r="121" spans="1:95" ht="14.25" customHeight="1" outlineLevel="1">
      <c r="A121" s="9"/>
      <c r="B121" s="48" t="s">
        <v>508</v>
      </c>
      <c r="C121" s="49"/>
      <c r="D121" s="176">
        <f>36-D122</f>
        <v>33</v>
      </c>
      <c r="E121" s="176">
        <f>72.6-E122</f>
        <v>66.699999999999989</v>
      </c>
      <c r="F121" s="176">
        <f>100.6-F122</f>
        <v>94.699999999999989</v>
      </c>
      <c r="G121" s="176">
        <f>127.8-G122</f>
        <v>121.89999999999999</v>
      </c>
      <c r="H121" s="178">
        <v>26.3</v>
      </c>
      <c r="I121" s="176">
        <v>51.1</v>
      </c>
      <c r="J121" s="176">
        <v>76.599999999999994</v>
      </c>
      <c r="K121" s="176">
        <v>102.1</v>
      </c>
      <c r="L121" s="178">
        <v>25.1</v>
      </c>
      <c r="M121" s="176">
        <v>49.9</v>
      </c>
      <c r="N121" s="176">
        <v>74.900000000000006</v>
      </c>
      <c r="O121" s="176">
        <v>99</v>
      </c>
      <c r="P121" s="178">
        <f>23.5-P122</f>
        <v>23.5</v>
      </c>
      <c r="Q121" s="176">
        <f>40.7-Q122</f>
        <v>40.400000000000006</v>
      </c>
      <c r="R121" s="176">
        <f>60-R122</f>
        <v>59.3</v>
      </c>
      <c r="S121" s="176">
        <f>81.4-S122</f>
        <v>79.900000000000006</v>
      </c>
      <c r="T121" s="178">
        <f>22.1-T122</f>
        <v>21.5</v>
      </c>
      <c r="U121" s="176">
        <f>44.8-U122</f>
        <v>43.599999999999994</v>
      </c>
      <c r="V121" s="176">
        <f>67.6-V122</f>
        <v>65.899999999999991</v>
      </c>
      <c r="W121" s="176">
        <f>92.8-W122</f>
        <v>90.399999999999991</v>
      </c>
      <c r="X121" s="178">
        <f>27.9-X122</f>
        <v>24.9</v>
      </c>
      <c r="Y121" s="176">
        <f>65.6-Y122</f>
        <v>55.3</v>
      </c>
      <c r="Z121" s="176">
        <f>103.6-Z122</f>
        <v>85.899999999999991</v>
      </c>
      <c r="AA121" s="176">
        <f>142.1-AA122</f>
        <v>117.19999999999999</v>
      </c>
      <c r="AB121" s="178">
        <f>39.7-AB122</f>
        <v>31.900000000000002</v>
      </c>
      <c r="AC121" s="176">
        <f>78.7-AC122</f>
        <v>63.1</v>
      </c>
      <c r="AD121" s="176">
        <f>117.6-AD122</f>
        <v>94.1</v>
      </c>
      <c r="AE121" s="176">
        <f>155.6-AE122</f>
        <v>124.3</v>
      </c>
      <c r="AF121" s="178">
        <f>39.7-AF122</f>
        <v>31.300000000000004</v>
      </c>
      <c r="AG121" s="176">
        <f>80-AG122</f>
        <v>62.9</v>
      </c>
      <c r="AH121" s="176">
        <f>122.4-AH122</f>
        <v>96.800000000000011</v>
      </c>
      <c r="AI121" s="176">
        <f>166.9-AI122</f>
        <v>132.80000000000001</v>
      </c>
      <c r="AJ121" s="178">
        <f>52.8-AJ122</f>
        <v>42.5</v>
      </c>
      <c r="AK121" s="176">
        <f>109.9-AK122</f>
        <v>87.7</v>
      </c>
      <c r="AL121" s="176">
        <f>166.8-AL122</f>
        <v>134</v>
      </c>
      <c r="AM121" s="176">
        <f>229.4-AM122</f>
        <v>185.60000000000002</v>
      </c>
      <c r="AN121" s="178">
        <f>61.1-AN122</f>
        <v>50</v>
      </c>
      <c r="AO121" s="176">
        <f>121.4-AO122</f>
        <v>99.2</v>
      </c>
      <c r="AP121" s="176">
        <f>182.7-AP122</f>
        <v>149.39999999999998</v>
      </c>
      <c r="AQ121" s="176">
        <f>243.6-AQ122</f>
        <v>199.2</v>
      </c>
      <c r="AR121" s="178">
        <f>51.3-AR122</f>
        <v>40.199999999999996</v>
      </c>
      <c r="AS121" s="176">
        <f>103.6-AS122</f>
        <v>87</v>
      </c>
      <c r="AT121" s="176">
        <f>156.5-AT122</f>
        <v>131.69999999999999</v>
      </c>
      <c r="AU121" s="176">
        <f>211.8-AU122</f>
        <v>178.70000000000002</v>
      </c>
      <c r="AV121" s="178">
        <v>52.4</v>
      </c>
      <c r="AW121" s="176">
        <f>110.3-AW122</f>
        <v>93.699999999999989</v>
      </c>
      <c r="AX121" s="176">
        <f>184.8-AX122</f>
        <v>142.80000000000001</v>
      </c>
      <c r="AY121" s="176">
        <f>268.8-AY122</f>
        <v>200.4</v>
      </c>
      <c r="AZ121" s="178">
        <v>90.2</v>
      </c>
      <c r="BA121" s="176">
        <v>178.6</v>
      </c>
      <c r="BB121" s="176">
        <v>267.8</v>
      </c>
      <c r="BC121" s="176">
        <v>357.6</v>
      </c>
      <c r="BD121" s="178">
        <v>80.7</v>
      </c>
      <c r="BE121" s="176">
        <v>160.30000000000001</v>
      </c>
      <c r="BF121" s="176">
        <v>244.1</v>
      </c>
      <c r="BG121" s="176">
        <v>364.1</v>
      </c>
      <c r="BH121" s="178">
        <v>114.3</v>
      </c>
      <c r="BI121" s="176">
        <v>230.8</v>
      </c>
      <c r="BJ121" s="176">
        <v>358.5</v>
      </c>
      <c r="BK121" s="176">
        <v>481.9</v>
      </c>
      <c r="BL121" s="175">
        <f t="shared" ref="BL121:BL136" si="517">BL11</f>
        <v>125.88960506570898</v>
      </c>
      <c r="BM121" s="173">
        <f t="shared" ref="BM121:BO136" si="518">BL121+BM11</f>
        <v>254.37518599013686</v>
      </c>
      <c r="BN121" s="173">
        <f t="shared" si="518"/>
        <v>385.51805425226735</v>
      </c>
      <c r="BO121" s="174">
        <f t="shared" si="518"/>
        <v>519.27112932440127</v>
      </c>
      <c r="BP121" s="175">
        <f t="shared" ref="BP121:BP136" si="519">BP11</f>
        <v>136.34880039819811</v>
      </c>
      <c r="BQ121" s="173">
        <f t="shared" ref="BQ121:BQ136" si="520">BP121+BQ11</f>
        <v>275.39033548898527</v>
      </c>
      <c r="BR121" s="173">
        <f t="shared" ref="BR121:BR136" si="521">BQ121+BR11</f>
        <v>417.18307970131889</v>
      </c>
      <c r="BS121" s="174">
        <f t="shared" ref="BS121:BS136" si="522">BR121+BS11</f>
        <v>561.67923929879896</v>
      </c>
      <c r="BT121" s="175">
        <f t="shared" ref="BT121:BT136" si="523">BT11</f>
        <v>147.1884656289499</v>
      </c>
      <c r="BU121" s="173">
        <f t="shared" ref="BU121:BU136" si="524">BT121+BU11</f>
        <v>297.16961330428416</v>
      </c>
      <c r="BV121" s="173">
        <f t="shared" ref="BV121:BV136" si="525">BU121+BV11</f>
        <v>450.00138076408666</v>
      </c>
      <c r="BW121" s="174">
        <f t="shared" ref="BW121:BW136" si="526">BV121+BW11</f>
        <v>605.63524511820106</v>
      </c>
      <c r="BX121" s="149"/>
      <c r="BY121" s="173">
        <f t="shared" ref="BY121:CM121" si="527">BY11</f>
        <v>121.89999999999999</v>
      </c>
      <c r="BZ121" s="173">
        <f t="shared" si="527"/>
        <v>102.1</v>
      </c>
      <c r="CA121" s="173">
        <f t="shared" si="527"/>
        <v>99</v>
      </c>
      <c r="CB121" s="173">
        <f t="shared" si="527"/>
        <v>79.900000000000006</v>
      </c>
      <c r="CC121" s="173">
        <f t="shared" si="527"/>
        <v>90.399999999999991</v>
      </c>
      <c r="CD121" s="173">
        <f t="shared" si="527"/>
        <v>117.19999999999999</v>
      </c>
      <c r="CE121" s="173">
        <f t="shared" si="527"/>
        <v>124.3</v>
      </c>
      <c r="CF121" s="173">
        <f t="shared" si="527"/>
        <v>132.80000000000001</v>
      </c>
      <c r="CG121" s="173">
        <f t="shared" si="527"/>
        <v>185.60000000000002</v>
      </c>
      <c r="CH121" s="173">
        <f t="shared" si="527"/>
        <v>199.2</v>
      </c>
      <c r="CI121" s="173">
        <f t="shared" si="527"/>
        <v>178.70000000000002</v>
      </c>
      <c r="CJ121" s="173">
        <f t="shared" si="527"/>
        <v>200.4</v>
      </c>
      <c r="CK121" s="173">
        <f t="shared" si="527"/>
        <v>357.6</v>
      </c>
      <c r="CL121" s="173">
        <f t="shared" si="527"/>
        <v>364.1</v>
      </c>
      <c r="CM121" s="173">
        <f t="shared" si="527"/>
        <v>481.9</v>
      </c>
      <c r="CN121" s="173">
        <f t="shared" ref="CN121:CP136" si="528">CM121+CN11</f>
        <v>1001.1711293244012</v>
      </c>
      <c r="CO121" s="173">
        <f t="shared" si="528"/>
        <v>1562.8503686232002</v>
      </c>
      <c r="CP121" s="174">
        <f t="shared" si="528"/>
        <v>2168.4856137414013</v>
      </c>
      <c r="CQ121" s="22"/>
    </row>
    <row r="122" spans="1:95" ht="14.25" customHeight="1" outlineLevel="1">
      <c r="A122" s="9"/>
      <c r="B122" s="48" t="s">
        <v>490</v>
      </c>
      <c r="C122" s="49"/>
      <c r="D122" s="176">
        <v>3</v>
      </c>
      <c r="E122" s="176">
        <f>3+2.9</f>
        <v>5.9</v>
      </c>
      <c r="F122" s="176">
        <v>5.9</v>
      </c>
      <c r="G122" s="176">
        <v>5.9</v>
      </c>
      <c r="H122" s="178">
        <v>0</v>
      </c>
      <c r="I122" s="176">
        <v>0</v>
      </c>
      <c r="J122" s="176">
        <v>0</v>
      </c>
      <c r="K122" s="176">
        <v>0</v>
      </c>
      <c r="L122" s="178">
        <v>0</v>
      </c>
      <c r="M122" s="176">
        <v>0</v>
      </c>
      <c r="N122" s="176">
        <v>0</v>
      </c>
      <c r="O122" s="176">
        <v>0</v>
      </c>
      <c r="P122" s="178">
        <v>0</v>
      </c>
      <c r="Q122" s="176">
        <v>0.3</v>
      </c>
      <c r="R122" s="176">
        <v>0.7</v>
      </c>
      <c r="S122" s="176">
        <v>1.5</v>
      </c>
      <c r="T122" s="178">
        <v>0.6</v>
      </c>
      <c r="U122" s="176">
        <v>1.2</v>
      </c>
      <c r="V122" s="176">
        <v>1.7</v>
      </c>
      <c r="W122" s="176">
        <v>2.4</v>
      </c>
      <c r="X122" s="178">
        <v>3</v>
      </c>
      <c r="Y122" s="176">
        <v>10.3</v>
      </c>
      <c r="Z122" s="176">
        <v>17.7</v>
      </c>
      <c r="AA122" s="176">
        <v>24.9</v>
      </c>
      <c r="AB122" s="178">
        <v>7.8</v>
      </c>
      <c r="AC122" s="176">
        <v>15.6</v>
      </c>
      <c r="AD122" s="176">
        <v>23.5</v>
      </c>
      <c r="AE122" s="176">
        <v>31.3</v>
      </c>
      <c r="AF122" s="178">
        <v>8.4</v>
      </c>
      <c r="AG122" s="176">
        <v>17.100000000000001</v>
      </c>
      <c r="AH122" s="176">
        <v>25.6</v>
      </c>
      <c r="AI122" s="176">
        <v>34.1</v>
      </c>
      <c r="AJ122" s="178">
        <v>10.3</v>
      </c>
      <c r="AK122" s="176">
        <v>22.2</v>
      </c>
      <c r="AL122" s="176">
        <v>32.799999999999997</v>
      </c>
      <c r="AM122" s="176">
        <v>43.8</v>
      </c>
      <c r="AN122" s="178">
        <v>11.1</v>
      </c>
      <c r="AO122" s="176">
        <v>22.2</v>
      </c>
      <c r="AP122" s="176">
        <v>33.299999999999997</v>
      </c>
      <c r="AQ122" s="176">
        <v>44.4</v>
      </c>
      <c r="AR122" s="178">
        <v>11.1</v>
      </c>
      <c r="AS122" s="176">
        <v>16.600000000000001</v>
      </c>
      <c r="AT122" s="176">
        <v>24.8</v>
      </c>
      <c r="AU122" s="176">
        <v>33.1</v>
      </c>
      <c r="AV122" s="178">
        <v>0</v>
      </c>
      <c r="AW122" s="176">
        <v>16.600000000000001</v>
      </c>
      <c r="AX122" s="176">
        <v>42</v>
      </c>
      <c r="AY122" s="176">
        <v>68.400000000000006</v>
      </c>
      <c r="AZ122" s="178">
        <v>0</v>
      </c>
      <c r="BA122" s="176">
        <v>0</v>
      </c>
      <c r="BB122" s="176">
        <v>0</v>
      </c>
      <c r="BC122" s="176">
        <v>0</v>
      </c>
      <c r="BD122" s="178">
        <v>0</v>
      </c>
      <c r="BE122" s="176">
        <v>0</v>
      </c>
      <c r="BF122" s="176">
        <v>0</v>
      </c>
      <c r="BG122" s="176">
        <v>0</v>
      </c>
      <c r="BH122" s="178">
        <v>0</v>
      </c>
      <c r="BI122" s="176"/>
      <c r="BJ122" s="176">
        <v>0</v>
      </c>
      <c r="BK122" s="176">
        <v>0</v>
      </c>
      <c r="BL122" s="175">
        <f t="shared" si="517"/>
        <v>30</v>
      </c>
      <c r="BM122" s="173">
        <f t="shared" si="518"/>
        <v>30</v>
      </c>
      <c r="BN122" s="173">
        <f t="shared" si="518"/>
        <v>30</v>
      </c>
      <c r="BO122" s="174">
        <f t="shared" si="518"/>
        <v>30</v>
      </c>
      <c r="BP122" s="175">
        <f t="shared" si="519"/>
        <v>0</v>
      </c>
      <c r="BQ122" s="173">
        <f t="shared" si="520"/>
        <v>0</v>
      </c>
      <c r="BR122" s="173">
        <f t="shared" si="521"/>
        <v>0</v>
      </c>
      <c r="BS122" s="174">
        <f t="shared" si="522"/>
        <v>0</v>
      </c>
      <c r="BT122" s="175">
        <f t="shared" si="523"/>
        <v>0</v>
      </c>
      <c r="BU122" s="173">
        <f t="shared" si="524"/>
        <v>0</v>
      </c>
      <c r="BV122" s="173">
        <f t="shared" si="525"/>
        <v>0</v>
      </c>
      <c r="BW122" s="174">
        <f t="shared" si="526"/>
        <v>0</v>
      </c>
      <c r="BX122" s="149"/>
      <c r="BY122" s="173">
        <f t="shared" ref="BY122:CM122" si="529">BY12</f>
        <v>5.9</v>
      </c>
      <c r="BZ122" s="173">
        <f t="shared" si="529"/>
        <v>0</v>
      </c>
      <c r="CA122" s="173">
        <f t="shared" si="529"/>
        <v>0</v>
      </c>
      <c r="CB122" s="173">
        <f t="shared" si="529"/>
        <v>1.5</v>
      </c>
      <c r="CC122" s="173">
        <f t="shared" si="529"/>
        <v>2.4</v>
      </c>
      <c r="CD122" s="173">
        <f t="shared" si="529"/>
        <v>24.9</v>
      </c>
      <c r="CE122" s="173">
        <f t="shared" si="529"/>
        <v>31.3</v>
      </c>
      <c r="CF122" s="173">
        <f t="shared" si="529"/>
        <v>34.1</v>
      </c>
      <c r="CG122" s="173">
        <f t="shared" si="529"/>
        <v>43.8</v>
      </c>
      <c r="CH122" s="173">
        <f t="shared" si="529"/>
        <v>44.4</v>
      </c>
      <c r="CI122" s="173">
        <f t="shared" si="529"/>
        <v>33.1</v>
      </c>
      <c r="CJ122" s="173">
        <f t="shared" si="529"/>
        <v>68.400000000000006</v>
      </c>
      <c r="CK122" s="173">
        <f t="shared" si="529"/>
        <v>0</v>
      </c>
      <c r="CL122" s="173">
        <f t="shared" si="529"/>
        <v>0</v>
      </c>
      <c r="CM122" s="173">
        <f t="shared" si="529"/>
        <v>0</v>
      </c>
      <c r="CN122" s="173">
        <f t="shared" si="528"/>
        <v>30</v>
      </c>
      <c r="CO122" s="173">
        <f t="shared" si="528"/>
        <v>30</v>
      </c>
      <c r="CP122" s="174">
        <f t="shared" si="528"/>
        <v>30</v>
      </c>
      <c r="CQ122" s="22"/>
    </row>
    <row r="123" spans="1:95" ht="14.25" customHeight="1" outlineLevel="1">
      <c r="A123" s="9"/>
      <c r="B123" s="639" t="s">
        <v>187</v>
      </c>
      <c r="C123" s="49"/>
      <c r="D123" s="176">
        <v>0.3</v>
      </c>
      <c r="E123" s="176">
        <v>0</v>
      </c>
      <c r="F123" s="176">
        <v>-3.2</v>
      </c>
      <c r="G123" s="176">
        <v>-2.8</v>
      </c>
      <c r="H123" s="178">
        <v>12.1</v>
      </c>
      <c r="I123" s="176">
        <v>12.1</v>
      </c>
      <c r="J123" s="176">
        <v>12.1</v>
      </c>
      <c r="K123" s="176">
        <v>12.8</v>
      </c>
      <c r="L123" s="178">
        <v>-0.5</v>
      </c>
      <c r="M123" s="176">
        <v>0</v>
      </c>
      <c r="N123" s="176">
        <v>0.1</v>
      </c>
      <c r="O123" s="176">
        <v>0.8</v>
      </c>
      <c r="P123" s="178">
        <v>0</v>
      </c>
      <c r="Q123" s="176">
        <v>-0.2</v>
      </c>
      <c r="R123" s="176">
        <v>0.3</v>
      </c>
      <c r="S123" s="176">
        <v>-5.8</v>
      </c>
      <c r="T123" s="178">
        <v>-2.5</v>
      </c>
      <c r="U123" s="176">
        <v>-6.3</v>
      </c>
      <c r="V123" s="176">
        <v>-7.6</v>
      </c>
      <c r="W123" s="176">
        <v>-9.1</v>
      </c>
      <c r="X123" s="178">
        <v>-2.2999999999999998</v>
      </c>
      <c r="Y123" s="176">
        <v>-4</v>
      </c>
      <c r="Z123" s="176">
        <v>-5.3</v>
      </c>
      <c r="AA123" s="176">
        <v>-7.1</v>
      </c>
      <c r="AB123" s="178">
        <v>-1.3</v>
      </c>
      <c r="AC123" s="176">
        <v>-0.4</v>
      </c>
      <c r="AD123" s="176">
        <v>-2.2000000000000002</v>
      </c>
      <c r="AE123" s="176">
        <v>-3.9</v>
      </c>
      <c r="AF123" s="178">
        <v>-2.1</v>
      </c>
      <c r="AG123" s="176">
        <v>-3.7</v>
      </c>
      <c r="AH123" s="176">
        <v>-5.2</v>
      </c>
      <c r="AI123" s="176">
        <v>-6.9</v>
      </c>
      <c r="AJ123" s="178">
        <v>-2.1</v>
      </c>
      <c r="AK123" s="176">
        <v>-5.0999999999999996</v>
      </c>
      <c r="AL123" s="176">
        <v>-6.9</v>
      </c>
      <c r="AM123" s="176">
        <v>-8.6999999999999993</v>
      </c>
      <c r="AN123" s="178">
        <v>-1.5</v>
      </c>
      <c r="AO123" s="176">
        <v>-2</v>
      </c>
      <c r="AP123" s="176">
        <v>-4.7</v>
      </c>
      <c r="AQ123" s="176">
        <v>-9.5</v>
      </c>
      <c r="AR123" s="178">
        <v>-7.4</v>
      </c>
      <c r="AS123" s="176">
        <v>-7.1</v>
      </c>
      <c r="AT123" s="176">
        <v>-7.6</v>
      </c>
      <c r="AU123" s="176">
        <v>-6.8</v>
      </c>
      <c r="AV123" s="178">
        <v>-0.3</v>
      </c>
      <c r="AW123" s="176">
        <v>-0.3</v>
      </c>
      <c r="AX123" s="176">
        <v>-0.6</v>
      </c>
      <c r="AY123" s="176">
        <v>-1.4</v>
      </c>
      <c r="AZ123" s="178">
        <v>-4</v>
      </c>
      <c r="BA123" s="176">
        <v>-4.5</v>
      </c>
      <c r="BB123" s="176">
        <v>-4.0999999999999996</v>
      </c>
      <c r="BC123" s="176">
        <v>-3.9</v>
      </c>
      <c r="BD123" s="178">
        <v>-0.1</v>
      </c>
      <c r="BE123" s="176">
        <v>0.2</v>
      </c>
      <c r="BF123" s="176">
        <v>0.6</v>
      </c>
      <c r="BG123" s="176">
        <v>1.5</v>
      </c>
      <c r="BH123" s="178">
        <v>2.9</v>
      </c>
      <c r="BI123" s="176">
        <v>1.8</v>
      </c>
      <c r="BJ123" s="176">
        <v>2.8</v>
      </c>
      <c r="BK123" s="176">
        <v>3.9</v>
      </c>
      <c r="BL123" s="175">
        <f t="shared" si="517"/>
        <v>0</v>
      </c>
      <c r="BM123" s="173">
        <f t="shared" si="518"/>
        <v>0</v>
      </c>
      <c r="BN123" s="173">
        <f t="shared" si="518"/>
        <v>0</v>
      </c>
      <c r="BO123" s="174">
        <f t="shared" si="518"/>
        <v>0</v>
      </c>
      <c r="BP123" s="175">
        <f t="shared" si="519"/>
        <v>0</v>
      </c>
      <c r="BQ123" s="173">
        <f t="shared" si="520"/>
        <v>0</v>
      </c>
      <c r="BR123" s="173">
        <f t="shared" si="521"/>
        <v>0</v>
      </c>
      <c r="BS123" s="174">
        <f t="shared" si="522"/>
        <v>0</v>
      </c>
      <c r="BT123" s="175">
        <f t="shared" si="523"/>
        <v>0</v>
      </c>
      <c r="BU123" s="173">
        <f t="shared" si="524"/>
        <v>0</v>
      </c>
      <c r="BV123" s="173">
        <f t="shared" si="525"/>
        <v>0</v>
      </c>
      <c r="BW123" s="174">
        <f t="shared" si="526"/>
        <v>0</v>
      </c>
      <c r="BX123" s="149"/>
      <c r="BY123" s="173">
        <f t="shared" ref="BY123:CM123" si="530">BY13</f>
        <v>-2.8</v>
      </c>
      <c r="BZ123" s="173">
        <f t="shared" si="530"/>
        <v>12.8</v>
      </c>
      <c r="CA123" s="173">
        <f t="shared" si="530"/>
        <v>0.8</v>
      </c>
      <c r="CB123" s="173">
        <f t="shared" si="530"/>
        <v>-5.8</v>
      </c>
      <c r="CC123" s="173">
        <f t="shared" si="530"/>
        <v>-9.1</v>
      </c>
      <c r="CD123" s="173">
        <f t="shared" si="530"/>
        <v>-7.1</v>
      </c>
      <c r="CE123" s="173">
        <f t="shared" si="530"/>
        <v>-3.8999999999999995</v>
      </c>
      <c r="CF123" s="173">
        <f t="shared" si="530"/>
        <v>-6.9</v>
      </c>
      <c r="CG123" s="173">
        <f t="shared" si="530"/>
        <v>-8.6999999999999993</v>
      </c>
      <c r="CH123" s="173">
        <f t="shared" si="530"/>
        <v>-9.5</v>
      </c>
      <c r="CI123" s="173">
        <f t="shared" si="530"/>
        <v>-6.8</v>
      </c>
      <c r="CJ123" s="173">
        <f t="shared" si="530"/>
        <v>-1.4</v>
      </c>
      <c r="CK123" s="173">
        <f t="shared" si="530"/>
        <v>-3.9</v>
      </c>
      <c r="CL123" s="173">
        <f t="shared" si="530"/>
        <v>1.5</v>
      </c>
      <c r="CM123" s="173">
        <f t="shared" si="530"/>
        <v>3.8999999999999995</v>
      </c>
      <c r="CN123" s="173">
        <f t="shared" si="528"/>
        <v>3.8999999999999995</v>
      </c>
      <c r="CO123" s="173">
        <f t="shared" si="528"/>
        <v>3.8999999999999995</v>
      </c>
      <c r="CP123" s="174">
        <f t="shared" si="528"/>
        <v>3.8999999999999995</v>
      </c>
      <c r="CQ123" s="22"/>
    </row>
    <row r="124" spans="1:95" ht="14.25" customHeight="1" outlineLevel="1">
      <c r="A124" s="9"/>
      <c r="B124" s="48" t="s">
        <v>407</v>
      </c>
      <c r="C124" s="49"/>
      <c r="D124" s="176">
        <v>0</v>
      </c>
      <c r="E124" s="176">
        <v>0</v>
      </c>
      <c r="F124" s="176">
        <v>0</v>
      </c>
      <c r="G124" s="176">
        <v>0</v>
      </c>
      <c r="H124" s="178">
        <v>0</v>
      </c>
      <c r="I124" s="176">
        <v>0</v>
      </c>
      <c r="J124" s="176">
        <v>0</v>
      </c>
      <c r="K124" s="176">
        <v>0</v>
      </c>
      <c r="L124" s="178">
        <v>0</v>
      </c>
      <c r="M124" s="176">
        <v>0</v>
      </c>
      <c r="N124" s="176">
        <v>0</v>
      </c>
      <c r="O124" s="176">
        <v>0</v>
      </c>
      <c r="P124" s="178">
        <v>0</v>
      </c>
      <c r="Q124" s="176">
        <v>0</v>
      </c>
      <c r="R124" s="176">
        <v>0</v>
      </c>
      <c r="S124" s="176">
        <v>0</v>
      </c>
      <c r="T124" s="178">
        <v>0</v>
      </c>
      <c r="U124" s="176">
        <v>0</v>
      </c>
      <c r="V124" s="176">
        <v>0</v>
      </c>
      <c r="W124" s="176">
        <v>0</v>
      </c>
      <c r="X124" s="178">
        <v>0</v>
      </c>
      <c r="Y124" s="176">
        <v>0</v>
      </c>
      <c r="Z124" s="176">
        <v>0</v>
      </c>
      <c r="AA124" s="176">
        <v>0</v>
      </c>
      <c r="AB124" s="178">
        <v>0</v>
      </c>
      <c r="AC124" s="176">
        <v>0</v>
      </c>
      <c r="AD124" s="176">
        <v>0</v>
      </c>
      <c r="AE124" s="176">
        <v>0</v>
      </c>
      <c r="AF124" s="178">
        <v>0</v>
      </c>
      <c r="AG124" s="176">
        <v>0</v>
      </c>
      <c r="AH124" s="176">
        <v>0</v>
      </c>
      <c r="AI124" s="176">
        <v>0</v>
      </c>
      <c r="AJ124" s="178">
        <v>50</v>
      </c>
      <c r="AK124" s="176">
        <v>80.400000000000006</v>
      </c>
      <c r="AL124" s="176">
        <v>80.400000000000006</v>
      </c>
      <c r="AM124" s="176">
        <v>80.400000000000006</v>
      </c>
      <c r="AN124" s="178">
        <v>0</v>
      </c>
      <c r="AO124" s="176">
        <v>0</v>
      </c>
      <c r="AP124" s="176">
        <v>0</v>
      </c>
      <c r="AQ124" s="176">
        <v>0</v>
      </c>
      <c r="AR124" s="178">
        <v>0</v>
      </c>
      <c r="AS124" s="176">
        <v>0</v>
      </c>
      <c r="AT124" s="176">
        <v>0</v>
      </c>
      <c r="AU124" s="176">
        <v>0</v>
      </c>
      <c r="AV124" s="178">
        <v>0</v>
      </c>
      <c r="AW124" s="176">
        <v>0</v>
      </c>
      <c r="AX124" s="176">
        <v>0</v>
      </c>
      <c r="AY124" s="176">
        <v>0</v>
      </c>
      <c r="AZ124" s="178">
        <v>0</v>
      </c>
      <c r="BA124" s="176">
        <v>0</v>
      </c>
      <c r="BB124" s="176">
        <v>0</v>
      </c>
      <c r="BC124" s="176">
        <v>0</v>
      </c>
      <c r="BD124" s="178">
        <v>0</v>
      </c>
      <c r="BE124" s="176">
        <v>0</v>
      </c>
      <c r="BF124" s="176">
        <v>0</v>
      </c>
      <c r="BG124" s="176">
        <v>0</v>
      </c>
      <c r="BH124" s="178">
        <v>0</v>
      </c>
      <c r="BI124" s="176"/>
      <c r="BJ124" s="176">
        <v>0</v>
      </c>
      <c r="BK124" s="176">
        <v>0</v>
      </c>
      <c r="BL124" s="175">
        <f t="shared" si="517"/>
        <v>0</v>
      </c>
      <c r="BM124" s="173">
        <f t="shared" si="518"/>
        <v>0</v>
      </c>
      <c r="BN124" s="173">
        <f t="shared" si="518"/>
        <v>0</v>
      </c>
      <c r="BO124" s="174">
        <f t="shared" si="518"/>
        <v>0</v>
      </c>
      <c r="BP124" s="175">
        <f t="shared" si="519"/>
        <v>0</v>
      </c>
      <c r="BQ124" s="173">
        <f t="shared" si="520"/>
        <v>0</v>
      </c>
      <c r="BR124" s="173">
        <f t="shared" si="521"/>
        <v>0</v>
      </c>
      <c r="BS124" s="174">
        <f t="shared" si="522"/>
        <v>0</v>
      </c>
      <c r="BT124" s="175">
        <f t="shared" si="523"/>
        <v>0</v>
      </c>
      <c r="BU124" s="173">
        <f t="shared" si="524"/>
        <v>0</v>
      </c>
      <c r="BV124" s="173">
        <f t="shared" si="525"/>
        <v>0</v>
      </c>
      <c r="BW124" s="174">
        <f t="shared" si="526"/>
        <v>0</v>
      </c>
      <c r="BX124" s="149"/>
      <c r="BY124" s="173">
        <f t="shared" ref="BY124:CM124" si="531">BY14</f>
        <v>0</v>
      </c>
      <c r="BZ124" s="173">
        <f t="shared" si="531"/>
        <v>0</v>
      </c>
      <c r="CA124" s="173">
        <f t="shared" si="531"/>
        <v>0</v>
      </c>
      <c r="CB124" s="173">
        <f t="shared" si="531"/>
        <v>0</v>
      </c>
      <c r="CC124" s="173">
        <f t="shared" si="531"/>
        <v>0</v>
      </c>
      <c r="CD124" s="173">
        <f t="shared" si="531"/>
        <v>0</v>
      </c>
      <c r="CE124" s="173">
        <f t="shared" si="531"/>
        <v>0</v>
      </c>
      <c r="CF124" s="173">
        <f t="shared" si="531"/>
        <v>0</v>
      </c>
      <c r="CG124" s="173">
        <f t="shared" si="531"/>
        <v>80.400000000000006</v>
      </c>
      <c r="CH124" s="173">
        <f t="shared" si="531"/>
        <v>0</v>
      </c>
      <c r="CI124" s="173">
        <f t="shared" si="531"/>
        <v>0</v>
      </c>
      <c r="CJ124" s="173">
        <f t="shared" si="531"/>
        <v>0</v>
      </c>
      <c r="CK124" s="173">
        <f t="shared" si="531"/>
        <v>0</v>
      </c>
      <c r="CL124" s="173">
        <f t="shared" si="531"/>
        <v>0</v>
      </c>
      <c r="CM124" s="173">
        <f t="shared" si="531"/>
        <v>0</v>
      </c>
      <c r="CN124" s="173">
        <f t="shared" si="528"/>
        <v>0</v>
      </c>
      <c r="CO124" s="173">
        <f t="shared" si="528"/>
        <v>0</v>
      </c>
      <c r="CP124" s="174">
        <f t="shared" si="528"/>
        <v>0</v>
      </c>
      <c r="CQ124" s="22"/>
    </row>
    <row r="125" spans="1:95" ht="14.25" customHeight="1" outlineLevel="1">
      <c r="A125" s="9"/>
      <c r="B125" s="639" t="s">
        <v>346</v>
      </c>
      <c r="C125" s="49"/>
      <c r="D125" s="176">
        <v>3.5</v>
      </c>
      <c r="E125" s="176">
        <v>3.5</v>
      </c>
      <c r="F125" s="176">
        <v>6.4</v>
      </c>
      <c r="G125" s="176">
        <v>6.1</v>
      </c>
      <c r="H125" s="178">
        <v>12</v>
      </c>
      <c r="I125" s="176">
        <v>18.5</v>
      </c>
      <c r="J125" s="176">
        <v>19.5</v>
      </c>
      <c r="K125" s="176">
        <v>45.7</v>
      </c>
      <c r="L125" s="178">
        <v>0</v>
      </c>
      <c r="M125" s="176">
        <v>0</v>
      </c>
      <c r="N125" s="176">
        <v>0</v>
      </c>
      <c r="O125" s="176">
        <v>0</v>
      </c>
      <c r="P125" s="178">
        <v>0</v>
      </c>
      <c r="Q125" s="176">
        <v>0</v>
      </c>
      <c r="R125" s="176">
        <v>0</v>
      </c>
      <c r="S125" s="176">
        <v>1.3</v>
      </c>
      <c r="T125" s="178">
        <v>0.1</v>
      </c>
      <c r="U125" s="176">
        <v>0.1</v>
      </c>
      <c r="V125" s="176">
        <v>0</v>
      </c>
      <c r="W125" s="176">
        <v>0.1</v>
      </c>
      <c r="X125" s="178">
        <v>0</v>
      </c>
      <c r="Y125" s="176">
        <v>0</v>
      </c>
      <c r="Z125" s="176">
        <v>0</v>
      </c>
      <c r="AA125" s="176">
        <v>-3.8</v>
      </c>
      <c r="AB125" s="178">
        <v>0.5</v>
      </c>
      <c r="AC125" s="176">
        <v>0.7</v>
      </c>
      <c r="AD125" s="176">
        <v>0.7</v>
      </c>
      <c r="AE125" s="176">
        <v>0.7</v>
      </c>
      <c r="AF125" s="178">
        <v>0</v>
      </c>
      <c r="AG125" s="176">
        <v>0.7</v>
      </c>
      <c r="AH125" s="176">
        <v>0.7</v>
      </c>
      <c r="AI125" s="176">
        <v>0.7</v>
      </c>
      <c r="AJ125" s="178">
        <v>0</v>
      </c>
      <c r="AK125" s="176">
        <v>0</v>
      </c>
      <c r="AL125" s="176">
        <v>5.3</v>
      </c>
      <c r="AM125" s="176">
        <v>23.2</v>
      </c>
      <c r="AN125" s="178">
        <v>0</v>
      </c>
      <c r="AO125" s="176">
        <v>0</v>
      </c>
      <c r="AP125" s="176">
        <v>7.8</v>
      </c>
      <c r="AQ125" s="176">
        <v>7.8</v>
      </c>
      <c r="AR125" s="178">
        <v>3.1</v>
      </c>
      <c r="AS125" s="176">
        <v>3.1</v>
      </c>
      <c r="AT125" s="176">
        <v>3.1</v>
      </c>
      <c r="AU125" s="176">
        <v>3.1</v>
      </c>
      <c r="AV125" s="178">
        <v>0</v>
      </c>
      <c r="AW125" s="176">
        <v>0</v>
      </c>
      <c r="AX125" s="176">
        <v>0</v>
      </c>
      <c r="AY125" s="176">
        <v>0</v>
      </c>
      <c r="AZ125" s="178">
        <v>0</v>
      </c>
      <c r="BA125" s="176">
        <v>0.4</v>
      </c>
      <c r="BB125" s="176">
        <v>0.4</v>
      </c>
      <c r="BC125" s="176">
        <v>0.4</v>
      </c>
      <c r="BD125" s="178">
        <v>0</v>
      </c>
      <c r="BE125" s="176">
        <v>0</v>
      </c>
      <c r="BF125" s="176">
        <v>6.3</v>
      </c>
      <c r="BG125" s="176">
        <v>6.3</v>
      </c>
      <c r="BH125" s="178">
        <v>0</v>
      </c>
      <c r="BI125" s="176"/>
      <c r="BJ125" s="176">
        <v>0</v>
      </c>
      <c r="BK125" s="176">
        <v>0</v>
      </c>
      <c r="BL125" s="175">
        <f t="shared" si="517"/>
        <v>0</v>
      </c>
      <c r="BM125" s="173">
        <f t="shared" si="518"/>
        <v>0</v>
      </c>
      <c r="BN125" s="173">
        <f t="shared" si="518"/>
        <v>0</v>
      </c>
      <c r="BO125" s="174">
        <f t="shared" si="518"/>
        <v>0</v>
      </c>
      <c r="BP125" s="175">
        <f t="shared" si="519"/>
        <v>0</v>
      </c>
      <c r="BQ125" s="173">
        <f t="shared" si="520"/>
        <v>0</v>
      </c>
      <c r="BR125" s="173">
        <f t="shared" si="521"/>
        <v>0</v>
      </c>
      <c r="BS125" s="174">
        <f t="shared" si="522"/>
        <v>0</v>
      </c>
      <c r="BT125" s="175">
        <f t="shared" si="523"/>
        <v>0</v>
      </c>
      <c r="BU125" s="173">
        <f t="shared" si="524"/>
        <v>0</v>
      </c>
      <c r="BV125" s="173">
        <f t="shared" si="525"/>
        <v>0</v>
      </c>
      <c r="BW125" s="174">
        <f t="shared" si="526"/>
        <v>0</v>
      </c>
      <c r="BX125" s="149"/>
      <c r="BY125" s="173">
        <f t="shared" ref="BY125:CM125" si="532">BY15</f>
        <v>6.1</v>
      </c>
      <c r="BZ125" s="173">
        <f t="shared" si="532"/>
        <v>45.7</v>
      </c>
      <c r="CA125" s="173">
        <f t="shared" si="532"/>
        <v>0</v>
      </c>
      <c r="CB125" s="173">
        <f t="shared" si="532"/>
        <v>1.3</v>
      </c>
      <c r="CC125" s="173">
        <f t="shared" si="532"/>
        <v>0.1</v>
      </c>
      <c r="CD125" s="173">
        <f t="shared" si="532"/>
        <v>-3.8</v>
      </c>
      <c r="CE125" s="173">
        <f t="shared" si="532"/>
        <v>0.7</v>
      </c>
      <c r="CF125" s="173">
        <f t="shared" si="532"/>
        <v>0.7</v>
      </c>
      <c r="CG125" s="173">
        <f t="shared" si="532"/>
        <v>23.2</v>
      </c>
      <c r="CH125" s="173">
        <f t="shared" si="532"/>
        <v>7.8</v>
      </c>
      <c r="CI125" s="173">
        <f t="shared" si="532"/>
        <v>3.1</v>
      </c>
      <c r="CJ125" s="173">
        <f t="shared" si="532"/>
        <v>0</v>
      </c>
      <c r="CK125" s="173">
        <f t="shared" si="532"/>
        <v>0.4</v>
      </c>
      <c r="CL125" s="173">
        <f t="shared" si="532"/>
        <v>6.3</v>
      </c>
      <c r="CM125" s="173">
        <f t="shared" si="532"/>
        <v>0</v>
      </c>
      <c r="CN125" s="173">
        <f t="shared" si="528"/>
        <v>0</v>
      </c>
      <c r="CO125" s="173">
        <f t="shared" si="528"/>
        <v>0</v>
      </c>
      <c r="CP125" s="174">
        <f t="shared" si="528"/>
        <v>0</v>
      </c>
      <c r="CQ125" s="22"/>
    </row>
    <row r="126" spans="1:95" ht="14.25" customHeight="1" outlineLevel="1">
      <c r="A126" s="9"/>
      <c r="B126" s="48" t="s">
        <v>408</v>
      </c>
      <c r="C126" s="49"/>
      <c r="D126" s="176">
        <v>0</v>
      </c>
      <c r="E126" s="176">
        <v>0</v>
      </c>
      <c r="F126" s="176">
        <v>0</v>
      </c>
      <c r="G126" s="176">
        <v>0</v>
      </c>
      <c r="H126" s="178">
        <v>0</v>
      </c>
      <c r="I126" s="176">
        <v>0</v>
      </c>
      <c r="J126" s="176">
        <v>0</v>
      </c>
      <c r="K126" s="176">
        <v>0</v>
      </c>
      <c r="L126" s="178">
        <v>0</v>
      </c>
      <c r="M126" s="176">
        <v>0</v>
      </c>
      <c r="N126" s="176">
        <v>0</v>
      </c>
      <c r="O126" s="176">
        <v>0</v>
      </c>
      <c r="P126" s="178">
        <v>0</v>
      </c>
      <c r="Q126" s="176">
        <v>0</v>
      </c>
      <c r="R126" s="176">
        <v>0</v>
      </c>
      <c r="S126" s="176">
        <v>0</v>
      </c>
      <c r="T126" s="178">
        <v>0</v>
      </c>
      <c r="U126" s="176">
        <v>0</v>
      </c>
      <c r="V126" s="176">
        <v>0</v>
      </c>
      <c r="W126" s="176">
        <v>0</v>
      </c>
      <c r="X126" s="178">
        <v>0</v>
      </c>
      <c r="Y126" s="176">
        <v>0</v>
      </c>
      <c r="Z126" s="176">
        <v>0</v>
      </c>
      <c r="AA126" s="176">
        <v>0</v>
      </c>
      <c r="AB126" s="178">
        <v>0</v>
      </c>
      <c r="AC126" s="176">
        <v>0</v>
      </c>
      <c r="AD126" s="176">
        <v>0</v>
      </c>
      <c r="AE126" s="176">
        <v>0</v>
      </c>
      <c r="AF126" s="178">
        <v>0</v>
      </c>
      <c r="AG126" s="176">
        <v>0</v>
      </c>
      <c r="AH126" s="176">
        <v>0</v>
      </c>
      <c r="AI126" s="176">
        <v>0</v>
      </c>
      <c r="AJ126" s="178">
        <v>-24.3</v>
      </c>
      <c r="AK126" s="176">
        <v>-24.3</v>
      </c>
      <c r="AL126" s="176">
        <v>-24.3</v>
      </c>
      <c r="AM126" s="176">
        <v>-24.3</v>
      </c>
      <c r="AN126" s="178">
        <v>0</v>
      </c>
      <c r="AO126" s="176">
        <v>0</v>
      </c>
      <c r="AP126" s="176">
        <v>0</v>
      </c>
      <c r="AQ126" s="176">
        <v>0</v>
      </c>
      <c r="AR126" s="178">
        <v>0</v>
      </c>
      <c r="AS126" s="176">
        <v>0</v>
      </c>
      <c r="AT126" s="176">
        <v>0</v>
      </c>
      <c r="AU126" s="176">
        <v>0</v>
      </c>
      <c r="AV126" s="178">
        <v>0</v>
      </c>
      <c r="AW126" s="176">
        <v>0</v>
      </c>
      <c r="AX126" s="176">
        <v>0</v>
      </c>
      <c r="AY126" s="176">
        <v>0</v>
      </c>
      <c r="AZ126" s="178">
        <v>0</v>
      </c>
      <c r="BA126" s="176">
        <v>0</v>
      </c>
      <c r="BB126" s="176">
        <v>0</v>
      </c>
      <c r="BC126" s="176">
        <v>0</v>
      </c>
      <c r="BD126" s="178">
        <v>0</v>
      </c>
      <c r="BE126" s="176">
        <v>0</v>
      </c>
      <c r="BF126" s="176">
        <v>0</v>
      </c>
      <c r="BG126" s="176">
        <v>0</v>
      </c>
      <c r="BH126" s="178">
        <v>0</v>
      </c>
      <c r="BI126" s="176"/>
      <c r="BJ126" s="176">
        <v>0</v>
      </c>
      <c r="BK126" s="176">
        <v>0</v>
      </c>
      <c r="BL126" s="175">
        <f t="shared" si="517"/>
        <v>0</v>
      </c>
      <c r="BM126" s="173">
        <f t="shared" si="518"/>
        <v>0</v>
      </c>
      <c r="BN126" s="173">
        <f t="shared" si="518"/>
        <v>0</v>
      </c>
      <c r="BO126" s="174">
        <f t="shared" si="518"/>
        <v>0</v>
      </c>
      <c r="BP126" s="175">
        <f t="shared" si="519"/>
        <v>0</v>
      </c>
      <c r="BQ126" s="173">
        <f t="shared" si="520"/>
        <v>0</v>
      </c>
      <c r="BR126" s="173">
        <f t="shared" si="521"/>
        <v>0</v>
      </c>
      <c r="BS126" s="174">
        <f t="shared" si="522"/>
        <v>0</v>
      </c>
      <c r="BT126" s="175">
        <f t="shared" si="523"/>
        <v>0</v>
      </c>
      <c r="BU126" s="173">
        <f t="shared" si="524"/>
        <v>0</v>
      </c>
      <c r="BV126" s="173">
        <f t="shared" si="525"/>
        <v>0</v>
      </c>
      <c r="BW126" s="174">
        <f t="shared" si="526"/>
        <v>0</v>
      </c>
      <c r="BX126" s="149"/>
      <c r="BY126" s="173">
        <f t="shared" ref="BY126:CM126" si="533">BY16</f>
        <v>0</v>
      </c>
      <c r="BZ126" s="173">
        <f t="shared" si="533"/>
        <v>0</v>
      </c>
      <c r="CA126" s="173">
        <f t="shared" si="533"/>
        <v>0</v>
      </c>
      <c r="CB126" s="173">
        <f t="shared" si="533"/>
        <v>0</v>
      </c>
      <c r="CC126" s="173">
        <f t="shared" si="533"/>
        <v>0</v>
      </c>
      <c r="CD126" s="173">
        <f t="shared" si="533"/>
        <v>0</v>
      </c>
      <c r="CE126" s="173">
        <f t="shared" si="533"/>
        <v>0</v>
      </c>
      <c r="CF126" s="173">
        <f t="shared" si="533"/>
        <v>0</v>
      </c>
      <c r="CG126" s="173">
        <f t="shared" si="533"/>
        <v>-24.3</v>
      </c>
      <c r="CH126" s="173">
        <f t="shared" si="533"/>
        <v>0</v>
      </c>
      <c r="CI126" s="173">
        <f t="shared" si="533"/>
        <v>0</v>
      </c>
      <c r="CJ126" s="173">
        <f t="shared" si="533"/>
        <v>0</v>
      </c>
      <c r="CK126" s="173">
        <f t="shared" si="533"/>
        <v>0</v>
      </c>
      <c r="CL126" s="173">
        <f t="shared" si="533"/>
        <v>0</v>
      </c>
      <c r="CM126" s="173">
        <f t="shared" si="533"/>
        <v>0</v>
      </c>
      <c r="CN126" s="173">
        <f t="shared" si="528"/>
        <v>0</v>
      </c>
      <c r="CO126" s="173">
        <f t="shared" si="528"/>
        <v>0</v>
      </c>
      <c r="CP126" s="174">
        <f t="shared" si="528"/>
        <v>0</v>
      </c>
      <c r="CQ126" s="22"/>
    </row>
    <row r="127" spans="1:95" ht="14.25" customHeight="1" outlineLevel="1">
      <c r="A127" s="9"/>
      <c r="B127" s="48" t="s">
        <v>409</v>
      </c>
      <c r="C127" s="49"/>
      <c r="D127" s="176">
        <v>2.2000000000000002</v>
      </c>
      <c r="E127" s="176">
        <v>4.5999999999999996</v>
      </c>
      <c r="F127" s="176">
        <v>6.9</v>
      </c>
      <c r="G127" s="176">
        <v>8.6999999999999993</v>
      </c>
      <c r="H127" s="178">
        <v>1.9</v>
      </c>
      <c r="I127" s="176">
        <v>3.7</v>
      </c>
      <c r="J127" s="176">
        <v>5.5</v>
      </c>
      <c r="K127" s="176">
        <v>7.3</v>
      </c>
      <c r="L127" s="178">
        <v>0.5</v>
      </c>
      <c r="M127" s="176">
        <v>0.9</v>
      </c>
      <c r="N127" s="176">
        <v>1.3</v>
      </c>
      <c r="O127" s="176">
        <v>1.7</v>
      </c>
      <c r="P127" s="178">
        <v>0.6</v>
      </c>
      <c r="Q127" s="176">
        <v>1.3</v>
      </c>
      <c r="R127" s="176">
        <v>2</v>
      </c>
      <c r="S127" s="176">
        <v>2.8</v>
      </c>
      <c r="T127" s="178">
        <v>1.1000000000000001</v>
      </c>
      <c r="U127" s="176">
        <v>2.1</v>
      </c>
      <c r="V127" s="176">
        <v>3.1</v>
      </c>
      <c r="W127" s="176">
        <v>4.0999999999999996</v>
      </c>
      <c r="X127" s="178">
        <v>1</v>
      </c>
      <c r="Y127" s="176">
        <v>2</v>
      </c>
      <c r="Z127" s="176">
        <v>3</v>
      </c>
      <c r="AA127" s="176">
        <v>4</v>
      </c>
      <c r="AB127" s="178">
        <v>0.9</v>
      </c>
      <c r="AC127" s="176">
        <v>1.7</v>
      </c>
      <c r="AD127" s="176">
        <v>2.4</v>
      </c>
      <c r="AE127" s="176">
        <v>3.1</v>
      </c>
      <c r="AF127" s="178">
        <v>0.7</v>
      </c>
      <c r="AG127" s="176">
        <v>1.4</v>
      </c>
      <c r="AH127" s="176">
        <v>1.9</v>
      </c>
      <c r="AI127" s="176">
        <v>2.5</v>
      </c>
      <c r="AJ127" s="178">
        <v>0.6</v>
      </c>
      <c r="AK127" s="176">
        <v>1.2</v>
      </c>
      <c r="AL127" s="176">
        <v>1.8</v>
      </c>
      <c r="AM127" s="176">
        <v>2.2999999999999998</v>
      </c>
      <c r="AN127" s="178">
        <v>0.5</v>
      </c>
      <c r="AO127" s="176">
        <v>1.1000000000000001</v>
      </c>
      <c r="AP127" s="176">
        <v>1.7</v>
      </c>
      <c r="AQ127" s="176">
        <v>2.1</v>
      </c>
      <c r="AR127" s="178">
        <v>0.3</v>
      </c>
      <c r="AS127" s="176">
        <v>0.6</v>
      </c>
      <c r="AT127" s="176">
        <v>0.9</v>
      </c>
      <c r="AU127" s="176">
        <v>1.3</v>
      </c>
      <c r="AV127" s="178">
        <v>0.3</v>
      </c>
      <c r="AW127" s="176">
        <v>0.7</v>
      </c>
      <c r="AX127" s="176">
        <v>1</v>
      </c>
      <c r="AY127" s="176">
        <v>1.4</v>
      </c>
      <c r="AZ127" s="178">
        <v>0.3</v>
      </c>
      <c r="BA127" s="176">
        <v>0.9</v>
      </c>
      <c r="BB127" s="176">
        <v>1.9</v>
      </c>
      <c r="BC127" s="176">
        <v>2.8</v>
      </c>
      <c r="BD127" s="178">
        <v>1</v>
      </c>
      <c r="BE127" s="176">
        <v>3.1</v>
      </c>
      <c r="BF127" s="176">
        <v>7.4</v>
      </c>
      <c r="BG127" s="176">
        <v>12</v>
      </c>
      <c r="BH127" s="178">
        <v>4.5</v>
      </c>
      <c r="BI127" s="176">
        <v>8.4</v>
      </c>
      <c r="BJ127" s="176">
        <v>12.2</v>
      </c>
      <c r="BK127" s="176">
        <v>16</v>
      </c>
      <c r="BL127" s="175">
        <f t="shared" si="517"/>
        <v>0</v>
      </c>
      <c r="BM127" s="173">
        <f t="shared" si="518"/>
        <v>0</v>
      </c>
      <c r="BN127" s="173">
        <f t="shared" si="518"/>
        <v>0</v>
      </c>
      <c r="BO127" s="174">
        <f t="shared" si="518"/>
        <v>0</v>
      </c>
      <c r="BP127" s="175">
        <f t="shared" si="519"/>
        <v>0</v>
      </c>
      <c r="BQ127" s="173">
        <f t="shared" si="520"/>
        <v>0</v>
      </c>
      <c r="BR127" s="173">
        <f t="shared" si="521"/>
        <v>0</v>
      </c>
      <c r="BS127" s="174">
        <f t="shared" si="522"/>
        <v>0</v>
      </c>
      <c r="BT127" s="175">
        <f t="shared" si="523"/>
        <v>0</v>
      </c>
      <c r="BU127" s="173">
        <f t="shared" si="524"/>
        <v>0</v>
      </c>
      <c r="BV127" s="173">
        <f t="shared" si="525"/>
        <v>0</v>
      </c>
      <c r="BW127" s="174">
        <f t="shared" si="526"/>
        <v>0</v>
      </c>
      <c r="BX127" s="149"/>
      <c r="BY127" s="173">
        <f t="shared" ref="BY127:CM127" si="534">BY17</f>
        <v>8.6999999999999993</v>
      </c>
      <c r="BZ127" s="173">
        <f t="shared" si="534"/>
        <v>7.3000000000000007</v>
      </c>
      <c r="CA127" s="173">
        <f t="shared" si="534"/>
        <v>1.7</v>
      </c>
      <c r="CB127" s="173">
        <f t="shared" si="534"/>
        <v>2.8</v>
      </c>
      <c r="CC127" s="173">
        <f t="shared" si="534"/>
        <v>4.0999999999999996</v>
      </c>
      <c r="CD127" s="173">
        <f t="shared" si="534"/>
        <v>4</v>
      </c>
      <c r="CE127" s="173">
        <f t="shared" si="534"/>
        <v>3.1</v>
      </c>
      <c r="CF127" s="173">
        <f t="shared" si="534"/>
        <v>2.5</v>
      </c>
      <c r="CG127" s="173">
        <f t="shared" si="534"/>
        <v>2.2999999999999998</v>
      </c>
      <c r="CH127" s="173">
        <f t="shared" si="534"/>
        <v>2.1</v>
      </c>
      <c r="CI127" s="173">
        <f t="shared" si="534"/>
        <v>1.3</v>
      </c>
      <c r="CJ127" s="173">
        <f t="shared" si="534"/>
        <v>1.4</v>
      </c>
      <c r="CK127" s="173">
        <f t="shared" si="534"/>
        <v>2.8</v>
      </c>
      <c r="CL127" s="173">
        <f t="shared" si="534"/>
        <v>12</v>
      </c>
      <c r="CM127" s="173">
        <f t="shared" si="534"/>
        <v>16</v>
      </c>
      <c r="CN127" s="173">
        <f t="shared" si="528"/>
        <v>16</v>
      </c>
      <c r="CO127" s="173">
        <f t="shared" si="528"/>
        <v>16</v>
      </c>
      <c r="CP127" s="174">
        <f t="shared" si="528"/>
        <v>16</v>
      </c>
      <c r="CQ127" s="22"/>
    </row>
    <row r="128" spans="1:95" ht="14.25" customHeight="1" outlineLevel="1">
      <c r="A128" s="9"/>
      <c r="B128" s="48" t="s">
        <v>410</v>
      </c>
      <c r="C128" s="49"/>
      <c r="D128" s="176">
        <v>4</v>
      </c>
      <c r="E128" s="176">
        <v>6.3</v>
      </c>
      <c r="F128" s="176">
        <v>8.4</v>
      </c>
      <c r="G128" s="176">
        <v>13</v>
      </c>
      <c r="H128" s="178">
        <v>0</v>
      </c>
      <c r="I128" s="176">
        <v>1.6</v>
      </c>
      <c r="J128" s="176">
        <v>6.9</v>
      </c>
      <c r="K128" s="176">
        <v>11.1</v>
      </c>
      <c r="L128" s="178">
        <v>3.1</v>
      </c>
      <c r="M128" s="176">
        <v>6.2</v>
      </c>
      <c r="N128" s="176">
        <v>8.9</v>
      </c>
      <c r="O128" s="176">
        <v>13.2</v>
      </c>
      <c r="P128" s="178">
        <v>2.5</v>
      </c>
      <c r="Q128" s="176">
        <v>9.1</v>
      </c>
      <c r="R128" s="176">
        <v>16.2</v>
      </c>
      <c r="S128" s="176">
        <v>18.7</v>
      </c>
      <c r="T128" s="178">
        <v>1.6</v>
      </c>
      <c r="U128" s="176">
        <v>5.3</v>
      </c>
      <c r="V128" s="176">
        <v>5.9</v>
      </c>
      <c r="W128" s="176">
        <v>6.7</v>
      </c>
      <c r="X128" s="178">
        <v>2.5</v>
      </c>
      <c r="Y128" s="176">
        <v>5.7</v>
      </c>
      <c r="Z128" s="176">
        <v>10.7</v>
      </c>
      <c r="AA128" s="176">
        <v>19.8</v>
      </c>
      <c r="AB128" s="178">
        <v>7.6</v>
      </c>
      <c r="AC128" s="176">
        <v>11.6</v>
      </c>
      <c r="AD128" s="176">
        <v>15.7</v>
      </c>
      <c r="AE128" s="176">
        <v>20.399999999999999</v>
      </c>
      <c r="AF128" s="178">
        <v>-1.1000000000000001</v>
      </c>
      <c r="AG128" s="176">
        <v>0.1</v>
      </c>
      <c r="AH128" s="176">
        <v>2.7</v>
      </c>
      <c r="AI128" s="176">
        <v>10</v>
      </c>
      <c r="AJ128" s="178">
        <v>1.7</v>
      </c>
      <c r="AK128" s="176">
        <v>3.8</v>
      </c>
      <c r="AL128" s="176">
        <v>18.7</v>
      </c>
      <c r="AM128" s="176">
        <v>49.1</v>
      </c>
      <c r="AN128" s="178">
        <v>15.8</v>
      </c>
      <c r="AO128" s="176">
        <v>27.3</v>
      </c>
      <c r="AP128" s="176">
        <v>30.6</v>
      </c>
      <c r="AQ128" s="176">
        <v>51.9</v>
      </c>
      <c r="AR128" s="178">
        <v>15.9</v>
      </c>
      <c r="AS128" s="176">
        <v>39.9</v>
      </c>
      <c r="AT128" s="176">
        <v>45.7</v>
      </c>
      <c r="AU128" s="176">
        <v>51.9</v>
      </c>
      <c r="AV128" s="178">
        <v>6.8</v>
      </c>
      <c r="AW128" s="176">
        <v>11.5</v>
      </c>
      <c r="AX128" s="176">
        <v>21.1</v>
      </c>
      <c r="AY128" s="176">
        <v>40.6</v>
      </c>
      <c r="AZ128" s="178">
        <v>17.7</v>
      </c>
      <c r="BA128" s="176">
        <v>28.2</v>
      </c>
      <c r="BB128" s="176">
        <v>38.4</v>
      </c>
      <c r="BC128" s="176">
        <v>52.4</v>
      </c>
      <c r="BD128" s="178">
        <v>17.899999999999999</v>
      </c>
      <c r="BE128" s="176">
        <v>35.700000000000003</v>
      </c>
      <c r="BF128" s="176">
        <v>40.1</v>
      </c>
      <c r="BG128" s="176">
        <v>66.2</v>
      </c>
      <c r="BH128" s="178">
        <v>14.2</v>
      </c>
      <c r="BI128" s="176">
        <v>35.6</v>
      </c>
      <c r="BJ128" s="176">
        <v>56.8</v>
      </c>
      <c r="BK128" s="176">
        <v>67</v>
      </c>
      <c r="BL128" s="175">
        <f t="shared" si="517"/>
        <v>0</v>
      </c>
      <c r="BM128" s="173">
        <f t="shared" si="518"/>
        <v>0</v>
      </c>
      <c r="BN128" s="173">
        <f t="shared" si="518"/>
        <v>0</v>
      </c>
      <c r="BO128" s="174">
        <f t="shared" si="518"/>
        <v>0</v>
      </c>
      <c r="BP128" s="175">
        <f t="shared" si="519"/>
        <v>0</v>
      </c>
      <c r="BQ128" s="173">
        <f t="shared" si="520"/>
        <v>0</v>
      </c>
      <c r="BR128" s="173">
        <f t="shared" si="521"/>
        <v>0</v>
      </c>
      <c r="BS128" s="174">
        <f t="shared" si="522"/>
        <v>0</v>
      </c>
      <c r="BT128" s="175">
        <f t="shared" si="523"/>
        <v>0</v>
      </c>
      <c r="BU128" s="173">
        <f t="shared" si="524"/>
        <v>0</v>
      </c>
      <c r="BV128" s="173">
        <f t="shared" si="525"/>
        <v>0</v>
      </c>
      <c r="BW128" s="174">
        <f t="shared" si="526"/>
        <v>0</v>
      </c>
      <c r="BX128" s="149"/>
      <c r="BY128" s="173">
        <f t="shared" ref="BY128:CM128" si="535">BY18</f>
        <v>13</v>
      </c>
      <c r="BZ128" s="173">
        <f t="shared" si="535"/>
        <v>11.1</v>
      </c>
      <c r="CA128" s="173">
        <f t="shared" si="535"/>
        <v>13.2</v>
      </c>
      <c r="CB128" s="173">
        <f t="shared" si="535"/>
        <v>18.7</v>
      </c>
      <c r="CC128" s="173">
        <f t="shared" si="535"/>
        <v>6.6999999999999993</v>
      </c>
      <c r="CD128" s="173">
        <f t="shared" si="535"/>
        <v>19.8</v>
      </c>
      <c r="CE128" s="173">
        <f t="shared" si="535"/>
        <v>20.399999999999999</v>
      </c>
      <c r="CF128" s="173">
        <f t="shared" si="535"/>
        <v>10</v>
      </c>
      <c r="CG128" s="173">
        <f t="shared" si="535"/>
        <v>49.099999999999994</v>
      </c>
      <c r="CH128" s="173">
        <f t="shared" si="535"/>
        <v>51.899999999999991</v>
      </c>
      <c r="CI128" s="173">
        <f t="shared" si="535"/>
        <v>51.9</v>
      </c>
      <c r="CJ128" s="173">
        <f t="shared" si="535"/>
        <v>40.600000000000009</v>
      </c>
      <c r="CK128" s="173">
        <f t="shared" si="535"/>
        <v>52.400000000000006</v>
      </c>
      <c r="CL128" s="173">
        <f t="shared" si="535"/>
        <v>66.2</v>
      </c>
      <c r="CM128" s="173">
        <f t="shared" si="535"/>
        <v>67</v>
      </c>
      <c r="CN128" s="173">
        <f t="shared" si="528"/>
        <v>67</v>
      </c>
      <c r="CO128" s="173">
        <f t="shared" si="528"/>
        <v>67</v>
      </c>
      <c r="CP128" s="174">
        <f t="shared" si="528"/>
        <v>67</v>
      </c>
      <c r="CQ128" s="22"/>
    </row>
    <row r="129" spans="1:95" ht="14.25" customHeight="1" outlineLevel="1">
      <c r="A129" s="9"/>
      <c r="B129" s="48" t="s">
        <v>411</v>
      </c>
      <c r="C129" s="49"/>
      <c r="D129" s="176">
        <v>0.1</v>
      </c>
      <c r="E129" s="176">
        <v>0.1</v>
      </c>
      <c r="F129" s="176">
        <v>0.1</v>
      </c>
      <c r="G129" s="176">
        <v>0.1</v>
      </c>
      <c r="H129" s="178">
        <v>0</v>
      </c>
      <c r="I129" s="176">
        <v>0</v>
      </c>
      <c r="J129" s="176">
        <v>0.2</v>
      </c>
      <c r="K129" s="176">
        <v>0.2</v>
      </c>
      <c r="L129" s="178">
        <v>0</v>
      </c>
      <c r="M129" s="176">
        <v>0</v>
      </c>
      <c r="N129" s="176">
        <v>0</v>
      </c>
      <c r="O129" s="176">
        <v>0</v>
      </c>
      <c r="P129" s="178">
        <v>1.9</v>
      </c>
      <c r="Q129" s="176">
        <v>4.3</v>
      </c>
      <c r="R129" s="176">
        <v>7.2</v>
      </c>
      <c r="S129" s="176">
        <v>10.199999999999999</v>
      </c>
      <c r="T129" s="178">
        <v>3.3</v>
      </c>
      <c r="U129" s="176">
        <v>6.8</v>
      </c>
      <c r="V129" s="176">
        <v>10.9</v>
      </c>
      <c r="W129" s="176">
        <v>16.5</v>
      </c>
      <c r="X129" s="178">
        <v>6.7</v>
      </c>
      <c r="Y129" s="176">
        <v>15</v>
      </c>
      <c r="Z129" s="176">
        <v>26.4</v>
      </c>
      <c r="AA129" s="176">
        <v>33.200000000000003</v>
      </c>
      <c r="AB129" s="178">
        <v>12.7</v>
      </c>
      <c r="AC129" s="176">
        <v>28.8</v>
      </c>
      <c r="AD129" s="176">
        <v>42.3</v>
      </c>
      <c r="AE129" s="176">
        <v>54.2</v>
      </c>
      <c r="AF129" s="178">
        <v>13.7</v>
      </c>
      <c r="AG129" s="176">
        <v>29.1</v>
      </c>
      <c r="AH129" s="176">
        <v>41.3</v>
      </c>
      <c r="AI129" s="176">
        <v>52.5</v>
      </c>
      <c r="AJ129" s="178">
        <v>10.4</v>
      </c>
      <c r="AK129" s="176">
        <v>20.9</v>
      </c>
      <c r="AL129" s="176">
        <v>26.9</v>
      </c>
      <c r="AM129" s="176">
        <v>33.5</v>
      </c>
      <c r="AN129" s="178">
        <v>7.4</v>
      </c>
      <c r="AO129" s="176">
        <v>12.6</v>
      </c>
      <c r="AP129" s="176">
        <v>14.7</v>
      </c>
      <c r="AQ129" s="176">
        <v>20.5</v>
      </c>
      <c r="AR129" s="178">
        <v>5.8</v>
      </c>
      <c r="AS129" s="176">
        <v>16.399999999999999</v>
      </c>
      <c r="AT129" s="176">
        <v>23.4</v>
      </c>
      <c r="AU129" s="176">
        <v>32.299999999999997</v>
      </c>
      <c r="AV129" s="178">
        <v>8.5</v>
      </c>
      <c r="AW129" s="176">
        <v>21.9</v>
      </c>
      <c r="AX129" s="176">
        <v>33</v>
      </c>
      <c r="AY129" s="176">
        <v>45.8</v>
      </c>
      <c r="AZ129" s="178">
        <v>11.3</v>
      </c>
      <c r="BA129" s="176">
        <v>25.4</v>
      </c>
      <c r="BB129" s="176">
        <v>36.299999999999997</v>
      </c>
      <c r="BC129" s="176">
        <v>46.9</v>
      </c>
      <c r="BD129" s="178">
        <v>11.6</v>
      </c>
      <c r="BE129" s="176">
        <v>27.7</v>
      </c>
      <c r="BF129" s="176">
        <v>41.9</v>
      </c>
      <c r="BG129" s="176">
        <v>56.1</v>
      </c>
      <c r="BH129" s="178">
        <v>15.1</v>
      </c>
      <c r="BI129" s="176">
        <v>35.9</v>
      </c>
      <c r="BJ129" s="176">
        <v>52.7</v>
      </c>
      <c r="BK129" s="176">
        <v>69.8</v>
      </c>
      <c r="BL129" s="175">
        <f t="shared" si="517"/>
        <v>0</v>
      </c>
      <c r="BM129" s="173">
        <f t="shared" si="518"/>
        <v>0</v>
      </c>
      <c r="BN129" s="173">
        <f t="shared" si="518"/>
        <v>0</v>
      </c>
      <c r="BO129" s="174">
        <f t="shared" si="518"/>
        <v>0</v>
      </c>
      <c r="BP129" s="175">
        <f t="shared" si="519"/>
        <v>0</v>
      </c>
      <c r="BQ129" s="173">
        <f t="shared" si="520"/>
        <v>0</v>
      </c>
      <c r="BR129" s="173">
        <f t="shared" si="521"/>
        <v>0</v>
      </c>
      <c r="BS129" s="174">
        <f t="shared" si="522"/>
        <v>0</v>
      </c>
      <c r="BT129" s="175">
        <f t="shared" si="523"/>
        <v>0</v>
      </c>
      <c r="BU129" s="173">
        <f t="shared" si="524"/>
        <v>0</v>
      </c>
      <c r="BV129" s="173">
        <f t="shared" si="525"/>
        <v>0</v>
      </c>
      <c r="BW129" s="174">
        <f t="shared" si="526"/>
        <v>0</v>
      </c>
      <c r="BX129" s="149"/>
      <c r="BY129" s="173">
        <f t="shared" ref="BY129:CM129" si="536">BY19</f>
        <v>0.1</v>
      </c>
      <c r="BZ129" s="173">
        <f t="shared" si="536"/>
        <v>0.2</v>
      </c>
      <c r="CA129" s="173">
        <f t="shared" si="536"/>
        <v>0</v>
      </c>
      <c r="CB129" s="173">
        <f t="shared" si="536"/>
        <v>10.199999999999999</v>
      </c>
      <c r="CC129" s="173">
        <f t="shared" si="536"/>
        <v>16.5</v>
      </c>
      <c r="CD129" s="173">
        <f t="shared" si="536"/>
        <v>33.200000000000003</v>
      </c>
      <c r="CE129" s="173">
        <f t="shared" si="536"/>
        <v>54.2</v>
      </c>
      <c r="CF129" s="173">
        <f t="shared" si="536"/>
        <v>52.5</v>
      </c>
      <c r="CG129" s="173">
        <f t="shared" si="536"/>
        <v>33.5</v>
      </c>
      <c r="CH129" s="173">
        <f t="shared" si="536"/>
        <v>20.5</v>
      </c>
      <c r="CI129" s="173">
        <f t="shared" si="536"/>
        <v>32.299999999999997</v>
      </c>
      <c r="CJ129" s="173">
        <f t="shared" si="536"/>
        <v>45.8</v>
      </c>
      <c r="CK129" s="173">
        <f t="shared" si="536"/>
        <v>46.899999999999991</v>
      </c>
      <c r="CL129" s="173">
        <f t="shared" si="536"/>
        <v>56.1</v>
      </c>
      <c r="CM129" s="173">
        <f t="shared" si="536"/>
        <v>69.8</v>
      </c>
      <c r="CN129" s="173">
        <f t="shared" si="528"/>
        <v>69.8</v>
      </c>
      <c r="CO129" s="173">
        <f t="shared" si="528"/>
        <v>69.8</v>
      </c>
      <c r="CP129" s="174">
        <f t="shared" si="528"/>
        <v>69.8</v>
      </c>
      <c r="CQ129" s="22"/>
    </row>
    <row r="130" spans="1:95" ht="14.25" customHeight="1" outlineLevel="1">
      <c r="A130" s="9"/>
      <c r="B130" s="48" t="s">
        <v>349</v>
      </c>
      <c r="C130" s="49"/>
      <c r="D130" s="176">
        <v>3.3</v>
      </c>
      <c r="E130" s="176">
        <v>6.5</v>
      </c>
      <c r="F130" s="176">
        <v>9.8000000000000007</v>
      </c>
      <c r="G130" s="176">
        <v>13</v>
      </c>
      <c r="H130" s="178">
        <v>3.5</v>
      </c>
      <c r="I130" s="176">
        <v>7</v>
      </c>
      <c r="J130" s="176">
        <v>10.6</v>
      </c>
      <c r="K130" s="176">
        <v>14.3</v>
      </c>
      <c r="L130" s="178">
        <v>3.9</v>
      </c>
      <c r="M130" s="176">
        <v>7.8</v>
      </c>
      <c r="N130" s="176">
        <v>11.7</v>
      </c>
      <c r="O130" s="176">
        <v>9.1</v>
      </c>
      <c r="P130" s="178">
        <v>0</v>
      </c>
      <c r="Q130" s="176">
        <v>0</v>
      </c>
      <c r="R130" s="176">
        <v>0</v>
      </c>
      <c r="S130" s="176">
        <v>0</v>
      </c>
      <c r="T130" s="178">
        <v>0</v>
      </c>
      <c r="U130" s="176">
        <v>0</v>
      </c>
      <c r="V130" s="176">
        <v>0</v>
      </c>
      <c r="W130" s="176">
        <v>0</v>
      </c>
      <c r="X130" s="178">
        <v>9.8000000000000007</v>
      </c>
      <c r="Y130" s="176">
        <v>20.2</v>
      </c>
      <c r="Z130" s="176">
        <v>30.8</v>
      </c>
      <c r="AA130" s="176">
        <v>41.6</v>
      </c>
      <c r="AB130" s="178">
        <v>9.9</v>
      </c>
      <c r="AC130" s="176">
        <v>18.3</v>
      </c>
      <c r="AD130" s="176">
        <v>26.6</v>
      </c>
      <c r="AE130" s="176">
        <v>34.9</v>
      </c>
      <c r="AF130" s="178">
        <v>8.6999999999999993</v>
      </c>
      <c r="AG130" s="176">
        <v>17</v>
      </c>
      <c r="AH130" s="176">
        <v>25.3</v>
      </c>
      <c r="AI130" s="176">
        <v>33.700000000000003</v>
      </c>
      <c r="AJ130" s="178">
        <v>8.6999999999999993</v>
      </c>
      <c r="AK130" s="176">
        <v>17.600000000000001</v>
      </c>
      <c r="AL130" s="176">
        <v>26.5</v>
      </c>
      <c r="AM130" s="176">
        <v>34.9</v>
      </c>
      <c r="AN130" s="178">
        <v>7.2</v>
      </c>
      <c r="AO130" s="176">
        <v>13.2</v>
      </c>
      <c r="AP130" s="176">
        <v>18.7</v>
      </c>
      <c r="AQ130" s="176">
        <v>23.4</v>
      </c>
      <c r="AR130" s="178">
        <v>3.1</v>
      </c>
      <c r="AS130" s="176">
        <v>5.8</v>
      </c>
      <c r="AT130" s="176">
        <v>8.5</v>
      </c>
      <c r="AU130" s="176">
        <v>11.2</v>
      </c>
      <c r="AV130" s="178">
        <v>1.6</v>
      </c>
      <c r="AW130" s="176">
        <v>3.3</v>
      </c>
      <c r="AX130" s="176">
        <v>5.0999999999999996</v>
      </c>
      <c r="AY130" s="176">
        <v>7</v>
      </c>
      <c r="AZ130" s="178">
        <v>1.8</v>
      </c>
      <c r="BA130" s="176">
        <v>4.8</v>
      </c>
      <c r="BB130" s="176">
        <v>11.2</v>
      </c>
      <c r="BC130" s="176">
        <v>17.5</v>
      </c>
      <c r="BD130" s="178">
        <v>6.5</v>
      </c>
      <c r="BE130" s="176">
        <v>13</v>
      </c>
      <c r="BF130" s="176">
        <v>19.600000000000001</v>
      </c>
      <c r="BG130" s="176">
        <v>26</v>
      </c>
      <c r="BH130" s="178">
        <v>4.7</v>
      </c>
      <c r="BI130" s="176">
        <v>13.3</v>
      </c>
      <c r="BJ130" s="176">
        <v>21.9</v>
      </c>
      <c r="BK130" s="176">
        <v>30.8</v>
      </c>
      <c r="BL130" s="175">
        <f t="shared" si="517"/>
        <v>0</v>
      </c>
      <c r="BM130" s="173">
        <f t="shared" si="518"/>
        <v>0</v>
      </c>
      <c r="BN130" s="173">
        <f t="shared" si="518"/>
        <v>0</v>
      </c>
      <c r="BO130" s="174">
        <f t="shared" si="518"/>
        <v>0</v>
      </c>
      <c r="BP130" s="175">
        <f t="shared" si="519"/>
        <v>0</v>
      </c>
      <c r="BQ130" s="173">
        <f t="shared" si="520"/>
        <v>0</v>
      </c>
      <c r="BR130" s="173">
        <f t="shared" si="521"/>
        <v>0</v>
      </c>
      <c r="BS130" s="174">
        <f t="shared" si="522"/>
        <v>0</v>
      </c>
      <c r="BT130" s="175">
        <f t="shared" si="523"/>
        <v>0</v>
      </c>
      <c r="BU130" s="173">
        <f t="shared" si="524"/>
        <v>0</v>
      </c>
      <c r="BV130" s="173">
        <f t="shared" si="525"/>
        <v>0</v>
      </c>
      <c r="BW130" s="174">
        <f t="shared" si="526"/>
        <v>0</v>
      </c>
      <c r="BX130" s="149"/>
      <c r="BY130" s="173">
        <f t="shared" ref="BY130:CM130" si="537">BY20</f>
        <v>13</v>
      </c>
      <c r="BZ130" s="173">
        <f t="shared" si="537"/>
        <v>14.3</v>
      </c>
      <c r="CA130" s="173">
        <f t="shared" si="537"/>
        <v>9.1</v>
      </c>
      <c r="CB130" s="173">
        <f t="shared" si="537"/>
        <v>0</v>
      </c>
      <c r="CC130" s="173">
        <f t="shared" si="537"/>
        <v>0</v>
      </c>
      <c r="CD130" s="173">
        <f t="shared" si="537"/>
        <v>41.6</v>
      </c>
      <c r="CE130" s="173">
        <f t="shared" si="537"/>
        <v>34.9</v>
      </c>
      <c r="CF130" s="173">
        <f t="shared" si="537"/>
        <v>33.700000000000003</v>
      </c>
      <c r="CG130" s="173">
        <f t="shared" si="537"/>
        <v>34.9</v>
      </c>
      <c r="CH130" s="173">
        <f t="shared" si="537"/>
        <v>23.4</v>
      </c>
      <c r="CI130" s="173">
        <f t="shared" si="537"/>
        <v>11.2</v>
      </c>
      <c r="CJ130" s="173">
        <f t="shared" si="537"/>
        <v>7</v>
      </c>
      <c r="CK130" s="173">
        <f t="shared" si="537"/>
        <v>17.5</v>
      </c>
      <c r="CL130" s="173">
        <f t="shared" si="537"/>
        <v>26</v>
      </c>
      <c r="CM130" s="173">
        <f t="shared" si="537"/>
        <v>30.8</v>
      </c>
      <c r="CN130" s="173">
        <f t="shared" si="528"/>
        <v>30.8</v>
      </c>
      <c r="CO130" s="173">
        <f t="shared" si="528"/>
        <v>30.8</v>
      </c>
      <c r="CP130" s="174">
        <f t="shared" si="528"/>
        <v>30.8</v>
      </c>
      <c r="CQ130" s="22"/>
    </row>
    <row r="131" spans="1:95" ht="14.25" customHeight="1" outlineLevel="1">
      <c r="A131" s="9"/>
      <c r="B131" s="48" t="s">
        <v>412</v>
      </c>
      <c r="C131" s="49"/>
      <c r="D131" s="176">
        <v>0</v>
      </c>
      <c r="E131" s="176">
        <v>10.5</v>
      </c>
      <c r="F131" s="176">
        <v>10.5</v>
      </c>
      <c r="G131" s="176">
        <v>30.7</v>
      </c>
      <c r="H131" s="178">
        <v>0</v>
      </c>
      <c r="I131" s="176">
        <v>0</v>
      </c>
      <c r="J131" s="176">
        <v>0</v>
      </c>
      <c r="K131" s="176">
        <v>3.3</v>
      </c>
      <c r="L131" s="178">
        <v>0</v>
      </c>
      <c r="M131" s="176">
        <v>0</v>
      </c>
      <c r="N131" s="176">
        <v>0</v>
      </c>
      <c r="O131" s="176">
        <v>0</v>
      </c>
      <c r="P131" s="178">
        <v>0</v>
      </c>
      <c r="Q131" s="176">
        <v>4.7</v>
      </c>
      <c r="R131" s="176">
        <v>4.7</v>
      </c>
      <c r="S131" s="176">
        <v>4.7</v>
      </c>
      <c r="T131" s="178">
        <v>0</v>
      </c>
      <c r="U131" s="176">
        <v>0</v>
      </c>
      <c r="V131" s="176">
        <v>0.1</v>
      </c>
      <c r="W131" s="176">
        <v>0</v>
      </c>
      <c r="X131" s="178">
        <v>2.2000000000000002</v>
      </c>
      <c r="Y131" s="176">
        <v>12</v>
      </c>
      <c r="Z131" s="176">
        <v>12</v>
      </c>
      <c r="AA131" s="176">
        <v>14.3</v>
      </c>
      <c r="AB131" s="178">
        <v>0</v>
      </c>
      <c r="AC131" s="176">
        <v>0.2</v>
      </c>
      <c r="AD131" s="176">
        <v>5.6</v>
      </c>
      <c r="AE131" s="176">
        <v>6.3</v>
      </c>
      <c r="AF131" s="178">
        <v>0</v>
      </c>
      <c r="AG131" s="176">
        <v>0</v>
      </c>
      <c r="AH131" s="176">
        <v>0</v>
      </c>
      <c r="AI131" s="176">
        <v>3.9</v>
      </c>
      <c r="AJ131" s="178">
        <v>0</v>
      </c>
      <c r="AK131" s="176">
        <v>0</v>
      </c>
      <c r="AL131" s="176">
        <v>61.7</v>
      </c>
      <c r="AM131" s="176">
        <v>86.3</v>
      </c>
      <c r="AN131" s="178">
        <v>0</v>
      </c>
      <c r="AO131" s="176">
        <v>0</v>
      </c>
      <c r="AP131" s="176">
        <v>2.1</v>
      </c>
      <c r="AQ131" s="176">
        <v>103</v>
      </c>
      <c r="AR131" s="178">
        <v>0</v>
      </c>
      <c r="AS131" s="176">
        <v>0</v>
      </c>
      <c r="AT131" s="176">
        <v>3.5</v>
      </c>
      <c r="AU131" s="176">
        <v>8</v>
      </c>
      <c r="AV131" s="178">
        <v>0</v>
      </c>
      <c r="AW131" s="176">
        <v>1.8</v>
      </c>
      <c r="AX131" s="176">
        <v>1.8</v>
      </c>
      <c r="AY131" s="176">
        <v>6.5</v>
      </c>
      <c r="AZ131" s="178">
        <v>0</v>
      </c>
      <c r="BA131" s="176">
        <v>0.2</v>
      </c>
      <c r="BB131" s="176">
        <v>0.2</v>
      </c>
      <c r="BC131" s="176">
        <v>0.2</v>
      </c>
      <c r="BD131" s="178">
        <v>0</v>
      </c>
      <c r="BE131" s="176">
        <v>0</v>
      </c>
      <c r="BF131" s="176">
        <v>0</v>
      </c>
      <c r="BG131" s="176">
        <v>0.5</v>
      </c>
      <c r="BH131" s="178">
        <v>0</v>
      </c>
      <c r="BI131" s="176">
        <v>6.2</v>
      </c>
      <c r="BJ131" s="176">
        <v>7.3</v>
      </c>
      <c r="BK131" s="176">
        <v>7.9</v>
      </c>
      <c r="BL131" s="175">
        <f t="shared" si="517"/>
        <v>0</v>
      </c>
      <c r="BM131" s="173">
        <f t="shared" si="518"/>
        <v>0</v>
      </c>
      <c r="BN131" s="173">
        <f t="shared" si="518"/>
        <v>0</v>
      </c>
      <c r="BO131" s="174">
        <f t="shared" si="518"/>
        <v>0</v>
      </c>
      <c r="BP131" s="175">
        <f t="shared" si="519"/>
        <v>0</v>
      </c>
      <c r="BQ131" s="173">
        <f t="shared" si="520"/>
        <v>0</v>
      </c>
      <c r="BR131" s="173">
        <f t="shared" si="521"/>
        <v>0</v>
      </c>
      <c r="BS131" s="174">
        <f t="shared" si="522"/>
        <v>0</v>
      </c>
      <c r="BT131" s="175">
        <f t="shared" si="523"/>
        <v>0</v>
      </c>
      <c r="BU131" s="173">
        <f t="shared" si="524"/>
        <v>0</v>
      </c>
      <c r="BV131" s="173">
        <f t="shared" si="525"/>
        <v>0</v>
      </c>
      <c r="BW131" s="174">
        <f t="shared" si="526"/>
        <v>0</v>
      </c>
      <c r="BX131" s="149"/>
      <c r="BY131" s="173">
        <f t="shared" ref="BY131:CM131" si="538">BY21</f>
        <v>30.7</v>
      </c>
      <c r="BZ131" s="173">
        <f t="shared" si="538"/>
        <v>3.3</v>
      </c>
      <c r="CA131" s="173">
        <f t="shared" si="538"/>
        <v>0</v>
      </c>
      <c r="CB131" s="173">
        <f t="shared" si="538"/>
        <v>4.7</v>
      </c>
      <c r="CC131" s="173">
        <f t="shared" si="538"/>
        <v>0</v>
      </c>
      <c r="CD131" s="173">
        <f t="shared" si="538"/>
        <v>14.3</v>
      </c>
      <c r="CE131" s="173">
        <f t="shared" si="538"/>
        <v>6.3</v>
      </c>
      <c r="CF131" s="173">
        <f t="shared" si="538"/>
        <v>3.9</v>
      </c>
      <c r="CG131" s="173">
        <f t="shared" si="538"/>
        <v>86.3</v>
      </c>
      <c r="CH131" s="173">
        <f t="shared" si="538"/>
        <v>103</v>
      </c>
      <c r="CI131" s="173">
        <f t="shared" si="538"/>
        <v>8</v>
      </c>
      <c r="CJ131" s="173">
        <f t="shared" si="538"/>
        <v>6.5</v>
      </c>
      <c r="CK131" s="173">
        <f t="shared" si="538"/>
        <v>0.2</v>
      </c>
      <c r="CL131" s="173">
        <f t="shared" si="538"/>
        <v>0.5</v>
      </c>
      <c r="CM131" s="173">
        <f t="shared" si="538"/>
        <v>7.9</v>
      </c>
      <c r="CN131" s="173">
        <f t="shared" si="528"/>
        <v>7.9</v>
      </c>
      <c r="CO131" s="173">
        <f t="shared" si="528"/>
        <v>7.9</v>
      </c>
      <c r="CP131" s="174">
        <f t="shared" si="528"/>
        <v>7.9</v>
      </c>
      <c r="CQ131" s="22"/>
    </row>
    <row r="132" spans="1:95" ht="14.25" customHeight="1" outlineLevel="1">
      <c r="A132" s="9"/>
      <c r="B132" s="48" t="s">
        <v>413</v>
      </c>
      <c r="C132" s="49"/>
      <c r="D132" s="176">
        <v>0</v>
      </c>
      <c r="E132" s="176">
        <v>20.8</v>
      </c>
      <c r="F132" s="176">
        <v>20.8</v>
      </c>
      <c r="G132" s="176">
        <v>25.1</v>
      </c>
      <c r="H132" s="178">
        <v>0</v>
      </c>
      <c r="I132" s="176">
        <v>0</v>
      </c>
      <c r="J132" s="176">
        <v>0</v>
      </c>
      <c r="K132" s="176">
        <v>0</v>
      </c>
      <c r="L132" s="178">
        <v>0</v>
      </c>
      <c r="M132" s="176">
        <v>0</v>
      </c>
      <c r="N132" s="176">
        <v>0</v>
      </c>
      <c r="O132" s="176">
        <v>0</v>
      </c>
      <c r="P132" s="178">
        <v>0</v>
      </c>
      <c r="Q132" s="176">
        <v>0</v>
      </c>
      <c r="R132" s="176">
        <v>0</v>
      </c>
      <c r="S132" s="176">
        <v>0</v>
      </c>
      <c r="T132" s="178">
        <v>0</v>
      </c>
      <c r="U132" s="176">
        <v>0</v>
      </c>
      <c r="V132" s="176">
        <v>0</v>
      </c>
      <c r="W132" s="176">
        <v>0</v>
      </c>
      <c r="X132" s="178">
        <v>0</v>
      </c>
      <c r="Y132" s="176">
        <v>0</v>
      </c>
      <c r="Z132" s="176">
        <v>0</v>
      </c>
      <c r="AA132" s="176">
        <v>544.5</v>
      </c>
      <c r="AB132" s="178">
        <v>0</v>
      </c>
      <c r="AC132" s="176">
        <v>0</v>
      </c>
      <c r="AD132" s="176">
        <v>0</v>
      </c>
      <c r="AE132" s="176">
        <v>0</v>
      </c>
      <c r="AF132" s="178">
        <v>0</v>
      </c>
      <c r="AG132" s="176">
        <v>0</v>
      </c>
      <c r="AH132" s="176">
        <v>0</v>
      </c>
      <c r="AI132" s="176">
        <v>16.100000000000001</v>
      </c>
      <c r="AJ132" s="178">
        <v>0</v>
      </c>
      <c r="AK132" s="176">
        <v>0</v>
      </c>
      <c r="AL132" s="176">
        <v>0</v>
      </c>
      <c r="AM132" s="176">
        <v>0</v>
      </c>
      <c r="AN132" s="178">
        <v>0</v>
      </c>
      <c r="AO132" s="176">
        <v>0</v>
      </c>
      <c r="AP132" s="176">
        <v>0</v>
      </c>
      <c r="AQ132" s="176">
        <v>49.5</v>
      </c>
      <c r="AR132" s="178">
        <v>0</v>
      </c>
      <c r="AS132" s="176">
        <v>0</v>
      </c>
      <c r="AT132" s="176">
        <v>0</v>
      </c>
      <c r="AU132" s="176">
        <v>0</v>
      </c>
      <c r="AV132" s="178">
        <v>0</v>
      </c>
      <c r="AW132" s="176">
        <v>0</v>
      </c>
      <c r="AX132" s="176">
        <v>0</v>
      </c>
      <c r="AY132" s="176">
        <v>9.6</v>
      </c>
      <c r="AZ132" s="178">
        <v>0</v>
      </c>
      <c r="BA132" s="176">
        <v>3.7</v>
      </c>
      <c r="BB132" s="176">
        <v>3.8</v>
      </c>
      <c r="BC132" s="176">
        <v>3.8</v>
      </c>
      <c r="BD132" s="178">
        <v>0</v>
      </c>
      <c r="BE132" s="176">
        <v>2.2000000000000002</v>
      </c>
      <c r="BF132" s="176">
        <v>2.2000000000000002</v>
      </c>
      <c r="BG132" s="176">
        <v>0</v>
      </c>
      <c r="BH132" s="178">
        <v>0</v>
      </c>
      <c r="BI132" s="176"/>
      <c r="BJ132" s="176">
        <v>7.7</v>
      </c>
      <c r="BK132" s="176">
        <v>0</v>
      </c>
      <c r="BL132" s="175">
        <f t="shared" si="517"/>
        <v>0</v>
      </c>
      <c r="BM132" s="173">
        <f t="shared" si="518"/>
        <v>0</v>
      </c>
      <c r="BN132" s="173">
        <f t="shared" si="518"/>
        <v>0</v>
      </c>
      <c r="BO132" s="174">
        <f t="shared" si="518"/>
        <v>0</v>
      </c>
      <c r="BP132" s="175">
        <f t="shared" si="519"/>
        <v>0</v>
      </c>
      <c r="BQ132" s="173">
        <f t="shared" si="520"/>
        <v>0</v>
      </c>
      <c r="BR132" s="173">
        <f t="shared" si="521"/>
        <v>0</v>
      </c>
      <c r="BS132" s="174">
        <f t="shared" si="522"/>
        <v>0</v>
      </c>
      <c r="BT132" s="175">
        <f t="shared" si="523"/>
        <v>0</v>
      </c>
      <c r="BU132" s="173">
        <f t="shared" si="524"/>
        <v>0</v>
      </c>
      <c r="BV132" s="173">
        <f t="shared" si="525"/>
        <v>0</v>
      </c>
      <c r="BW132" s="174">
        <f t="shared" si="526"/>
        <v>0</v>
      </c>
      <c r="BX132" s="149"/>
      <c r="BY132" s="173">
        <f t="shared" ref="BY132:CM132" si="539">BY22</f>
        <v>25.1</v>
      </c>
      <c r="BZ132" s="173">
        <f t="shared" si="539"/>
        <v>0</v>
      </c>
      <c r="CA132" s="173">
        <f t="shared" si="539"/>
        <v>0</v>
      </c>
      <c r="CB132" s="173">
        <f t="shared" si="539"/>
        <v>0</v>
      </c>
      <c r="CC132" s="173">
        <f t="shared" si="539"/>
        <v>0</v>
      </c>
      <c r="CD132" s="173">
        <f t="shared" si="539"/>
        <v>544.5</v>
      </c>
      <c r="CE132" s="173">
        <f t="shared" si="539"/>
        <v>0</v>
      </c>
      <c r="CF132" s="173">
        <f t="shared" si="539"/>
        <v>16.100000000000001</v>
      </c>
      <c r="CG132" s="173">
        <f t="shared" si="539"/>
        <v>0</v>
      </c>
      <c r="CH132" s="173">
        <f t="shared" si="539"/>
        <v>49.5</v>
      </c>
      <c r="CI132" s="173">
        <f t="shared" si="539"/>
        <v>0</v>
      </c>
      <c r="CJ132" s="173">
        <f t="shared" si="539"/>
        <v>9.6</v>
      </c>
      <c r="CK132" s="173">
        <f t="shared" si="539"/>
        <v>3.8</v>
      </c>
      <c r="CL132" s="173">
        <f t="shared" si="539"/>
        <v>0</v>
      </c>
      <c r="CM132" s="173">
        <f t="shared" si="539"/>
        <v>0</v>
      </c>
      <c r="CN132" s="173">
        <f t="shared" si="528"/>
        <v>0</v>
      </c>
      <c r="CO132" s="173">
        <f t="shared" si="528"/>
        <v>0</v>
      </c>
      <c r="CP132" s="174">
        <f t="shared" si="528"/>
        <v>0</v>
      </c>
      <c r="CQ132" s="22"/>
    </row>
    <row r="133" spans="1:95" ht="14.25" customHeight="1" outlineLevel="1">
      <c r="A133" s="9"/>
      <c r="B133" s="48" t="s">
        <v>414</v>
      </c>
      <c r="C133" s="49"/>
      <c r="D133" s="176">
        <v>0</v>
      </c>
      <c r="E133" s="176">
        <v>0</v>
      </c>
      <c r="F133" s="176">
        <v>0</v>
      </c>
      <c r="G133" s="176">
        <v>0</v>
      </c>
      <c r="H133" s="178">
        <v>0</v>
      </c>
      <c r="I133" s="176">
        <v>0</v>
      </c>
      <c r="J133" s="176">
        <v>0</v>
      </c>
      <c r="K133" s="176">
        <v>0</v>
      </c>
      <c r="L133" s="178">
        <v>0</v>
      </c>
      <c r="M133" s="176">
        <v>0</v>
      </c>
      <c r="N133" s="176">
        <v>0</v>
      </c>
      <c r="O133" s="176">
        <v>0</v>
      </c>
      <c r="P133" s="178">
        <v>0</v>
      </c>
      <c r="Q133" s="176">
        <v>0</v>
      </c>
      <c r="R133" s="176">
        <v>0</v>
      </c>
      <c r="S133" s="176">
        <v>0</v>
      </c>
      <c r="T133" s="178">
        <v>0</v>
      </c>
      <c r="U133" s="176">
        <v>0</v>
      </c>
      <c r="V133" s="176">
        <v>0</v>
      </c>
      <c r="W133" s="176">
        <v>0</v>
      </c>
      <c r="X133" s="178">
        <v>0</v>
      </c>
      <c r="Y133" s="176">
        <v>0</v>
      </c>
      <c r="Z133" s="176">
        <v>0</v>
      </c>
      <c r="AA133" s="176">
        <v>0</v>
      </c>
      <c r="AB133" s="178">
        <v>0</v>
      </c>
      <c r="AC133" s="176">
        <v>0</v>
      </c>
      <c r="AD133" s="176">
        <v>0</v>
      </c>
      <c r="AE133" s="176">
        <v>0</v>
      </c>
      <c r="AF133" s="178">
        <v>0</v>
      </c>
      <c r="AG133" s="176">
        <v>0</v>
      </c>
      <c r="AH133" s="176">
        <v>0</v>
      </c>
      <c r="AI133" s="176">
        <v>0</v>
      </c>
      <c r="AJ133" s="178">
        <v>0</v>
      </c>
      <c r="AK133" s="176">
        <v>0</v>
      </c>
      <c r="AL133" s="176">
        <v>0</v>
      </c>
      <c r="AM133" s="176">
        <v>-13.3</v>
      </c>
      <c r="AN133" s="178">
        <v>0</v>
      </c>
      <c r="AO133" s="176">
        <v>0</v>
      </c>
      <c r="AP133" s="176">
        <v>0</v>
      </c>
      <c r="AQ133" s="176">
        <v>0</v>
      </c>
      <c r="AR133" s="178">
        <v>0</v>
      </c>
      <c r="AS133" s="176">
        <v>0</v>
      </c>
      <c r="AT133" s="176">
        <v>0</v>
      </c>
      <c r="AU133" s="176">
        <v>0</v>
      </c>
      <c r="AV133" s="178">
        <v>0</v>
      </c>
      <c r="AW133" s="176">
        <v>0</v>
      </c>
      <c r="AX133" s="176">
        <v>0</v>
      </c>
      <c r="AY133" s="176">
        <v>0</v>
      </c>
      <c r="AZ133" s="178">
        <v>0</v>
      </c>
      <c r="BA133" s="176">
        <v>0</v>
      </c>
      <c r="BB133" s="176">
        <v>0</v>
      </c>
      <c r="BC133" s="176">
        <v>0</v>
      </c>
      <c r="BD133" s="178">
        <v>0</v>
      </c>
      <c r="BE133" s="176">
        <v>0</v>
      </c>
      <c r="BF133" s="176">
        <v>0</v>
      </c>
      <c r="BG133" s="176">
        <v>0</v>
      </c>
      <c r="BH133" s="178">
        <v>0</v>
      </c>
      <c r="BI133" s="176"/>
      <c r="BJ133" s="176">
        <v>0</v>
      </c>
      <c r="BK133" s="176">
        <v>0</v>
      </c>
      <c r="BL133" s="175">
        <f t="shared" si="517"/>
        <v>0</v>
      </c>
      <c r="BM133" s="173">
        <f t="shared" si="518"/>
        <v>0</v>
      </c>
      <c r="BN133" s="173">
        <f t="shared" si="518"/>
        <v>0</v>
      </c>
      <c r="BO133" s="174">
        <f t="shared" si="518"/>
        <v>0</v>
      </c>
      <c r="BP133" s="175">
        <f t="shared" si="519"/>
        <v>0</v>
      </c>
      <c r="BQ133" s="173">
        <f t="shared" si="520"/>
        <v>0</v>
      </c>
      <c r="BR133" s="173">
        <f t="shared" si="521"/>
        <v>0</v>
      </c>
      <c r="BS133" s="174">
        <f t="shared" si="522"/>
        <v>0</v>
      </c>
      <c r="BT133" s="175">
        <f t="shared" si="523"/>
        <v>0</v>
      </c>
      <c r="BU133" s="173">
        <f t="shared" si="524"/>
        <v>0</v>
      </c>
      <c r="BV133" s="173">
        <f t="shared" si="525"/>
        <v>0</v>
      </c>
      <c r="BW133" s="174">
        <f t="shared" si="526"/>
        <v>0</v>
      </c>
      <c r="BX133" s="149"/>
      <c r="BY133" s="173">
        <f t="shared" ref="BY133:CM133" si="540">BY23</f>
        <v>0</v>
      </c>
      <c r="BZ133" s="173">
        <f t="shared" si="540"/>
        <v>0</v>
      </c>
      <c r="CA133" s="173">
        <f t="shared" si="540"/>
        <v>0</v>
      </c>
      <c r="CB133" s="173">
        <f t="shared" si="540"/>
        <v>0</v>
      </c>
      <c r="CC133" s="173">
        <f t="shared" si="540"/>
        <v>0</v>
      </c>
      <c r="CD133" s="173">
        <f t="shared" si="540"/>
        <v>0</v>
      </c>
      <c r="CE133" s="173">
        <f t="shared" si="540"/>
        <v>0</v>
      </c>
      <c r="CF133" s="173">
        <f t="shared" si="540"/>
        <v>0</v>
      </c>
      <c r="CG133" s="173">
        <f t="shared" si="540"/>
        <v>-13.3</v>
      </c>
      <c r="CH133" s="173">
        <f t="shared" si="540"/>
        <v>0</v>
      </c>
      <c r="CI133" s="173">
        <f t="shared" si="540"/>
        <v>0</v>
      </c>
      <c r="CJ133" s="173">
        <f t="shared" si="540"/>
        <v>0</v>
      </c>
      <c r="CK133" s="173">
        <f t="shared" si="540"/>
        <v>0</v>
      </c>
      <c r="CL133" s="173">
        <f t="shared" si="540"/>
        <v>0</v>
      </c>
      <c r="CM133" s="173">
        <f t="shared" si="540"/>
        <v>0</v>
      </c>
      <c r="CN133" s="173">
        <f t="shared" si="528"/>
        <v>0</v>
      </c>
      <c r="CO133" s="173">
        <f t="shared" si="528"/>
        <v>0</v>
      </c>
      <c r="CP133" s="174">
        <f t="shared" si="528"/>
        <v>0</v>
      </c>
      <c r="CQ133" s="22"/>
    </row>
    <row r="134" spans="1:95" ht="14.25" customHeight="1" outlineLevel="1">
      <c r="A134" s="9"/>
      <c r="B134" s="48" t="s">
        <v>415</v>
      </c>
      <c r="C134" s="49"/>
      <c r="D134" s="176">
        <v>0</v>
      </c>
      <c r="E134" s="176">
        <v>0</v>
      </c>
      <c r="F134" s="176">
        <v>0</v>
      </c>
      <c r="G134" s="176">
        <v>0</v>
      </c>
      <c r="H134" s="178">
        <v>0</v>
      </c>
      <c r="I134" s="176">
        <v>0</v>
      </c>
      <c r="J134" s="176">
        <v>0</v>
      </c>
      <c r="K134" s="176">
        <v>0</v>
      </c>
      <c r="L134" s="178">
        <v>0</v>
      </c>
      <c r="M134" s="176">
        <v>0</v>
      </c>
      <c r="N134" s="176">
        <v>0</v>
      </c>
      <c r="O134" s="176">
        <v>0</v>
      </c>
      <c r="P134" s="178">
        <v>0</v>
      </c>
      <c r="Q134" s="176">
        <v>0</v>
      </c>
      <c r="R134" s="176">
        <v>0</v>
      </c>
      <c r="S134" s="176">
        <v>0</v>
      </c>
      <c r="T134" s="178">
        <v>0</v>
      </c>
      <c r="U134" s="176">
        <v>0</v>
      </c>
      <c r="V134" s="176">
        <v>0</v>
      </c>
      <c r="W134" s="176">
        <v>0</v>
      </c>
      <c r="X134" s="178">
        <v>0</v>
      </c>
      <c r="Y134" s="176">
        <v>0</v>
      </c>
      <c r="Z134" s="176">
        <v>0</v>
      </c>
      <c r="AA134" s="176">
        <v>0</v>
      </c>
      <c r="AB134" s="178">
        <v>0</v>
      </c>
      <c r="AC134" s="176">
        <v>0</v>
      </c>
      <c r="AD134" s="176">
        <v>0</v>
      </c>
      <c r="AE134" s="176">
        <v>0</v>
      </c>
      <c r="AF134" s="178">
        <v>0</v>
      </c>
      <c r="AG134" s="176">
        <v>0</v>
      </c>
      <c r="AH134" s="176">
        <v>0</v>
      </c>
      <c r="AI134" s="176">
        <v>0</v>
      </c>
      <c r="AJ134" s="178">
        <v>0</v>
      </c>
      <c r="AK134" s="176">
        <v>0</v>
      </c>
      <c r="AL134" s="176">
        <v>0</v>
      </c>
      <c r="AM134" s="176">
        <v>-23.9</v>
      </c>
      <c r="AN134" s="178">
        <v>0</v>
      </c>
      <c r="AO134" s="176">
        <v>0</v>
      </c>
      <c r="AP134" s="176">
        <v>0</v>
      </c>
      <c r="AQ134" s="176">
        <v>0</v>
      </c>
      <c r="AR134" s="178">
        <v>0</v>
      </c>
      <c r="AS134" s="176">
        <v>0</v>
      </c>
      <c r="AT134" s="176">
        <v>0</v>
      </c>
      <c r="AU134" s="176">
        <v>0</v>
      </c>
      <c r="AV134" s="178">
        <v>0</v>
      </c>
      <c r="AW134" s="176">
        <v>0</v>
      </c>
      <c r="AX134" s="176">
        <v>0</v>
      </c>
      <c r="AY134" s="176">
        <v>0</v>
      </c>
      <c r="AZ134" s="178">
        <v>0</v>
      </c>
      <c r="BA134" s="176">
        <v>0</v>
      </c>
      <c r="BB134" s="176">
        <v>0</v>
      </c>
      <c r="BC134" s="176">
        <v>0</v>
      </c>
      <c r="BD134" s="178">
        <v>0</v>
      </c>
      <c r="BE134" s="176">
        <v>0</v>
      </c>
      <c r="BF134" s="176">
        <v>0</v>
      </c>
      <c r="BG134" s="176">
        <v>0</v>
      </c>
      <c r="BH134" s="178">
        <v>0</v>
      </c>
      <c r="BI134" s="176"/>
      <c r="BJ134" s="176">
        <v>0</v>
      </c>
      <c r="BK134" s="176">
        <v>0</v>
      </c>
      <c r="BL134" s="175">
        <f t="shared" si="517"/>
        <v>0</v>
      </c>
      <c r="BM134" s="173">
        <f t="shared" si="518"/>
        <v>0</v>
      </c>
      <c r="BN134" s="173">
        <f t="shared" si="518"/>
        <v>0</v>
      </c>
      <c r="BO134" s="174">
        <f t="shared" si="518"/>
        <v>0</v>
      </c>
      <c r="BP134" s="175">
        <f t="shared" si="519"/>
        <v>0</v>
      </c>
      <c r="BQ134" s="173">
        <f t="shared" si="520"/>
        <v>0</v>
      </c>
      <c r="BR134" s="173">
        <f t="shared" si="521"/>
        <v>0</v>
      </c>
      <c r="BS134" s="174">
        <f t="shared" si="522"/>
        <v>0</v>
      </c>
      <c r="BT134" s="175">
        <f t="shared" si="523"/>
        <v>0</v>
      </c>
      <c r="BU134" s="173">
        <f t="shared" si="524"/>
        <v>0</v>
      </c>
      <c r="BV134" s="173">
        <f t="shared" si="525"/>
        <v>0</v>
      </c>
      <c r="BW134" s="174">
        <f t="shared" si="526"/>
        <v>0</v>
      </c>
      <c r="BX134" s="149"/>
      <c r="BY134" s="173">
        <f t="shared" ref="BY134:CM134" si="541">BY24</f>
        <v>0</v>
      </c>
      <c r="BZ134" s="173">
        <f t="shared" si="541"/>
        <v>0</v>
      </c>
      <c r="CA134" s="173">
        <f t="shared" si="541"/>
        <v>0</v>
      </c>
      <c r="CB134" s="173">
        <f t="shared" si="541"/>
        <v>0</v>
      </c>
      <c r="CC134" s="173">
        <f t="shared" si="541"/>
        <v>0</v>
      </c>
      <c r="CD134" s="173">
        <f t="shared" si="541"/>
        <v>0</v>
      </c>
      <c r="CE134" s="173">
        <f t="shared" si="541"/>
        <v>0</v>
      </c>
      <c r="CF134" s="173">
        <f t="shared" si="541"/>
        <v>0</v>
      </c>
      <c r="CG134" s="173">
        <f t="shared" si="541"/>
        <v>-23.9</v>
      </c>
      <c r="CH134" s="173">
        <f t="shared" si="541"/>
        <v>0</v>
      </c>
      <c r="CI134" s="173">
        <f t="shared" si="541"/>
        <v>0</v>
      </c>
      <c r="CJ134" s="173">
        <f t="shared" si="541"/>
        <v>0</v>
      </c>
      <c r="CK134" s="173">
        <f t="shared" si="541"/>
        <v>0</v>
      </c>
      <c r="CL134" s="173">
        <f t="shared" si="541"/>
        <v>0</v>
      </c>
      <c r="CM134" s="173">
        <f t="shared" si="541"/>
        <v>0</v>
      </c>
      <c r="CN134" s="173">
        <f t="shared" si="528"/>
        <v>0</v>
      </c>
      <c r="CO134" s="173">
        <f t="shared" si="528"/>
        <v>0</v>
      </c>
      <c r="CP134" s="174">
        <f t="shared" si="528"/>
        <v>0</v>
      </c>
      <c r="CQ134" s="22"/>
    </row>
    <row r="135" spans="1:95" ht="14.25" customHeight="1" outlineLevel="1">
      <c r="A135" s="9"/>
      <c r="B135" s="48" t="s">
        <v>43</v>
      </c>
      <c r="C135" s="49"/>
      <c r="D135" s="176">
        <v>-2.5</v>
      </c>
      <c r="E135" s="176">
        <v>-2.5</v>
      </c>
      <c r="F135" s="176">
        <v>-4.8</v>
      </c>
      <c r="G135" s="176">
        <v>0.3</v>
      </c>
      <c r="H135" s="178">
        <v>-0.8</v>
      </c>
      <c r="I135" s="176">
        <v>-1.5</v>
      </c>
      <c r="J135" s="176">
        <v>-2</v>
      </c>
      <c r="K135" s="176">
        <v>3.5</v>
      </c>
      <c r="L135" s="178">
        <v>-2.2000000000000002</v>
      </c>
      <c r="M135" s="176">
        <v>-4.5999999999999996</v>
      </c>
      <c r="N135" s="176">
        <v>-2.6</v>
      </c>
      <c r="O135" s="176">
        <v>-5.7</v>
      </c>
      <c r="P135" s="178">
        <v>0.4</v>
      </c>
      <c r="Q135" s="176">
        <v>-0.1</v>
      </c>
      <c r="R135" s="176">
        <v>0.3</v>
      </c>
      <c r="S135" s="176">
        <v>3.5</v>
      </c>
      <c r="T135" s="178">
        <v>-0.4</v>
      </c>
      <c r="U135" s="176">
        <v>0.8</v>
      </c>
      <c r="V135" s="176">
        <v>1.9</v>
      </c>
      <c r="W135" s="176">
        <v>3.2</v>
      </c>
      <c r="X135" s="178">
        <v>-0.6</v>
      </c>
      <c r="Y135" s="176">
        <v>-7.1</v>
      </c>
      <c r="Z135" s="176">
        <v>-9.6</v>
      </c>
      <c r="AA135" s="176">
        <v>-6.8</v>
      </c>
      <c r="AB135" s="178">
        <v>0.3</v>
      </c>
      <c r="AC135" s="176">
        <v>0.2</v>
      </c>
      <c r="AD135" s="176">
        <v>-0.9</v>
      </c>
      <c r="AE135" s="176">
        <v>0.7</v>
      </c>
      <c r="AF135" s="178">
        <v>2.2999999999999998</v>
      </c>
      <c r="AG135" s="176">
        <v>3.4</v>
      </c>
      <c r="AH135" s="176">
        <v>5.3</v>
      </c>
      <c r="AI135" s="176">
        <v>2.6</v>
      </c>
      <c r="AJ135" s="178">
        <v>3.2</v>
      </c>
      <c r="AK135" s="176">
        <v>-9.1999999999999993</v>
      </c>
      <c r="AL135" s="176">
        <v>-7.2</v>
      </c>
      <c r="AM135" s="176">
        <v>-4.2</v>
      </c>
      <c r="AN135" s="178">
        <v>3.2</v>
      </c>
      <c r="AO135" s="176">
        <v>2</v>
      </c>
      <c r="AP135" s="176">
        <v>3.4</v>
      </c>
      <c r="AQ135" s="176">
        <v>-3.1</v>
      </c>
      <c r="AR135" s="178">
        <v>0.5</v>
      </c>
      <c r="AS135" s="176">
        <v>-6.4</v>
      </c>
      <c r="AT135" s="176">
        <v>-5.7</v>
      </c>
      <c r="AU135" s="176">
        <v>0</v>
      </c>
      <c r="AV135" s="178">
        <v>0</v>
      </c>
      <c r="AW135" s="176">
        <v>0</v>
      </c>
      <c r="AX135" s="176">
        <v>0</v>
      </c>
      <c r="AY135" s="176">
        <v>-18.8</v>
      </c>
      <c r="AZ135" s="178">
        <v>-0.4</v>
      </c>
      <c r="BA135" s="176">
        <v>-0.4</v>
      </c>
      <c r="BB135" s="176">
        <v>0.1</v>
      </c>
      <c r="BC135" s="176">
        <v>-9.1999999999999993</v>
      </c>
      <c r="BD135" s="178">
        <v>1.1000000000000001</v>
      </c>
      <c r="BE135" s="176">
        <v>3.2</v>
      </c>
      <c r="BF135" s="176">
        <v>65.5</v>
      </c>
      <c r="BG135" s="176">
        <v>-38.1</v>
      </c>
      <c r="BH135" s="178">
        <v>36.200000000000003</v>
      </c>
      <c r="BI135" s="176">
        <v>57.2</v>
      </c>
      <c r="BJ135" s="176">
        <v>96.1</v>
      </c>
      <c r="BK135" s="176">
        <v>-348.3</v>
      </c>
      <c r="BL135" s="175">
        <f t="shared" si="517"/>
        <v>0</v>
      </c>
      <c r="BM135" s="173">
        <f t="shared" si="518"/>
        <v>0</v>
      </c>
      <c r="BN135" s="173">
        <f t="shared" si="518"/>
        <v>0</v>
      </c>
      <c r="BO135" s="174">
        <f t="shared" si="518"/>
        <v>0</v>
      </c>
      <c r="BP135" s="175">
        <f t="shared" si="519"/>
        <v>0</v>
      </c>
      <c r="BQ135" s="173">
        <f t="shared" si="520"/>
        <v>0</v>
      </c>
      <c r="BR135" s="173">
        <f t="shared" si="521"/>
        <v>0</v>
      </c>
      <c r="BS135" s="174">
        <f t="shared" si="522"/>
        <v>0</v>
      </c>
      <c r="BT135" s="175">
        <f t="shared" si="523"/>
        <v>0</v>
      </c>
      <c r="BU135" s="173">
        <f t="shared" si="524"/>
        <v>0</v>
      </c>
      <c r="BV135" s="173">
        <f t="shared" si="525"/>
        <v>0</v>
      </c>
      <c r="BW135" s="174">
        <f t="shared" si="526"/>
        <v>0</v>
      </c>
      <c r="BX135" s="149"/>
      <c r="BY135" s="173">
        <f t="shared" ref="BY135:CM135" si="542">BY25</f>
        <v>0.29999999999999982</v>
      </c>
      <c r="BZ135" s="173">
        <f t="shared" si="542"/>
        <v>3.5</v>
      </c>
      <c r="CA135" s="173">
        <f t="shared" si="542"/>
        <v>-5.7</v>
      </c>
      <c r="CB135" s="173">
        <f t="shared" si="542"/>
        <v>3.5</v>
      </c>
      <c r="CC135" s="173">
        <f t="shared" si="542"/>
        <v>3.2</v>
      </c>
      <c r="CD135" s="173">
        <f t="shared" si="542"/>
        <v>-6.8</v>
      </c>
      <c r="CE135" s="173">
        <f t="shared" si="542"/>
        <v>0.7</v>
      </c>
      <c r="CF135" s="173">
        <f t="shared" si="542"/>
        <v>2.6</v>
      </c>
      <c r="CG135" s="173">
        <f t="shared" si="542"/>
        <v>-4.2000000000000011</v>
      </c>
      <c r="CH135" s="173">
        <f t="shared" si="542"/>
        <v>-3.1</v>
      </c>
      <c r="CI135" s="173">
        <f t="shared" si="542"/>
        <v>0</v>
      </c>
      <c r="CJ135" s="173">
        <f t="shared" si="542"/>
        <v>-18.8</v>
      </c>
      <c r="CK135" s="173">
        <f t="shared" si="542"/>
        <v>-9.1999999999999993</v>
      </c>
      <c r="CL135" s="173">
        <f t="shared" si="542"/>
        <v>-38.100000000000009</v>
      </c>
      <c r="CM135" s="173">
        <f t="shared" si="542"/>
        <v>-348.29999999999995</v>
      </c>
      <c r="CN135" s="173">
        <f t="shared" si="528"/>
        <v>-348.29999999999995</v>
      </c>
      <c r="CO135" s="173">
        <f t="shared" si="528"/>
        <v>-348.29999999999995</v>
      </c>
      <c r="CP135" s="174">
        <f t="shared" si="528"/>
        <v>-348.29999999999995</v>
      </c>
      <c r="CQ135" s="22"/>
    </row>
    <row r="136" spans="1:95" ht="14.25" customHeight="1" outlineLevel="1">
      <c r="A136" s="12"/>
      <c r="B136" s="48" t="s">
        <v>365</v>
      </c>
      <c r="C136" s="49"/>
      <c r="D136" s="176">
        <f>1.6+21.5</f>
        <v>23.1</v>
      </c>
      <c r="E136" s="176">
        <f>3.2+21.5</f>
        <v>24.7</v>
      </c>
      <c r="F136" s="176">
        <f>2.8+21.5</f>
        <v>24.3</v>
      </c>
      <c r="G136" s="176">
        <f>3.4+21.5</f>
        <v>24.9</v>
      </c>
      <c r="H136" s="178">
        <v>1.2</v>
      </c>
      <c r="I136" s="176">
        <v>1.9</v>
      </c>
      <c r="J136" s="176">
        <v>2.1</v>
      </c>
      <c r="K136" s="176">
        <v>3.4</v>
      </c>
      <c r="L136" s="178">
        <v>0.7</v>
      </c>
      <c r="M136" s="176">
        <v>1.9</v>
      </c>
      <c r="N136" s="176">
        <v>3.3</v>
      </c>
      <c r="O136" s="176">
        <f>5.1+3.2</f>
        <v>8.3000000000000007</v>
      </c>
      <c r="P136" s="178">
        <v>-1</v>
      </c>
      <c r="Q136" s="176">
        <v>-0.2</v>
      </c>
      <c r="R136" s="176">
        <v>0</v>
      </c>
      <c r="S136" s="176">
        <f>-5.7+3.3</f>
        <v>-2.4000000000000004</v>
      </c>
      <c r="T136" s="178">
        <f>1.4+0.1</f>
        <v>1.5</v>
      </c>
      <c r="U136" s="176">
        <f>0.8+0.1</f>
        <v>0.9</v>
      </c>
      <c r="V136" s="176">
        <f>0.5+0.7</f>
        <v>1.2</v>
      </c>
      <c r="W136" s="176">
        <f>0.3+0.1</f>
        <v>0.4</v>
      </c>
      <c r="X136" s="178">
        <f>17.7</f>
        <v>17.7</v>
      </c>
      <c r="Y136" s="176">
        <f>17.7+0.3</f>
        <v>18</v>
      </c>
      <c r="Z136" s="176">
        <f>17.7+0.7</f>
        <v>18.399999999999999</v>
      </c>
      <c r="AA136" s="176">
        <f>27.1+2.4</f>
        <v>29.5</v>
      </c>
      <c r="AB136" s="178">
        <v>-0.3</v>
      </c>
      <c r="AC136" s="176">
        <v>-1.2</v>
      </c>
      <c r="AD136" s="176">
        <v>-1.6</v>
      </c>
      <c r="AE136" s="176">
        <v>0.7</v>
      </c>
      <c r="AF136" s="178">
        <v>-1</v>
      </c>
      <c r="AG136" s="176">
        <v>-0.8</v>
      </c>
      <c r="AH136" s="176">
        <v>-1.5</v>
      </c>
      <c r="AI136" s="176">
        <v>-1.8</v>
      </c>
      <c r="AJ136" s="178">
        <v>-1</v>
      </c>
      <c r="AK136" s="176">
        <v>-0.6</v>
      </c>
      <c r="AL136" s="176">
        <v>0.5</v>
      </c>
      <c r="AM136" s="176">
        <v>0.7</v>
      </c>
      <c r="AN136" s="178">
        <v>-0.5</v>
      </c>
      <c r="AO136" s="176">
        <v>-0.6</v>
      </c>
      <c r="AP136" s="176">
        <v>-1.4</v>
      </c>
      <c r="AQ136" s="176">
        <v>-1.6</v>
      </c>
      <c r="AR136" s="178">
        <f>0.2-21</f>
        <v>-20.8</v>
      </c>
      <c r="AS136" s="176">
        <f>0.5-21</f>
        <v>-20.5</v>
      </c>
      <c r="AT136" s="176">
        <v>-21</v>
      </c>
      <c r="AU136" s="176">
        <f>-21+8.7</f>
        <v>-12.3</v>
      </c>
      <c r="AV136" s="178">
        <v>1.8</v>
      </c>
      <c r="AW136" s="176">
        <f>-21.5+2.7</f>
        <v>-18.8</v>
      </c>
      <c r="AX136" s="176">
        <f>-21.7+6.2</f>
        <v>-15.5</v>
      </c>
      <c r="AY136" s="176">
        <v>1.8</v>
      </c>
      <c r="AZ136" s="178">
        <v>-3</v>
      </c>
      <c r="BA136" s="176">
        <v>-5.0999999999999996</v>
      </c>
      <c r="BB136" s="176">
        <v>-5.5</v>
      </c>
      <c r="BC136" s="176">
        <v>-2.8</v>
      </c>
      <c r="BD136" s="178">
        <v>1.5</v>
      </c>
      <c r="BE136" s="176">
        <v>-3.4</v>
      </c>
      <c r="BF136" s="176">
        <f>-92.2-26.4-2.7</f>
        <v>-121.3</v>
      </c>
      <c r="BG136" s="176">
        <f>-4.6-92.2+2.2-26.4</f>
        <v>-121</v>
      </c>
      <c r="BH136" s="178">
        <f>1.5+28.2</f>
        <v>29.7</v>
      </c>
      <c r="BI136" s="176">
        <f>26.2-2.4+2</f>
        <v>25.8</v>
      </c>
      <c r="BJ136" s="176">
        <f>32.9-12.5-2.4+2.6</f>
        <v>20.6</v>
      </c>
      <c r="BK136" s="176">
        <f>2.2-12.5+13.1-3.8+47.6-0.2</f>
        <v>46.4</v>
      </c>
      <c r="BL136" s="175">
        <f t="shared" si="517"/>
        <v>0</v>
      </c>
      <c r="BM136" s="173">
        <f t="shared" si="518"/>
        <v>0</v>
      </c>
      <c r="BN136" s="173">
        <f t="shared" si="518"/>
        <v>0</v>
      </c>
      <c r="BO136" s="174">
        <f t="shared" si="518"/>
        <v>0</v>
      </c>
      <c r="BP136" s="175">
        <f t="shared" si="519"/>
        <v>0</v>
      </c>
      <c r="BQ136" s="173">
        <f t="shared" si="520"/>
        <v>0</v>
      </c>
      <c r="BR136" s="173">
        <f t="shared" si="521"/>
        <v>0</v>
      </c>
      <c r="BS136" s="174">
        <f t="shared" si="522"/>
        <v>0</v>
      </c>
      <c r="BT136" s="175">
        <f t="shared" si="523"/>
        <v>0</v>
      </c>
      <c r="BU136" s="173">
        <f t="shared" si="524"/>
        <v>0</v>
      </c>
      <c r="BV136" s="173">
        <f t="shared" si="525"/>
        <v>0</v>
      </c>
      <c r="BW136" s="174">
        <f t="shared" si="526"/>
        <v>0</v>
      </c>
      <c r="BX136" s="149"/>
      <c r="BY136" s="173">
        <f t="shared" ref="BY136:CM136" si="543">BY26</f>
        <v>24.9</v>
      </c>
      <c r="BZ136" s="173">
        <f t="shared" si="543"/>
        <v>3.4000000000000004</v>
      </c>
      <c r="CA136" s="173">
        <f t="shared" si="543"/>
        <v>8.3000000000000007</v>
      </c>
      <c r="CB136" s="173">
        <f t="shared" si="543"/>
        <v>-2.4000000000000004</v>
      </c>
      <c r="CC136" s="173">
        <f t="shared" si="543"/>
        <v>0.39999999999999991</v>
      </c>
      <c r="CD136" s="173">
        <f t="shared" si="543"/>
        <v>29.5</v>
      </c>
      <c r="CE136" s="173">
        <f t="shared" si="543"/>
        <v>0.69999999999999973</v>
      </c>
      <c r="CF136" s="173">
        <f t="shared" si="543"/>
        <v>-1.8</v>
      </c>
      <c r="CG136" s="173">
        <f t="shared" si="543"/>
        <v>0.69999999999999984</v>
      </c>
      <c r="CH136" s="173">
        <f t="shared" si="543"/>
        <v>-1.6</v>
      </c>
      <c r="CI136" s="173">
        <f t="shared" si="543"/>
        <v>-12.3</v>
      </c>
      <c r="CJ136" s="173">
        <f t="shared" si="543"/>
        <v>1.8000000000000007</v>
      </c>
      <c r="CK136" s="173">
        <f t="shared" si="543"/>
        <v>-2.8</v>
      </c>
      <c r="CL136" s="173">
        <f t="shared" si="543"/>
        <v>-121</v>
      </c>
      <c r="CM136" s="173">
        <f t="shared" si="543"/>
        <v>46.4</v>
      </c>
      <c r="CN136" s="173">
        <f t="shared" si="528"/>
        <v>46.4</v>
      </c>
      <c r="CO136" s="173">
        <f t="shared" si="528"/>
        <v>46.4</v>
      </c>
      <c r="CP136" s="174">
        <f t="shared" si="528"/>
        <v>46.4</v>
      </c>
      <c r="CQ136" s="23"/>
    </row>
    <row r="137" spans="1:95" ht="14.25" customHeight="1" outlineLevel="1">
      <c r="A137" s="9"/>
      <c r="B137" s="25" t="s">
        <v>267</v>
      </c>
      <c r="C137" s="26"/>
      <c r="D137" s="176"/>
      <c r="E137" s="176"/>
      <c r="F137" s="176"/>
      <c r="G137" s="176"/>
      <c r="H137" s="178"/>
      <c r="I137" s="176"/>
      <c r="J137" s="176"/>
      <c r="K137" s="176"/>
      <c r="L137" s="178"/>
      <c r="M137" s="176"/>
      <c r="N137" s="176"/>
      <c r="O137" s="176"/>
      <c r="P137" s="178"/>
      <c r="Q137" s="176"/>
      <c r="R137" s="176"/>
      <c r="S137" s="176"/>
      <c r="T137" s="178"/>
      <c r="U137" s="176"/>
      <c r="V137" s="176"/>
      <c r="W137" s="176"/>
      <c r="X137" s="178"/>
      <c r="Y137" s="176"/>
      <c r="Z137" s="176"/>
      <c r="AA137" s="176"/>
      <c r="AB137" s="178"/>
      <c r="AC137" s="176"/>
      <c r="AD137" s="176"/>
      <c r="AE137" s="176"/>
      <c r="AF137" s="178"/>
      <c r="AG137" s="176"/>
      <c r="AH137" s="176"/>
      <c r="AI137" s="176"/>
      <c r="AJ137" s="178"/>
      <c r="AK137" s="176"/>
      <c r="AL137" s="176"/>
      <c r="AM137" s="176"/>
      <c r="AN137" s="178"/>
      <c r="AO137" s="176"/>
      <c r="AP137" s="176"/>
      <c r="AQ137" s="176"/>
      <c r="AR137" s="178"/>
      <c r="AS137" s="176"/>
      <c r="AT137" s="176"/>
      <c r="AU137" s="176"/>
      <c r="AV137" s="178"/>
      <c r="AW137" s="176"/>
      <c r="AX137" s="176"/>
      <c r="AY137" s="176"/>
      <c r="AZ137" s="178"/>
      <c r="BA137" s="176"/>
      <c r="BB137" s="176"/>
      <c r="BC137" s="176"/>
      <c r="BD137" s="178"/>
      <c r="BE137" s="176"/>
      <c r="BF137" s="176"/>
      <c r="BG137" s="176"/>
      <c r="BH137" s="175"/>
      <c r="BI137" s="176"/>
      <c r="BJ137" s="176"/>
      <c r="BK137" s="176"/>
      <c r="BL137" s="175"/>
      <c r="BM137" s="173"/>
      <c r="BN137" s="173"/>
      <c r="BO137" s="174"/>
      <c r="BP137" s="175"/>
      <c r="BQ137" s="173"/>
      <c r="BR137" s="173"/>
      <c r="BS137" s="174"/>
      <c r="BT137" s="175"/>
      <c r="BU137" s="173"/>
      <c r="BV137" s="173"/>
      <c r="BW137" s="174"/>
      <c r="BX137" s="149"/>
      <c r="BY137" s="173"/>
      <c r="BZ137" s="173"/>
      <c r="CA137" s="173"/>
      <c r="CB137" s="173"/>
      <c r="CC137" s="173"/>
      <c r="CD137" s="173"/>
      <c r="CE137" s="173"/>
      <c r="CF137" s="173"/>
      <c r="CG137" s="173"/>
      <c r="CH137" s="173"/>
      <c r="CI137" s="173"/>
      <c r="CJ137" s="173"/>
      <c r="CK137" s="173"/>
      <c r="CL137" s="173"/>
      <c r="CM137" s="173"/>
      <c r="CN137" s="173"/>
      <c r="CO137" s="173"/>
      <c r="CP137" s="174"/>
      <c r="CQ137" s="22"/>
    </row>
    <row r="138" spans="1:95" ht="14.25" customHeight="1" outlineLevel="1">
      <c r="A138" s="9"/>
      <c r="B138" s="639" t="s">
        <v>416</v>
      </c>
      <c r="C138" s="49"/>
      <c r="D138" s="176">
        <v>-12</v>
      </c>
      <c r="E138" s="176">
        <v>-12.7</v>
      </c>
      <c r="F138" s="176">
        <v>-35</v>
      </c>
      <c r="G138" s="176">
        <v>-20.8</v>
      </c>
      <c r="H138" s="178">
        <v>-17.3</v>
      </c>
      <c r="I138" s="176">
        <v>-25.1</v>
      </c>
      <c r="J138" s="176">
        <v>-16.2</v>
      </c>
      <c r="K138" s="176">
        <v>4.8</v>
      </c>
      <c r="L138" s="178">
        <v>-20.2</v>
      </c>
      <c r="M138" s="176">
        <v>-9.4</v>
      </c>
      <c r="N138" s="176">
        <v>-32.200000000000003</v>
      </c>
      <c r="O138" s="176">
        <v>-35.4</v>
      </c>
      <c r="P138" s="178">
        <v>-18.100000000000001</v>
      </c>
      <c r="Q138" s="176">
        <v>-40.5</v>
      </c>
      <c r="R138" s="176">
        <v>-35</v>
      </c>
      <c r="S138" s="176">
        <v>-19.600000000000001</v>
      </c>
      <c r="T138" s="178">
        <v>3.8</v>
      </c>
      <c r="U138" s="176">
        <v>6.1</v>
      </c>
      <c r="V138" s="176">
        <v>-14.8</v>
      </c>
      <c r="W138" s="176">
        <v>3.9</v>
      </c>
      <c r="X138" s="178">
        <v>13.2</v>
      </c>
      <c r="Y138" s="176">
        <v>-0.3</v>
      </c>
      <c r="Z138" s="176">
        <v>-23.8</v>
      </c>
      <c r="AA138" s="176">
        <v>74.900000000000006</v>
      </c>
      <c r="AB138" s="178">
        <v>-3.9</v>
      </c>
      <c r="AC138" s="176">
        <v>-64.3</v>
      </c>
      <c r="AD138" s="176">
        <v>-74.099999999999994</v>
      </c>
      <c r="AE138" s="176">
        <v>-71.5</v>
      </c>
      <c r="AF138" s="178">
        <v>-32.1</v>
      </c>
      <c r="AG138" s="176">
        <v>-47</v>
      </c>
      <c r="AH138" s="176">
        <v>-43</v>
      </c>
      <c r="AI138" s="176">
        <v>-22.9</v>
      </c>
      <c r="AJ138" s="178">
        <v>-36</v>
      </c>
      <c r="AK138" s="176">
        <v>-32.5</v>
      </c>
      <c r="AL138" s="176">
        <v>9.6999999999999993</v>
      </c>
      <c r="AM138" s="176">
        <v>89.1</v>
      </c>
      <c r="AN138" s="178">
        <v>27.3</v>
      </c>
      <c r="AO138" s="176">
        <v>16</v>
      </c>
      <c r="AP138" s="176">
        <v>43.5</v>
      </c>
      <c r="AQ138" s="176">
        <v>95.4</v>
      </c>
      <c r="AR138" s="178">
        <v>-14.8</v>
      </c>
      <c r="AS138" s="176">
        <v>-56.5</v>
      </c>
      <c r="AT138" s="176">
        <v>-69.099999999999994</v>
      </c>
      <c r="AU138" s="176">
        <v>-35.4</v>
      </c>
      <c r="AV138" s="178">
        <v>-33</v>
      </c>
      <c r="AW138" s="176">
        <v>-44</v>
      </c>
      <c r="AX138" s="176">
        <v>-46.5</v>
      </c>
      <c r="AY138" s="176">
        <v>20.5</v>
      </c>
      <c r="AZ138" s="178">
        <v>-36.9</v>
      </c>
      <c r="BA138" s="176">
        <v>-73.099999999999994</v>
      </c>
      <c r="BB138" s="176">
        <v>-87.6</v>
      </c>
      <c r="BC138" s="176">
        <v>-11.3</v>
      </c>
      <c r="BD138" s="178">
        <v>0.5</v>
      </c>
      <c r="BE138" s="176">
        <v>-50.2</v>
      </c>
      <c r="BF138" s="176">
        <v>-9.1</v>
      </c>
      <c r="BG138" s="176">
        <v>36.200000000000067</v>
      </c>
      <c r="BH138" s="178">
        <v>-45.2</v>
      </c>
      <c r="BI138" s="176">
        <v>-63.5</v>
      </c>
      <c r="BJ138" s="176">
        <v>-64.599999999999994</v>
      </c>
      <c r="BK138" s="173">
        <f t="shared" ref="BK138:BO146" si="544">BJ138+BK28</f>
        <v>-70.499999999999972</v>
      </c>
      <c r="BL138" s="175">
        <f t="shared" ref="BL138:BL146" si="545">BL28</f>
        <v>-59.531666666666865</v>
      </c>
      <c r="BM138" s="173">
        <f t="shared" si="544"/>
        <v>-76.176533666666614</v>
      </c>
      <c r="BN138" s="173">
        <f t="shared" si="544"/>
        <v>-94.543614504444463</v>
      </c>
      <c r="BO138" s="174">
        <f t="shared" si="544"/>
        <v>-64.48174693226656</v>
      </c>
      <c r="BP138" s="175">
        <f t="shared" ref="BP138:BP146" si="546">BP28</f>
        <v>20.11910132085211</v>
      </c>
      <c r="BQ138" s="173">
        <f t="shared" ref="BQ138:BQ146" si="547">BP138+BQ28</f>
        <v>-7.7558290651976449</v>
      </c>
      <c r="BR138" s="173">
        <f t="shared" ref="BR138:BR146" si="548">BQ138+BR28</f>
        <v>-24.558027604791164</v>
      </c>
      <c r="BS138" s="174">
        <f t="shared" ref="BS138:BS146" si="549">BR138+BS28</f>
        <v>-10.82484778141577</v>
      </c>
      <c r="BT138" s="175">
        <f t="shared" ref="BT138:BT146" si="550">BT28</f>
        <v>3.1921913467226659</v>
      </c>
      <c r="BU138" s="173">
        <f t="shared" ref="BU138:BU146" si="551">BT138+BU28</f>
        <v>-25.650120776349695</v>
      </c>
      <c r="BV138" s="173">
        <f t="shared" ref="BV138:BV146" si="552">BU138+BV28</f>
        <v>-42.29810512740994</v>
      </c>
      <c r="BW138" s="174">
        <f t="shared" ref="BW138:BW146" si="553">BV138+BW28</f>
        <v>-28.355408316878197</v>
      </c>
      <c r="BX138" s="149"/>
      <c r="BY138" s="173">
        <f t="shared" ref="BY138:CM138" si="554">BY28</f>
        <v>-20.8</v>
      </c>
      <c r="BZ138" s="173">
        <f t="shared" si="554"/>
        <v>4.8000000000000007</v>
      </c>
      <c r="CA138" s="173">
        <f t="shared" si="554"/>
        <v>-35.4</v>
      </c>
      <c r="CB138" s="173">
        <f t="shared" si="554"/>
        <v>-19.600000000000001</v>
      </c>
      <c r="CC138" s="173">
        <f t="shared" si="554"/>
        <v>3.9000000000000004</v>
      </c>
      <c r="CD138" s="173">
        <f t="shared" si="554"/>
        <v>74.900000000000006</v>
      </c>
      <c r="CE138" s="173">
        <f t="shared" si="554"/>
        <v>-71.5</v>
      </c>
      <c r="CF138" s="173">
        <f t="shared" si="554"/>
        <v>-22.9</v>
      </c>
      <c r="CG138" s="173">
        <f t="shared" si="554"/>
        <v>89.1</v>
      </c>
      <c r="CH138" s="173">
        <f t="shared" si="554"/>
        <v>95.4</v>
      </c>
      <c r="CI138" s="173">
        <f t="shared" si="554"/>
        <v>-35.399999999999991</v>
      </c>
      <c r="CJ138" s="173">
        <f t="shared" si="554"/>
        <v>20.5</v>
      </c>
      <c r="CK138" s="173">
        <f t="shared" si="554"/>
        <v>-11.299999999999997</v>
      </c>
      <c r="CL138" s="173">
        <f t="shared" si="554"/>
        <v>36.20000000000006</v>
      </c>
      <c r="CM138" s="173">
        <f t="shared" si="554"/>
        <v>-70.499999999999972</v>
      </c>
      <c r="CN138" s="173">
        <f t="shared" ref="CN138:CP146" si="555">CM138+CN28</f>
        <v>-134.98174693226653</v>
      </c>
      <c r="CO138" s="173">
        <f t="shared" si="555"/>
        <v>-145.8065947136823</v>
      </c>
      <c r="CP138" s="174">
        <f t="shared" si="555"/>
        <v>-174.1620030305605</v>
      </c>
      <c r="CQ138" s="22"/>
    </row>
    <row r="139" spans="1:95" ht="14.25" customHeight="1" outlineLevel="1">
      <c r="A139" s="9"/>
      <c r="B139" s="48" t="s">
        <v>41</v>
      </c>
      <c r="C139" s="49"/>
      <c r="D139" s="176">
        <v>-11</v>
      </c>
      <c r="E139" s="176">
        <v>-18.399999999999999</v>
      </c>
      <c r="F139" s="176">
        <v>-17.3</v>
      </c>
      <c r="G139" s="176">
        <v>-21</v>
      </c>
      <c r="H139" s="178">
        <v>-12.2</v>
      </c>
      <c r="I139" s="176">
        <v>-27.3</v>
      </c>
      <c r="J139" s="176">
        <v>-40.299999999999997</v>
      </c>
      <c r="K139" s="176">
        <v>-32.9</v>
      </c>
      <c r="L139" s="178">
        <v>14.5</v>
      </c>
      <c r="M139" s="176">
        <v>15.1</v>
      </c>
      <c r="N139" s="176">
        <v>11.8</v>
      </c>
      <c r="O139" s="176">
        <v>10.6</v>
      </c>
      <c r="P139" s="178">
        <v>-8.1</v>
      </c>
      <c r="Q139" s="176">
        <v>-34.700000000000003</v>
      </c>
      <c r="R139" s="176">
        <v>-52.5</v>
      </c>
      <c r="S139" s="176">
        <v>-61.9</v>
      </c>
      <c r="T139" s="178">
        <v>-2.2000000000000002</v>
      </c>
      <c r="U139" s="176">
        <v>-13.7</v>
      </c>
      <c r="V139" s="176">
        <v>-9.6999999999999993</v>
      </c>
      <c r="W139" s="176">
        <v>-7.5</v>
      </c>
      <c r="X139" s="178">
        <v>5.5</v>
      </c>
      <c r="Y139" s="176">
        <v>37.5</v>
      </c>
      <c r="Z139" s="176">
        <v>47.7</v>
      </c>
      <c r="AA139" s="176">
        <v>40</v>
      </c>
      <c r="AB139" s="178">
        <v>28.6</v>
      </c>
      <c r="AC139" s="176">
        <v>54.3</v>
      </c>
      <c r="AD139" s="176">
        <v>53.6</v>
      </c>
      <c r="AE139" s="176">
        <v>44.8</v>
      </c>
      <c r="AF139" s="178">
        <v>-17.600000000000001</v>
      </c>
      <c r="AG139" s="176">
        <v>-34.9</v>
      </c>
      <c r="AH139" s="176">
        <v>-66.8</v>
      </c>
      <c r="AI139" s="176">
        <v>-84</v>
      </c>
      <c r="AJ139" s="178">
        <v>24.7</v>
      </c>
      <c r="AK139" s="176">
        <v>43.6</v>
      </c>
      <c r="AL139" s="176">
        <v>85.9</v>
      </c>
      <c r="AM139" s="176">
        <v>102.1</v>
      </c>
      <c r="AN139" s="178">
        <v>-23.2</v>
      </c>
      <c r="AO139" s="176">
        <v>-53.6</v>
      </c>
      <c r="AP139" s="176">
        <v>-36.299999999999997</v>
      </c>
      <c r="AQ139" s="176">
        <v>-7.1</v>
      </c>
      <c r="AR139" s="178">
        <v>-5.3</v>
      </c>
      <c r="AS139" s="176">
        <v>-33.299999999999997</v>
      </c>
      <c r="AT139" s="176">
        <v>-64.8</v>
      </c>
      <c r="AU139" s="176">
        <v>-97.6</v>
      </c>
      <c r="AV139" s="178">
        <v>-8.8000000000000007</v>
      </c>
      <c r="AW139" s="176">
        <v>-13.4</v>
      </c>
      <c r="AX139" s="176">
        <v>-30.1</v>
      </c>
      <c r="AY139" s="176">
        <v>-59</v>
      </c>
      <c r="AZ139" s="178">
        <v>-34.700000000000003</v>
      </c>
      <c r="BA139" s="176">
        <v>-41.3</v>
      </c>
      <c r="BB139" s="176">
        <v>-62.1</v>
      </c>
      <c r="BC139" s="176">
        <v>-72.5</v>
      </c>
      <c r="BD139" s="178">
        <v>-27</v>
      </c>
      <c r="BE139" s="176">
        <v>-34.700000000000003</v>
      </c>
      <c r="BF139" s="176">
        <v>-33.700000000000003</v>
      </c>
      <c r="BG139" s="176">
        <v>19.199999999999861</v>
      </c>
      <c r="BH139" s="178">
        <v>4.9000000000000004</v>
      </c>
      <c r="BI139" s="176">
        <v>-7.1</v>
      </c>
      <c r="BJ139" s="176">
        <v>-56.1</v>
      </c>
      <c r="BK139" s="173">
        <f t="shared" si="544"/>
        <v>-116.6</v>
      </c>
      <c r="BL139" s="175">
        <f t="shared" si="545"/>
        <v>64.633986799999775</v>
      </c>
      <c r="BM139" s="173">
        <f t="shared" si="544"/>
        <v>45.73910815688896</v>
      </c>
      <c r="BN139" s="173">
        <f t="shared" si="544"/>
        <v>22.039564717891153</v>
      </c>
      <c r="BO139" s="174">
        <f t="shared" si="544"/>
        <v>38.213577030541728</v>
      </c>
      <c r="BP139" s="175">
        <f t="shared" si="546"/>
        <v>5.6167979178421774</v>
      </c>
      <c r="BQ139" s="173">
        <f t="shared" si="547"/>
        <v>-26.203010801643131</v>
      </c>
      <c r="BR139" s="173">
        <f t="shared" si="548"/>
        <v>-38.393423801873951</v>
      </c>
      <c r="BS139" s="174">
        <f t="shared" si="549"/>
        <v>-19.526288524064512</v>
      </c>
      <c r="BT139" s="175">
        <f t="shared" si="550"/>
        <v>-5.9497665962569499</v>
      </c>
      <c r="BU139" s="173">
        <f t="shared" si="551"/>
        <v>-38.549351041730233</v>
      </c>
      <c r="BV139" s="173">
        <f t="shared" si="552"/>
        <v>-49.627538790239441</v>
      </c>
      <c r="BW139" s="174">
        <f t="shared" si="553"/>
        <v>-30.691751845903582</v>
      </c>
      <c r="BX139" s="149"/>
      <c r="BY139" s="173">
        <f t="shared" ref="BY139:CM139" si="556">BY29</f>
        <v>-21</v>
      </c>
      <c r="BZ139" s="173">
        <f t="shared" si="556"/>
        <v>-32.9</v>
      </c>
      <c r="CA139" s="173">
        <f t="shared" si="556"/>
        <v>10.6</v>
      </c>
      <c r="CB139" s="173">
        <f t="shared" si="556"/>
        <v>-61.9</v>
      </c>
      <c r="CC139" s="173">
        <f t="shared" si="556"/>
        <v>-7.5</v>
      </c>
      <c r="CD139" s="173">
        <f t="shared" si="556"/>
        <v>40</v>
      </c>
      <c r="CE139" s="173">
        <f t="shared" si="556"/>
        <v>44.8</v>
      </c>
      <c r="CF139" s="173">
        <f t="shared" si="556"/>
        <v>-84</v>
      </c>
      <c r="CG139" s="173">
        <f t="shared" si="556"/>
        <v>102.1</v>
      </c>
      <c r="CH139" s="173">
        <f t="shared" si="556"/>
        <v>-7.1000000000000014</v>
      </c>
      <c r="CI139" s="173">
        <f t="shared" si="556"/>
        <v>-97.6</v>
      </c>
      <c r="CJ139" s="173">
        <f t="shared" si="556"/>
        <v>-59</v>
      </c>
      <c r="CK139" s="173">
        <f t="shared" si="556"/>
        <v>-72.5</v>
      </c>
      <c r="CL139" s="173">
        <f t="shared" si="556"/>
        <v>19.199999999999861</v>
      </c>
      <c r="CM139" s="173">
        <f t="shared" si="556"/>
        <v>-116.6</v>
      </c>
      <c r="CN139" s="173">
        <f t="shared" si="555"/>
        <v>-78.386422969458266</v>
      </c>
      <c r="CO139" s="173">
        <f t="shared" si="555"/>
        <v>-97.912711493522778</v>
      </c>
      <c r="CP139" s="174">
        <f t="shared" si="555"/>
        <v>-128.60446333942636</v>
      </c>
      <c r="CQ139" s="22"/>
    </row>
    <row r="140" spans="1:95" ht="14.25" customHeight="1" outlineLevel="1">
      <c r="A140" s="9"/>
      <c r="B140" s="48" t="s">
        <v>417</v>
      </c>
      <c r="C140" s="49"/>
      <c r="D140" s="176">
        <v>7.6</v>
      </c>
      <c r="E140" s="176">
        <v>4.0999999999999996</v>
      </c>
      <c r="F140" s="176">
        <v>0.1</v>
      </c>
      <c r="G140" s="176">
        <v>5.2</v>
      </c>
      <c r="H140" s="178">
        <v>6</v>
      </c>
      <c r="I140" s="176">
        <v>5.6</v>
      </c>
      <c r="J140" s="176">
        <v>6.1</v>
      </c>
      <c r="K140" s="176">
        <v>2.2000000000000002</v>
      </c>
      <c r="L140" s="178">
        <v>3.1</v>
      </c>
      <c r="M140" s="176">
        <v>-3.2</v>
      </c>
      <c r="N140" s="176">
        <v>-1.1000000000000001</v>
      </c>
      <c r="O140" s="176">
        <v>-6.2</v>
      </c>
      <c r="P140" s="178">
        <v>-9.1</v>
      </c>
      <c r="Q140" s="176">
        <v>-10.199999999999999</v>
      </c>
      <c r="R140" s="176">
        <v>-17</v>
      </c>
      <c r="S140" s="176">
        <v>-15</v>
      </c>
      <c r="T140" s="178">
        <v>-7.5</v>
      </c>
      <c r="U140" s="176">
        <v>-12.3</v>
      </c>
      <c r="V140" s="176">
        <v>-14.7</v>
      </c>
      <c r="W140" s="176">
        <v>-51.4</v>
      </c>
      <c r="X140" s="178">
        <v>8.1</v>
      </c>
      <c r="Y140" s="176">
        <v>27.7</v>
      </c>
      <c r="Z140" s="176">
        <v>40.4</v>
      </c>
      <c r="AA140" s="176">
        <v>48.3</v>
      </c>
      <c r="AB140" s="178">
        <v>12.7</v>
      </c>
      <c r="AC140" s="176">
        <v>12</v>
      </c>
      <c r="AD140" s="176">
        <v>10</v>
      </c>
      <c r="AE140" s="176">
        <v>-18.5</v>
      </c>
      <c r="AF140" s="178">
        <v>8.1999999999999993</v>
      </c>
      <c r="AG140" s="176">
        <v>7</v>
      </c>
      <c r="AH140" s="176">
        <v>-1.4</v>
      </c>
      <c r="AI140" s="176">
        <v>-17.100000000000001</v>
      </c>
      <c r="AJ140" s="178">
        <v>25.1</v>
      </c>
      <c r="AK140" s="176">
        <v>4.3</v>
      </c>
      <c r="AL140" s="176">
        <v>-2.7</v>
      </c>
      <c r="AM140" s="176">
        <v>-15.2</v>
      </c>
      <c r="AN140" s="178">
        <v>30.2</v>
      </c>
      <c r="AO140" s="176">
        <v>10.7</v>
      </c>
      <c r="AP140" s="176">
        <v>-19.2</v>
      </c>
      <c r="AQ140" s="176">
        <v>-9.9</v>
      </c>
      <c r="AR140" s="178">
        <v>37.299999999999997</v>
      </c>
      <c r="AS140" s="176">
        <v>32.1</v>
      </c>
      <c r="AT140" s="176">
        <v>18.100000000000001</v>
      </c>
      <c r="AU140" s="176">
        <v>20.399999999999999</v>
      </c>
      <c r="AV140" s="178">
        <v>-5.2</v>
      </c>
      <c r="AW140" s="176">
        <v>0</v>
      </c>
      <c r="AX140" s="176">
        <v>-13.4</v>
      </c>
      <c r="AY140" s="176">
        <v>-14.1</v>
      </c>
      <c r="AZ140" s="178">
        <v>3.9</v>
      </c>
      <c r="BA140" s="176">
        <v>7.1</v>
      </c>
      <c r="BB140" s="176">
        <v>-15.4</v>
      </c>
      <c r="BC140" s="176">
        <v>-10.199999999999999</v>
      </c>
      <c r="BD140" s="178">
        <v>-2</v>
      </c>
      <c r="BE140" s="176">
        <v>-10.9</v>
      </c>
      <c r="BF140" s="176">
        <v>-23.6</v>
      </c>
      <c r="BG140" s="176">
        <v>-40.900000000000013</v>
      </c>
      <c r="BH140" s="178">
        <v>-17.7</v>
      </c>
      <c r="BI140" s="176">
        <v>-41.3</v>
      </c>
      <c r="BJ140" s="176">
        <v>-51.9</v>
      </c>
      <c r="BK140" s="173">
        <f t="shared" si="544"/>
        <v>-55.300000000000004</v>
      </c>
      <c r="BL140" s="175">
        <f t="shared" si="545"/>
        <v>-26.177120000000031</v>
      </c>
      <c r="BM140" s="173">
        <f t="shared" si="544"/>
        <v>-35.541675199999986</v>
      </c>
      <c r="BN140" s="173">
        <f t="shared" si="544"/>
        <v>-40.939347936000019</v>
      </c>
      <c r="BO140" s="174">
        <f t="shared" si="544"/>
        <v>-36.794524079679974</v>
      </c>
      <c r="BP140" s="175">
        <f t="shared" si="546"/>
        <v>1.2749049987359626</v>
      </c>
      <c r="BQ140" s="173">
        <f t="shared" si="547"/>
        <v>-7.2654992046494726</v>
      </c>
      <c r="BR140" s="173">
        <f t="shared" si="548"/>
        <v>-12.413406842312185</v>
      </c>
      <c r="BS140" s="174">
        <f t="shared" si="549"/>
        <v>-8.2057943006822427</v>
      </c>
      <c r="BT140" s="175">
        <f t="shared" si="550"/>
        <v>0.9780330934639494</v>
      </c>
      <c r="BU140" s="173">
        <f t="shared" si="551"/>
        <v>-7.8587604080731239</v>
      </c>
      <c r="BV140" s="173">
        <f t="shared" si="552"/>
        <v>-12.95941944329158</v>
      </c>
      <c r="BW140" s="174">
        <f t="shared" si="553"/>
        <v>-8.687614463043559</v>
      </c>
      <c r="BX140" s="149"/>
      <c r="BY140" s="173">
        <f t="shared" ref="BY140:CM140" si="557">BY30</f>
        <v>5.2</v>
      </c>
      <c r="BZ140" s="173">
        <f t="shared" si="557"/>
        <v>2.2000000000000002</v>
      </c>
      <c r="CA140" s="173">
        <f t="shared" si="557"/>
        <v>-6.2000000000000011</v>
      </c>
      <c r="CB140" s="173">
        <f t="shared" si="557"/>
        <v>-15</v>
      </c>
      <c r="CC140" s="173">
        <f t="shared" si="557"/>
        <v>-51.399999999999991</v>
      </c>
      <c r="CD140" s="173">
        <f t="shared" si="557"/>
        <v>48.3</v>
      </c>
      <c r="CE140" s="173">
        <f t="shared" si="557"/>
        <v>-18.5</v>
      </c>
      <c r="CF140" s="173">
        <f t="shared" si="557"/>
        <v>-17.100000000000001</v>
      </c>
      <c r="CG140" s="173">
        <f t="shared" si="557"/>
        <v>-15.199999999999996</v>
      </c>
      <c r="CH140" s="173">
        <f t="shared" si="557"/>
        <v>-9.9000000000000021</v>
      </c>
      <c r="CI140" s="173">
        <f t="shared" si="557"/>
        <v>20.399999999999999</v>
      </c>
      <c r="CJ140" s="173">
        <f t="shared" si="557"/>
        <v>-14.099999999999998</v>
      </c>
      <c r="CK140" s="173">
        <f t="shared" si="557"/>
        <v>-10.200000000000001</v>
      </c>
      <c r="CL140" s="173">
        <f t="shared" si="557"/>
        <v>-40.900000000000013</v>
      </c>
      <c r="CM140" s="173">
        <f t="shared" si="557"/>
        <v>-55.300000000000011</v>
      </c>
      <c r="CN140" s="173">
        <f t="shared" si="555"/>
        <v>-92.094524079679985</v>
      </c>
      <c r="CO140" s="173">
        <f t="shared" si="555"/>
        <v>-100.30031838036223</v>
      </c>
      <c r="CP140" s="174">
        <f t="shared" si="555"/>
        <v>-108.98793284340579</v>
      </c>
      <c r="CQ140" s="22"/>
    </row>
    <row r="141" spans="1:95" ht="14.25" customHeight="1" outlineLevel="1">
      <c r="A141" s="9"/>
      <c r="B141" s="48" t="s">
        <v>162</v>
      </c>
      <c r="C141" s="49"/>
      <c r="D141" s="176">
        <v>33.6</v>
      </c>
      <c r="E141" s="176">
        <v>38.9</v>
      </c>
      <c r="F141" s="176">
        <v>46.9</v>
      </c>
      <c r="G141" s="176">
        <v>41.3</v>
      </c>
      <c r="H141" s="178">
        <v>10.7</v>
      </c>
      <c r="I141" s="176">
        <v>9.4</v>
      </c>
      <c r="J141" s="176">
        <v>-5</v>
      </c>
      <c r="K141" s="176">
        <v>-11.1</v>
      </c>
      <c r="L141" s="178">
        <v>-13.3</v>
      </c>
      <c r="M141" s="176">
        <v>-3.2</v>
      </c>
      <c r="N141" s="176">
        <v>-0.5</v>
      </c>
      <c r="O141" s="176">
        <v>11.6</v>
      </c>
      <c r="P141" s="178">
        <v>-4.9000000000000004</v>
      </c>
      <c r="Q141" s="176">
        <v>-5.2</v>
      </c>
      <c r="R141" s="176">
        <v>0.3</v>
      </c>
      <c r="S141" s="176">
        <v>5</v>
      </c>
      <c r="T141" s="178">
        <v>-12.9</v>
      </c>
      <c r="U141" s="176">
        <v>-19</v>
      </c>
      <c r="V141" s="176">
        <v>-3.7</v>
      </c>
      <c r="W141" s="176">
        <v>28.5</v>
      </c>
      <c r="X141" s="178">
        <v>12.8</v>
      </c>
      <c r="Y141" s="176">
        <v>-29.2</v>
      </c>
      <c r="Z141" s="176">
        <v>-21.2</v>
      </c>
      <c r="AA141" s="176">
        <v>-69</v>
      </c>
      <c r="AB141" s="178">
        <v>-26.3</v>
      </c>
      <c r="AC141" s="176">
        <v>-5</v>
      </c>
      <c r="AD141" s="176">
        <v>-5</v>
      </c>
      <c r="AE141" s="176">
        <v>9.8000000000000007</v>
      </c>
      <c r="AF141" s="178">
        <v>9.8000000000000007</v>
      </c>
      <c r="AG141" s="176">
        <v>30.6</v>
      </c>
      <c r="AH141" s="176">
        <v>32.799999999999997</v>
      </c>
      <c r="AI141" s="176">
        <v>26.8</v>
      </c>
      <c r="AJ141" s="178">
        <v>-18.3</v>
      </c>
      <c r="AK141" s="176">
        <v>-43.2</v>
      </c>
      <c r="AL141" s="176">
        <v>-98.9</v>
      </c>
      <c r="AM141" s="176">
        <v>-109.7</v>
      </c>
      <c r="AN141" s="178">
        <v>-81.2</v>
      </c>
      <c r="AO141" s="176">
        <v>-73.900000000000006</v>
      </c>
      <c r="AP141" s="176">
        <v>-128.80000000000001</v>
      </c>
      <c r="AQ141" s="176">
        <v>-161.30000000000001</v>
      </c>
      <c r="AR141" s="178">
        <v>-9</v>
      </c>
      <c r="AS141" s="176">
        <v>2.9</v>
      </c>
      <c r="AT141" s="176">
        <v>1</v>
      </c>
      <c r="AU141" s="176">
        <v>6.6</v>
      </c>
      <c r="AV141" s="178">
        <v>0.4</v>
      </c>
      <c r="AW141" s="176">
        <v>-0.2</v>
      </c>
      <c r="AX141" s="176">
        <v>11.2</v>
      </c>
      <c r="AY141" s="176">
        <v>-17.3</v>
      </c>
      <c r="AZ141" s="178">
        <v>-6.1</v>
      </c>
      <c r="BA141" s="176">
        <v>-22.6</v>
      </c>
      <c r="BB141" s="176">
        <v>-11.8</v>
      </c>
      <c r="BC141" s="176">
        <v>-32.200000000000003</v>
      </c>
      <c r="BD141" s="178">
        <v>-5.5</v>
      </c>
      <c r="BE141" s="176">
        <v>5.2</v>
      </c>
      <c r="BF141" s="176">
        <v>28.4</v>
      </c>
      <c r="BG141" s="176">
        <v>54.9</v>
      </c>
      <c r="BH141" s="178">
        <v>9.1999999999999993</v>
      </c>
      <c r="BI141" s="176">
        <v>35.700000000000003</v>
      </c>
      <c r="BJ141" s="176">
        <v>59.8</v>
      </c>
      <c r="BK141" s="173">
        <f t="shared" si="544"/>
        <v>17.500000000000043</v>
      </c>
      <c r="BL141" s="175">
        <f t="shared" si="545"/>
        <v>-73.524993888888787</v>
      </c>
      <c r="BM141" s="173">
        <f t="shared" si="544"/>
        <v>-55.659956677777757</v>
      </c>
      <c r="BN141" s="173">
        <f t="shared" si="544"/>
        <v>-44.480926753722201</v>
      </c>
      <c r="BO141" s="174">
        <f t="shared" si="544"/>
        <v>-52.110177844595114</v>
      </c>
      <c r="BP141" s="175">
        <f t="shared" si="546"/>
        <v>-2.6494329801142271</v>
      </c>
      <c r="BQ141" s="173">
        <f t="shared" si="547"/>
        <v>12.359910755492024</v>
      </c>
      <c r="BR141" s="173">
        <f t="shared" si="548"/>
        <v>18.110105566921561</v>
      </c>
      <c r="BS141" s="174">
        <f t="shared" si="549"/>
        <v>9.2105134547473995</v>
      </c>
      <c r="BT141" s="175">
        <f t="shared" si="550"/>
        <v>2.8064936774796365</v>
      </c>
      <c r="BU141" s="173">
        <f t="shared" si="551"/>
        <v>18.183656151759521</v>
      </c>
      <c r="BV141" s="173">
        <f t="shared" si="552"/>
        <v>23.409216410490274</v>
      </c>
      <c r="BW141" s="174">
        <f t="shared" si="553"/>
        <v>14.477241436746965</v>
      </c>
      <c r="BX141" s="149"/>
      <c r="BY141" s="173">
        <f t="shared" ref="BY141:CM141" si="558">BY31</f>
        <v>41.3</v>
      </c>
      <c r="BZ141" s="173">
        <f t="shared" si="558"/>
        <v>-11.1</v>
      </c>
      <c r="CA141" s="173">
        <f t="shared" si="558"/>
        <v>11.599999999999998</v>
      </c>
      <c r="CB141" s="173">
        <f t="shared" si="558"/>
        <v>4.9999999999999991</v>
      </c>
      <c r="CC141" s="173">
        <f t="shared" si="558"/>
        <v>28.5</v>
      </c>
      <c r="CD141" s="173">
        <f t="shared" si="558"/>
        <v>-69</v>
      </c>
      <c r="CE141" s="173">
        <f t="shared" si="558"/>
        <v>9.8000000000000007</v>
      </c>
      <c r="CF141" s="173">
        <f t="shared" si="558"/>
        <v>26.8</v>
      </c>
      <c r="CG141" s="173">
        <f t="shared" si="558"/>
        <v>-109.7</v>
      </c>
      <c r="CH141" s="173">
        <f t="shared" si="558"/>
        <v>-161.30000000000001</v>
      </c>
      <c r="CI141" s="173">
        <f t="shared" si="558"/>
        <v>6.6</v>
      </c>
      <c r="CJ141" s="173">
        <f t="shared" si="558"/>
        <v>-17.299999999999997</v>
      </c>
      <c r="CK141" s="173">
        <f t="shared" si="558"/>
        <v>-32.200000000000003</v>
      </c>
      <c r="CL141" s="173">
        <f t="shared" si="558"/>
        <v>54.900000000000006</v>
      </c>
      <c r="CM141" s="173">
        <f t="shared" si="558"/>
        <v>17.500000000000043</v>
      </c>
      <c r="CN141" s="173">
        <f t="shared" si="555"/>
        <v>-34.610177844595071</v>
      </c>
      <c r="CO141" s="173">
        <f t="shared" si="555"/>
        <v>-25.399664389847672</v>
      </c>
      <c r="CP141" s="174">
        <f t="shared" si="555"/>
        <v>-10.922422953100707</v>
      </c>
      <c r="CQ141" s="22"/>
    </row>
    <row r="142" spans="1:95" ht="14.25" customHeight="1" outlineLevel="1">
      <c r="A142" s="9"/>
      <c r="B142" s="48" t="s">
        <v>44</v>
      </c>
      <c r="C142" s="49"/>
      <c r="D142" s="176">
        <v>-15.3</v>
      </c>
      <c r="E142" s="176">
        <v>-16</v>
      </c>
      <c r="F142" s="176">
        <v>-8.9</v>
      </c>
      <c r="G142" s="176">
        <v>-14.8</v>
      </c>
      <c r="H142" s="178">
        <v>11.6</v>
      </c>
      <c r="I142" s="176">
        <v>19.2</v>
      </c>
      <c r="J142" s="176">
        <v>-0.2</v>
      </c>
      <c r="K142" s="176">
        <v>-1</v>
      </c>
      <c r="L142" s="178">
        <v>5.9</v>
      </c>
      <c r="M142" s="176">
        <v>4.2</v>
      </c>
      <c r="N142" s="176">
        <v>5.7</v>
      </c>
      <c r="O142" s="176">
        <v>-13.4</v>
      </c>
      <c r="P142" s="178">
        <v>6.5</v>
      </c>
      <c r="Q142" s="176">
        <v>24.2</v>
      </c>
      <c r="R142" s="176">
        <v>16.600000000000001</v>
      </c>
      <c r="S142" s="176">
        <v>27.7</v>
      </c>
      <c r="T142" s="178">
        <v>-7.3</v>
      </c>
      <c r="U142" s="176">
        <v>-8.1999999999999993</v>
      </c>
      <c r="V142" s="176">
        <v>-6.8</v>
      </c>
      <c r="W142" s="176">
        <v>-12.2</v>
      </c>
      <c r="X142" s="178">
        <v>12.9</v>
      </c>
      <c r="Y142" s="176">
        <v>-14.7</v>
      </c>
      <c r="Z142" s="176">
        <v>-15.7</v>
      </c>
      <c r="AA142" s="176">
        <v>-58.2</v>
      </c>
      <c r="AB142" s="178">
        <v>-9.9</v>
      </c>
      <c r="AC142" s="176">
        <v>-1.6</v>
      </c>
      <c r="AD142" s="176">
        <v>-3.8</v>
      </c>
      <c r="AE142" s="176">
        <v>-6.3</v>
      </c>
      <c r="AF142" s="178">
        <v>5.2</v>
      </c>
      <c r="AG142" s="176">
        <v>18.100000000000001</v>
      </c>
      <c r="AH142" s="176">
        <v>9.9</v>
      </c>
      <c r="AI142" s="176">
        <v>23</v>
      </c>
      <c r="AJ142" s="178">
        <v>-29.3</v>
      </c>
      <c r="AK142" s="176">
        <v>-17.3</v>
      </c>
      <c r="AL142" s="176">
        <v>-44.6</v>
      </c>
      <c r="AM142" s="176">
        <v>-37.4</v>
      </c>
      <c r="AN142" s="178">
        <v>13.1</v>
      </c>
      <c r="AO142" s="176">
        <v>49.1</v>
      </c>
      <c r="AP142" s="176">
        <v>3.8</v>
      </c>
      <c r="AQ142" s="176">
        <v>8.6</v>
      </c>
      <c r="AR142" s="178">
        <v>-1.1000000000000001</v>
      </c>
      <c r="AS142" s="176">
        <v>-11.2</v>
      </c>
      <c r="AT142" s="176">
        <v>-8</v>
      </c>
      <c r="AU142" s="176">
        <v>21.7</v>
      </c>
      <c r="AV142" s="178">
        <v>-6.1</v>
      </c>
      <c r="AW142" s="176">
        <v>4.0999999999999996</v>
      </c>
      <c r="AX142" s="176">
        <v>-25.6</v>
      </c>
      <c r="AY142" s="176">
        <v>-11.3</v>
      </c>
      <c r="AZ142" s="178">
        <v>-5.4</v>
      </c>
      <c r="BA142" s="176">
        <v>-14.1</v>
      </c>
      <c r="BB142" s="176">
        <v>19.399999999999999</v>
      </c>
      <c r="BC142" s="176">
        <v>-16.3</v>
      </c>
      <c r="BD142" s="178">
        <v>-8.9</v>
      </c>
      <c r="BE142" s="176">
        <v>-4</v>
      </c>
      <c r="BF142" s="176">
        <v>3.4</v>
      </c>
      <c r="BG142" s="176">
        <v>-20.79999999999999</v>
      </c>
      <c r="BH142" s="178">
        <v>63.1</v>
      </c>
      <c r="BI142" s="176">
        <v>139.80000000000001</v>
      </c>
      <c r="BJ142" s="176">
        <v>174.7</v>
      </c>
      <c r="BK142" s="173">
        <f t="shared" si="544"/>
        <v>206.99999999999994</v>
      </c>
      <c r="BL142" s="175">
        <f t="shared" si="545"/>
        <v>0</v>
      </c>
      <c r="BM142" s="173">
        <f t="shared" si="544"/>
        <v>0</v>
      </c>
      <c r="BN142" s="173">
        <f t="shared" si="544"/>
        <v>0</v>
      </c>
      <c r="BO142" s="174">
        <f t="shared" si="544"/>
        <v>0</v>
      </c>
      <c r="BP142" s="175">
        <f t="shared" si="546"/>
        <v>0</v>
      </c>
      <c r="BQ142" s="173">
        <f t="shared" si="547"/>
        <v>0</v>
      </c>
      <c r="BR142" s="173">
        <f t="shared" si="548"/>
        <v>0</v>
      </c>
      <c r="BS142" s="174">
        <f t="shared" si="549"/>
        <v>0</v>
      </c>
      <c r="BT142" s="175">
        <f t="shared" si="550"/>
        <v>0</v>
      </c>
      <c r="BU142" s="173">
        <f t="shared" si="551"/>
        <v>0</v>
      </c>
      <c r="BV142" s="173">
        <f t="shared" si="552"/>
        <v>0</v>
      </c>
      <c r="BW142" s="174">
        <f t="shared" si="553"/>
        <v>0</v>
      </c>
      <c r="BX142" s="149"/>
      <c r="BY142" s="173">
        <f t="shared" ref="BY142:CM142" si="559">BY32</f>
        <v>-14.8</v>
      </c>
      <c r="BZ142" s="173">
        <f t="shared" si="559"/>
        <v>-1</v>
      </c>
      <c r="CA142" s="173">
        <f t="shared" si="559"/>
        <v>-13.400000000000002</v>
      </c>
      <c r="CB142" s="173">
        <f t="shared" si="559"/>
        <v>27.7</v>
      </c>
      <c r="CC142" s="173">
        <f t="shared" si="559"/>
        <v>-12.2</v>
      </c>
      <c r="CD142" s="173">
        <f t="shared" si="559"/>
        <v>-58.20000000000001</v>
      </c>
      <c r="CE142" s="173">
        <f t="shared" si="559"/>
        <v>-6.3</v>
      </c>
      <c r="CF142" s="173">
        <f t="shared" si="559"/>
        <v>23</v>
      </c>
      <c r="CG142" s="173">
        <f t="shared" si="559"/>
        <v>-37.4</v>
      </c>
      <c r="CH142" s="173">
        <f t="shared" si="559"/>
        <v>8.6000000000000014</v>
      </c>
      <c r="CI142" s="173">
        <f t="shared" si="559"/>
        <v>21.7</v>
      </c>
      <c r="CJ142" s="173">
        <f t="shared" si="559"/>
        <v>-11.300000000000002</v>
      </c>
      <c r="CK142" s="173">
        <f t="shared" si="559"/>
        <v>-16.300000000000004</v>
      </c>
      <c r="CL142" s="173">
        <f t="shared" si="559"/>
        <v>-20.79999999999999</v>
      </c>
      <c r="CM142" s="173">
        <f t="shared" si="559"/>
        <v>206.99999999999994</v>
      </c>
      <c r="CN142" s="173">
        <f t="shared" si="555"/>
        <v>206.99999999999994</v>
      </c>
      <c r="CO142" s="173">
        <f t="shared" si="555"/>
        <v>206.99999999999994</v>
      </c>
      <c r="CP142" s="174">
        <f t="shared" si="555"/>
        <v>206.99999999999994</v>
      </c>
      <c r="CQ142" s="22"/>
    </row>
    <row r="143" spans="1:95" ht="14.25" customHeight="1" outlineLevel="1">
      <c r="A143" s="9"/>
      <c r="B143" s="48" t="s">
        <v>356</v>
      </c>
      <c r="C143" s="49"/>
      <c r="D143" s="176">
        <v>3.8</v>
      </c>
      <c r="E143" s="176">
        <v>5.8</v>
      </c>
      <c r="F143" s="176">
        <v>8.1999999999999993</v>
      </c>
      <c r="G143" s="176">
        <v>-0.1</v>
      </c>
      <c r="H143" s="178">
        <v>0</v>
      </c>
      <c r="I143" s="176">
        <v>1.5</v>
      </c>
      <c r="J143" s="176">
        <v>2.2999999999999998</v>
      </c>
      <c r="K143" s="176">
        <v>0.7</v>
      </c>
      <c r="L143" s="178">
        <v>1.7</v>
      </c>
      <c r="M143" s="176">
        <v>4</v>
      </c>
      <c r="N143" s="176">
        <v>4</v>
      </c>
      <c r="O143" s="176">
        <v>3.2</v>
      </c>
      <c r="P143" s="178">
        <v>-1</v>
      </c>
      <c r="Q143" s="176">
        <v>0.9</v>
      </c>
      <c r="R143" s="176">
        <v>0.9</v>
      </c>
      <c r="S143" s="176">
        <v>-2.2999999999999998</v>
      </c>
      <c r="T143" s="178">
        <v>-0.7</v>
      </c>
      <c r="U143" s="176">
        <v>0</v>
      </c>
      <c r="V143" s="176">
        <v>-1.1000000000000001</v>
      </c>
      <c r="W143" s="176">
        <v>0.3</v>
      </c>
      <c r="X143" s="178">
        <v>-0.5</v>
      </c>
      <c r="Y143" s="176">
        <v>-1.4</v>
      </c>
      <c r="Z143" s="176">
        <v>3</v>
      </c>
      <c r="AA143" s="176">
        <v>0.1</v>
      </c>
      <c r="AB143" s="178">
        <v>1.1000000000000001</v>
      </c>
      <c r="AC143" s="176">
        <v>2.5</v>
      </c>
      <c r="AD143" s="176">
        <v>2.6</v>
      </c>
      <c r="AE143" s="176">
        <v>0.6</v>
      </c>
      <c r="AF143" s="178">
        <v>-2.1</v>
      </c>
      <c r="AG143" s="176">
        <v>-3.2</v>
      </c>
      <c r="AH143" s="176">
        <v>-2.6</v>
      </c>
      <c r="AI143" s="176">
        <v>0</v>
      </c>
      <c r="AJ143" s="178">
        <v>-3</v>
      </c>
      <c r="AK143" s="176">
        <v>-1.7</v>
      </c>
      <c r="AL143" s="176">
        <v>8.6999999999999993</v>
      </c>
      <c r="AM143" s="176">
        <v>2.4</v>
      </c>
      <c r="AN143" s="178">
        <v>-4.7</v>
      </c>
      <c r="AO143" s="176">
        <v>-3.3</v>
      </c>
      <c r="AP143" s="176">
        <v>-1.4</v>
      </c>
      <c r="AQ143" s="176">
        <v>-2.6</v>
      </c>
      <c r="AR143" s="178">
        <v>-1.5</v>
      </c>
      <c r="AS143" s="176">
        <v>-4.3</v>
      </c>
      <c r="AT143" s="176">
        <v>-2.7</v>
      </c>
      <c r="AU143" s="176">
        <v>0</v>
      </c>
      <c r="AV143" s="178">
        <v>0</v>
      </c>
      <c r="AW143" s="176">
        <v>0</v>
      </c>
      <c r="AX143" s="176"/>
      <c r="AY143" s="176">
        <v>0</v>
      </c>
      <c r="AZ143" s="178">
        <v>0</v>
      </c>
      <c r="BA143" s="176">
        <v>0</v>
      </c>
      <c r="BB143" s="176">
        <v>0</v>
      </c>
      <c r="BC143" s="176">
        <v>0</v>
      </c>
      <c r="BD143" s="178">
        <v>0</v>
      </c>
      <c r="BE143" s="176">
        <v>0</v>
      </c>
      <c r="BF143" s="176">
        <v>0</v>
      </c>
      <c r="BG143" s="176">
        <v>0</v>
      </c>
      <c r="BH143" s="178">
        <v>0</v>
      </c>
      <c r="BI143" s="176">
        <v>0</v>
      </c>
      <c r="BJ143" s="176">
        <v>0</v>
      </c>
      <c r="BK143" s="176">
        <f t="shared" si="544"/>
        <v>0</v>
      </c>
      <c r="BL143" s="175">
        <f t="shared" si="545"/>
        <v>0</v>
      </c>
      <c r="BM143" s="173">
        <f t="shared" si="544"/>
        <v>0</v>
      </c>
      <c r="BN143" s="173">
        <f t="shared" si="544"/>
        <v>0</v>
      </c>
      <c r="BO143" s="174">
        <f t="shared" si="544"/>
        <v>0</v>
      </c>
      <c r="BP143" s="175">
        <f t="shared" si="546"/>
        <v>0</v>
      </c>
      <c r="BQ143" s="173">
        <f t="shared" si="547"/>
        <v>0</v>
      </c>
      <c r="BR143" s="173">
        <f t="shared" si="548"/>
        <v>0</v>
      </c>
      <c r="BS143" s="174">
        <f t="shared" si="549"/>
        <v>0</v>
      </c>
      <c r="BT143" s="175">
        <f t="shared" si="550"/>
        <v>0</v>
      </c>
      <c r="BU143" s="173">
        <f t="shared" si="551"/>
        <v>0</v>
      </c>
      <c r="BV143" s="173">
        <f t="shared" si="552"/>
        <v>0</v>
      </c>
      <c r="BW143" s="174">
        <f t="shared" si="553"/>
        <v>0</v>
      </c>
      <c r="BX143" s="149"/>
      <c r="BY143" s="173">
        <f t="shared" ref="BY143:CM143" si="560">BY33</f>
        <v>-0.10000000000000142</v>
      </c>
      <c r="BZ143" s="173">
        <f t="shared" si="560"/>
        <v>0.7</v>
      </c>
      <c r="CA143" s="173">
        <f t="shared" si="560"/>
        <v>3.2</v>
      </c>
      <c r="CB143" s="173">
        <f t="shared" si="560"/>
        <v>-2.2999999999999998</v>
      </c>
      <c r="CC143" s="173">
        <f t="shared" si="560"/>
        <v>0.30000000000000004</v>
      </c>
      <c r="CD143" s="173">
        <f t="shared" si="560"/>
        <v>0.10000000000000009</v>
      </c>
      <c r="CE143" s="173">
        <f t="shared" si="560"/>
        <v>0.60000000000000009</v>
      </c>
      <c r="CF143" s="173">
        <f t="shared" si="560"/>
        <v>0</v>
      </c>
      <c r="CG143" s="173">
        <f t="shared" si="560"/>
        <v>2.4000000000000012</v>
      </c>
      <c r="CH143" s="173">
        <f t="shared" si="560"/>
        <v>-2.6</v>
      </c>
      <c r="CI143" s="173">
        <f t="shared" si="560"/>
        <v>0</v>
      </c>
      <c r="CJ143" s="173">
        <f t="shared" si="560"/>
        <v>0</v>
      </c>
      <c r="CK143" s="173">
        <f t="shared" si="560"/>
        <v>0</v>
      </c>
      <c r="CL143" s="173">
        <f t="shared" si="560"/>
        <v>0</v>
      </c>
      <c r="CM143" s="173">
        <f t="shared" si="560"/>
        <v>0</v>
      </c>
      <c r="CN143" s="173">
        <f t="shared" si="555"/>
        <v>0</v>
      </c>
      <c r="CO143" s="173">
        <f t="shared" si="555"/>
        <v>0</v>
      </c>
      <c r="CP143" s="174">
        <f t="shared" si="555"/>
        <v>0</v>
      </c>
      <c r="CQ143" s="22"/>
    </row>
    <row r="144" spans="1:95" ht="14.25" customHeight="1" outlineLevel="1">
      <c r="A144" s="9"/>
      <c r="B144" s="48" t="s">
        <v>45</v>
      </c>
      <c r="C144" s="49"/>
      <c r="D144" s="176">
        <v>-20.8</v>
      </c>
      <c r="E144" s="176">
        <v>-15.7</v>
      </c>
      <c r="F144" s="176">
        <v>-21.4</v>
      </c>
      <c r="G144" s="176">
        <v>-18.3</v>
      </c>
      <c r="H144" s="178">
        <v>-9.1999999999999993</v>
      </c>
      <c r="I144" s="176">
        <v>-15.1</v>
      </c>
      <c r="J144" s="176">
        <v>-14.7</v>
      </c>
      <c r="K144" s="176">
        <v>-24.1</v>
      </c>
      <c r="L144" s="178">
        <v>-0.8</v>
      </c>
      <c r="M144" s="176">
        <v>-0.7</v>
      </c>
      <c r="N144" s="176">
        <v>-0.4</v>
      </c>
      <c r="O144" s="176">
        <v>-0.6</v>
      </c>
      <c r="P144" s="178">
        <v>0.7</v>
      </c>
      <c r="Q144" s="176">
        <v>-0.1</v>
      </c>
      <c r="R144" s="176">
        <v>0.8</v>
      </c>
      <c r="S144" s="176">
        <v>0.7</v>
      </c>
      <c r="T144" s="178">
        <v>3.9</v>
      </c>
      <c r="U144" s="176">
        <v>-0.2</v>
      </c>
      <c r="V144" s="176">
        <v>3.7</v>
      </c>
      <c r="W144" s="176">
        <v>0.1</v>
      </c>
      <c r="X144" s="178">
        <v>6.5</v>
      </c>
      <c r="Y144" s="176">
        <v>1.5</v>
      </c>
      <c r="Z144" s="176">
        <v>5.4</v>
      </c>
      <c r="AA144" s="176">
        <v>-0.1</v>
      </c>
      <c r="AB144" s="178">
        <v>3.7</v>
      </c>
      <c r="AC144" s="176">
        <v>-0.2</v>
      </c>
      <c r="AD144" s="176">
        <v>3.4</v>
      </c>
      <c r="AE144" s="176">
        <v>-0.4</v>
      </c>
      <c r="AF144" s="178">
        <v>3.7</v>
      </c>
      <c r="AG144" s="176">
        <v>-0.1</v>
      </c>
      <c r="AH144" s="176">
        <v>3.6</v>
      </c>
      <c r="AI144" s="176">
        <v>-0.1</v>
      </c>
      <c r="AJ144" s="178">
        <v>3.7</v>
      </c>
      <c r="AK144" s="176">
        <v>0.1</v>
      </c>
      <c r="AL144" s="176">
        <v>3.2</v>
      </c>
      <c r="AM144" s="176">
        <v>-0.1</v>
      </c>
      <c r="AN144" s="178">
        <v>3.5</v>
      </c>
      <c r="AO144" s="176">
        <v>0.2</v>
      </c>
      <c r="AP144" s="176">
        <v>3.4</v>
      </c>
      <c r="AQ144" s="176">
        <v>-0.1</v>
      </c>
      <c r="AR144" s="178">
        <v>4.5</v>
      </c>
      <c r="AS144" s="176">
        <v>1.7</v>
      </c>
      <c r="AT144" s="176">
        <v>4.4000000000000004</v>
      </c>
      <c r="AU144" s="176">
        <v>0</v>
      </c>
      <c r="AV144" s="178">
        <v>0</v>
      </c>
      <c r="AW144" s="176">
        <v>0</v>
      </c>
      <c r="AX144" s="176"/>
      <c r="AY144" s="176">
        <v>0</v>
      </c>
      <c r="AZ144" s="178">
        <v>0</v>
      </c>
      <c r="BA144" s="176">
        <v>0</v>
      </c>
      <c r="BB144" s="176">
        <v>0</v>
      </c>
      <c r="BC144" s="176">
        <v>0</v>
      </c>
      <c r="BD144" s="178">
        <v>0</v>
      </c>
      <c r="BE144" s="176">
        <v>0</v>
      </c>
      <c r="BF144" s="176">
        <v>0</v>
      </c>
      <c r="BG144" s="176">
        <v>0</v>
      </c>
      <c r="BH144" s="178">
        <v>0</v>
      </c>
      <c r="BI144" s="176">
        <v>0</v>
      </c>
      <c r="BJ144" s="176">
        <v>0</v>
      </c>
      <c r="BK144" s="176">
        <f t="shared" si="544"/>
        <v>0</v>
      </c>
      <c r="BL144" s="175">
        <f t="shared" si="545"/>
        <v>0</v>
      </c>
      <c r="BM144" s="173">
        <f t="shared" si="544"/>
        <v>0</v>
      </c>
      <c r="BN144" s="173">
        <f t="shared" si="544"/>
        <v>0</v>
      </c>
      <c r="BO144" s="174">
        <f t="shared" si="544"/>
        <v>0</v>
      </c>
      <c r="BP144" s="175">
        <f t="shared" si="546"/>
        <v>0</v>
      </c>
      <c r="BQ144" s="173">
        <f t="shared" si="547"/>
        <v>0</v>
      </c>
      <c r="BR144" s="173">
        <f t="shared" si="548"/>
        <v>0</v>
      </c>
      <c r="BS144" s="174">
        <f t="shared" si="549"/>
        <v>0</v>
      </c>
      <c r="BT144" s="175">
        <f t="shared" si="550"/>
        <v>0</v>
      </c>
      <c r="BU144" s="173">
        <f t="shared" si="551"/>
        <v>0</v>
      </c>
      <c r="BV144" s="173">
        <f t="shared" si="552"/>
        <v>0</v>
      </c>
      <c r="BW144" s="174">
        <f t="shared" si="553"/>
        <v>0</v>
      </c>
      <c r="BX144" s="149"/>
      <c r="BY144" s="173">
        <f t="shared" ref="BY144:CM144" si="561">BY34</f>
        <v>-18.3</v>
      </c>
      <c r="BZ144" s="173">
        <f t="shared" si="561"/>
        <v>-24.1</v>
      </c>
      <c r="CA144" s="173">
        <f t="shared" si="561"/>
        <v>-0.6</v>
      </c>
      <c r="CB144" s="173">
        <f t="shared" si="561"/>
        <v>0.7</v>
      </c>
      <c r="CC144" s="173">
        <f t="shared" si="561"/>
        <v>0.10000000000000009</v>
      </c>
      <c r="CD144" s="173">
        <f t="shared" si="561"/>
        <v>-9.9999999999999645E-2</v>
      </c>
      <c r="CE144" s="173">
        <f t="shared" si="561"/>
        <v>-0.40000000000000036</v>
      </c>
      <c r="CF144" s="173">
        <f t="shared" si="561"/>
        <v>-0.10000000000000009</v>
      </c>
      <c r="CG144" s="173">
        <f t="shared" si="561"/>
        <v>-0.10000000000000009</v>
      </c>
      <c r="CH144" s="173">
        <f t="shared" si="561"/>
        <v>-0.10000000000000009</v>
      </c>
      <c r="CI144" s="173">
        <f t="shared" si="561"/>
        <v>0</v>
      </c>
      <c r="CJ144" s="173">
        <f t="shared" si="561"/>
        <v>0</v>
      </c>
      <c r="CK144" s="173">
        <f t="shared" si="561"/>
        <v>0</v>
      </c>
      <c r="CL144" s="173">
        <f t="shared" si="561"/>
        <v>0</v>
      </c>
      <c r="CM144" s="173">
        <f t="shared" si="561"/>
        <v>0</v>
      </c>
      <c r="CN144" s="173">
        <f t="shared" si="555"/>
        <v>0</v>
      </c>
      <c r="CO144" s="173">
        <f t="shared" si="555"/>
        <v>0</v>
      </c>
      <c r="CP144" s="174">
        <f t="shared" si="555"/>
        <v>0</v>
      </c>
      <c r="CQ144" s="22"/>
    </row>
    <row r="145" spans="1:95" ht="14.25" customHeight="1" outlineLevel="1">
      <c r="A145" s="9"/>
      <c r="B145" s="640" t="s">
        <v>46</v>
      </c>
      <c r="C145" s="49"/>
      <c r="D145" s="176">
        <v>-2.6</v>
      </c>
      <c r="E145" s="176">
        <v>-6.5</v>
      </c>
      <c r="F145" s="176">
        <v>-6.4</v>
      </c>
      <c r="G145" s="176">
        <v>-4.5999999999999996</v>
      </c>
      <c r="H145" s="178">
        <v>14.9</v>
      </c>
      <c r="I145" s="176">
        <v>32.5</v>
      </c>
      <c r="J145" s="176">
        <v>43.3</v>
      </c>
      <c r="K145" s="176">
        <v>30.5</v>
      </c>
      <c r="L145" s="178">
        <v>0.2</v>
      </c>
      <c r="M145" s="176">
        <v>-5.5</v>
      </c>
      <c r="N145" s="176">
        <v>3.8</v>
      </c>
      <c r="O145" s="176">
        <v>0.4</v>
      </c>
      <c r="P145" s="178">
        <v>16.100000000000001</v>
      </c>
      <c r="Q145" s="176">
        <v>29.8</v>
      </c>
      <c r="R145" s="176">
        <v>31.5</v>
      </c>
      <c r="S145" s="176">
        <v>26.1</v>
      </c>
      <c r="T145" s="178">
        <v>-1.4</v>
      </c>
      <c r="U145" s="176">
        <v>-12.8</v>
      </c>
      <c r="V145" s="176">
        <v>-7.5</v>
      </c>
      <c r="W145" s="176">
        <v>-2.8</v>
      </c>
      <c r="X145" s="178">
        <v>1.1000000000000001</v>
      </c>
      <c r="Y145" s="176">
        <v>-0.2</v>
      </c>
      <c r="Z145" s="176">
        <v>6.5</v>
      </c>
      <c r="AA145" s="176">
        <v>-11.3</v>
      </c>
      <c r="AB145" s="178">
        <v>-13.3</v>
      </c>
      <c r="AC145" s="176">
        <v>-11.4</v>
      </c>
      <c r="AD145" s="176">
        <v>-12.6</v>
      </c>
      <c r="AE145" s="176">
        <v>-15.4</v>
      </c>
      <c r="AF145" s="178">
        <v>10.3</v>
      </c>
      <c r="AG145" s="176">
        <v>29</v>
      </c>
      <c r="AH145" s="176">
        <v>35.700000000000003</v>
      </c>
      <c r="AI145" s="176">
        <v>50.7</v>
      </c>
      <c r="AJ145" s="178">
        <v>20</v>
      </c>
      <c r="AK145" s="176">
        <v>38.200000000000003</v>
      </c>
      <c r="AL145" s="176">
        <v>38.9</v>
      </c>
      <c r="AM145" s="176">
        <v>22.5</v>
      </c>
      <c r="AN145" s="178">
        <v>-18.5</v>
      </c>
      <c r="AO145" s="176">
        <v>-19.8</v>
      </c>
      <c r="AP145" s="176">
        <v>-22.1</v>
      </c>
      <c r="AQ145" s="176">
        <v>-37.5</v>
      </c>
      <c r="AR145" s="178">
        <v>-0.7</v>
      </c>
      <c r="AS145" s="176">
        <v>18.399999999999999</v>
      </c>
      <c r="AT145" s="176">
        <v>10.7</v>
      </c>
      <c r="AU145" s="176">
        <v>6</v>
      </c>
      <c r="AV145" s="178">
        <v>11.2</v>
      </c>
      <c r="AW145" s="176">
        <v>22.1</v>
      </c>
      <c r="AX145" s="176">
        <v>26.5</v>
      </c>
      <c r="AY145" s="176">
        <v>24.6</v>
      </c>
      <c r="AZ145" s="178">
        <v>-9.1</v>
      </c>
      <c r="BA145" s="176">
        <v>-10</v>
      </c>
      <c r="BB145" s="176">
        <v>-34.700000000000003</v>
      </c>
      <c r="BC145" s="176">
        <v>-53.1</v>
      </c>
      <c r="BD145" s="178">
        <v>0.9</v>
      </c>
      <c r="BE145" s="176">
        <v>6.6999999999999975</v>
      </c>
      <c r="BF145" s="176">
        <v>10.1</v>
      </c>
      <c r="BG145" s="176">
        <v>-0.69999999999999751</v>
      </c>
      <c r="BH145" s="178">
        <v>-107.3</v>
      </c>
      <c r="BI145" s="176">
        <v>-109.8</v>
      </c>
      <c r="BJ145" s="176">
        <v>-109.8</v>
      </c>
      <c r="BK145" s="176">
        <f t="shared" si="544"/>
        <v>-109.8</v>
      </c>
      <c r="BL145" s="175">
        <f t="shared" si="545"/>
        <v>0</v>
      </c>
      <c r="BM145" s="173">
        <f t="shared" si="544"/>
        <v>0</v>
      </c>
      <c r="BN145" s="173">
        <f t="shared" si="544"/>
        <v>0</v>
      </c>
      <c r="BO145" s="174">
        <f t="shared" si="544"/>
        <v>0</v>
      </c>
      <c r="BP145" s="175">
        <f t="shared" si="546"/>
        <v>0</v>
      </c>
      <c r="BQ145" s="173">
        <f t="shared" si="547"/>
        <v>0</v>
      </c>
      <c r="BR145" s="173">
        <f t="shared" si="548"/>
        <v>0</v>
      </c>
      <c r="BS145" s="174">
        <f t="shared" si="549"/>
        <v>0</v>
      </c>
      <c r="BT145" s="175">
        <f t="shared" si="550"/>
        <v>0</v>
      </c>
      <c r="BU145" s="173">
        <f t="shared" si="551"/>
        <v>0</v>
      </c>
      <c r="BV145" s="173">
        <f t="shared" si="552"/>
        <v>0</v>
      </c>
      <c r="BW145" s="174">
        <f t="shared" si="553"/>
        <v>0</v>
      </c>
      <c r="BX145" s="149"/>
      <c r="BY145" s="173">
        <f t="shared" ref="BY145:CM145" si="562">BY35</f>
        <v>-4.5999999999999996</v>
      </c>
      <c r="BZ145" s="173">
        <f t="shared" si="562"/>
        <v>30.5</v>
      </c>
      <c r="CA145" s="173">
        <f t="shared" si="562"/>
        <v>0.40000000000000036</v>
      </c>
      <c r="CB145" s="173">
        <f t="shared" si="562"/>
        <v>26.1</v>
      </c>
      <c r="CC145" s="173">
        <f t="shared" si="562"/>
        <v>-2.8000000000000007</v>
      </c>
      <c r="CD145" s="173">
        <f t="shared" si="562"/>
        <v>-11.3</v>
      </c>
      <c r="CE145" s="173">
        <f t="shared" si="562"/>
        <v>-15.4</v>
      </c>
      <c r="CF145" s="173">
        <f t="shared" si="562"/>
        <v>50.7</v>
      </c>
      <c r="CG145" s="173">
        <f t="shared" si="562"/>
        <v>22.5</v>
      </c>
      <c r="CH145" s="173">
        <f t="shared" si="562"/>
        <v>-37.5</v>
      </c>
      <c r="CI145" s="173">
        <f t="shared" si="562"/>
        <v>6</v>
      </c>
      <c r="CJ145" s="173">
        <f t="shared" si="562"/>
        <v>24.6</v>
      </c>
      <c r="CK145" s="173">
        <f t="shared" si="562"/>
        <v>-53.1</v>
      </c>
      <c r="CL145" s="173">
        <f t="shared" si="562"/>
        <v>-0.69999999999999751</v>
      </c>
      <c r="CM145" s="173">
        <f t="shared" si="562"/>
        <v>-109.8</v>
      </c>
      <c r="CN145" s="173">
        <f t="shared" si="555"/>
        <v>-109.8</v>
      </c>
      <c r="CO145" s="173">
        <f t="shared" si="555"/>
        <v>-109.8</v>
      </c>
      <c r="CP145" s="174">
        <f t="shared" si="555"/>
        <v>-109.8</v>
      </c>
      <c r="CQ145" s="22"/>
    </row>
    <row r="146" spans="1:95" ht="14.25" customHeight="1" outlineLevel="1">
      <c r="A146" s="9"/>
      <c r="B146" s="639" t="s">
        <v>353</v>
      </c>
      <c r="C146" s="49"/>
      <c r="D146" s="176">
        <v>1.8</v>
      </c>
      <c r="E146" s="176">
        <v>-1.9</v>
      </c>
      <c r="F146" s="176">
        <v>-3.8</v>
      </c>
      <c r="G146" s="176">
        <v>-1.4</v>
      </c>
      <c r="H146" s="178">
        <v>-1.3</v>
      </c>
      <c r="I146" s="176">
        <v>-0.3</v>
      </c>
      <c r="J146" s="176">
        <v>0.4</v>
      </c>
      <c r="K146" s="176">
        <v>-10.7</v>
      </c>
      <c r="L146" s="178">
        <v>-0.3</v>
      </c>
      <c r="M146" s="176">
        <v>1.5</v>
      </c>
      <c r="N146" s="176">
        <v>1.4</v>
      </c>
      <c r="O146" s="176">
        <v>-4.0999999999999996</v>
      </c>
      <c r="P146" s="178">
        <v>0.1</v>
      </c>
      <c r="Q146" s="176">
        <v>0</v>
      </c>
      <c r="R146" s="176">
        <v>0.2</v>
      </c>
      <c r="S146" s="176">
        <v>2.6</v>
      </c>
      <c r="T146" s="178">
        <v>6.6</v>
      </c>
      <c r="U146" s="176">
        <v>6.8</v>
      </c>
      <c r="V146" s="176">
        <v>7.3</v>
      </c>
      <c r="W146" s="176">
        <v>1.3</v>
      </c>
      <c r="X146" s="178">
        <v>1.7</v>
      </c>
      <c r="Y146" s="176">
        <v>-13.7</v>
      </c>
      <c r="Z146" s="176">
        <v>-14.9</v>
      </c>
      <c r="AA146" s="176">
        <v>-13.6</v>
      </c>
      <c r="AB146" s="178">
        <v>-0.5</v>
      </c>
      <c r="AC146" s="176">
        <v>-2.2000000000000002</v>
      </c>
      <c r="AD146" s="176">
        <v>-0.6</v>
      </c>
      <c r="AE146" s="176">
        <v>-2.2000000000000002</v>
      </c>
      <c r="AF146" s="178">
        <v>-0.5</v>
      </c>
      <c r="AG146" s="176">
        <v>-1.6</v>
      </c>
      <c r="AH146" s="176">
        <v>-0.8</v>
      </c>
      <c r="AI146" s="176">
        <v>2.2999999999999998</v>
      </c>
      <c r="AJ146" s="178">
        <v>2.5</v>
      </c>
      <c r="AK146" s="176">
        <v>4.2</v>
      </c>
      <c r="AL146" s="176">
        <v>8.1</v>
      </c>
      <c r="AM146" s="176">
        <v>11.5</v>
      </c>
      <c r="AN146" s="178">
        <v>-0.3</v>
      </c>
      <c r="AO146" s="176">
        <v>-10.1</v>
      </c>
      <c r="AP146" s="176">
        <v>-9.6999999999999993</v>
      </c>
      <c r="AQ146" s="176">
        <v>-10.8</v>
      </c>
      <c r="AR146" s="178">
        <v>0.7</v>
      </c>
      <c r="AS146" s="176">
        <v>-16.8</v>
      </c>
      <c r="AT146" s="176">
        <v>-21.4</v>
      </c>
      <c r="AU146" s="176">
        <v>-48.9</v>
      </c>
      <c r="AV146" s="178">
        <v>-13.3</v>
      </c>
      <c r="AW146" s="176">
        <v>-20.100000000000001</v>
      </c>
      <c r="AX146" s="176">
        <v>-23.6</v>
      </c>
      <c r="AY146" s="176">
        <v>-15.5</v>
      </c>
      <c r="AZ146" s="178">
        <v>2.1</v>
      </c>
      <c r="BA146" s="176">
        <v>-0.3</v>
      </c>
      <c r="BB146" s="176">
        <v>1.1000000000000001</v>
      </c>
      <c r="BC146" s="176">
        <v>-8.5</v>
      </c>
      <c r="BD146" s="178">
        <v>0.3</v>
      </c>
      <c r="BE146" s="176">
        <f>1.9+0.9</f>
        <v>2.8</v>
      </c>
      <c r="BF146" s="176">
        <v>-2.9</v>
      </c>
      <c r="BG146" s="176">
        <v>-24.8</v>
      </c>
      <c r="BH146" s="178">
        <v>1.2</v>
      </c>
      <c r="BI146" s="176">
        <v>-0.2</v>
      </c>
      <c r="BJ146" s="176">
        <v>-0.8</v>
      </c>
      <c r="BK146" s="176">
        <f>-94.2-SUM(BK138:BK145)</f>
        <v>33.499999999999972</v>
      </c>
      <c r="BL146" s="175">
        <f t="shared" si="545"/>
        <v>0</v>
      </c>
      <c r="BM146" s="173">
        <f t="shared" si="544"/>
        <v>0</v>
      </c>
      <c r="BN146" s="173">
        <f t="shared" si="544"/>
        <v>0</v>
      </c>
      <c r="BO146" s="174">
        <f t="shared" si="544"/>
        <v>0</v>
      </c>
      <c r="BP146" s="175">
        <f t="shared" si="546"/>
        <v>0</v>
      </c>
      <c r="BQ146" s="173">
        <f t="shared" si="547"/>
        <v>0</v>
      </c>
      <c r="BR146" s="173">
        <f t="shared" si="548"/>
        <v>0</v>
      </c>
      <c r="BS146" s="174">
        <f t="shared" si="549"/>
        <v>0</v>
      </c>
      <c r="BT146" s="175">
        <f t="shared" si="550"/>
        <v>0</v>
      </c>
      <c r="BU146" s="173">
        <f t="shared" si="551"/>
        <v>0</v>
      </c>
      <c r="BV146" s="173">
        <f t="shared" si="552"/>
        <v>0</v>
      </c>
      <c r="BW146" s="174">
        <f t="shared" si="553"/>
        <v>0</v>
      </c>
      <c r="BX146" s="149"/>
      <c r="BY146" s="173">
        <f t="shared" ref="BY146:CM146" si="563">BY36</f>
        <v>-1.4000000000000004</v>
      </c>
      <c r="BZ146" s="173">
        <f t="shared" si="563"/>
        <v>-10.699999999999998</v>
      </c>
      <c r="CA146" s="173">
        <f t="shared" si="563"/>
        <v>-4.0999999999999996</v>
      </c>
      <c r="CB146" s="173">
        <f t="shared" si="563"/>
        <v>2.6</v>
      </c>
      <c r="CC146" s="173">
        <f t="shared" si="563"/>
        <v>1.2999999999999998</v>
      </c>
      <c r="CD146" s="173">
        <f t="shared" si="563"/>
        <v>-13.6</v>
      </c>
      <c r="CE146" s="173">
        <f t="shared" si="563"/>
        <v>-2.2000000000000002</v>
      </c>
      <c r="CF146" s="173">
        <f t="shared" si="563"/>
        <v>2.2999999999999998</v>
      </c>
      <c r="CG146" s="173">
        <f t="shared" si="563"/>
        <v>11.5</v>
      </c>
      <c r="CH146" s="173">
        <f t="shared" si="563"/>
        <v>-10.8</v>
      </c>
      <c r="CI146" s="173">
        <f t="shared" si="563"/>
        <v>-48.900000000000006</v>
      </c>
      <c r="CJ146" s="173">
        <f t="shared" si="563"/>
        <v>-15.5</v>
      </c>
      <c r="CK146" s="173">
        <f t="shared" si="563"/>
        <v>-8.5</v>
      </c>
      <c r="CL146" s="173">
        <f t="shared" si="563"/>
        <v>-24.8</v>
      </c>
      <c r="CM146" s="173">
        <f t="shared" si="563"/>
        <v>33.499999999999972</v>
      </c>
      <c r="CN146" s="173">
        <f t="shared" si="555"/>
        <v>33.499999999999972</v>
      </c>
      <c r="CO146" s="173">
        <f t="shared" si="555"/>
        <v>33.499999999999972</v>
      </c>
      <c r="CP146" s="174">
        <f t="shared" si="555"/>
        <v>33.499999999999972</v>
      </c>
      <c r="CQ146" s="22"/>
    </row>
    <row r="147" spans="1:95" ht="14.25" customHeight="1" outlineLevel="1" thickBot="1">
      <c r="A147" s="9"/>
      <c r="B147" s="179" t="s">
        <v>268</v>
      </c>
      <c r="C147" s="180"/>
      <c r="D147" s="181">
        <f t="shared" ref="D147:O147" si="564">D119+SUM(D121:D146)</f>
        <v>4.6000000000000014</v>
      </c>
      <c r="E147" s="181">
        <f t="shared" si="564"/>
        <v>16.699999999999989</v>
      </c>
      <c r="F147" s="181">
        <f t="shared" si="564"/>
        <v>17.899999999999963</v>
      </c>
      <c r="G147" s="181">
        <f t="shared" si="564"/>
        <v>45.69999999999996</v>
      </c>
      <c r="H147" s="182">
        <f t="shared" si="564"/>
        <v>11.800000000000011</v>
      </c>
      <c r="I147" s="181">
        <f t="shared" si="564"/>
        <v>43.700000000000024</v>
      </c>
      <c r="J147" s="181">
        <f t="shared" si="564"/>
        <v>71.799999999999983</v>
      </c>
      <c r="K147" s="181">
        <f t="shared" si="564"/>
        <v>38.40000000000002</v>
      </c>
      <c r="L147" s="182">
        <f t="shared" si="564"/>
        <v>36.200000000000003</v>
      </c>
      <c r="M147" s="181">
        <f t="shared" si="564"/>
        <v>98.199999999999989</v>
      </c>
      <c r="N147" s="181">
        <f t="shared" si="564"/>
        <v>146.9</v>
      </c>
      <c r="O147" s="181">
        <f t="shared" si="564"/>
        <v>193.1</v>
      </c>
      <c r="P147" s="182">
        <f t="shared" ref="P147:AU147" si="565">SUM(P119:P146)</f>
        <v>50.500000000000014</v>
      </c>
      <c r="Q147" s="181">
        <f t="shared" si="565"/>
        <v>131.70000000000007</v>
      </c>
      <c r="R147" s="181">
        <f t="shared" si="565"/>
        <v>221.2</v>
      </c>
      <c r="S147" s="181">
        <f t="shared" si="565"/>
        <v>349.8</v>
      </c>
      <c r="T147" s="182">
        <f t="shared" si="565"/>
        <v>63.099999999999966</v>
      </c>
      <c r="U147" s="181">
        <f t="shared" si="565"/>
        <v>118.49999999999997</v>
      </c>
      <c r="V147" s="181">
        <f t="shared" si="565"/>
        <v>216.9</v>
      </c>
      <c r="W147" s="181">
        <f t="shared" si="565"/>
        <v>317.09999999999997</v>
      </c>
      <c r="X147" s="182">
        <f t="shared" si="565"/>
        <v>136.89999999999998</v>
      </c>
      <c r="Y147" s="181">
        <f t="shared" si="565"/>
        <v>178.8</v>
      </c>
      <c r="Z147" s="181">
        <f t="shared" si="565"/>
        <v>312.59999999999991</v>
      </c>
      <c r="AA147" s="181">
        <f t="shared" si="565"/>
        <v>393.79999999999984</v>
      </c>
      <c r="AB147" s="182">
        <f t="shared" si="565"/>
        <v>28.700000000000014</v>
      </c>
      <c r="AC147" s="181">
        <f t="shared" si="565"/>
        <v>87</v>
      </c>
      <c r="AD147" s="181">
        <f t="shared" si="565"/>
        <v>174.59999999999997</v>
      </c>
      <c r="AE147" s="181">
        <f t="shared" si="565"/>
        <v>276.90000000000003</v>
      </c>
      <c r="AF147" s="182">
        <f t="shared" si="565"/>
        <v>109.50000000000004</v>
      </c>
      <c r="AG147" s="181">
        <f t="shared" si="565"/>
        <v>268.39999999999992</v>
      </c>
      <c r="AH147" s="181">
        <f t="shared" si="565"/>
        <v>392</v>
      </c>
      <c r="AI147" s="181">
        <f t="shared" si="565"/>
        <v>551.80000000000007</v>
      </c>
      <c r="AJ147" s="182">
        <f t="shared" si="565"/>
        <v>125.6</v>
      </c>
      <c r="AK147" s="181">
        <f t="shared" si="565"/>
        <v>261.60000000000002</v>
      </c>
      <c r="AL147" s="181">
        <f t="shared" si="565"/>
        <v>380.79999999999995</v>
      </c>
      <c r="AM147" s="181">
        <f t="shared" si="565"/>
        <v>545.49999999999989</v>
      </c>
      <c r="AN147" s="182">
        <f t="shared" si="565"/>
        <v>68.399999999999991</v>
      </c>
      <c r="AO147" s="181">
        <f t="shared" si="565"/>
        <v>127.49999999999994</v>
      </c>
      <c r="AP147" s="181">
        <f t="shared" si="565"/>
        <v>139.4</v>
      </c>
      <c r="AQ147" s="181">
        <f t="shared" si="565"/>
        <v>275.99999999999989</v>
      </c>
      <c r="AR147" s="182">
        <f t="shared" si="565"/>
        <v>85.199999999999989</v>
      </c>
      <c r="AS147" s="181">
        <f t="shared" si="565"/>
        <v>140.4</v>
      </c>
      <c r="AT147" s="181">
        <f t="shared" si="565"/>
        <v>200.29999999999998</v>
      </c>
      <c r="AU147" s="181">
        <f t="shared" si="565"/>
        <v>327.30000000000013</v>
      </c>
      <c r="AV147" s="182">
        <f t="shared" ref="AV147:BO147" si="566">SUM(AV119:AV146)</f>
        <v>74.900000000000006</v>
      </c>
      <c r="AW147" s="181">
        <f t="shared" si="566"/>
        <v>226.49999999999994</v>
      </c>
      <c r="AX147" s="181">
        <f t="shared" si="566"/>
        <v>318.79999999999995</v>
      </c>
      <c r="AY147" s="181">
        <f t="shared" si="566"/>
        <v>481.29999999999995</v>
      </c>
      <c r="AZ147" s="182">
        <f t="shared" si="566"/>
        <v>83.500000000000014</v>
      </c>
      <c r="BA147" s="181">
        <f t="shared" si="566"/>
        <v>185.09999999999994</v>
      </c>
      <c r="BB147" s="181">
        <f t="shared" si="566"/>
        <v>313.39999999999998</v>
      </c>
      <c r="BC147" s="181">
        <f t="shared" si="566"/>
        <v>470.59999999999991</v>
      </c>
      <c r="BD147" s="182">
        <f t="shared" si="566"/>
        <v>114.89999999999999</v>
      </c>
      <c r="BE147" s="181">
        <f t="shared" si="566"/>
        <v>219.1</v>
      </c>
      <c r="BF147" s="181">
        <f t="shared" si="566"/>
        <v>351.79999999999995</v>
      </c>
      <c r="BG147" s="181">
        <f t="shared" ref="BG147" si="567">SUM(BG119:BG146)</f>
        <v>581.19999999999993</v>
      </c>
      <c r="BH147" s="182">
        <f t="shared" si="566"/>
        <v>208.49999999999994</v>
      </c>
      <c r="BI147" s="181">
        <f t="shared" ref="BI147:BJ147" si="568">SUM(BI119:BI146)</f>
        <v>541.69999999999982</v>
      </c>
      <c r="BJ147" s="181">
        <f t="shared" si="568"/>
        <v>869.90000000000009</v>
      </c>
      <c r="BK147" s="181">
        <f>SUM(BK119:BK146)</f>
        <v>1094.2000000000003</v>
      </c>
      <c r="BL147" s="182">
        <f t="shared" si="566"/>
        <v>201.85370591469012</v>
      </c>
      <c r="BM147" s="181">
        <f t="shared" si="566"/>
        <v>489.61584831730312</v>
      </c>
      <c r="BN147" s="181">
        <f t="shared" si="566"/>
        <v>780.88476620761958</v>
      </c>
      <c r="BO147" s="181">
        <f t="shared" si="566"/>
        <v>1145.328575095883</v>
      </c>
      <c r="BP147" s="182">
        <f t="shared" ref="BP147:BS147" si="569">SUM(BP119:BP146)</f>
        <v>346.34660855620257</v>
      </c>
      <c r="BQ147" s="181">
        <f t="shared" si="569"/>
        <v>637.69486673729364</v>
      </c>
      <c r="BR147" s="181">
        <f t="shared" si="569"/>
        <v>974.2169068250588</v>
      </c>
      <c r="BS147" s="181">
        <f t="shared" si="569"/>
        <v>1363.1471745224242</v>
      </c>
      <c r="BT147" s="182">
        <f t="shared" ref="BT147:BW147" si="570">SUM(BT119:BT146)</f>
        <v>355.27951276188088</v>
      </c>
      <c r="BU147" s="181">
        <f t="shared" si="570"/>
        <v>678.32587989633043</v>
      </c>
      <c r="BV147" s="181">
        <f t="shared" si="570"/>
        <v>1049.7793710318015</v>
      </c>
      <c r="BW147" s="181">
        <f t="shared" si="570"/>
        <v>1472.9600277003442</v>
      </c>
      <c r="BX147" s="149"/>
      <c r="BY147" s="181">
        <f t="shared" ref="BY147:CN147" si="571">SUM(BY119:BY146)</f>
        <v>45.7</v>
      </c>
      <c r="BZ147" s="181">
        <f t="shared" si="571"/>
        <v>38.40000000000002</v>
      </c>
      <c r="CA147" s="181">
        <f t="shared" si="571"/>
        <v>193.1</v>
      </c>
      <c r="CB147" s="181">
        <f t="shared" si="571"/>
        <v>349.8</v>
      </c>
      <c r="CC147" s="181">
        <f t="shared" si="571"/>
        <v>317.09999999999997</v>
      </c>
      <c r="CD147" s="181">
        <f t="shared" si="571"/>
        <v>393.79999999999995</v>
      </c>
      <c r="CE147" s="181">
        <f t="shared" si="571"/>
        <v>276.90000000000003</v>
      </c>
      <c r="CF147" s="181">
        <f t="shared" si="571"/>
        <v>551.80000000000007</v>
      </c>
      <c r="CG147" s="181">
        <f t="shared" si="571"/>
        <v>545.49999999999977</v>
      </c>
      <c r="CH147" s="181">
        <f t="shared" si="571"/>
        <v>275.99999999999989</v>
      </c>
      <c r="CI147" s="181">
        <f t="shared" si="571"/>
        <v>327.30000000000007</v>
      </c>
      <c r="CJ147" s="181">
        <f t="shared" si="571"/>
        <v>481.29999999999995</v>
      </c>
      <c r="CK147" s="181">
        <f t="shared" si="571"/>
        <v>470.59999999999991</v>
      </c>
      <c r="CL147" s="181">
        <f t="shared" si="571"/>
        <v>581.19999999999993</v>
      </c>
      <c r="CM147" s="181">
        <f t="shared" si="571"/>
        <v>1094.2000000000003</v>
      </c>
      <c r="CN147" s="181">
        <f t="shared" si="571"/>
        <v>2239.5285750958833</v>
      </c>
      <c r="CO147" s="181">
        <f t="shared" ref="CO147:CP147" si="572">SUM(CO119:CO146)</f>
        <v>3602.6757496183068</v>
      </c>
      <c r="CP147" s="183">
        <f t="shared" si="572"/>
        <v>5075.6357773186501</v>
      </c>
      <c r="CQ147" s="22"/>
    </row>
    <row r="148" spans="1:95" ht="14.25" customHeight="1" outlineLevel="1" thickTop="1">
      <c r="A148" s="9"/>
      <c r="B148" s="23"/>
      <c r="C148" s="24"/>
      <c r="D148" s="176"/>
      <c r="E148" s="176"/>
      <c r="F148" s="176"/>
      <c r="G148" s="176"/>
      <c r="H148" s="178"/>
      <c r="I148" s="176"/>
      <c r="J148" s="176"/>
      <c r="K148" s="176"/>
      <c r="L148" s="178"/>
      <c r="M148" s="176"/>
      <c r="N148" s="176"/>
      <c r="O148" s="176"/>
      <c r="P148" s="178"/>
      <c r="Q148" s="176"/>
      <c r="R148" s="176"/>
      <c r="S148" s="176"/>
      <c r="T148" s="178"/>
      <c r="U148" s="176"/>
      <c r="V148" s="176"/>
      <c r="W148" s="176"/>
      <c r="X148" s="178"/>
      <c r="Y148" s="176"/>
      <c r="Z148" s="176"/>
      <c r="AA148" s="176"/>
      <c r="AB148" s="178"/>
      <c r="AC148" s="176"/>
      <c r="AD148" s="176"/>
      <c r="AE148" s="176"/>
      <c r="AF148" s="178"/>
      <c r="AG148" s="176"/>
      <c r="AH148" s="176"/>
      <c r="AI148" s="176"/>
      <c r="AJ148" s="178"/>
      <c r="AK148" s="176"/>
      <c r="AL148" s="176"/>
      <c r="AM148" s="176"/>
      <c r="AN148" s="178"/>
      <c r="AO148" s="176"/>
      <c r="AP148" s="176"/>
      <c r="AQ148" s="176"/>
      <c r="AR148" s="178"/>
      <c r="AS148" s="176"/>
      <c r="AT148" s="176"/>
      <c r="AU148" s="176"/>
      <c r="AV148" s="178"/>
      <c r="AW148" s="176"/>
      <c r="AX148" s="176"/>
      <c r="AY148" s="176"/>
      <c r="AZ148" s="178"/>
      <c r="BA148" s="176"/>
      <c r="BB148" s="176"/>
      <c r="BC148" s="176"/>
      <c r="BD148" s="178"/>
      <c r="BE148" s="176"/>
      <c r="BF148" s="176"/>
      <c r="BG148" s="176"/>
      <c r="BH148" s="175"/>
      <c r="BI148" s="176"/>
      <c r="BJ148" s="176"/>
      <c r="BK148" s="176"/>
      <c r="BL148" s="175"/>
      <c r="BM148" s="173"/>
      <c r="BN148" s="173"/>
      <c r="BO148" s="174"/>
      <c r="BP148" s="175"/>
      <c r="BQ148" s="173"/>
      <c r="BR148" s="173"/>
      <c r="BS148" s="174"/>
      <c r="BT148" s="175"/>
      <c r="BU148" s="173"/>
      <c r="BV148" s="173"/>
      <c r="BW148" s="174"/>
      <c r="BX148" s="149"/>
      <c r="BY148" s="176"/>
      <c r="BZ148" s="176"/>
      <c r="CA148" s="176"/>
      <c r="CB148" s="176"/>
      <c r="CC148" s="176"/>
      <c r="CD148" s="176"/>
      <c r="CE148" s="176"/>
      <c r="CF148" s="176"/>
      <c r="CG148" s="176"/>
      <c r="CH148" s="176"/>
      <c r="CI148" s="176"/>
      <c r="CJ148" s="176"/>
      <c r="CK148" s="176"/>
      <c r="CL148" s="176"/>
      <c r="CM148" s="176"/>
      <c r="CN148" s="176"/>
      <c r="CO148" s="176"/>
      <c r="CP148" s="174"/>
      <c r="CQ148" s="22"/>
    </row>
    <row r="149" spans="1:95" ht="14.25" customHeight="1" outlineLevel="1">
      <c r="A149" s="9"/>
      <c r="B149" s="45" t="s">
        <v>269</v>
      </c>
      <c r="C149" s="46"/>
      <c r="D149" s="176"/>
      <c r="E149" s="176"/>
      <c r="F149" s="176"/>
      <c r="G149" s="176"/>
      <c r="H149" s="178"/>
      <c r="I149" s="176"/>
      <c r="J149" s="176"/>
      <c r="K149" s="176"/>
      <c r="L149" s="178"/>
      <c r="M149" s="176"/>
      <c r="N149" s="176"/>
      <c r="O149" s="176"/>
      <c r="P149" s="178"/>
      <c r="Q149" s="176"/>
      <c r="R149" s="176"/>
      <c r="S149" s="176"/>
      <c r="T149" s="178"/>
      <c r="U149" s="176"/>
      <c r="V149" s="176"/>
      <c r="W149" s="176"/>
      <c r="X149" s="178"/>
      <c r="Y149" s="176"/>
      <c r="Z149" s="176"/>
      <c r="AA149" s="176"/>
      <c r="AB149" s="178"/>
      <c r="AC149" s="176"/>
      <c r="AD149" s="176"/>
      <c r="AE149" s="176"/>
      <c r="AF149" s="178"/>
      <c r="AG149" s="176"/>
      <c r="AH149" s="176"/>
      <c r="AI149" s="176"/>
      <c r="AJ149" s="178"/>
      <c r="AK149" s="176"/>
      <c r="AL149" s="176"/>
      <c r="AM149" s="176"/>
      <c r="AN149" s="178"/>
      <c r="AO149" s="176"/>
      <c r="AP149" s="176"/>
      <c r="AQ149" s="176"/>
      <c r="AR149" s="178"/>
      <c r="AS149" s="176"/>
      <c r="AT149" s="176"/>
      <c r="AU149" s="176"/>
      <c r="AV149" s="178"/>
      <c r="AW149" s="176"/>
      <c r="AX149" s="176"/>
      <c r="AY149" s="176"/>
      <c r="AZ149" s="178"/>
      <c r="BA149" s="176"/>
      <c r="BB149" s="176"/>
      <c r="BC149" s="176"/>
      <c r="BD149" s="178"/>
      <c r="BE149" s="176"/>
      <c r="BF149" s="176"/>
      <c r="BG149" s="176"/>
      <c r="BH149" s="175"/>
      <c r="BI149" s="176"/>
      <c r="BJ149" s="176"/>
      <c r="BK149" s="176"/>
      <c r="BL149" s="175"/>
      <c r="BM149" s="173"/>
      <c r="BN149" s="173"/>
      <c r="BO149" s="174"/>
      <c r="BP149" s="175"/>
      <c r="BQ149" s="173"/>
      <c r="BR149" s="173"/>
      <c r="BS149" s="174"/>
      <c r="BT149" s="175"/>
      <c r="BU149" s="173"/>
      <c r="BV149" s="173"/>
      <c r="BW149" s="174"/>
      <c r="BX149" s="149"/>
      <c r="BY149" s="176"/>
      <c r="BZ149" s="176"/>
      <c r="CA149" s="176"/>
      <c r="CB149" s="176"/>
      <c r="CC149" s="176"/>
      <c r="CD149" s="176"/>
      <c r="CE149" s="176"/>
      <c r="CF149" s="176"/>
      <c r="CG149" s="176"/>
      <c r="CH149" s="176"/>
      <c r="CI149" s="176"/>
      <c r="CJ149" s="176"/>
      <c r="CK149" s="176"/>
      <c r="CL149" s="176"/>
      <c r="CM149" s="176"/>
      <c r="CN149" s="176"/>
      <c r="CO149" s="176"/>
      <c r="CP149" s="174"/>
      <c r="CQ149" s="22"/>
    </row>
    <row r="150" spans="1:95" ht="14.25" customHeight="1" outlineLevel="1">
      <c r="A150" s="9"/>
      <c r="B150" s="25" t="s">
        <v>418</v>
      </c>
      <c r="C150" s="26"/>
      <c r="D150" s="176">
        <v>-6.2</v>
      </c>
      <c r="E150" s="176">
        <v>-24.6</v>
      </c>
      <c r="F150" s="176">
        <v>-41.5</v>
      </c>
      <c r="G150" s="176">
        <v>-59.8</v>
      </c>
      <c r="H150" s="178">
        <v>-30.6</v>
      </c>
      <c r="I150" s="176">
        <v>-48.7</v>
      </c>
      <c r="J150" s="176">
        <v>-65.099999999999994</v>
      </c>
      <c r="K150" s="176">
        <v>-81.8</v>
      </c>
      <c r="L150" s="178">
        <v>-9</v>
      </c>
      <c r="M150" s="176">
        <v>-22</v>
      </c>
      <c r="N150" s="176">
        <v>-34.5</v>
      </c>
      <c r="O150" s="176">
        <v>-46.1</v>
      </c>
      <c r="P150" s="178">
        <v>-31.7</v>
      </c>
      <c r="Q150" s="176">
        <v>-135.1</v>
      </c>
      <c r="R150" s="176">
        <v>-186.4</v>
      </c>
      <c r="S150" s="176">
        <v>-199</v>
      </c>
      <c r="T150" s="178">
        <v>-49</v>
      </c>
      <c r="U150" s="176">
        <v>-76.599999999999994</v>
      </c>
      <c r="V150" s="176">
        <v>-110.4</v>
      </c>
      <c r="W150" s="176">
        <v>-140.69999999999999</v>
      </c>
      <c r="X150" s="178">
        <v>-15.5</v>
      </c>
      <c r="Y150" s="176">
        <v>-44.9</v>
      </c>
      <c r="Z150" s="176">
        <v>-74.900000000000006</v>
      </c>
      <c r="AA150" s="176">
        <v>-95</v>
      </c>
      <c r="AB150" s="178">
        <v>-22.3</v>
      </c>
      <c r="AC150" s="176">
        <v>-37</v>
      </c>
      <c r="AD150" s="176">
        <v>-46.3</v>
      </c>
      <c r="AE150" s="176">
        <v>-55.3</v>
      </c>
      <c r="AF150" s="178">
        <v>-41</v>
      </c>
      <c r="AG150" s="176">
        <v>-93.5</v>
      </c>
      <c r="AH150" s="176">
        <v>-145.9</v>
      </c>
      <c r="AI150" s="176">
        <v>-188.9</v>
      </c>
      <c r="AJ150" s="178">
        <v>-88.7</v>
      </c>
      <c r="AK150" s="176">
        <v>-173.5</v>
      </c>
      <c r="AL150" s="176">
        <v>-259.3</v>
      </c>
      <c r="AM150" s="176">
        <v>-316.39999999999998</v>
      </c>
      <c r="AN150" s="178">
        <v>-50.4</v>
      </c>
      <c r="AO150" s="176">
        <v>-114.7</v>
      </c>
      <c r="AP150" s="176">
        <v>-198.8</v>
      </c>
      <c r="AQ150" s="176">
        <v>-256.3</v>
      </c>
      <c r="AR150" s="178">
        <v>-38.9</v>
      </c>
      <c r="AS150" s="176">
        <v>-84.7</v>
      </c>
      <c r="AT150" s="176">
        <v>-135.1</v>
      </c>
      <c r="AU150" s="176">
        <v>-155.19999999999999</v>
      </c>
      <c r="AV150" s="178">
        <v>-47.7</v>
      </c>
      <c r="AW150" s="176">
        <v>-96.5</v>
      </c>
      <c r="AX150" s="176">
        <v>-163</v>
      </c>
      <c r="AY150" s="176">
        <v>-204.3</v>
      </c>
      <c r="AZ150" s="178">
        <v>-64.8</v>
      </c>
      <c r="BA150" s="176">
        <v>-140.30000000000001</v>
      </c>
      <c r="BB150" s="176">
        <v>-204.8</v>
      </c>
      <c r="BC150" s="176">
        <v>-270.8</v>
      </c>
      <c r="BD150" s="178">
        <v>-72.900000000000006</v>
      </c>
      <c r="BE150" s="176">
        <v>-124.9</v>
      </c>
      <c r="BF150" s="176">
        <v>-160.80000000000001</v>
      </c>
      <c r="BG150" s="176">
        <v>-210.7</v>
      </c>
      <c r="BH150" s="178">
        <v>-52.7</v>
      </c>
      <c r="BI150" s="176">
        <v>-121.7</v>
      </c>
      <c r="BJ150" s="176">
        <v>-211.8</v>
      </c>
      <c r="BK150" s="176">
        <v>-387.5</v>
      </c>
      <c r="BL150" s="175">
        <f t="shared" ref="BL150:BL158" si="573">BL40</f>
        <v>-89.040705000000017</v>
      </c>
      <c r="BM150" s="173">
        <f t="shared" ref="BM150:BO158" si="574">BL150+BM40</f>
        <v>-181.88576055000001</v>
      </c>
      <c r="BN150" s="173">
        <f t="shared" si="574"/>
        <v>-276.92362064900004</v>
      </c>
      <c r="BO150" s="174">
        <f t="shared" si="574"/>
        <v>-370.27764605637003</v>
      </c>
      <c r="BP150" s="175">
        <f t="shared" ref="BP150:BP158" si="575">BP40</f>
        <v>-92.836095251633495</v>
      </c>
      <c r="BQ150" s="173">
        <f t="shared" ref="BQ150:BQ158" si="576">BP150+BQ40</f>
        <v>-189.14172971089232</v>
      </c>
      <c r="BR150" s="173">
        <f t="shared" ref="BR150:BR158" si="577">BQ150+BR40</f>
        <v>-287.53870164795165</v>
      </c>
      <c r="BS150" s="174">
        <f t="shared" ref="BS150:BS158" si="578">BR150+BS40</f>
        <v>-384.2263309899738</v>
      </c>
      <c r="BT150" s="175">
        <f t="shared" ref="BT150:BT158" si="579">BT40</f>
        <v>-96.290303397802418</v>
      </c>
      <c r="BU150" s="173">
        <f t="shared" ref="BU150:BU158" si="580">BT150+BU40</f>
        <v>-196.17055415560429</v>
      </c>
      <c r="BV150" s="173">
        <f t="shared" ref="BV150:BV158" si="581">BU150+BV40</f>
        <v>-298.12294764646367</v>
      </c>
      <c r="BW150" s="174">
        <f t="shared" ref="BW150:BW158" si="582">BV150+BW40</f>
        <v>-398.33992036409728</v>
      </c>
      <c r="BX150" s="149"/>
      <c r="BY150" s="173">
        <f t="shared" ref="BY150:CM150" si="583">BY40</f>
        <v>-59.8</v>
      </c>
      <c r="BZ150" s="173">
        <f t="shared" si="583"/>
        <v>-81.8</v>
      </c>
      <c r="CA150" s="173">
        <f t="shared" si="583"/>
        <v>-46.1</v>
      </c>
      <c r="CB150" s="173">
        <f t="shared" si="583"/>
        <v>-199.00000000000003</v>
      </c>
      <c r="CC150" s="173">
        <f t="shared" si="583"/>
        <v>-140.69999999999999</v>
      </c>
      <c r="CD150" s="173">
        <f t="shared" si="583"/>
        <v>-95</v>
      </c>
      <c r="CE150" s="173">
        <f t="shared" si="583"/>
        <v>-55.3</v>
      </c>
      <c r="CF150" s="173">
        <f t="shared" si="583"/>
        <v>-188.9</v>
      </c>
      <c r="CG150" s="173">
        <f t="shared" si="583"/>
        <v>-316.39999999999998</v>
      </c>
      <c r="CH150" s="173">
        <f t="shared" si="583"/>
        <v>-256.3</v>
      </c>
      <c r="CI150" s="173">
        <f t="shared" si="583"/>
        <v>-155.19999999999999</v>
      </c>
      <c r="CJ150" s="173">
        <f t="shared" si="583"/>
        <v>-204.3</v>
      </c>
      <c r="CK150" s="173">
        <f t="shared" si="583"/>
        <v>-270.8</v>
      </c>
      <c r="CL150" s="173">
        <f t="shared" si="583"/>
        <v>-210.7</v>
      </c>
      <c r="CM150" s="173">
        <f t="shared" si="583"/>
        <v>-387.5</v>
      </c>
      <c r="CN150" s="173">
        <f t="shared" ref="CN150:CP158" si="584">CM150+CN40</f>
        <v>-757.77764605637003</v>
      </c>
      <c r="CO150" s="173">
        <f t="shared" si="584"/>
        <v>-1142.0039770463438</v>
      </c>
      <c r="CP150" s="174">
        <f t="shared" si="584"/>
        <v>-1540.3438974104411</v>
      </c>
      <c r="CQ150" s="22"/>
    </row>
    <row r="151" spans="1:95" ht="14.25" customHeight="1" outlineLevel="1">
      <c r="A151" s="9"/>
      <c r="B151" s="25" t="s">
        <v>419</v>
      </c>
      <c r="C151" s="26"/>
      <c r="D151" s="176">
        <v>0</v>
      </c>
      <c r="E151" s="176">
        <v>0</v>
      </c>
      <c r="F151" s="176">
        <v>13.2</v>
      </c>
      <c r="G151" s="176">
        <v>13.2</v>
      </c>
      <c r="H151" s="178">
        <v>0</v>
      </c>
      <c r="I151" s="176">
        <v>3.8</v>
      </c>
      <c r="J151" s="176">
        <v>3.8</v>
      </c>
      <c r="K151" s="176">
        <v>4.4000000000000004</v>
      </c>
      <c r="L151" s="178">
        <v>0.7</v>
      </c>
      <c r="M151" s="176">
        <v>0.8</v>
      </c>
      <c r="N151" s="176">
        <v>1.6</v>
      </c>
      <c r="O151" s="176">
        <v>2.2000000000000002</v>
      </c>
      <c r="P151" s="178">
        <v>0.2</v>
      </c>
      <c r="Q151" s="176">
        <v>1.1000000000000001</v>
      </c>
      <c r="R151" s="176">
        <v>1.3</v>
      </c>
      <c r="S151" s="176">
        <v>80.900000000000006</v>
      </c>
      <c r="T151" s="178">
        <v>7.2</v>
      </c>
      <c r="U151" s="176">
        <v>9.1999999999999993</v>
      </c>
      <c r="V151" s="176">
        <v>10.6</v>
      </c>
      <c r="W151" s="176">
        <v>10.6</v>
      </c>
      <c r="X151" s="178">
        <v>38.6</v>
      </c>
      <c r="Y151" s="176">
        <v>38.6</v>
      </c>
      <c r="Z151" s="176">
        <v>38.9</v>
      </c>
      <c r="AA151" s="176">
        <v>39.200000000000003</v>
      </c>
      <c r="AB151" s="178">
        <v>0</v>
      </c>
      <c r="AC151" s="176">
        <v>0</v>
      </c>
      <c r="AD151" s="176">
        <v>0</v>
      </c>
      <c r="AE151" s="176">
        <v>0.3</v>
      </c>
      <c r="AF151" s="178">
        <v>0</v>
      </c>
      <c r="AG151" s="176">
        <v>0</v>
      </c>
      <c r="AH151" s="176">
        <v>0</v>
      </c>
      <c r="AI151" s="176">
        <v>37.1</v>
      </c>
      <c r="AJ151" s="178">
        <v>0</v>
      </c>
      <c r="AK151" s="176">
        <v>3.3</v>
      </c>
      <c r="AL151" s="176">
        <v>3.3</v>
      </c>
      <c r="AM151" s="176">
        <v>3.3</v>
      </c>
      <c r="AN151" s="178">
        <v>1.9</v>
      </c>
      <c r="AO151" s="176">
        <v>1.9</v>
      </c>
      <c r="AP151" s="176">
        <v>5.0999999999999996</v>
      </c>
      <c r="AQ151" s="176">
        <v>6.2</v>
      </c>
      <c r="AR151" s="178">
        <v>8</v>
      </c>
      <c r="AS151" s="176">
        <v>8.4</v>
      </c>
      <c r="AT151" s="176">
        <v>8.6</v>
      </c>
      <c r="AU151" s="176">
        <v>9.6999999999999993</v>
      </c>
      <c r="AV151" s="178">
        <v>0.2</v>
      </c>
      <c r="AW151" s="176">
        <v>0.2</v>
      </c>
      <c r="AX151" s="176">
        <v>0.3</v>
      </c>
      <c r="AY151" s="176">
        <v>1.5</v>
      </c>
      <c r="AZ151" s="178">
        <v>9.4</v>
      </c>
      <c r="BA151" s="176">
        <v>10.3</v>
      </c>
      <c r="BB151" s="176">
        <v>10.4</v>
      </c>
      <c r="BC151" s="176">
        <v>11.1</v>
      </c>
      <c r="BD151" s="178">
        <v>0.3</v>
      </c>
      <c r="BE151" s="176">
        <v>0.4</v>
      </c>
      <c r="BF151" s="176">
        <v>0.4</v>
      </c>
      <c r="BG151" s="176">
        <v>0.4</v>
      </c>
      <c r="BH151" s="178">
        <v>0.2</v>
      </c>
      <c r="BI151" s="176">
        <v>1.8</v>
      </c>
      <c r="BJ151" s="176">
        <v>2.1</v>
      </c>
      <c r="BK151" s="176">
        <v>14.3</v>
      </c>
      <c r="BL151" s="175">
        <f t="shared" si="573"/>
        <v>0</v>
      </c>
      <c r="BM151" s="173">
        <f t="shared" si="574"/>
        <v>0</v>
      </c>
      <c r="BN151" s="173">
        <f t="shared" si="574"/>
        <v>0</v>
      </c>
      <c r="BO151" s="174">
        <f t="shared" si="574"/>
        <v>0</v>
      </c>
      <c r="BP151" s="175">
        <f t="shared" si="575"/>
        <v>0</v>
      </c>
      <c r="BQ151" s="173">
        <f t="shared" si="576"/>
        <v>0</v>
      </c>
      <c r="BR151" s="173">
        <f t="shared" si="577"/>
        <v>0</v>
      </c>
      <c r="BS151" s="174">
        <f t="shared" si="578"/>
        <v>0</v>
      </c>
      <c r="BT151" s="175">
        <f t="shared" si="579"/>
        <v>0</v>
      </c>
      <c r="BU151" s="173">
        <f t="shared" si="580"/>
        <v>0</v>
      </c>
      <c r="BV151" s="173">
        <f t="shared" si="581"/>
        <v>0</v>
      </c>
      <c r="BW151" s="174">
        <f t="shared" si="582"/>
        <v>0</v>
      </c>
      <c r="BX151" s="149"/>
      <c r="BY151" s="173">
        <f t="shared" ref="BY151:CM151" si="585">BY41</f>
        <v>13.2</v>
      </c>
      <c r="BZ151" s="173">
        <f t="shared" si="585"/>
        <v>4.4000000000000004</v>
      </c>
      <c r="CA151" s="173">
        <f t="shared" si="585"/>
        <v>2.2000000000000002</v>
      </c>
      <c r="CB151" s="173">
        <f t="shared" si="585"/>
        <v>80.899999999999991</v>
      </c>
      <c r="CC151" s="173">
        <f t="shared" si="585"/>
        <v>10.6</v>
      </c>
      <c r="CD151" s="173">
        <f t="shared" si="585"/>
        <v>39.200000000000003</v>
      </c>
      <c r="CE151" s="173">
        <f t="shared" si="585"/>
        <v>0.3</v>
      </c>
      <c r="CF151" s="173">
        <f t="shared" si="585"/>
        <v>37.1</v>
      </c>
      <c r="CG151" s="173">
        <f t="shared" si="585"/>
        <v>3.3</v>
      </c>
      <c r="CH151" s="173">
        <f t="shared" si="585"/>
        <v>6.2000000000000011</v>
      </c>
      <c r="CI151" s="173">
        <f t="shared" si="585"/>
        <v>9.6999999999999993</v>
      </c>
      <c r="CJ151" s="173">
        <f t="shared" si="585"/>
        <v>1.5000000000000002</v>
      </c>
      <c r="CK151" s="173">
        <f t="shared" si="585"/>
        <v>11.1</v>
      </c>
      <c r="CL151" s="173">
        <f t="shared" si="585"/>
        <v>0.4</v>
      </c>
      <c r="CM151" s="173">
        <f t="shared" si="585"/>
        <v>14.3</v>
      </c>
      <c r="CN151" s="173">
        <f t="shared" si="584"/>
        <v>14.3</v>
      </c>
      <c r="CO151" s="173">
        <f t="shared" si="584"/>
        <v>14.3</v>
      </c>
      <c r="CP151" s="174">
        <f t="shared" si="584"/>
        <v>14.3</v>
      </c>
      <c r="CQ151" s="22"/>
    </row>
    <row r="152" spans="1:95" ht="14.25" customHeight="1" outlineLevel="1">
      <c r="A152" s="9"/>
      <c r="B152" s="25" t="s">
        <v>420</v>
      </c>
      <c r="C152" s="26"/>
      <c r="D152" s="176">
        <v>0</v>
      </c>
      <c r="E152" s="176">
        <v>0</v>
      </c>
      <c r="F152" s="176">
        <v>0</v>
      </c>
      <c r="G152" s="176">
        <v>-6.8</v>
      </c>
      <c r="H152" s="178">
        <v>0</v>
      </c>
      <c r="I152" s="176">
        <v>0</v>
      </c>
      <c r="J152" s="176">
        <v>0</v>
      </c>
      <c r="K152" s="176">
        <v>6.4</v>
      </c>
      <c r="L152" s="178">
        <v>0</v>
      </c>
      <c r="M152" s="176">
        <v>0</v>
      </c>
      <c r="N152" s="176">
        <v>-0.7</v>
      </c>
      <c r="O152" s="176">
        <v>-1.7</v>
      </c>
      <c r="P152" s="178">
        <v>-1.6</v>
      </c>
      <c r="Q152" s="176">
        <v>0.3</v>
      </c>
      <c r="R152" s="176">
        <v>-0.7</v>
      </c>
      <c r="S152" s="176">
        <v>-1.2</v>
      </c>
      <c r="T152" s="178">
        <v>-1.4</v>
      </c>
      <c r="U152" s="176">
        <v>0.2</v>
      </c>
      <c r="V152" s="176">
        <v>1.1000000000000001</v>
      </c>
      <c r="W152" s="176">
        <v>2.5</v>
      </c>
      <c r="X152" s="178">
        <v>0.1</v>
      </c>
      <c r="Y152" s="176">
        <v>0.1</v>
      </c>
      <c r="Z152" s="176">
        <v>-0.4</v>
      </c>
      <c r="AA152" s="176">
        <v>0.4</v>
      </c>
      <c r="AB152" s="178">
        <v>0.2</v>
      </c>
      <c r="AC152" s="176">
        <v>0.1</v>
      </c>
      <c r="AD152" s="176">
        <v>-1.7</v>
      </c>
      <c r="AE152" s="176">
        <v>-3.2</v>
      </c>
      <c r="AF152" s="178">
        <v>-0.9</v>
      </c>
      <c r="AG152" s="176">
        <v>-0.9</v>
      </c>
      <c r="AH152" s="176">
        <v>1.2</v>
      </c>
      <c r="AI152" s="176">
        <v>-2.2000000000000002</v>
      </c>
      <c r="AJ152" s="178">
        <v>0</v>
      </c>
      <c r="AK152" s="176">
        <v>0</v>
      </c>
      <c r="AL152" s="176">
        <v>1</v>
      </c>
      <c r="AM152" s="176">
        <v>0.5</v>
      </c>
      <c r="AN152" s="178">
        <v>-9.6</v>
      </c>
      <c r="AO152" s="176">
        <v>-2.5</v>
      </c>
      <c r="AP152" s="176">
        <v>1.6</v>
      </c>
      <c r="AQ152" s="176">
        <v>1.4</v>
      </c>
      <c r="AR152" s="178">
        <v>1.4</v>
      </c>
      <c r="AS152" s="176">
        <v>-1.5</v>
      </c>
      <c r="AT152" s="176">
        <v>-1.6</v>
      </c>
      <c r="AU152" s="176">
        <v>-1.3</v>
      </c>
      <c r="AV152" s="178">
        <v>1.2</v>
      </c>
      <c r="AW152" s="176">
        <v>1.3</v>
      </c>
      <c r="AX152" s="176">
        <v>2</v>
      </c>
      <c r="AY152" s="176">
        <v>2.6</v>
      </c>
      <c r="AZ152" s="178">
        <v>0</v>
      </c>
      <c r="BA152" s="176">
        <v>0</v>
      </c>
      <c r="BB152" s="176">
        <v>0.2</v>
      </c>
      <c r="BC152" s="176">
        <v>-1.4</v>
      </c>
      <c r="BD152" s="178">
        <v>1.8</v>
      </c>
      <c r="BE152" s="176">
        <v>2.2000000000000002</v>
      </c>
      <c r="BF152" s="176">
        <v>0.9</v>
      </c>
      <c r="BG152" s="176">
        <v>-2.2000000000000002</v>
      </c>
      <c r="BH152" s="178">
        <v>-0.2</v>
      </c>
      <c r="BI152" s="176">
        <v>1.1000000000000001</v>
      </c>
      <c r="BJ152" s="176">
        <v>-2.1</v>
      </c>
      <c r="BK152" s="176">
        <v>-8.1999999999999993</v>
      </c>
      <c r="BL152" s="175">
        <f t="shared" si="573"/>
        <v>0</v>
      </c>
      <c r="BM152" s="173">
        <f t="shared" si="574"/>
        <v>0</v>
      </c>
      <c r="BN152" s="173">
        <f t="shared" si="574"/>
        <v>0</v>
      </c>
      <c r="BO152" s="174">
        <f t="shared" si="574"/>
        <v>0</v>
      </c>
      <c r="BP152" s="175">
        <f t="shared" si="575"/>
        <v>0</v>
      </c>
      <c r="BQ152" s="173">
        <f t="shared" si="576"/>
        <v>0</v>
      </c>
      <c r="BR152" s="173">
        <f t="shared" si="577"/>
        <v>0</v>
      </c>
      <c r="BS152" s="174">
        <f t="shared" si="578"/>
        <v>0</v>
      </c>
      <c r="BT152" s="175">
        <f t="shared" si="579"/>
        <v>0</v>
      </c>
      <c r="BU152" s="173">
        <f t="shared" si="580"/>
        <v>0</v>
      </c>
      <c r="BV152" s="173">
        <f t="shared" si="581"/>
        <v>0</v>
      </c>
      <c r="BW152" s="174">
        <f t="shared" si="582"/>
        <v>0</v>
      </c>
      <c r="BX152" s="149"/>
      <c r="BY152" s="173">
        <f t="shared" ref="BY152:CM152" si="586">BY42</f>
        <v>-6.8</v>
      </c>
      <c r="BZ152" s="173">
        <f t="shared" si="586"/>
        <v>6.4</v>
      </c>
      <c r="CA152" s="173">
        <f t="shared" si="586"/>
        <v>-1.7</v>
      </c>
      <c r="CB152" s="173">
        <f t="shared" si="586"/>
        <v>-1.2</v>
      </c>
      <c r="CC152" s="173">
        <f t="shared" si="586"/>
        <v>2.5</v>
      </c>
      <c r="CD152" s="173">
        <f t="shared" si="586"/>
        <v>0.4</v>
      </c>
      <c r="CE152" s="173">
        <f t="shared" si="586"/>
        <v>-3.2</v>
      </c>
      <c r="CF152" s="173">
        <f t="shared" si="586"/>
        <v>-2.2000000000000002</v>
      </c>
      <c r="CG152" s="173">
        <f t="shared" si="586"/>
        <v>0.5</v>
      </c>
      <c r="CH152" s="173">
        <f t="shared" si="586"/>
        <v>1.4000000000000004</v>
      </c>
      <c r="CI152" s="173">
        <f t="shared" si="586"/>
        <v>-1.3000000000000003</v>
      </c>
      <c r="CJ152" s="173">
        <f t="shared" si="586"/>
        <v>2.6</v>
      </c>
      <c r="CK152" s="173">
        <f t="shared" si="586"/>
        <v>-1.4</v>
      </c>
      <c r="CL152" s="173">
        <f t="shared" si="586"/>
        <v>-2.2000000000000002</v>
      </c>
      <c r="CM152" s="173">
        <f t="shared" si="586"/>
        <v>-8.1999999999999993</v>
      </c>
      <c r="CN152" s="173">
        <f t="shared" si="584"/>
        <v>-8.1999999999999993</v>
      </c>
      <c r="CO152" s="173">
        <f t="shared" si="584"/>
        <v>-8.1999999999999993</v>
      </c>
      <c r="CP152" s="174">
        <f t="shared" si="584"/>
        <v>-8.1999999999999993</v>
      </c>
      <c r="CQ152" s="22"/>
    </row>
    <row r="153" spans="1:95" ht="14.25" customHeight="1" outlineLevel="1">
      <c r="A153" s="9"/>
      <c r="B153" s="25" t="s">
        <v>421</v>
      </c>
      <c r="C153" s="26"/>
      <c r="D153" s="176">
        <v>0</v>
      </c>
      <c r="E153" s="176">
        <v>0</v>
      </c>
      <c r="F153" s="176">
        <v>0</v>
      </c>
      <c r="G153" s="176">
        <v>0</v>
      </c>
      <c r="H153" s="178">
        <v>0</v>
      </c>
      <c r="I153" s="176">
        <v>0</v>
      </c>
      <c r="J153" s="176">
        <v>0</v>
      </c>
      <c r="K153" s="176">
        <v>0</v>
      </c>
      <c r="L153" s="178">
        <v>0</v>
      </c>
      <c r="M153" s="176">
        <v>0</v>
      </c>
      <c r="N153" s="176">
        <v>0</v>
      </c>
      <c r="O153" s="176">
        <v>0</v>
      </c>
      <c r="P153" s="178">
        <v>0</v>
      </c>
      <c r="Q153" s="176">
        <v>0</v>
      </c>
      <c r="R153" s="176">
        <v>0</v>
      </c>
      <c r="S153" s="176">
        <v>0</v>
      </c>
      <c r="T153" s="178">
        <v>0</v>
      </c>
      <c r="U153" s="176">
        <v>0</v>
      </c>
      <c r="V153" s="176">
        <v>0</v>
      </c>
      <c r="W153" s="176">
        <v>0</v>
      </c>
      <c r="X153" s="178">
        <v>0</v>
      </c>
      <c r="Y153" s="176">
        <v>0</v>
      </c>
      <c r="Z153" s="176">
        <v>0</v>
      </c>
      <c r="AA153" s="176">
        <v>0</v>
      </c>
      <c r="AB153" s="178">
        <v>0</v>
      </c>
      <c r="AC153" s="176">
        <v>0</v>
      </c>
      <c r="AD153" s="176">
        <v>0</v>
      </c>
      <c r="AE153" s="176">
        <v>0</v>
      </c>
      <c r="AF153" s="178">
        <v>0</v>
      </c>
      <c r="AG153" s="176">
        <v>0</v>
      </c>
      <c r="AH153" s="176">
        <v>0</v>
      </c>
      <c r="AI153" s="176">
        <v>0</v>
      </c>
      <c r="AJ153" s="178">
        <v>0</v>
      </c>
      <c r="AK153" s="176">
        <v>0</v>
      </c>
      <c r="AL153" s="176">
        <v>0</v>
      </c>
      <c r="AM153" s="176">
        <v>13.3</v>
      </c>
      <c r="AN153" s="178">
        <v>11.5</v>
      </c>
      <c r="AO153" s="176">
        <v>11.5</v>
      </c>
      <c r="AP153" s="176">
        <v>11.5</v>
      </c>
      <c r="AQ153" s="176">
        <v>11.5</v>
      </c>
      <c r="AR153" s="178">
        <v>0</v>
      </c>
      <c r="AS153" s="176">
        <v>0</v>
      </c>
      <c r="AT153" s="176">
        <v>0</v>
      </c>
      <c r="AU153" s="176">
        <v>0</v>
      </c>
      <c r="AV153" s="178">
        <v>0</v>
      </c>
      <c r="AW153" s="176">
        <v>0</v>
      </c>
      <c r="AX153" s="176">
        <v>0</v>
      </c>
      <c r="AY153" s="176">
        <v>0</v>
      </c>
      <c r="AZ153" s="178">
        <v>0</v>
      </c>
      <c r="BA153" s="176">
        <v>0</v>
      </c>
      <c r="BB153" s="176">
        <v>0</v>
      </c>
      <c r="BC153" s="176">
        <v>0</v>
      </c>
      <c r="BD153" s="178">
        <v>0</v>
      </c>
      <c r="BE153" s="176">
        <v>0</v>
      </c>
      <c r="BF153" s="176">
        <v>0</v>
      </c>
      <c r="BG153" s="176">
        <v>0</v>
      </c>
      <c r="BH153" s="178">
        <v>0</v>
      </c>
      <c r="BI153" s="176">
        <v>0</v>
      </c>
      <c r="BJ153" s="176">
        <v>0</v>
      </c>
      <c r="BK153" s="176">
        <v>0</v>
      </c>
      <c r="BL153" s="175">
        <f t="shared" si="573"/>
        <v>0</v>
      </c>
      <c r="BM153" s="173">
        <f t="shared" si="574"/>
        <v>0</v>
      </c>
      <c r="BN153" s="173">
        <f t="shared" si="574"/>
        <v>0</v>
      </c>
      <c r="BO153" s="174">
        <f t="shared" si="574"/>
        <v>0</v>
      </c>
      <c r="BP153" s="175">
        <f t="shared" si="575"/>
        <v>0</v>
      </c>
      <c r="BQ153" s="173">
        <f t="shared" si="576"/>
        <v>0</v>
      </c>
      <c r="BR153" s="173">
        <f t="shared" si="577"/>
        <v>0</v>
      </c>
      <c r="BS153" s="174">
        <f t="shared" si="578"/>
        <v>0</v>
      </c>
      <c r="BT153" s="175">
        <f t="shared" si="579"/>
        <v>0</v>
      </c>
      <c r="BU153" s="173">
        <f t="shared" si="580"/>
        <v>0</v>
      </c>
      <c r="BV153" s="173">
        <f t="shared" si="581"/>
        <v>0</v>
      </c>
      <c r="BW153" s="174">
        <f t="shared" si="582"/>
        <v>0</v>
      </c>
      <c r="BX153" s="149"/>
      <c r="BY153" s="173">
        <f t="shared" ref="BY153:CM153" si="587">BY43</f>
        <v>0</v>
      </c>
      <c r="BZ153" s="173">
        <f t="shared" si="587"/>
        <v>0</v>
      </c>
      <c r="CA153" s="173">
        <f t="shared" si="587"/>
        <v>0</v>
      </c>
      <c r="CB153" s="173">
        <f t="shared" si="587"/>
        <v>0</v>
      </c>
      <c r="CC153" s="173">
        <f t="shared" si="587"/>
        <v>0</v>
      </c>
      <c r="CD153" s="173">
        <f t="shared" si="587"/>
        <v>0</v>
      </c>
      <c r="CE153" s="173">
        <f t="shared" si="587"/>
        <v>0</v>
      </c>
      <c r="CF153" s="173">
        <f t="shared" si="587"/>
        <v>0</v>
      </c>
      <c r="CG153" s="173">
        <f t="shared" si="587"/>
        <v>13.3</v>
      </c>
      <c r="CH153" s="173">
        <f t="shared" si="587"/>
        <v>11.5</v>
      </c>
      <c r="CI153" s="173">
        <f t="shared" si="587"/>
        <v>0</v>
      </c>
      <c r="CJ153" s="173">
        <f t="shared" si="587"/>
        <v>0</v>
      </c>
      <c r="CK153" s="173">
        <f t="shared" si="587"/>
        <v>0</v>
      </c>
      <c r="CL153" s="173">
        <f t="shared" si="587"/>
        <v>0</v>
      </c>
      <c r="CM153" s="173">
        <f t="shared" si="587"/>
        <v>0</v>
      </c>
      <c r="CN153" s="173">
        <f t="shared" si="584"/>
        <v>0</v>
      </c>
      <c r="CO153" s="173">
        <f t="shared" si="584"/>
        <v>0</v>
      </c>
      <c r="CP153" s="174">
        <f t="shared" si="584"/>
        <v>0</v>
      </c>
      <c r="CQ153" s="22"/>
    </row>
    <row r="154" spans="1:95" ht="14.25" customHeight="1" outlineLevel="1">
      <c r="A154" s="9"/>
      <c r="B154" s="25" t="s">
        <v>422</v>
      </c>
      <c r="C154" s="26"/>
      <c r="D154" s="176">
        <v>0</v>
      </c>
      <c r="E154" s="176">
        <v>0</v>
      </c>
      <c r="F154" s="176">
        <v>0</v>
      </c>
      <c r="G154" s="176">
        <v>0</v>
      </c>
      <c r="H154" s="178">
        <v>0</v>
      </c>
      <c r="I154" s="176">
        <v>0</v>
      </c>
      <c r="J154" s="176">
        <v>0</v>
      </c>
      <c r="K154" s="176">
        <v>0</v>
      </c>
      <c r="L154" s="178">
        <v>0</v>
      </c>
      <c r="M154" s="176">
        <v>0</v>
      </c>
      <c r="N154" s="176">
        <v>0</v>
      </c>
      <c r="O154" s="176">
        <v>0</v>
      </c>
      <c r="P154" s="178">
        <v>0</v>
      </c>
      <c r="Q154" s="176">
        <v>0</v>
      </c>
      <c r="R154" s="176">
        <v>0</v>
      </c>
      <c r="S154" s="176">
        <v>0</v>
      </c>
      <c r="T154" s="178">
        <v>0</v>
      </c>
      <c r="U154" s="176">
        <v>0</v>
      </c>
      <c r="V154" s="176">
        <v>0</v>
      </c>
      <c r="W154" s="176">
        <v>-147</v>
      </c>
      <c r="X154" s="178">
        <v>161.6</v>
      </c>
      <c r="Y154" s="176">
        <v>161.6</v>
      </c>
      <c r="Z154" s="176">
        <v>161.6</v>
      </c>
      <c r="AA154" s="176">
        <v>183.1</v>
      </c>
      <c r="AB154" s="178">
        <v>0</v>
      </c>
      <c r="AC154" s="176">
        <v>0</v>
      </c>
      <c r="AD154" s="176">
        <v>0</v>
      </c>
      <c r="AE154" s="176">
        <v>-16.7</v>
      </c>
      <c r="AF154" s="178">
        <v>-66.8</v>
      </c>
      <c r="AG154" s="176">
        <v>-90.2</v>
      </c>
      <c r="AH154" s="176">
        <v>-91.1</v>
      </c>
      <c r="AI154" s="176">
        <v>-91</v>
      </c>
      <c r="AJ154" s="178">
        <v>-57.6</v>
      </c>
      <c r="AK154" s="176">
        <v>-17.899999999999999</v>
      </c>
      <c r="AL154" s="176">
        <v>-17.899999999999999</v>
      </c>
      <c r="AM154" s="176">
        <v>-17.899999999999999</v>
      </c>
      <c r="AN154" s="178">
        <v>0</v>
      </c>
      <c r="AO154" s="176">
        <v>0</v>
      </c>
      <c r="AP154" s="176">
        <v>0</v>
      </c>
      <c r="AQ154" s="176">
        <v>0</v>
      </c>
      <c r="AR154" s="178">
        <v>0</v>
      </c>
      <c r="AS154" s="176">
        <v>0</v>
      </c>
      <c r="AT154" s="176">
        <v>0</v>
      </c>
      <c r="AU154" s="176">
        <v>0</v>
      </c>
      <c r="AV154" s="178">
        <v>0</v>
      </c>
      <c r="AW154" s="176">
        <v>-90.9</v>
      </c>
      <c r="AX154" s="176">
        <v>-423.1</v>
      </c>
      <c r="AY154" s="176">
        <v>-423.7</v>
      </c>
      <c r="AZ154" s="178">
        <v>-2.9</v>
      </c>
      <c r="BA154" s="176">
        <v>-2.9</v>
      </c>
      <c r="BB154" s="176">
        <v>-10.1</v>
      </c>
      <c r="BC154" s="176">
        <v>-31.3</v>
      </c>
      <c r="BD154" s="178">
        <v>0</v>
      </c>
      <c r="BE154" s="176">
        <v>0</v>
      </c>
      <c r="BF154" s="176">
        <v>-2277.1999999999998</v>
      </c>
      <c r="BG154" s="176">
        <v>-2284</v>
      </c>
      <c r="BH154" s="178">
        <v>-0.8</v>
      </c>
      <c r="BI154" s="176">
        <v>-0.8</v>
      </c>
      <c r="BJ154" s="176">
        <v>-0.8</v>
      </c>
      <c r="BK154" s="176">
        <v>-0.8</v>
      </c>
      <c r="BL154" s="175">
        <f t="shared" si="573"/>
        <v>0</v>
      </c>
      <c r="BM154" s="173">
        <f t="shared" si="574"/>
        <v>0</v>
      </c>
      <c r="BN154" s="173">
        <f t="shared" si="574"/>
        <v>0</v>
      </c>
      <c r="BO154" s="174">
        <f t="shared" si="574"/>
        <v>0</v>
      </c>
      <c r="BP154" s="175">
        <f t="shared" si="575"/>
        <v>0</v>
      </c>
      <c r="BQ154" s="173">
        <f t="shared" si="576"/>
        <v>0</v>
      </c>
      <c r="BR154" s="173">
        <f t="shared" si="577"/>
        <v>0</v>
      </c>
      <c r="BS154" s="174">
        <f t="shared" si="578"/>
        <v>0</v>
      </c>
      <c r="BT154" s="175">
        <f t="shared" si="579"/>
        <v>0</v>
      </c>
      <c r="BU154" s="173">
        <f t="shared" si="580"/>
        <v>0</v>
      </c>
      <c r="BV154" s="173">
        <f t="shared" si="581"/>
        <v>0</v>
      </c>
      <c r="BW154" s="174">
        <f t="shared" si="582"/>
        <v>0</v>
      </c>
      <c r="BX154" s="149"/>
      <c r="BY154" s="173">
        <f t="shared" ref="BY154:CM154" si="588">BY44</f>
        <v>0</v>
      </c>
      <c r="BZ154" s="173">
        <f t="shared" si="588"/>
        <v>0</v>
      </c>
      <c r="CA154" s="173">
        <f t="shared" si="588"/>
        <v>0</v>
      </c>
      <c r="CB154" s="173">
        <f t="shared" si="588"/>
        <v>0</v>
      </c>
      <c r="CC154" s="173">
        <f t="shared" si="588"/>
        <v>-147</v>
      </c>
      <c r="CD154" s="173">
        <f t="shared" si="588"/>
        <v>183.1</v>
      </c>
      <c r="CE154" s="173">
        <f t="shared" si="588"/>
        <v>-16.7</v>
      </c>
      <c r="CF154" s="173">
        <f t="shared" si="588"/>
        <v>-91</v>
      </c>
      <c r="CG154" s="173">
        <f t="shared" si="588"/>
        <v>-17.899999999999999</v>
      </c>
      <c r="CH154" s="173">
        <f t="shared" si="588"/>
        <v>0</v>
      </c>
      <c r="CI154" s="173">
        <f t="shared" si="588"/>
        <v>0</v>
      </c>
      <c r="CJ154" s="173">
        <f t="shared" si="588"/>
        <v>-423.69999999999993</v>
      </c>
      <c r="CK154" s="173">
        <f t="shared" si="588"/>
        <v>-31.300000000000004</v>
      </c>
      <c r="CL154" s="173">
        <f t="shared" si="588"/>
        <v>-2284</v>
      </c>
      <c r="CM154" s="173">
        <f t="shared" si="588"/>
        <v>-0.8</v>
      </c>
      <c r="CN154" s="173">
        <f t="shared" si="584"/>
        <v>-0.8</v>
      </c>
      <c r="CO154" s="173">
        <f t="shared" si="584"/>
        <v>-0.8</v>
      </c>
      <c r="CP154" s="174">
        <f t="shared" si="584"/>
        <v>-0.8</v>
      </c>
      <c r="CQ154" s="22"/>
    </row>
    <row r="155" spans="1:95" ht="14.25" customHeight="1" outlineLevel="1">
      <c r="A155" s="9"/>
      <c r="B155" s="25" t="s">
        <v>423</v>
      </c>
      <c r="C155" s="26"/>
      <c r="D155" s="176">
        <v>0</v>
      </c>
      <c r="E155" s="176">
        <v>0</v>
      </c>
      <c r="F155" s="176">
        <v>0</v>
      </c>
      <c r="G155" s="176">
        <v>0</v>
      </c>
      <c r="H155" s="178">
        <v>0</v>
      </c>
      <c r="I155" s="176">
        <v>0</v>
      </c>
      <c r="J155" s="176">
        <v>2.2999999999999998</v>
      </c>
      <c r="K155" s="176">
        <v>8.8000000000000007</v>
      </c>
      <c r="L155" s="178">
        <v>8.3000000000000007</v>
      </c>
      <c r="M155" s="176">
        <v>24.1</v>
      </c>
      <c r="N155" s="176">
        <v>35.299999999999997</v>
      </c>
      <c r="O155" s="176">
        <v>35.299999999999997</v>
      </c>
      <c r="P155" s="178">
        <v>0</v>
      </c>
      <c r="Q155" s="176">
        <v>0</v>
      </c>
      <c r="R155" s="176">
        <v>0</v>
      </c>
      <c r="S155" s="176">
        <v>35.4</v>
      </c>
      <c r="T155" s="178">
        <v>0</v>
      </c>
      <c r="U155" s="176">
        <v>0</v>
      </c>
      <c r="V155" s="176">
        <v>0</v>
      </c>
      <c r="W155" s="176">
        <v>0</v>
      </c>
      <c r="X155" s="178">
        <v>0</v>
      </c>
      <c r="Y155" s="176">
        <v>0</v>
      </c>
      <c r="Z155" s="176">
        <v>0</v>
      </c>
      <c r="AA155" s="176">
        <v>0</v>
      </c>
      <c r="AB155" s="178">
        <v>0</v>
      </c>
      <c r="AC155" s="176">
        <v>0</v>
      </c>
      <c r="AD155" s="176">
        <v>14.9</v>
      </c>
      <c r="AE155" s="176">
        <v>52.4</v>
      </c>
      <c r="AF155" s="178">
        <v>45.5</v>
      </c>
      <c r="AG155" s="176">
        <v>45.5</v>
      </c>
      <c r="AH155" s="176">
        <v>45.5</v>
      </c>
      <c r="AI155" s="176">
        <v>45.5</v>
      </c>
      <c r="AJ155" s="178">
        <v>0</v>
      </c>
      <c r="AK155" s="176">
        <v>0</v>
      </c>
      <c r="AL155" s="176"/>
      <c r="AM155" s="176">
        <v>122.2</v>
      </c>
      <c r="AN155" s="178">
        <v>99.7</v>
      </c>
      <c r="AO155" s="176">
        <v>232.6</v>
      </c>
      <c r="AP155" s="176">
        <v>288.7</v>
      </c>
      <c r="AQ155" s="176">
        <v>377.6</v>
      </c>
      <c r="AR155" s="178">
        <v>73.5</v>
      </c>
      <c r="AS155" s="176">
        <v>124.2</v>
      </c>
      <c r="AT155" s="176">
        <v>155.69999999999999</v>
      </c>
      <c r="AU155" s="176">
        <v>224.3</v>
      </c>
      <c r="AV155" s="178">
        <v>63.5</v>
      </c>
      <c r="AW155" s="176">
        <v>116.2</v>
      </c>
      <c r="AX155" s="176">
        <v>116.2</v>
      </c>
      <c r="AY155" s="176">
        <v>116.9</v>
      </c>
      <c r="AZ155" s="178">
        <v>1.5</v>
      </c>
      <c r="BA155" s="176">
        <v>2</v>
      </c>
      <c r="BB155" s="176">
        <f>2</f>
        <v>2</v>
      </c>
      <c r="BC155" s="176">
        <v>2.8</v>
      </c>
      <c r="BD155" s="178">
        <v>0</v>
      </c>
      <c r="BE155" s="176">
        <v>0</v>
      </c>
      <c r="BF155" s="176">
        <v>0</v>
      </c>
      <c r="BG155" s="176">
        <v>0</v>
      </c>
      <c r="BH155" s="178">
        <v>0</v>
      </c>
      <c r="BI155" s="176">
        <v>0</v>
      </c>
      <c r="BJ155" s="176">
        <v>0</v>
      </c>
      <c r="BK155" s="176">
        <v>0</v>
      </c>
      <c r="BL155" s="175">
        <f t="shared" si="573"/>
        <v>0</v>
      </c>
      <c r="BM155" s="173">
        <f t="shared" si="574"/>
        <v>0</v>
      </c>
      <c r="BN155" s="173">
        <f t="shared" si="574"/>
        <v>0</v>
      </c>
      <c r="BO155" s="174">
        <f t="shared" si="574"/>
        <v>0</v>
      </c>
      <c r="BP155" s="175">
        <f t="shared" si="575"/>
        <v>0</v>
      </c>
      <c r="BQ155" s="173">
        <f t="shared" si="576"/>
        <v>0</v>
      </c>
      <c r="BR155" s="173">
        <f t="shared" si="577"/>
        <v>0</v>
      </c>
      <c r="BS155" s="174">
        <f t="shared" si="578"/>
        <v>0</v>
      </c>
      <c r="BT155" s="175">
        <f t="shared" si="579"/>
        <v>0</v>
      </c>
      <c r="BU155" s="173">
        <f t="shared" si="580"/>
        <v>0</v>
      </c>
      <c r="BV155" s="173">
        <f t="shared" si="581"/>
        <v>0</v>
      </c>
      <c r="BW155" s="174">
        <f t="shared" si="582"/>
        <v>0</v>
      </c>
      <c r="BX155" s="149"/>
      <c r="BY155" s="173">
        <f t="shared" ref="BY155:CM155" si="589">BY45</f>
        <v>0</v>
      </c>
      <c r="BZ155" s="173">
        <f t="shared" si="589"/>
        <v>8.8000000000000007</v>
      </c>
      <c r="CA155" s="173">
        <f t="shared" si="589"/>
        <v>35.299999999999997</v>
      </c>
      <c r="CB155" s="173">
        <f t="shared" si="589"/>
        <v>35.4</v>
      </c>
      <c r="CC155" s="173">
        <f t="shared" si="589"/>
        <v>0</v>
      </c>
      <c r="CD155" s="173">
        <f t="shared" si="589"/>
        <v>0</v>
      </c>
      <c r="CE155" s="173">
        <f t="shared" si="589"/>
        <v>52.4</v>
      </c>
      <c r="CF155" s="173">
        <f t="shared" si="589"/>
        <v>45.5</v>
      </c>
      <c r="CG155" s="173">
        <f t="shared" si="589"/>
        <v>122.2</v>
      </c>
      <c r="CH155" s="173">
        <f t="shared" si="589"/>
        <v>377.6</v>
      </c>
      <c r="CI155" s="173">
        <f t="shared" si="589"/>
        <v>224.3</v>
      </c>
      <c r="CJ155" s="173">
        <f t="shared" si="589"/>
        <v>116.9</v>
      </c>
      <c r="CK155" s="173">
        <f t="shared" si="589"/>
        <v>2.8</v>
      </c>
      <c r="CL155" s="173">
        <f t="shared" si="589"/>
        <v>0</v>
      </c>
      <c r="CM155" s="173">
        <f t="shared" si="589"/>
        <v>0</v>
      </c>
      <c r="CN155" s="173">
        <f t="shared" si="584"/>
        <v>0</v>
      </c>
      <c r="CO155" s="173">
        <f t="shared" si="584"/>
        <v>0</v>
      </c>
      <c r="CP155" s="174">
        <f t="shared" si="584"/>
        <v>0</v>
      </c>
      <c r="CQ155" s="22"/>
    </row>
    <row r="156" spans="1:95" ht="14.25" customHeight="1" outlineLevel="1">
      <c r="A156" s="9"/>
      <c r="B156" s="25" t="s">
        <v>424</v>
      </c>
      <c r="C156" s="26"/>
      <c r="D156" s="176">
        <v>0</v>
      </c>
      <c r="E156" s="176">
        <v>0</v>
      </c>
      <c r="F156" s="176">
        <v>0</v>
      </c>
      <c r="G156" s="176">
        <v>0</v>
      </c>
      <c r="H156" s="178">
        <v>-0.5</v>
      </c>
      <c r="I156" s="176">
        <v>-24.2</v>
      </c>
      <c r="J156" s="176">
        <v>-40.799999999999997</v>
      </c>
      <c r="K156" s="176">
        <v>-40.799999999999997</v>
      </c>
      <c r="L156" s="178">
        <v>-2.1</v>
      </c>
      <c r="M156" s="176">
        <v>-2.1</v>
      </c>
      <c r="N156" s="176">
        <v>-2.1</v>
      </c>
      <c r="O156" s="176">
        <v>-2.1</v>
      </c>
      <c r="P156" s="178">
        <v>0</v>
      </c>
      <c r="Q156" s="176">
        <v>0</v>
      </c>
      <c r="R156" s="176">
        <v>-35.4</v>
      </c>
      <c r="S156" s="176">
        <v>-35.4</v>
      </c>
      <c r="T156" s="178">
        <v>0</v>
      </c>
      <c r="U156" s="176">
        <v>0</v>
      </c>
      <c r="V156" s="176">
        <v>0</v>
      </c>
      <c r="W156" s="176">
        <v>0</v>
      </c>
      <c r="X156" s="178">
        <v>0</v>
      </c>
      <c r="Y156" s="176">
        <v>0</v>
      </c>
      <c r="Z156" s="176">
        <v>0</v>
      </c>
      <c r="AA156" s="176">
        <v>0</v>
      </c>
      <c r="AB156" s="178">
        <v>0</v>
      </c>
      <c r="AC156" s="176">
        <v>0</v>
      </c>
      <c r="AD156" s="176">
        <v>-89.9</v>
      </c>
      <c r="AE156" s="176">
        <v>-97.9</v>
      </c>
      <c r="AF156" s="178">
        <v>0</v>
      </c>
      <c r="AG156" s="176">
        <v>0</v>
      </c>
      <c r="AH156" s="176">
        <v>0</v>
      </c>
      <c r="AI156" s="176">
        <v>0</v>
      </c>
      <c r="AJ156" s="178">
        <v>0</v>
      </c>
      <c r="AK156" s="176">
        <v>-112.2</v>
      </c>
      <c r="AL156" s="176">
        <v>-178.4</v>
      </c>
      <c r="AM156" s="176">
        <v>-370.8</v>
      </c>
      <c r="AN156" s="178">
        <v>-163.30000000000001</v>
      </c>
      <c r="AO156" s="176">
        <v>-222.6</v>
      </c>
      <c r="AP156" s="176">
        <v>-261.7</v>
      </c>
      <c r="AQ156" s="176">
        <v>-273.8</v>
      </c>
      <c r="AR156" s="178">
        <v>-6</v>
      </c>
      <c r="AS156" s="176">
        <v>-162.30000000000001</v>
      </c>
      <c r="AT156" s="176">
        <v>-195</v>
      </c>
      <c r="AU156" s="176">
        <v>-195.7</v>
      </c>
      <c r="AV156" s="178">
        <v>-2.2999999999999998</v>
      </c>
      <c r="AW156" s="176">
        <v>-2.2999999999999998</v>
      </c>
      <c r="AX156" s="176">
        <v>-2.8</v>
      </c>
      <c r="AY156" s="176">
        <v>-12.8</v>
      </c>
      <c r="AZ156" s="178">
        <v>-0.8</v>
      </c>
      <c r="BA156" s="176">
        <v>-0.7</v>
      </c>
      <c r="BB156" s="176">
        <v>-0.8</v>
      </c>
      <c r="BC156" s="176">
        <v>-0.8</v>
      </c>
      <c r="BD156" s="178">
        <v>0</v>
      </c>
      <c r="BE156" s="176">
        <v>0</v>
      </c>
      <c r="BF156" s="176">
        <v>0</v>
      </c>
      <c r="BG156" s="176">
        <v>0</v>
      </c>
      <c r="BH156" s="178">
        <v>-1.6</v>
      </c>
      <c r="BI156" s="176">
        <v>-1.6</v>
      </c>
      <c r="BJ156" s="176">
        <v>-1.6</v>
      </c>
      <c r="BK156" s="176">
        <v>0</v>
      </c>
      <c r="BL156" s="175">
        <f t="shared" si="573"/>
        <v>0</v>
      </c>
      <c r="BM156" s="173">
        <f t="shared" si="574"/>
        <v>0</v>
      </c>
      <c r="BN156" s="173">
        <f t="shared" si="574"/>
        <v>0</v>
      </c>
      <c r="BO156" s="174">
        <f t="shared" si="574"/>
        <v>0</v>
      </c>
      <c r="BP156" s="175">
        <f t="shared" si="575"/>
        <v>0</v>
      </c>
      <c r="BQ156" s="173">
        <f t="shared" si="576"/>
        <v>0</v>
      </c>
      <c r="BR156" s="173">
        <f t="shared" si="577"/>
        <v>0</v>
      </c>
      <c r="BS156" s="174">
        <f t="shared" si="578"/>
        <v>0</v>
      </c>
      <c r="BT156" s="175">
        <f t="shared" si="579"/>
        <v>0</v>
      </c>
      <c r="BU156" s="173">
        <f t="shared" si="580"/>
        <v>0</v>
      </c>
      <c r="BV156" s="173">
        <f t="shared" si="581"/>
        <v>0</v>
      </c>
      <c r="BW156" s="174">
        <f t="shared" si="582"/>
        <v>0</v>
      </c>
      <c r="BX156" s="149"/>
      <c r="BY156" s="173">
        <f t="shared" ref="BY156:CM156" si="590">BY46</f>
        <v>0</v>
      </c>
      <c r="BZ156" s="173">
        <f t="shared" si="590"/>
        <v>-40.799999999999997</v>
      </c>
      <c r="CA156" s="173">
        <f t="shared" si="590"/>
        <v>-2.1</v>
      </c>
      <c r="CB156" s="173">
        <f t="shared" si="590"/>
        <v>-35.4</v>
      </c>
      <c r="CC156" s="173">
        <f t="shared" si="590"/>
        <v>0</v>
      </c>
      <c r="CD156" s="173">
        <f t="shared" si="590"/>
        <v>0</v>
      </c>
      <c r="CE156" s="173">
        <f t="shared" si="590"/>
        <v>-97.9</v>
      </c>
      <c r="CF156" s="173">
        <f t="shared" si="590"/>
        <v>0</v>
      </c>
      <c r="CG156" s="173">
        <f t="shared" si="590"/>
        <v>-370.80000000000007</v>
      </c>
      <c r="CH156" s="173">
        <f t="shared" si="590"/>
        <v>-273.8</v>
      </c>
      <c r="CI156" s="173">
        <f t="shared" si="590"/>
        <v>-195.7</v>
      </c>
      <c r="CJ156" s="173">
        <f t="shared" si="590"/>
        <v>-12.8</v>
      </c>
      <c r="CK156" s="173">
        <f t="shared" si="590"/>
        <v>-0.8</v>
      </c>
      <c r="CL156" s="173">
        <f t="shared" si="590"/>
        <v>0</v>
      </c>
      <c r="CM156" s="173">
        <f t="shared" si="590"/>
        <v>0</v>
      </c>
      <c r="CN156" s="173">
        <f t="shared" si="584"/>
        <v>0</v>
      </c>
      <c r="CO156" s="173">
        <f t="shared" si="584"/>
        <v>0</v>
      </c>
      <c r="CP156" s="174">
        <f t="shared" si="584"/>
        <v>0</v>
      </c>
      <c r="CQ156" s="22"/>
    </row>
    <row r="157" spans="1:95" ht="14.25" customHeight="1" outlineLevel="1">
      <c r="A157" s="9"/>
      <c r="B157" s="25" t="s">
        <v>425</v>
      </c>
      <c r="C157" s="26"/>
      <c r="D157" s="176">
        <v>0</v>
      </c>
      <c r="E157" s="176">
        <v>0</v>
      </c>
      <c r="F157" s="176">
        <v>0</v>
      </c>
      <c r="G157" s="176">
        <v>0</v>
      </c>
      <c r="H157" s="178">
        <v>0</v>
      </c>
      <c r="I157" s="176">
        <v>0</v>
      </c>
      <c r="J157" s="176">
        <v>0</v>
      </c>
      <c r="K157" s="176">
        <v>0</v>
      </c>
      <c r="L157" s="178">
        <v>0</v>
      </c>
      <c r="M157" s="176">
        <v>0</v>
      </c>
      <c r="N157" s="176">
        <v>0</v>
      </c>
      <c r="O157" s="176">
        <v>0</v>
      </c>
      <c r="P157" s="178">
        <v>0</v>
      </c>
      <c r="Q157" s="176">
        <v>0</v>
      </c>
      <c r="R157" s="176">
        <v>0</v>
      </c>
      <c r="S157" s="176">
        <v>0</v>
      </c>
      <c r="T157" s="178">
        <v>0</v>
      </c>
      <c r="U157" s="176">
        <v>0</v>
      </c>
      <c r="V157" s="176">
        <v>0</v>
      </c>
      <c r="W157" s="176">
        <v>0</v>
      </c>
      <c r="X157" s="178">
        <v>0</v>
      </c>
      <c r="Y157" s="176">
        <v>0</v>
      </c>
      <c r="Z157" s="176">
        <v>0</v>
      </c>
      <c r="AA157" s="176">
        <v>0</v>
      </c>
      <c r="AB157" s="178">
        <v>0</v>
      </c>
      <c r="AC157" s="176">
        <v>0</v>
      </c>
      <c r="AD157" s="176">
        <v>0</v>
      </c>
      <c r="AE157" s="176">
        <v>-5.9</v>
      </c>
      <c r="AF157" s="178">
        <v>0</v>
      </c>
      <c r="AG157" s="176">
        <v>0</v>
      </c>
      <c r="AH157" s="176">
        <v>0</v>
      </c>
      <c r="AI157" s="176">
        <v>-136.19999999999999</v>
      </c>
      <c r="AJ157" s="178">
        <v>142.1</v>
      </c>
      <c r="AK157" s="176">
        <v>142.1</v>
      </c>
      <c r="AL157" s="176">
        <v>142.1</v>
      </c>
      <c r="AM157" s="176">
        <v>142.1</v>
      </c>
      <c r="AN157" s="178">
        <v>0</v>
      </c>
      <c r="AO157" s="176">
        <v>0</v>
      </c>
      <c r="AP157" s="176">
        <v>0</v>
      </c>
      <c r="AQ157" s="176">
        <v>0</v>
      </c>
      <c r="AR157" s="178">
        <v>0</v>
      </c>
      <c r="AS157" s="176">
        <v>0</v>
      </c>
      <c r="AT157" s="176">
        <v>0</v>
      </c>
      <c r="AU157" s="176">
        <v>0</v>
      </c>
      <c r="AV157" s="178">
        <v>0</v>
      </c>
      <c r="AW157" s="176">
        <v>0</v>
      </c>
      <c r="AX157" s="176">
        <v>0</v>
      </c>
      <c r="AY157" s="176">
        <v>0</v>
      </c>
      <c r="AZ157" s="178">
        <v>0</v>
      </c>
      <c r="BA157" s="176">
        <v>0</v>
      </c>
      <c r="BB157" s="176">
        <v>0</v>
      </c>
      <c r="BC157" s="176">
        <v>0</v>
      </c>
      <c r="BD157" s="178">
        <v>0</v>
      </c>
      <c r="BE157" s="176">
        <v>0</v>
      </c>
      <c r="BF157" s="176"/>
      <c r="BG157" s="176">
        <v>0</v>
      </c>
      <c r="BH157" s="178">
        <v>0</v>
      </c>
      <c r="BI157" s="176">
        <v>0</v>
      </c>
      <c r="BJ157" s="176"/>
      <c r="BK157" s="176">
        <v>0</v>
      </c>
      <c r="BL157" s="175">
        <f t="shared" si="573"/>
        <v>0</v>
      </c>
      <c r="BM157" s="173">
        <f t="shared" si="574"/>
        <v>0</v>
      </c>
      <c r="BN157" s="173">
        <f t="shared" si="574"/>
        <v>0</v>
      </c>
      <c r="BO157" s="174">
        <f t="shared" si="574"/>
        <v>0</v>
      </c>
      <c r="BP157" s="175">
        <f t="shared" si="575"/>
        <v>0</v>
      </c>
      <c r="BQ157" s="173">
        <f t="shared" si="576"/>
        <v>0</v>
      </c>
      <c r="BR157" s="173">
        <f t="shared" si="577"/>
        <v>0</v>
      </c>
      <c r="BS157" s="174">
        <f t="shared" si="578"/>
        <v>0</v>
      </c>
      <c r="BT157" s="175">
        <f t="shared" si="579"/>
        <v>0</v>
      </c>
      <c r="BU157" s="173">
        <f t="shared" si="580"/>
        <v>0</v>
      </c>
      <c r="BV157" s="173">
        <f t="shared" si="581"/>
        <v>0</v>
      </c>
      <c r="BW157" s="174">
        <f t="shared" si="582"/>
        <v>0</v>
      </c>
      <c r="BX157" s="149"/>
      <c r="BY157" s="173">
        <f t="shared" ref="BY157:CM157" si="591">BY47</f>
        <v>0</v>
      </c>
      <c r="BZ157" s="173">
        <f t="shared" si="591"/>
        <v>0</v>
      </c>
      <c r="CA157" s="173">
        <f t="shared" si="591"/>
        <v>0</v>
      </c>
      <c r="CB157" s="173">
        <f t="shared" si="591"/>
        <v>0</v>
      </c>
      <c r="CC157" s="173">
        <f t="shared" si="591"/>
        <v>0</v>
      </c>
      <c r="CD157" s="173">
        <f t="shared" si="591"/>
        <v>0</v>
      </c>
      <c r="CE157" s="173">
        <f t="shared" si="591"/>
        <v>-5.9</v>
      </c>
      <c r="CF157" s="173">
        <f t="shared" si="591"/>
        <v>-136.19999999999999</v>
      </c>
      <c r="CG157" s="173">
        <f t="shared" si="591"/>
        <v>142.1</v>
      </c>
      <c r="CH157" s="173">
        <f t="shared" si="591"/>
        <v>0</v>
      </c>
      <c r="CI157" s="173">
        <f t="shared" si="591"/>
        <v>0</v>
      </c>
      <c r="CJ157" s="173">
        <f t="shared" si="591"/>
        <v>0</v>
      </c>
      <c r="CK157" s="173">
        <f t="shared" si="591"/>
        <v>0</v>
      </c>
      <c r="CL157" s="173">
        <f t="shared" si="591"/>
        <v>0</v>
      </c>
      <c r="CM157" s="173">
        <f t="shared" si="591"/>
        <v>0</v>
      </c>
      <c r="CN157" s="173">
        <f t="shared" si="584"/>
        <v>0</v>
      </c>
      <c r="CO157" s="173">
        <f t="shared" si="584"/>
        <v>0</v>
      </c>
      <c r="CP157" s="174">
        <f t="shared" si="584"/>
        <v>0</v>
      </c>
      <c r="CQ157" s="22"/>
    </row>
    <row r="158" spans="1:95" ht="14.25" customHeight="1" outlineLevel="1">
      <c r="A158" s="12"/>
      <c r="B158" s="25" t="s">
        <v>270</v>
      </c>
      <c r="C158" s="26"/>
      <c r="D158" s="176">
        <v>0</v>
      </c>
      <c r="E158" s="176">
        <f>-1.8</f>
        <v>-1.8</v>
      </c>
      <c r="F158" s="176">
        <v>-1.8</v>
      </c>
      <c r="G158" s="176">
        <v>-1.8</v>
      </c>
      <c r="H158" s="178">
        <f>42.5-71.5</f>
        <v>-29</v>
      </c>
      <c r="I158" s="176">
        <f>68.5-132.7</f>
        <v>-64.199999999999989</v>
      </c>
      <c r="J158" s="176">
        <f>119.7-168.2</f>
        <v>-48.499999999999986</v>
      </c>
      <c r="K158" s="176">
        <f>214.3-261.9</f>
        <v>-47.599999999999966</v>
      </c>
      <c r="L158" s="178">
        <f>63.9-16.1</f>
        <v>47.8</v>
      </c>
      <c r="M158" s="176">
        <f>63.9-16.1</f>
        <v>47.8</v>
      </c>
      <c r="N158" s="176">
        <f>63.9-16.1</f>
        <v>47.8</v>
      </c>
      <c r="O158" s="176">
        <f>-0.6+63.9-16.1</f>
        <v>47.199999999999996</v>
      </c>
      <c r="P158" s="178">
        <v>2.2999999999999998</v>
      </c>
      <c r="Q158" s="176">
        <f>-11.9+2.3</f>
        <v>-9.6000000000000014</v>
      </c>
      <c r="R158" s="176">
        <f>-11.9+2.3-9.2</f>
        <v>-18.8</v>
      </c>
      <c r="S158" s="176">
        <f>2.3+7.9-11.9-9.2</f>
        <v>-10.9</v>
      </c>
      <c r="T158" s="645">
        <v>0</v>
      </c>
      <c r="U158" s="644">
        <v>0</v>
      </c>
      <c r="V158" s="176">
        <v>-1.5</v>
      </c>
      <c r="W158" s="176">
        <v>-1.5</v>
      </c>
      <c r="X158" s="178">
        <v>0</v>
      </c>
      <c r="Y158" s="176">
        <v>0</v>
      </c>
      <c r="Z158" s="176">
        <v>0</v>
      </c>
      <c r="AA158" s="176">
        <v>0</v>
      </c>
      <c r="AB158" s="178">
        <v>0</v>
      </c>
      <c r="AC158" s="644">
        <v>0</v>
      </c>
      <c r="AD158" s="176">
        <v>0</v>
      </c>
      <c r="AE158" s="176">
        <v>0</v>
      </c>
      <c r="AF158" s="178">
        <v>0</v>
      </c>
      <c r="AG158" s="176">
        <v>0</v>
      </c>
      <c r="AH158" s="176">
        <v>0</v>
      </c>
      <c r="AI158" s="176">
        <v>0</v>
      </c>
      <c r="AJ158" s="178">
        <v>0</v>
      </c>
      <c r="AK158" s="176">
        <v>0</v>
      </c>
      <c r="AL158" s="176">
        <v>0</v>
      </c>
      <c r="AM158" s="176">
        <v>0</v>
      </c>
      <c r="AN158" s="178">
        <v>0</v>
      </c>
      <c r="AO158" s="176">
        <v>0</v>
      </c>
      <c r="AP158" s="176">
        <v>0</v>
      </c>
      <c r="AQ158" s="176">
        <v>0</v>
      </c>
      <c r="AR158" s="178">
        <v>0</v>
      </c>
      <c r="AS158" s="176">
        <v>0</v>
      </c>
      <c r="AT158" s="176">
        <v>0</v>
      </c>
      <c r="AU158" s="176">
        <v>0</v>
      </c>
      <c r="AV158" s="178">
        <v>0</v>
      </c>
      <c r="AW158" s="176">
        <v>0</v>
      </c>
      <c r="AX158" s="176">
        <v>-40</v>
      </c>
      <c r="AY158" s="176">
        <f>-40-5.8</f>
        <v>-45.8</v>
      </c>
      <c r="AZ158" s="178">
        <v>3.4</v>
      </c>
      <c r="BA158" s="176">
        <v>4.9000000000000004</v>
      </c>
      <c r="BB158" s="176">
        <f>5.5-0.8</f>
        <v>4.7</v>
      </c>
      <c r="BC158" s="176">
        <f>20.4+5.5</f>
        <v>25.9</v>
      </c>
      <c r="BD158" s="178">
        <v>0</v>
      </c>
      <c r="BE158" s="176">
        <f>1-67.7</f>
        <v>-66.7</v>
      </c>
      <c r="BF158" s="176">
        <f>23.8-67.7+104+1.8</f>
        <v>61.899999999999991</v>
      </c>
      <c r="BG158" s="176">
        <f>-67.7+1.8+104+23.8</f>
        <v>61.899999999999991</v>
      </c>
      <c r="BH158" s="178">
        <v>0</v>
      </c>
      <c r="BI158" s="176">
        <v>0.3</v>
      </c>
      <c r="BJ158" s="176">
        <f>20+0.3</f>
        <v>20.3</v>
      </c>
      <c r="BK158" s="176">
        <f>-0.7+20-1.6</f>
        <v>17.7</v>
      </c>
      <c r="BL158" s="175">
        <f t="shared" si="573"/>
        <v>0</v>
      </c>
      <c r="BM158" s="173">
        <f t="shared" si="574"/>
        <v>0</v>
      </c>
      <c r="BN158" s="173">
        <f t="shared" si="574"/>
        <v>0</v>
      </c>
      <c r="BO158" s="174">
        <f t="shared" si="574"/>
        <v>0</v>
      </c>
      <c r="BP158" s="175">
        <f t="shared" si="575"/>
        <v>0</v>
      </c>
      <c r="BQ158" s="173">
        <f t="shared" si="576"/>
        <v>0</v>
      </c>
      <c r="BR158" s="173">
        <f t="shared" si="577"/>
        <v>0</v>
      </c>
      <c r="BS158" s="174">
        <f t="shared" si="578"/>
        <v>0</v>
      </c>
      <c r="BT158" s="175">
        <f t="shared" si="579"/>
        <v>0</v>
      </c>
      <c r="BU158" s="173">
        <f t="shared" si="580"/>
        <v>0</v>
      </c>
      <c r="BV158" s="173">
        <f t="shared" si="581"/>
        <v>0</v>
      </c>
      <c r="BW158" s="174">
        <f t="shared" si="582"/>
        <v>0</v>
      </c>
      <c r="BX158" s="149"/>
      <c r="BY158" s="173">
        <f t="shared" ref="BY158:CM158" si="592">BY48</f>
        <v>-1.8</v>
      </c>
      <c r="BZ158" s="173">
        <f t="shared" si="592"/>
        <v>-47.599999999999966</v>
      </c>
      <c r="CA158" s="173">
        <f t="shared" si="592"/>
        <v>47.199999999999996</v>
      </c>
      <c r="CB158" s="173">
        <f t="shared" si="592"/>
        <v>-10.899999999999999</v>
      </c>
      <c r="CC158" s="173">
        <f t="shared" si="592"/>
        <v>-1.5</v>
      </c>
      <c r="CD158" s="173">
        <f t="shared" si="592"/>
        <v>0</v>
      </c>
      <c r="CE158" s="173">
        <f t="shared" si="592"/>
        <v>0</v>
      </c>
      <c r="CF158" s="173">
        <f t="shared" si="592"/>
        <v>0</v>
      </c>
      <c r="CG158" s="173">
        <f t="shared" si="592"/>
        <v>0</v>
      </c>
      <c r="CH158" s="173">
        <f t="shared" si="592"/>
        <v>0</v>
      </c>
      <c r="CI158" s="173">
        <f t="shared" si="592"/>
        <v>0</v>
      </c>
      <c r="CJ158" s="173">
        <f t="shared" si="592"/>
        <v>-45.8</v>
      </c>
      <c r="CK158" s="173">
        <f t="shared" si="592"/>
        <v>25.9</v>
      </c>
      <c r="CL158" s="173">
        <f t="shared" si="592"/>
        <v>61.899999999999991</v>
      </c>
      <c r="CM158" s="173">
        <f t="shared" si="592"/>
        <v>17.7</v>
      </c>
      <c r="CN158" s="173">
        <f t="shared" si="584"/>
        <v>17.7</v>
      </c>
      <c r="CO158" s="173">
        <f t="shared" si="584"/>
        <v>17.7</v>
      </c>
      <c r="CP158" s="174">
        <f t="shared" si="584"/>
        <v>17.7</v>
      </c>
      <c r="CQ158" s="23"/>
    </row>
    <row r="159" spans="1:95" ht="14.25" customHeight="1" outlineLevel="1" thickBot="1">
      <c r="A159" s="9"/>
      <c r="B159" s="179" t="s">
        <v>271</v>
      </c>
      <c r="C159" s="180"/>
      <c r="D159" s="181">
        <f t="shared" ref="D159:AI159" si="593">SUM(D150:D158)</f>
        <v>-6.2</v>
      </c>
      <c r="E159" s="181">
        <f t="shared" si="593"/>
        <v>-26.400000000000002</v>
      </c>
      <c r="F159" s="181">
        <f t="shared" si="593"/>
        <v>-30.1</v>
      </c>
      <c r="G159" s="181">
        <f t="shared" si="593"/>
        <v>-55.199999999999989</v>
      </c>
      <c r="H159" s="182">
        <f t="shared" si="593"/>
        <v>-60.1</v>
      </c>
      <c r="I159" s="181">
        <f t="shared" si="593"/>
        <v>-133.30000000000001</v>
      </c>
      <c r="J159" s="181">
        <f t="shared" si="593"/>
        <v>-148.29999999999998</v>
      </c>
      <c r="K159" s="181">
        <f t="shared" si="593"/>
        <v>-150.59999999999997</v>
      </c>
      <c r="L159" s="182">
        <f t="shared" si="593"/>
        <v>45.699999999999996</v>
      </c>
      <c r="M159" s="181">
        <f t="shared" si="593"/>
        <v>48.6</v>
      </c>
      <c r="N159" s="181">
        <f t="shared" si="593"/>
        <v>47.399999999999991</v>
      </c>
      <c r="O159" s="181">
        <f t="shared" si="593"/>
        <v>34.79999999999999</v>
      </c>
      <c r="P159" s="182">
        <f t="shared" si="593"/>
        <v>-30.8</v>
      </c>
      <c r="Q159" s="181">
        <f t="shared" si="593"/>
        <v>-143.29999999999998</v>
      </c>
      <c r="R159" s="181">
        <f t="shared" si="593"/>
        <v>-240</v>
      </c>
      <c r="S159" s="181">
        <f t="shared" si="593"/>
        <v>-130.20000000000002</v>
      </c>
      <c r="T159" s="182">
        <f t="shared" si="593"/>
        <v>-43.199999999999996</v>
      </c>
      <c r="U159" s="181">
        <f t="shared" si="593"/>
        <v>-67.199999999999989</v>
      </c>
      <c r="V159" s="181">
        <f t="shared" si="593"/>
        <v>-100.20000000000002</v>
      </c>
      <c r="W159" s="181">
        <f t="shared" si="593"/>
        <v>-276.10000000000002</v>
      </c>
      <c r="X159" s="182">
        <f t="shared" si="593"/>
        <v>184.8</v>
      </c>
      <c r="Y159" s="181">
        <f t="shared" si="593"/>
        <v>155.4</v>
      </c>
      <c r="Z159" s="181">
        <f t="shared" si="593"/>
        <v>125.19999999999999</v>
      </c>
      <c r="AA159" s="181">
        <f t="shared" si="593"/>
        <v>127.69999999999999</v>
      </c>
      <c r="AB159" s="182">
        <f t="shared" si="593"/>
        <v>-22.1</v>
      </c>
      <c r="AC159" s="181">
        <f t="shared" si="593"/>
        <v>-36.9</v>
      </c>
      <c r="AD159" s="181">
        <f t="shared" si="593"/>
        <v>-123</v>
      </c>
      <c r="AE159" s="181">
        <f t="shared" si="593"/>
        <v>-126.30000000000001</v>
      </c>
      <c r="AF159" s="182">
        <f t="shared" si="593"/>
        <v>-63.199999999999989</v>
      </c>
      <c r="AG159" s="181">
        <f t="shared" si="593"/>
        <v>-139.10000000000002</v>
      </c>
      <c r="AH159" s="181">
        <f t="shared" si="593"/>
        <v>-190.3</v>
      </c>
      <c r="AI159" s="181">
        <f t="shared" si="593"/>
        <v>-335.7</v>
      </c>
      <c r="AJ159" s="182">
        <f t="shared" ref="AJ159:BO159" si="594">SUM(AJ150:AJ158)</f>
        <v>-4.2000000000000171</v>
      </c>
      <c r="AK159" s="181">
        <f t="shared" si="594"/>
        <v>-158.20000000000002</v>
      </c>
      <c r="AL159" s="181">
        <f t="shared" si="594"/>
        <v>-309.19999999999993</v>
      </c>
      <c r="AM159" s="181">
        <f t="shared" si="594"/>
        <v>-423.69999999999993</v>
      </c>
      <c r="AN159" s="182">
        <f t="shared" si="594"/>
        <v>-110.20000000000002</v>
      </c>
      <c r="AO159" s="181">
        <f t="shared" si="594"/>
        <v>-93.799999999999983</v>
      </c>
      <c r="AP159" s="181">
        <f t="shared" si="594"/>
        <v>-153.60000000000002</v>
      </c>
      <c r="AQ159" s="181">
        <f t="shared" si="594"/>
        <v>-133.4</v>
      </c>
      <c r="AR159" s="182">
        <f t="shared" si="594"/>
        <v>38</v>
      </c>
      <c r="AS159" s="181">
        <f t="shared" si="594"/>
        <v>-115.9</v>
      </c>
      <c r="AT159" s="181">
        <f t="shared" si="594"/>
        <v>-167.4</v>
      </c>
      <c r="AU159" s="181">
        <f t="shared" si="594"/>
        <v>-118.19999999999999</v>
      </c>
      <c r="AV159" s="182">
        <f t="shared" si="594"/>
        <v>14.900000000000002</v>
      </c>
      <c r="AW159" s="181">
        <f t="shared" si="594"/>
        <v>-72</v>
      </c>
      <c r="AX159" s="181">
        <f t="shared" si="594"/>
        <v>-510.4</v>
      </c>
      <c r="AY159" s="181">
        <f t="shared" si="594"/>
        <v>-565.59999999999991</v>
      </c>
      <c r="AZ159" s="182">
        <f t="shared" si="594"/>
        <v>-54.199999999999996</v>
      </c>
      <c r="BA159" s="181">
        <f t="shared" si="594"/>
        <v>-126.69999999999999</v>
      </c>
      <c r="BB159" s="181">
        <f t="shared" si="594"/>
        <v>-198.40000000000003</v>
      </c>
      <c r="BC159" s="181">
        <f t="shared" si="594"/>
        <v>-264.5</v>
      </c>
      <c r="BD159" s="182">
        <f t="shared" si="594"/>
        <v>-70.800000000000011</v>
      </c>
      <c r="BE159" s="181">
        <f t="shared" si="594"/>
        <v>-189</v>
      </c>
      <c r="BF159" s="181">
        <f t="shared" si="594"/>
        <v>-2374.7999999999997</v>
      </c>
      <c r="BG159" s="181">
        <f t="shared" ref="BG159" si="595">SUM(BG150:BG158)</f>
        <v>-2434.6</v>
      </c>
      <c r="BH159" s="182">
        <f t="shared" si="594"/>
        <v>-55.1</v>
      </c>
      <c r="BI159" s="181">
        <f t="shared" ref="BI159:BK159" si="596">SUM(BI150:BI158)</f>
        <v>-120.9</v>
      </c>
      <c r="BJ159" s="181">
        <f t="shared" si="596"/>
        <v>-193.9</v>
      </c>
      <c r="BK159" s="181">
        <f t="shared" si="596"/>
        <v>-364.5</v>
      </c>
      <c r="BL159" s="182">
        <f t="shared" si="594"/>
        <v>-89.040705000000017</v>
      </c>
      <c r="BM159" s="181">
        <f t="shared" si="594"/>
        <v>-181.88576055000001</v>
      </c>
      <c r="BN159" s="181">
        <f t="shared" si="594"/>
        <v>-276.92362064900004</v>
      </c>
      <c r="BO159" s="181">
        <f t="shared" si="594"/>
        <v>-370.27764605637003</v>
      </c>
      <c r="BP159" s="182">
        <f t="shared" ref="BP159:BS159" si="597">SUM(BP150:BP158)</f>
        <v>-92.836095251633495</v>
      </c>
      <c r="BQ159" s="181">
        <f t="shared" si="597"/>
        <v>-189.14172971089232</v>
      </c>
      <c r="BR159" s="181">
        <f t="shared" si="597"/>
        <v>-287.53870164795165</v>
      </c>
      <c r="BS159" s="181">
        <f t="shared" si="597"/>
        <v>-384.2263309899738</v>
      </c>
      <c r="BT159" s="182">
        <f t="shared" ref="BT159:BW159" si="598">SUM(BT150:BT158)</f>
        <v>-96.290303397802418</v>
      </c>
      <c r="BU159" s="181">
        <f t="shared" si="598"/>
        <v>-196.17055415560429</v>
      </c>
      <c r="BV159" s="181">
        <f t="shared" si="598"/>
        <v>-298.12294764646367</v>
      </c>
      <c r="BW159" s="181">
        <f t="shared" si="598"/>
        <v>-398.33992036409728</v>
      </c>
      <c r="BX159" s="149"/>
      <c r="BY159" s="181">
        <f t="shared" ref="BY159:CN159" si="599">SUM(BY150:BY158)</f>
        <v>-55.199999999999989</v>
      </c>
      <c r="BZ159" s="181">
        <f t="shared" si="599"/>
        <v>-150.59999999999997</v>
      </c>
      <c r="CA159" s="181">
        <f t="shared" si="599"/>
        <v>34.79999999999999</v>
      </c>
      <c r="CB159" s="181">
        <f t="shared" si="599"/>
        <v>-130.20000000000005</v>
      </c>
      <c r="CC159" s="181">
        <f t="shared" si="599"/>
        <v>-276.10000000000002</v>
      </c>
      <c r="CD159" s="181">
        <f t="shared" si="599"/>
        <v>127.69999999999999</v>
      </c>
      <c r="CE159" s="181">
        <f t="shared" si="599"/>
        <v>-126.30000000000001</v>
      </c>
      <c r="CF159" s="181">
        <f t="shared" si="599"/>
        <v>-335.7</v>
      </c>
      <c r="CG159" s="181">
        <f t="shared" si="599"/>
        <v>-423.69999999999993</v>
      </c>
      <c r="CH159" s="181">
        <f t="shared" si="599"/>
        <v>-133.4</v>
      </c>
      <c r="CI159" s="181">
        <f t="shared" si="599"/>
        <v>-118.19999999999999</v>
      </c>
      <c r="CJ159" s="181">
        <f t="shared" si="599"/>
        <v>-565.59999999999991</v>
      </c>
      <c r="CK159" s="181">
        <f t="shared" si="599"/>
        <v>-264.5</v>
      </c>
      <c r="CL159" s="181">
        <f t="shared" si="599"/>
        <v>-2434.6</v>
      </c>
      <c r="CM159" s="181">
        <f t="shared" si="599"/>
        <v>-364.5</v>
      </c>
      <c r="CN159" s="181">
        <f t="shared" si="599"/>
        <v>-734.77764605637003</v>
      </c>
      <c r="CO159" s="181">
        <f t="shared" ref="CO159:CP159" si="600">SUM(CO150:CO158)</f>
        <v>-1119.0039770463438</v>
      </c>
      <c r="CP159" s="183">
        <f t="shared" si="600"/>
        <v>-1517.3438974104411</v>
      </c>
      <c r="CQ159" s="22"/>
    </row>
    <row r="160" spans="1:95" ht="14.25" customHeight="1" outlineLevel="1" thickTop="1">
      <c r="A160" s="9"/>
      <c r="B160" s="23"/>
      <c r="C160" s="24"/>
      <c r="D160" s="176"/>
      <c r="E160" s="176"/>
      <c r="F160" s="176"/>
      <c r="G160" s="176"/>
      <c r="H160" s="178"/>
      <c r="I160" s="176"/>
      <c r="J160" s="176"/>
      <c r="K160" s="176"/>
      <c r="L160" s="178"/>
      <c r="M160" s="176"/>
      <c r="N160" s="176"/>
      <c r="O160" s="176"/>
      <c r="P160" s="178"/>
      <c r="Q160" s="176"/>
      <c r="R160" s="176"/>
      <c r="S160" s="176"/>
      <c r="T160" s="178"/>
      <c r="U160" s="176"/>
      <c r="V160" s="176"/>
      <c r="W160" s="176"/>
      <c r="X160" s="178"/>
      <c r="Y160" s="176"/>
      <c r="Z160" s="176"/>
      <c r="AA160" s="176"/>
      <c r="AB160" s="178"/>
      <c r="AC160" s="176"/>
      <c r="AD160" s="176"/>
      <c r="AE160" s="176"/>
      <c r="AF160" s="178"/>
      <c r="AG160" s="176"/>
      <c r="AH160" s="176"/>
      <c r="AI160" s="176"/>
      <c r="AJ160" s="178"/>
      <c r="AK160" s="176"/>
      <c r="AL160" s="176"/>
      <c r="AM160" s="176"/>
      <c r="AN160" s="178"/>
      <c r="AO160" s="176"/>
      <c r="AP160" s="176"/>
      <c r="AQ160" s="176"/>
      <c r="AR160" s="178"/>
      <c r="AS160" s="176"/>
      <c r="AT160" s="176"/>
      <c r="AU160" s="176"/>
      <c r="AV160" s="178"/>
      <c r="AW160" s="176"/>
      <c r="AX160" s="176"/>
      <c r="AY160" s="176"/>
      <c r="AZ160" s="178"/>
      <c r="BA160" s="176"/>
      <c r="BB160" s="176"/>
      <c r="BC160" s="176"/>
      <c r="BD160" s="178"/>
      <c r="BE160" s="176"/>
      <c r="BF160" s="176"/>
      <c r="BG160" s="176"/>
      <c r="BH160" s="175"/>
      <c r="BI160" s="176"/>
      <c r="BJ160" s="176"/>
      <c r="BK160" s="176"/>
      <c r="BL160" s="175"/>
      <c r="BM160" s="173"/>
      <c r="BN160" s="173"/>
      <c r="BO160" s="174"/>
      <c r="BP160" s="175"/>
      <c r="BQ160" s="173"/>
      <c r="BR160" s="173"/>
      <c r="BS160" s="174"/>
      <c r="BT160" s="175"/>
      <c r="BU160" s="173"/>
      <c r="BV160" s="173"/>
      <c r="BW160" s="174"/>
      <c r="BX160" s="149"/>
      <c r="BY160" s="176"/>
      <c r="BZ160" s="176"/>
      <c r="CA160" s="176"/>
      <c r="CB160" s="176"/>
      <c r="CC160" s="176"/>
      <c r="CD160" s="176"/>
      <c r="CE160" s="176"/>
      <c r="CF160" s="176"/>
      <c r="CG160" s="176"/>
      <c r="CH160" s="176"/>
      <c r="CI160" s="176"/>
      <c r="CJ160" s="176"/>
      <c r="CK160" s="176"/>
      <c r="CL160" s="176"/>
      <c r="CM160" s="176"/>
      <c r="CN160" s="176"/>
      <c r="CO160" s="176"/>
      <c r="CP160" s="174"/>
      <c r="CQ160" s="22"/>
    </row>
    <row r="161" spans="1:95" ht="14.25" customHeight="1" outlineLevel="1">
      <c r="A161" s="9"/>
      <c r="B161" s="184" t="s">
        <v>272</v>
      </c>
      <c r="C161" s="185"/>
      <c r="D161" s="176"/>
      <c r="E161" s="176"/>
      <c r="F161" s="176"/>
      <c r="G161" s="176"/>
      <c r="H161" s="178"/>
      <c r="I161" s="176"/>
      <c r="J161" s="176"/>
      <c r="K161" s="176"/>
      <c r="L161" s="178"/>
      <c r="M161" s="176"/>
      <c r="N161" s="176"/>
      <c r="O161" s="176"/>
      <c r="P161" s="178"/>
      <c r="Q161" s="176"/>
      <c r="R161" s="176"/>
      <c r="S161" s="176"/>
      <c r="T161" s="178"/>
      <c r="U161" s="176"/>
      <c r="V161" s="176"/>
      <c r="W161" s="176"/>
      <c r="X161" s="178"/>
      <c r="Y161" s="176"/>
      <c r="Z161" s="176"/>
      <c r="AA161" s="176"/>
      <c r="AB161" s="178"/>
      <c r="AC161" s="176"/>
      <c r="AD161" s="176"/>
      <c r="AE161" s="176"/>
      <c r="AF161" s="178"/>
      <c r="AG161" s="176"/>
      <c r="AH161" s="176"/>
      <c r="AI161" s="176"/>
      <c r="AJ161" s="178"/>
      <c r="AK161" s="176"/>
      <c r="AL161" s="176"/>
      <c r="AM161" s="176"/>
      <c r="AN161" s="178"/>
      <c r="AO161" s="176"/>
      <c r="AP161" s="176"/>
      <c r="AQ161" s="176"/>
      <c r="AR161" s="178"/>
      <c r="AS161" s="176"/>
      <c r="AT161" s="176"/>
      <c r="AU161" s="176"/>
      <c r="AV161" s="178"/>
      <c r="AW161" s="176"/>
      <c r="AX161" s="176"/>
      <c r="AY161" s="176"/>
      <c r="AZ161" s="178"/>
      <c r="BA161" s="176"/>
      <c r="BB161" s="176"/>
      <c r="BC161" s="176"/>
      <c r="BD161" s="178"/>
      <c r="BE161" s="176"/>
      <c r="BF161" s="176"/>
      <c r="BG161" s="176"/>
      <c r="BH161" s="175"/>
      <c r="BI161" s="176"/>
      <c r="BJ161" s="176"/>
      <c r="BK161" s="176"/>
      <c r="BL161" s="175"/>
      <c r="BM161" s="173"/>
      <c r="BN161" s="173"/>
      <c r="BO161" s="174"/>
      <c r="BP161" s="175"/>
      <c r="BQ161" s="173"/>
      <c r="BR161" s="173"/>
      <c r="BS161" s="174"/>
      <c r="BT161" s="175"/>
      <c r="BU161" s="173"/>
      <c r="BV161" s="173"/>
      <c r="BW161" s="174"/>
      <c r="BX161" s="149"/>
      <c r="BY161" s="176"/>
      <c r="BZ161" s="176"/>
      <c r="CA161" s="176"/>
      <c r="CB161" s="176"/>
      <c r="CC161" s="176"/>
      <c r="CD161" s="176"/>
      <c r="CE161" s="176"/>
      <c r="CF161" s="176"/>
      <c r="CG161" s="176"/>
      <c r="CH161" s="176"/>
      <c r="CI161" s="176"/>
      <c r="CJ161" s="176"/>
      <c r="CK161" s="176"/>
      <c r="CL161" s="176"/>
      <c r="CM161" s="176"/>
      <c r="CN161" s="176"/>
      <c r="CO161" s="176"/>
      <c r="CP161" s="174"/>
      <c r="CQ161" s="22"/>
    </row>
    <row r="162" spans="1:95" ht="14.25" customHeight="1" outlineLevel="1">
      <c r="A162" s="9"/>
      <c r="B162" s="25" t="s">
        <v>426</v>
      </c>
      <c r="C162" s="26"/>
      <c r="D162" s="176">
        <v>0.2</v>
      </c>
      <c r="E162" s="176">
        <v>0.4</v>
      </c>
      <c r="F162" s="176">
        <v>0.7</v>
      </c>
      <c r="G162" s="176">
        <v>1.2</v>
      </c>
      <c r="H162" s="178">
        <v>0.5</v>
      </c>
      <c r="I162" s="176">
        <v>1</v>
      </c>
      <c r="J162" s="176">
        <v>1.4</v>
      </c>
      <c r="K162" s="176">
        <v>1.9</v>
      </c>
      <c r="L162" s="178">
        <v>0.5</v>
      </c>
      <c r="M162" s="176">
        <v>0.9</v>
      </c>
      <c r="N162" s="176">
        <v>1.4</v>
      </c>
      <c r="O162" s="176">
        <v>1.8</v>
      </c>
      <c r="P162" s="178">
        <v>0.5</v>
      </c>
      <c r="Q162" s="176">
        <v>1.1000000000000001</v>
      </c>
      <c r="R162" s="176">
        <v>2.1</v>
      </c>
      <c r="S162" s="176">
        <v>3.1</v>
      </c>
      <c r="T162" s="178">
        <v>1.1000000000000001</v>
      </c>
      <c r="U162" s="176">
        <v>2.2999999999999998</v>
      </c>
      <c r="V162" s="176">
        <v>3.5</v>
      </c>
      <c r="W162" s="176">
        <v>4.8</v>
      </c>
      <c r="X162" s="178">
        <v>0</v>
      </c>
      <c r="Y162" s="176">
        <v>1</v>
      </c>
      <c r="Z162" s="176">
        <v>15.2</v>
      </c>
      <c r="AA162" s="176">
        <v>5.0999999999999996</v>
      </c>
      <c r="AB162" s="178">
        <v>1</v>
      </c>
      <c r="AC162" s="176">
        <v>2.2000000000000002</v>
      </c>
      <c r="AD162" s="176">
        <v>3.7</v>
      </c>
      <c r="AE162" s="176">
        <v>5.5</v>
      </c>
      <c r="AF162" s="178">
        <v>1.6</v>
      </c>
      <c r="AG162" s="176">
        <v>3.3</v>
      </c>
      <c r="AH162" s="176">
        <v>5.0999999999999996</v>
      </c>
      <c r="AI162" s="176">
        <v>7</v>
      </c>
      <c r="AJ162" s="178">
        <v>1.9</v>
      </c>
      <c r="AK162" s="176">
        <v>4</v>
      </c>
      <c r="AL162" s="176">
        <v>6.1</v>
      </c>
      <c r="AM162" s="176">
        <v>8.1</v>
      </c>
      <c r="AN162" s="178">
        <v>0</v>
      </c>
      <c r="AO162" s="176">
        <v>2.2999999999999998</v>
      </c>
      <c r="AP162" s="176">
        <v>4.3</v>
      </c>
      <c r="AQ162" s="176">
        <v>8.3000000000000007</v>
      </c>
      <c r="AR162" s="178">
        <v>0</v>
      </c>
      <c r="AS162" s="176">
        <v>2.1</v>
      </c>
      <c r="AT162" s="176">
        <v>4.0999999999999996</v>
      </c>
      <c r="AU162" s="176">
        <v>8.3000000000000007</v>
      </c>
      <c r="AV162" s="178">
        <v>0</v>
      </c>
      <c r="AW162" s="176">
        <v>2.5</v>
      </c>
      <c r="AX162" s="176">
        <v>4.8</v>
      </c>
      <c r="AY162" s="176">
        <v>10</v>
      </c>
      <c r="AZ162" s="178">
        <v>3.8</v>
      </c>
      <c r="BA162" s="176">
        <v>7</v>
      </c>
      <c r="BB162" s="176">
        <v>10.9</v>
      </c>
      <c r="BC162" s="176">
        <v>14.6</v>
      </c>
      <c r="BD162" s="178">
        <v>3.6</v>
      </c>
      <c r="BE162" s="176">
        <v>7</v>
      </c>
      <c r="BF162" s="176">
        <v>10.9</v>
      </c>
      <c r="BG162" s="176">
        <v>15</v>
      </c>
      <c r="BH162" s="178">
        <v>5.9</v>
      </c>
      <c r="BI162" s="176">
        <v>11.3</v>
      </c>
      <c r="BJ162" s="176">
        <v>11.4</v>
      </c>
      <c r="BK162" s="176">
        <v>23.6</v>
      </c>
      <c r="BL162" s="175">
        <f t="shared" ref="BL162:BL172" si="601">BL52</f>
        <v>0</v>
      </c>
      <c r="BM162" s="173">
        <f t="shared" ref="BM162:BO172" si="602">BL162+BM52</f>
        <v>0</v>
      </c>
      <c r="BN162" s="173">
        <f t="shared" si="602"/>
        <v>0</v>
      </c>
      <c r="BO162" s="174">
        <f t="shared" si="602"/>
        <v>0</v>
      </c>
      <c r="BP162" s="175">
        <f t="shared" ref="BP162:BP172" si="603">BP52</f>
        <v>0</v>
      </c>
      <c r="BQ162" s="173">
        <f t="shared" ref="BQ162:BQ172" si="604">BP162+BQ52</f>
        <v>0</v>
      </c>
      <c r="BR162" s="173">
        <f t="shared" ref="BR162:BR172" si="605">BQ162+BR52</f>
        <v>0</v>
      </c>
      <c r="BS162" s="174">
        <f t="shared" ref="BS162:BS172" si="606">BR162+BS52</f>
        <v>0</v>
      </c>
      <c r="BT162" s="175">
        <f t="shared" ref="BT162:BT172" si="607">BT52</f>
        <v>0</v>
      </c>
      <c r="BU162" s="173">
        <f t="shared" ref="BU162:BU172" si="608">BT162+BU52</f>
        <v>0</v>
      </c>
      <c r="BV162" s="173">
        <f t="shared" ref="BV162:BV172" si="609">BU162+BV52</f>
        <v>0</v>
      </c>
      <c r="BW162" s="174">
        <f t="shared" ref="BW162:BW172" si="610">BV162+BW52</f>
        <v>0</v>
      </c>
      <c r="BX162" s="149"/>
      <c r="BY162" s="173">
        <f t="shared" ref="BY162:CM162" si="611">BY52</f>
        <v>1.2000000000000002</v>
      </c>
      <c r="BZ162" s="173">
        <f t="shared" si="611"/>
        <v>1.9</v>
      </c>
      <c r="CA162" s="173">
        <f t="shared" si="611"/>
        <v>1.8</v>
      </c>
      <c r="CB162" s="173">
        <f t="shared" si="611"/>
        <v>3.1</v>
      </c>
      <c r="CC162" s="173">
        <f t="shared" si="611"/>
        <v>4.8</v>
      </c>
      <c r="CD162" s="173">
        <f t="shared" si="611"/>
        <v>5.0999999999999996</v>
      </c>
      <c r="CE162" s="173">
        <f t="shared" si="611"/>
        <v>5.5</v>
      </c>
      <c r="CF162" s="173">
        <f t="shared" si="611"/>
        <v>7</v>
      </c>
      <c r="CG162" s="173">
        <f t="shared" si="611"/>
        <v>8.1</v>
      </c>
      <c r="CH162" s="173">
        <f t="shared" si="611"/>
        <v>8.3000000000000007</v>
      </c>
      <c r="CI162" s="173">
        <f t="shared" si="611"/>
        <v>8.3000000000000007</v>
      </c>
      <c r="CJ162" s="173">
        <f t="shared" si="611"/>
        <v>10</v>
      </c>
      <c r="CK162" s="173">
        <f t="shared" si="611"/>
        <v>14.600000000000001</v>
      </c>
      <c r="CL162" s="173">
        <f t="shared" si="611"/>
        <v>15</v>
      </c>
      <c r="CM162" s="173">
        <f t="shared" si="611"/>
        <v>23.6</v>
      </c>
      <c r="CN162" s="173">
        <f t="shared" ref="CN162:CP172" si="612">CM162+CN52</f>
        <v>23.6</v>
      </c>
      <c r="CO162" s="173">
        <f t="shared" si="612"/>
        <v>23.6</v>
      </c>
      <c r="CP162" s="174">
        <f t="shared" si="612"/>
        <v>23.6</v>
      </c>
      <c r="CQ162" s="22"/>
    </row>
    <row r="163" spans="1:95" ht="14.25" customHeight="1" outlineLevel="1">
      <c r="A163" s="9"/>
      <c r="B163" s="25" t="s">
        <v>427</v>
      </c>
      <c r="C163" s="26"/>
      <c r="D163" s="176">
        <v>0</v>
      </c>
      <c r="E163" s="176">
        <v>0.3</v>
      </c>
      <c r="F163" s="176">
        <v>4.0999999999999996</v>
      </c>
      <c r="G163" s="176">
        <v>5.6</v>
      </c>
      <c r="H163" s="178">
        <v>3.9</v>
      </c>
      <c r="I163" s="176">
        <v>4.5</v>
      </c>
      <c r="J163" s="176">
        <v>5.0999999999999996</v>
      </c>
      <c r="K163" s="176">
        <v>5.9</v>
      </c>
      <c r="L163" s="178">
        <v>0.5</v>
      </c>
      <c r="M163" s="176">
        <v>1</v>
      </c>
      <c r="N163" s="176">
        <v>3.1</v>
      </c>
      <c r="O163" s="176">
        <v>4.5</v>
      </c>
      <c r="P163" s="178">
        <v>5.2</v>
      </c>
      <c r="Q163" s="176">
        <v>8.9</v>
      </c>
      <c r="R163" s="176">
        <v>10</v>
      </c>
      <c r="S163" s="176">
        <v>14.4</v>
      </c>
      <c r="T163" s="178">
        <v>19.2</v>
      </c>
      <c r="U163" s="176">
        <v>28.8</v>
      </c>
      <c r="V163" s="176">
        <v>40.1</v>
      </c>
      <c r="W163" s="176">
        <v>42</v>
      </c>
      <c r="X163" s="178">
        <v>0.6</v>
      </c>
      <c r="Y163" s="176">
        <v>9.9</v>
      </c>
      <c r="Z163" s="176">
        <v>2.1</v>
      </c>
      <c r="AA163" s="176">
        <v>15.3</v>
      </c>
      <c r="AB163" s="178">
        <v>0.4</v>
      </c>
      <c r="AC163" s="176">
        <v>4</v>
      </c>
      <c r="AD163" s="176">
        <v>13.9</v>
      </c>
      <c r="AE163" s="176">
        <v>17.5</v>
      </c>
      <c r="AF163" s="178">
        <v>4.5</v>
      </c>
      <c r="AG163" s="176">
        <v>7.3</v>
      </c>
      <c r="AH163" s="176">
        <v>7.9</v>
      </c>
      <c r="AI163" s="176">
        <v>23.3</v>
      </c>
      <c r="AJ163" s="178">
        <v>41.1</v>
      </c>
      <c r="AK163" s="176">
        <v>57.1</v>
      </c>
      <c r="AL163" s="176">
        <v>58.3</v>
      </c>
      <c r="AM163" s="176">
        <v>59.4</v>
      </c>
      <c r="AN163" s="178">
        <v>4.8</v>
      </c>
      <c r="AO163" s="176">
        <v>5.3</v>
      </c>
      <c r="AP163" s="176">
        <v>6</v>
      </c>
      <c r="AQ163" s="176">
        <v>9.4</v>
      </c>
      <c r="AR163" s="178">
        <v>3.8</v>
      </c>
      <c r="AS163" s="176">
        <v>6.6</v>
      </c>
      <c r="AT163" s="176">
        <v>9.5</v>
      </c>
      <c r="AU163" s="176">
        <v>12.1</v>
      </c>
      <c r="AV163" s="178">
        <v>9.6</v>
      </c>
      <c r="AW163" s="176">
        <v>15.4</v>
      </c>
      <c r="AX163" s="176">
        <v>20.399999999999999</v>
      </c>
      <c r="AY163" s="176">
        <v>24.9</v>
      </c>
      <c r="AZ163" s="178">
        <v>21.4</v>
      </c>
      <c r="BA163" s="176">
        <v>23.7</v>
      </c>
      <c r="BB163" s="176">
        <v>25.1</v>
      </c>
      <c r="BC163" s="176">
        <v>27.1</v>
      </c>
      <c r="BD163" s="178">
        <v>1.6</v>
      </c>
      <c r="BE163" s="176">
        <v>2.2000000000000002</v>
      </c>
      <c r="BF163" s="176">
        <v>5.0999999999999996</v>
      </c>
      <c r="BG163" s="176">
        <v>14.9</v>
      </c>
      <c r="BH163" s="178">
        <v>7.5</v>
      </c>
      <c r="BI163" s="176">
        <v>9.1999999999999993</v>
      </c>
      <c r="BJ163" s="176">
        <v>10.9</v>
      </c>
      <c r="BK163" s="176">
        <v>18</v>
      </c>
      <c r="BL163" s="175">
        <f t="shared" si="601"/>
        <v>0</v>
      </c>
      <c r="BM163" s="173">
        <f t="shared" si="602"/>
        <v>0</v>
      </c>
      <c r="BN163" s="173">
        <f t="shared" si="602"/>
        <v>0</v>
      </c>
      <c r="BO163" s="174">
        <f t="shared" si="602"/>
        <v>0</v>
      </c>
      <c r="BP163" s="175">
        <f t="shared" si="603"/>
        <v>0</v>
      </c>
      <c r="BQ163" s="173">
        <f t="shared" si="604"/>
        <v>0</v>
      </c>
      <c r="BR163" s="173">
        <f t="shared" si="605"/>
        <v>0</v>
      </c>
      <c r="BS163" s="174">
        <f t="shared" si="606"/>
        <v>0</v>
      </c>
      <c r="BT163" s="175">
        <f t="shared" si="607"/>
        <v>0</v>
      </c>
      <c r="BU163" s="173">
        <f t="shared" si="608"/>
        <v>0</v>
      </c>
      <c r="BV163" s="173">
        <f t="shared" si="609"/>
        <v>0</v>
      </c>
      <c r="BW163" s="174">
        <f t="shared" si="610"/>
        <v>0</v>
      </c>
      <c r="BX163" s="149"/>
      <c r="BY163" s="173">
        <f t="shared" ref="BY163:CM163" si="613">BY53</f>
        <v>5.6</v>
      </c>
      <c r="BZ163" s="173">
        <f t="shared" si="613"/>
        <v>5.9</v>
      </c>
      <c r="CA163" s="173">
        <f t="shared" si="613"/>
        <v>4.5</v>
      </c>
      <c r="CB163" s="173">
        <f t="shared" si="613"/>
        <v>14.399999999999999</v>
      </c>
      <c r="CC163" s="173">
        <f t="shared" si="613"/>
        <v>42</v>
      </c>
      <c r="CD163" s="173">
        <f t="shared" si="613"/>
        <v>15.3</v>
      </c>
      <c r="CE163" s="173">
        <f t="shared" si="613"/>
        <v>17.5</v>
      </c>
      <c r="CF163" s="173">
        <f t="shared" si="613"/>
        <v>23.299999999999997</v>
      </c>
      <c r="CG163" s="173">
        <f t="shared" si="613"/>
        <v>59.4</v>
      </c>
      <c r="CH163" s="173">
        <f t="shared" si="613"/>
        <v>9.4</v>
      </c>
      <c r="CI163" s="173">
        <f t="shared" si="613"/>
        <v>12.100000000000001</v>
      </c>
      <c r="CJ163" s="173">
        <f t="shared" si="613"/>
        <v>24.9</v>
      </c>
      <c r="CK163" s="173">
        <f t="shared" si="613"/>
        <v>27.1</v>
      </c>
      <c r="CL163" s="173">
        <f t="shared" si="613"/>
        <v>14.9</v>
      </c>
      <c r="CM163" s="173">
        <f t="shared" si="613"/>
        <v>18</v>
      </c>
      <c r="CN163" s="173">
        <f t="shared" si="612"/>
        <v>18</v>
      </c>
      <c r="CO163" s="173">
        <f t="shared" si="612"/>
        <v>18</v>
      </c>
      <c r="CP163" s="174">
        <f t="shared" si="612"/>
        <v>18</v>
      </c>
      <c r="CQ163" s="22"/>
    </row>
    <row r="164" spans="1:95" ht="14.25" customHeight="1" outlineLevel="1">
      <c r="A164" s="9"/>
      <c r="B164" s="25" t="s">
        <v>186</v>
      </c>
      <c r="C164" s="26"/>
      <c r="D164" s="178">
        <v>0</v>
      </c>
      <c r="E164" s="176">
        <v>0</v>
      </c>
      <c r="F164" s="176">
        <v>158.1</v>
      </c>
      <c r="G164" s="176">
        <v>157.19999999999999</v>
      </c>
      <c r="H164" s="178">
        <v>228.9</v>
      </c>
      <c r="I164" s="176">
        <v>228.3</v>
      </c>
      <c r="J164" s="176">
        <v>228.2</v>
      </c>
      <c r="K164" s="176">
        <v>228.2</v>
      </c>
      <c r="L164" s="178">
        <v>0</v>
      </c>
      <c r="M164" s="176">
        <v>0</v>
      </c>
      <c r="N164" s="176">
        <v>0</v>
      </c>
      <c r="O164" s="176">
        <v>0</v>
      </c>
      <c r="P164" s="178">
        <v>0</v>
      </c>
      <c r="Q164" s="176">
        <v>76.400000000000006</v>
      </c>
      <c r="R164" s="176">
        <v>76.3</v>
      </c>
      <c r="S164" s="176">
        <v>76.099999999999994</v>
      </c>
      <c r="T164" s="178">
        <v>0</v>
      </c>
      <c r="U164" s="176">
        <v>0</v>
      </c>
      <c r="V164" s="176">
        <v>0</v>
      </c>
      <c r="W164" s="177">
        <v>0</v>
      </c>
      <c r="X164" s="178">
        <v>0</v>
      </c>
      <c r="Y164" s="176">
        <v>0</v>
      </c>
      <c r="Z164" s="176">
        <v>0</v>
      </c>
      <c r="AA164" s="177">
        <v>0</v>
      </c>
      <c r="AB164" s="178">
        <v>0</v>
      </c>
      <c r="AC164" s="176">
        <v>0</v>
      </c>
      <c r="AD164" s="176">
        <v>0</v>
      </c>
      <c r="AE164" s="177">
        <v>0</v>
      </c>
      <c r="AF164" s="178">
        <v>0</v>
      </c>
      <c r="AG164" s="176">
        <v>0</v>
      </c>
      <c r="AH164" s="176">
        <v>0</v>
      </c>
      <c r="AI164" s="177">
        <v>0</v>
      </c>
      <c r="AJ164" s="178">
        <v>0</v>
      </c>
      <c r="AK164" s="176">
        <v>0</v>
      </c>
      <c r="AL164" s="176">
        <v>0</v>
      </c>
      <c r="AM164" s="177">
        <v>0</v>
      </c>
      <c r="AN164" s="178">
        <v>0</v>
      </c>
      <c r="AO164" s="176">
        <v>0</v>
      </c>
      <c r="AP164" s="176">
        <v>0</v>
      </c>
      <c r="AQ164" s="177">
        <v>0</v>
      </c>
      <c r="AR164" s="178">
        <v>0</v>
      </c>
      <c r="AS164" s="176">
        <v>0</v>
      </c>
      <c r="AT164" s="176">
        <v>0</v>
      </c>
      <c r="AU164" s="177">
        <v>0</v>
      </c>
      <c r="AV164" s="178">
        <v>0</v>
      </c>
      <c r="AW164" s="176">
        <v>0</v>
      </c>
      <c r="AX164" s="176">
        <v>0</v>
      </c>
      <c r="AY164" s="177">
        <v>0</v>
      </c>
      <c r="AZ164" s="178">
        <v>0</v>
      </c>
      <c r="BA164" s="176">
        <v>0</v>
      </c>
      <c r="BB164" s="176">
        <v>0</v>
      </c>
      <c r="BC164" s="177">
        <v>0</v>
      </c>
      <c r="BD164" s="178">
        <v>0</v>
      </c>
      <c r="BE164" s="176">
        <v>0</v>
      </c>
      <c r="BF164" s="176">
        <v>0</v>
      </c>
      <c r="BG164" s="177">
        <v>0</v>
      </c>
      <c r="BH164" s="178">
        <v>0</v>
      </c>
      <c r="BI164" s="176">
        <v>0</v>
      </c>
      <c r="BJ164" s="176">
        <v>0</v>
      </c>
      <c r="BK164" s="177">
        <v>0</v>
      </c>
      <c r="BL164" s="175">
        <f t="shared" si="601"/>
        <v>0</v>
      </c>
      <c r="BM164" s="173">
        <f t="shared" si="602"/>
        <v>0</v>
      </c>
      <c r="BN164" s="173">
        <f t="shared" si="602"/>
        <v>0</v>
      </c>
      <c r="BO164" s="174">
        <f t="shared" si="602"/>
        <v>0</v>
      </c>
      <c r="BP164" s="175">
        <f t="shared" si="603"/>
        <v>0</v>
      </c>
      <c r="BQ164" s="173">
        <f t="shared" si="604"/>
        <v>0</v>
      </c>
      <c r="BR164" s="173">
        <f t="shared" si="605"/>
        <v>0</v>
      </c>
      <c r="BS164" s="174">
        <f t="shared" si="606"/>
        <v>0</v>
      </c>
      <c r="BT164" s="175">
        <f t="shared" si="607"/>
        <v>0</v>
      </c>
      <c r="BU164" s="173">
        <f t="shared" si="608"/>
        <v>0</v>
      </c>
      <c r="BV164" s="173">
        <f t="shared" si="609"/>
        <v>0</v>
      </c>
      <c r="BW164" s="174">
        <f t="shared" si="610"/>
        <v>0</v>
      </c>
      <c r="BX164" s="149"/>
      <c r="BY164" s="173">
        <f t="shared" ref="BY164:CM164" si="614">BY54</f>
        <v>157.19999999999999</v>
      </c>
      <c r="BZ164" s="173">
        <f t="shared" si="614"/>
        <v>228.2</v>
      </c>
      <c r="CA164" s="173">
        <f t="shared" si="614"/>
        <v>0</v>
      </c>
      <c r="CB164" s="173">
        <f t="shared" si="614"/>
        <v>76.099999999999994</v>
      </c>
      <c r="CC164" s="173">
        <f t="shared" si="614"/>
        <v>0</v>
      </c>
      <c r="CD164" s="173">
        <f t="shared" si="614"/>
        <v>0</v>
      </c>
      <c r="CE164" s="173">
        <f t="shared" si="614"/>
        <v>0</v>
      </c>
      <c r="CF164" s="173">
        <f t="shared" si="614"/>
        <v>0</v>
      </c>
      <c r="CG164" s="173">
        <f t="shared" si="614"/>
        <v>0</v>
      </c>
      <c r="CH164" s="173">
        <f t="shared" si="614"/>
        <v>0</v>
      </c>
      <c r="CI164" s="173">
        <f t="shared" si="614"/>
        <v>0</v>
      </c>
      <c r="CJ164" s="173">
        <f t="shared" si="614"/>
        <v>0</v>
      </c>
      <c r="CK164" s="173">
        <f t="shared" si="614"/>
        <v>0</v>
      </c>
      <c r="CL164" s="173">
        <f t="shared" si="614"/>
        <v>0</v>
      </c>
      <c r="CM164" s="173">
        <f t="shared" si="614"/>
        <v>0</v>
      </c>
      <c r="CN164" s="173">
        <f t="shared" si="612"/>
        <v>0</v>
      </c>
      <c r="CO164" s="173">
        <f t="shared" si="612"/>
        <v>0</v>
      </c>
      <c r="CP164" s="174">
        <f t="shared" si="612"/>
        <v>0</v>
      </c>
      <c r="CQ164" s="22"/>
    </row>
    <row r="165" spans="1:95" ht="14.25" customHeight="1" outlineLevel="1">
      <c r="A165" s="9"/>
      <c r="B165" s="25" t="s">
        <v>428</v>
      </c>
      <c r="C165" s="26"/>
      <c r="D165" s="176">
        <v>0</v>
      </c>
      <c r="E165" s="176">
        <v>0</v>
      </c>
      <c r="F165" s="176">
        <v>0</v>
      </c>
      <c r="G165" s="176">
        <v>0</v>
      </c>
      <c r="H165" s="178">
        <v>0</v>
      </c>
      <c r="I165" s="176">
        <v>0</v>
      </c>
      <c r="J165" s="176">
        <v>0</v>
      </c>
      <c r="K165" s="176">
        <v>0</v>
      </c>
      <c r="L165" s="178">
        <v>0</v>
      </c>
      <c r="M165" s="176">
        <v>0</v>
      </c>
      <c r="N165" s="176">
        <v>0</v>
      </c>
      <c r="O165" s="176">
        <v>0</v>
      </c>
      <c r="P165" s="178">
        <v>0</v>
      </c>
      <c r="Q165" s="176">
        <v>0</v>
      </c>
      <c r="R165" s="176">
        <v>0</v>
      </c>
      <c r="S165" s="176">
        <v>0</v>
      </c>
      <c r="T165" s="178">
        <v>0</v>
      </c>
      <c r="U165" s="176">
        <v>0</v>
      </c>
      <c r="V165" s="176">
        <v>0</v>
      </c>
      <c r="W165" s="176">
        <v>0</v>
      </c>
      <c r="X165" s="178">
        <v>0</v>
      </c>
      <c r="Y165" s="176">
        <v>0</v>
      </c>
      <c r="Z165" s="176">
        <v>0</v>
      </c>
      <c r="AA165" s="176">
        <v>0</v>
      </c>
      <c r="AB165" s="178">
        <v>0</v>
      </c>
      <c r="AC165" s="176">
        <v>0</v>
      </c>
      <c r="AD165" s="176">
        <v>0</v>
      </c>
      <c r="AE165" s="176">
        <v>0</v>
      </c>
      <c r="AF165" s="178">
        <v>0</v>
      </c>
      <c r="AG165" s="176">
        <v>0</v>
      </c>
      <c r="AH165" s="176">
        <v>0</v>
      </c>
      <c r="AI165" s="176"/>
      <c r="AJ165" s="178">
        <v>0</v>
      </c>
      <c r="AK165" s="176">
        <v>0</v>
      </c>
      <c r="AL165" s="176">
        <v>-15.4</v>
      </c>
      <c r="AM165" s="176">
        <v>-19.3</v>
      </c>
      <c r="AN165" s="178">
        <v>0</v>
      </c>
      <c r="AO165" s="176">
        <v>0</v>
      </c>
      <c r="AP165" s="176">
        <v>-8.8000000000000007</v>
      </c>
      <c r="AQ165" s="176">
        <v>-9.6</v>
      </c>
      <c r="AR165" s="178">
        <v>0</v>
      </c>
      <c r="AS165" s="176">
        <v>-2.2000000000000002</v>
      </c>
      <c r="AT165" s="176">
        <v>-2.8</v>
      </c>
      <c r="AU165" s="176">
        <v>-4.5</v>
      </c>
      <c r="AV165" s="178">
        <v>-4.5</v>
      </c>
      <c r="AW165" s="176">
        <v>-5.4</v>
      </c>
      <c r="AX165" s="176">
        <v>-6</v>
      </c>
      <c r="AY165" s="176">
        <v>-9.1</v>
      </c>
      <c r="AZ165" s="178">
        <v>-11.2</v>
      </c>
      <c r="BA165" s="176">
        <v>-11.4</v>
      </c>
      <c r="BB165" s="176">
        <v>-12.4</v>
      </c>
      <c r="BC165" s="176">
        <v>-14.7</v>
      </c>
      <c r="BD165" s="178">
        <v>-8</v>
      </c>
      <c r="BE165" s="176">
        <v>-8.1999999999999993</v>
      </c>
      <c r="BF165" s="176">
        <v>-10.4</v>
      </c>
      <c r="BG165" s="176">
        <v>-12.3</v>
      </c>
      <c r="BH165" s="178">
        <v>-13</v>
      </c>
      <c r="BI165" s="176">
        <v>-13.6</v>
      </c>
      <c r="BJ165" s="176">
        <v>-25</v>
      </c>
      <c r="BK165" s="176">
        <v>-28.1</v>
      </c>
      <c r="BL165" s="175">
        <f t="shared" si="601"/>
        <v>0</v>
      </c>
      <c r="BM165" s="173">
        <f t="shared" si="602"/>
        <v>0</v>
      </c>
      <c r="BN165" s="173">
        <f t="shared" si="602"/>
        <v>0</v>
      </c>
      <c r="BO165" s="174">
        <f t="shared" si="602"/>
        <v>0</v>
      </c>
      <c r="BP165" s="175">
        <f t="shared" si="603"/>
        <v>0</v>
      </c>
      <c r="BQ165" s="173">
        <f t="shared" si="604"/>
        <v>0</v>
      </c>
      <c r="BR165" s="173">
        <f t="shared" si="605"/>
        <v>0</v>
      </c>
      <c r="BS165" s="174">
        <f t="shared" si="606"/>
        <v>0</v>
      </c>
      <c r="BT165" s="175">
        <f t="shared" si="607"/>
        <v>0</v>
      </c>
      <c r="BU165" s="173">
        <f t="shared" si="608"/>
        <v>0</v>
      </c>
      <c r="BV165" s="173">
        <f t="shared" si="609"/>
        <v>0</v>
      </c>
      <c r="BW165" s="174">
        <f t="shared" si="610"/>
        <v>0</v>
      </c>
      <c r="BX165" s="149"/>
      <c r="BY165" s="173">
        <f t="shared" ref="BY165:CM165" si="615">BY55</f>
        <v>0</v>
      </c>
      <c r="BZ165" s="173">
        <f t="shared" si="615"/>
        <v>0</v>
      </c>
      <c r="CA165" s="173">
        <f t="shared" si="615"/>
        <v>0</v>
      </c>
      <c r="CB165" s="173">
        <f t="shared" si="615"/>
        <v>0</v>
      </c>
      <c r="CC165" s="173">
        <f t="shared" si="615"/>
        <v>0</v>
      </c>
      <c r="CD165" s="173">
        <f t="shared" si="615"/>
        <v>0</v>
      </c>
      <c r="CE165" s="173">
        <f t="shared" si="615"/>
        <v>0</v>
      </c>
      <c r="CF165" s="173">
        <f t="shared" si="615"/>
        <v>0</v>
      </c>
      <c r="CG165" s="173">
        <f t="shared" si="615"/>
        <v>-19.3</v>
      </c>
      <c r="CH165" s="173">
        <f t="shared" si="615"/>
        <v>-9.6</v>
      </c>
      <c r="CI165" s="173">
        <f t="shared" si="615"/>
        <v>-4.5</v>
      </c>
      <c r="CJ165" s="173">
        <f t="shared" si="615"/>
        <v>-9.1</v>
      </c>
      <c r="CK165" s="173">
        <f t="shared" si="615"/>
        <v>-14.7</v>
      </c>
      <c r="CL165" s="173">
        <f t="shared" si="615"/>
        <v>-12.3</v>
      </c>
      <c r="CM165" s="173">
        <f t="shared" si="615"/>
        <v>-28.1</v>
      </c>
      <c r="CN165" s="173">
        <f t="shared" si="612"/>
        <v>-28.1</v>
      </c>
      <c r="CO165" s="173">
        <f t="shared" si="612"/>
        <v>-28.1</v>
      </c>
      <c r="CP165" s="174">
        <f t="shared" si="612"/>
        <v>-28.1</v>
      </c>
      <c r="CQ165" s="22"/>
    </row>
    <row r="166" spans="1:95" ht="14.25" customHeight="1" outlineLevel="1">
      <c r="A166" s="9"/>
      <c r="B166" s="25" t="s">
        <v>357</v>
      </c>
      <c r="C166" s="26"/>
      <c r="D166" s="176">
        <v>0</v>
      </c>
      <c r="E166" s="176">
        <v>0</v>
      </c>
      <c r="F166" s="176">
        <v>0</v>
      </c>
      <c r="G166" s="176">
        <v>0</v>
      </c>
      <c r="H166" s="178">
        <v>0</v>
      </c>
      <c r="I166" s="176">
        <v>0</v>
      </c>
      <c r="J166" s="176">
        <v>0</v>
      </c>
      <c r="K166" s="176">
        <v>0</v>
      </c>
      <c r="L166" s="178">
        <v>0</v>
      </c>
      <c r="M166" s="176">
        <v>0</v>
      </c>
      <c r="N166" s="176">
        <v>0</v>
      </c>
      <c r="O166" s="176">
        <v>0</v>
      </c>
      <c r="P166" s="178">
        <v>0</v>
      </c>
      <c r="Q166" s="176">
        <v>0</v>
      </c>
      <c r="R166" s="176">
        <v>0</v>
      </c>
      <c r="S166" s="176">
        <v>-300</v>
      </c>
      <c r="T166" s="178">
        <v>0</v>
      </c>
      <c r="U166" s="176">
        <v>-55.2</v>
      </c>
      <c r="V166" s="176">
        <v>-55.2</v>
      </c>
      <c r="W166" s="176">
        <v>-55.2</v>
      </c>
      <c r="X166" s="178">
        <v>-0.5</v>
      </c>
      <c r="Y166" s="176">
        <v>-0.7</v>
      </c>
      <c r="Z166" s="176">
        <v>-1.7</v>
      </c>
      <c r="AA166" s="176">
        <v>-2.9</v>
      </c>
      <c r="AB166" s="178">
        <v>-0.8</v>
      </c>
      <c r="AC166" s="176">
        <v>-0.9</v>
      </c>
      <c r="AD166" s="176">
        <v>-5</v>
      </c>
      <c r="AE166" s="176">
        <v>-8.6</v>
      </c>
      <c r="AF166" s="178">
        <v>-3.8</v>
      </c>
      <c r="AG166" s="176">
        <v>-7</v>
      </c>
      <c r="AH166" s="176">
        <v>-10.199999999999999</v>
      </c>
      <c r="AI166" s="176">
        <v>-15</v>
      </c>
      <c r="AJ166" s="178">
        <v>-7.6</v>
      </c>
      <c r="AK166" s="176">
        <v>-12.1</v>
      </c>
      <c r="AL166" s="176">
        <v>0</v>
      </c>
      <c r="AM166" s="176">
        <v>0</v>
      </c>
      <c r="AN166" s="178">
        <v>-5.3</v>
      </c>
      <c r="AO166" s="176">
        <v>-8.3000000000000007</v>
      </c>
      <c r="AP166" s="176">
        <v>-22.5</v>
      </c>
      <c r="AQ166" s="176">
        <v>-55.5</v>
      </c>
      <c r="AR166" s="178">
        <v>-2.2000000000000002</v>
      </c>
      <c r="AS166" s="176">
        <v>-9.4</v>
      </c>
      <c r="AT166" s="176">
        <v>-35.799999999999997</v>
      </c>
      <c r="AU166" s="176">
        <v>-101</v>
      </c>
      <c r="AV166" s="178">
        <v>-19.399999999999999</v>
      </c>
      <c r="AW166" s="176">
        <v>-30.8</v>
      </c>
      <c r="AX166" s="176">
        <v>-53.7</v>
      </c>
      <c r="AY166" s="176">
        <v>-121.8</v>
      </c>
      <c r="AZ166" s="178">
        <v>-95</v>
      </c>
      <c r="BA166" s="176">
        <v>-225.1</v>
      </c>
      <c r="BB166" s="176">
        <v>-328.2</v>
      </c>
      <c r="BC166" s="176">
        <v>-348.2</v>
      </c>
      <c r="BD166" s="178">
        <v>0</v>
      </c>
      <c r="BE166" s="176">
        <v>0</v>
      </c>
      <c r="BF166" s="176">
        <v>0</v>
      </c>
      <c r="BG166" s="176">
        <v>0</v>
      </c>
      <c r="BH166" s="178">
        <v>-25</v>
      </c>
      <c r="BI166" s="176">
        <v>-25</v>
      </c>
      <c r="BJ166" s="176">
        <v>-25</v>
      </c>
      <c r="BK166" s="176">
        <v>-25</v>
      </c>
      <c r="BL166" s="175">
        <f t="shared" si="601"/>
        <v>0</v>
      </c>
      <c r="BM166" s="173">
        <f t="shared" si="602"/>
        <v>0</v>
      </c>
      <c r="BN166" s="173">
        <f t="shared" si="602"/>
        <v>0</v>
      </c>
      <c r="BO166" s="174">
        <f t="shared" si="602"/>
        <v>0</v>
      </c>
      <c r="BP166" s="175">
        <f t="shared" si="603"/>
        <v>0</v>
      </c>
      <c r="BQ166" s="173">
        <f t="shared" si="604"/>
        <v>0</v>
      </c>
      <c r="BR166" s="173">
        <f t="shared" si="605"/>
        <v>0</v>
      </c>
      <c r="BS166" s="174">
        <f t="shared" si="606"/>
        <v>0</v>
      </c>
      <c r="BT166" s="175">
        <f t="shared" si="607"/>
        <v>0</v>
      </c>
      <c r="BU166" s="173">
        <f t="shared" si="608"/>
        <v>0</v>
      </c>
      <c r="BV166" s="173">
        <f t="shared" si="609"/>
        <v>0</v>
      </c>
      <c r="BW166" s="174">
        <f t="shared" si="610"/>
        <v>0</v>
      </c>
      <c r="BX166" s="149"/>
      <c r="BY166" s="173">
        <f t="shared" ref="BY166:CM166" si="616">BY56</f>
        <v>0</v>
      </c>
      <c r="BZ166" s="173">
        <f t="shared" si="616"/>
        <v>0</v>
      </c>
      <c r="CA166" s="173">
        <f t="shared" si="616"/>
        <v>0</v>
      </c>
      <c r="CB166" s="173">
        <f t="shared" si="616"/>
        <v>-300</v>
      </c>
      <c r="CC166" s="173">
        <f t="shared" si="616"/>
        <v>-55.2</v>
      </c>
      <c r="CD166" s="173">
        <f t="shared" si="616"/>
        <v>-2.9000000000000004</v>
      </c>
      <c r="CE166" s="173">
        <f t="shared" si="616"/>
        <v>-8.6000000000000014</v>
      </c>
      <c r="CF166" s="173">
        <f t="shared" si="616"/>
        <v>-15</v>
      </c>
      <c r="CG166" s="173">
        <f t="shared" si="616"/>
        <v>0</v>
      </c>
      <c r="CH166" s="173">
        <f t="shared" si="616"/>
        <v>-55.5</v>
      </c>
      <c r="CI166" s="173">
        <f t="shared" si="616"/>
        <v>-101</v>
      </c>
      <c r="CJ166" s="173">
        <f t="shared" si="616"/>
        <v>-121.8</v>
      </c>
      <c r="CK166" s="173">
        <f t="shared" si="616"/>
        <v>-348.2</v>
      </c>
      <c r="CL166" s="173">
        <f t="shared" si="616"/>
        <v>0</v>
      </c>
      <c r="CM166" s="173">
        <f t="shared" si="616"/>
        <v>-25</v>
      </c>
      <c r="CN166" s="173">
        <f t="shared" si="612"/>
        <v>-25</v>
      </c>
      <c r="CO166" s="173">
        <f t="shared" si="612"/>
        <v>-25</v>
      </c>
      <c r="CP166" s="174">
        <f t="shared" si="612"/>
        <v>-25</v>
      </c>
      <c r="CQ166" s="22"/>
    </row>
    <row r="167" spans="1:95" ht="14.25" customHeight="1" outlineLevel="1">
      <c r="A167" s="9"/>
      <c r="B167" s="25" t="s">
        <v>185</v>
      </c>
      <c r="C167" s="26"/>
      <c r="D167" s="176">
        <f>190.9-9.3</f>
        <v>181.6</v>
      </c>
      <c r="E167" s="176">
        <f>190.9-10.6</f>
        <v>180.3</v>
      </c>
      <c r="F167" s="176">
        <f>290.4-14.2</f>
        <v>276.2</v>
      </c>
      <c r="G167" s="176">
        <f>338.4-15.3</f>
        <v>323.09999999999997</v>
      </c>
      <c r="H167" s="178">
        <v>-0.3</v>
      </c>
      <c r="I167" s="176">
        <f>260-10.1</f>
        <v>249.9</v>
      </c>
      <c r="J167" s="176">
        <f>260-10.5</f>
        <v>249.5</v>
      </c>
      <c r="K167" s="176">
        <f>905.5-11</f>
        <v>894.5</v>
      </c>
      <c r="L167" s="178">
        <v>-0.2</v>
      </c>
      <c r="M167" s="176">
        <v>-0.2</v>
      </c>
      <c r="N167" s="176">
        <v>-0.2</v>
      </c>
      <c r="O167" s="176">
        <f>95-3.4</f>
        <v>91.6</v>
      </c>
      <c r="P167" s="178">
        <v>-1.4</v>
      </c>
      <c r="Q167" s="176">
        <v>-1.7</v>
      </c>
      <c r="R167" s="176">
        <f>11-3</f>
        <v>8</v>
      </c>
      <c r="S167" s="176">
        <f>509-15.8</f>
        <v>493.2</v>
      </c>
      <c r="T167" s="178">
        <f>0.5-0.4</f>
        <v>9.9999999999999978E-2</v>
      </c>
      <c r="U167" s="176">
        <f>0.5-0.4</f>
        <v>9.9999999999999978E-2</v>
      </c>
      <c r="V167" s="176">
        <f>0.5-0.4</f>
        <v>9.9999999999999978E-2</v>
      </c>
      <c r="W167" s="176">
        <f>25.5-0.4</f>
        <v>25.1</v>
      </c>
      <c r="X167" s="178">
        <v>0</v>
      </c>
      <c r="Y167" s="176">
        <v>44.1</v>
      </c>
      <c r="Z167" s="176">
        <v>63.6</v>
      </c>
      <c r="AA167" s="176">
        <v>77.099999999999994</v>
      </c>
      <c r="AB167" s="178">
        <v>0</v>
      </c>
      <c r="AC167" s="176">
        <v>7</v>
      </c>
      <c r="AD167" s="176">
        <v>18.7</v>
      </c>
      <c r="AE167" s="176">
        <v>79.5</v>
      </c>
      <c r="AF167" s="178">
        <v>0.2</v>
      </c>
      <c r="AG167" s="176">
        <v>23.2</v>
      </c>
      <c r="AH167" s="176">
        <v>79</v>
      </c>
      <c r="AI167" s="176">
        <v>152</v>
      </c>
      <c r="AJ167" s="178">
        <v>15.2</v>
      </c>
      <c r="AK167" s="176">
        <v>41.3</v>
      </c>
      <c r="AL167" s="176">
        <v>64</v>
      </c>
      <c r="AM167" s="176">
        <v>69</v>
      </c>
      <c r="AN167" s="178">
        <v>2</v>
      </c>
      <c r="AO167" s="176">
        <v>2</v>
      </c>
      <c r="AP167" s="176">
        <v>11.1</v>
      </c>
      <c r="AQ167" s="176">
        <v>23.6</v>
      </c>
      <c r="AR167" s="178">
        <v>26.2</v>
      </c>
      <c r="AS167" s="176">
        <v>26.2</v>
      </c>
      <c r="AT167" s="176">
        <v>46.2</v>
      </c>
      <c r="AU167" s="176">
        <v>173.7</v>
      </c>
      <c r="AV167" s="178">
        <v>0</v>
      </c>
      <c r="AW167" s="176">
        <v>15</v>
      </c>
      <c r="AX167" s="176">
        <v>307.5</v>
      </c>
      <c r="AY167" s="176">
        <v>346.4</v>
      </c>
      <c r="AZ167" s="178">
        <v>6.5</v>
      </c>
      <c r="BA167" s="176">
        <v>755.9</v>
      </c>
      <c r="BB167" s="176">
        <f>808.1-108.9</f>
        <v>699.2</v>
      </c>
      <c r="BC167" s="176">
        <v>816.5</v>
      </c>
      <c r="BD167" s="178">
        <f>4.5-1.2</f>
        <v>3.3</v>
      </c>
      <c r="BE167" s="176">
        <v>9.5</v>
      </c>
      <c r="BF167" s="176">
        <v>2581.9</v>
      </c>
      <c r="BG167" s="176">
        <v>2586.9</v>
      </c>
      <c r="BH167" s="178">
        <f>689.8-0.8</f>
        <v>689</v>
      </c>
      <c r="BI167" s="176">
        <v>695.9</v>
      </c>
      <c r="BJ167" s="176">
        <v>701.2</v>
      </c>
      <c r="BK167" s="176">
        <v>1106.2</v>
      </c>
      <c r="BL167" s="175">
        <f t="shared" si="601"/>
        <v>0</v>
      </c>
      <c r="BM167" s="173">
        <f t="shared" si="602"/>
        <v>0</v>
      </c>
      <c r="BN167" s="173">
        <f t="shared" si="602"/>
        <v>0</v>
      </c>
      <c r="BO167" s="174">
        <f t="shared" si="602"/>
        <v>0</v>
      </c>
      <c r="BP167" s="175">
        <f t="shared" si="603"/>
        <v>0</v>
      </c>
      <c r="BQ167" s="173">
        <f t="shared" si="604"/>
        <v>0</v>
      </c>
      <c r="BR167" s="173">
        <f t="shared" si="605"/>
        <v>0</v>
      </c>
      <c r="BS167" s="174">
        <f t="shared" si="606"/>
        <v>0</v>
      </c>
      <c r="BT167" s="175">
        <f t="shared" si="607"/>
        <v>0</v>
      </c>
      <c r="BU167" s="173">
        <f t="shared" si="608"/>
        <v>0</v>
      </c>
      <c r="BV167" s="173">
        <f t="shared" si="609"/>
        <v>0</v>
      </c>
      <c r="BW167" s="174">
        <f t="shared" si="610"/>
        <v>0</v>
      </c>
      <c r="BX167" s="149"/>
      <c r="BY167" s="173">
        <f t="shared" ref="BY167:CM167" si="617">BY57</f>
        <v>323.09999999999997</v>
      </c>
      <c r="BZ167" s="173">
        <f t="shared" si="617"/>
        <v>894.49999999999989</v>
      </c>
      <c r="CA167" s="173">
        <f t="shared" si="617"/>
        <v>91.6</v>
      </c>
      <c r="CB167" s="173">
        <f t="shared" si="617"/>
        <v>493.2</v>
      </c>
      <c r="CC167" s="173">
        <f t="shared" si="617"/>
        <v>25.1</v>
      </c>
      <c r="CD167" s="173">
        <f t="shared" si="617"/>
        <v>77.099999999999994</v>
      </c>
      <c r="CE167" s="173">
        <f t="shared" si="617"/>
        <v>79.5</v>
      </c>
      <c r="CF167" s="173">
        <f t="shared" si="617"/>
        <v>152</v>
      </c>
      <c r="CG167" s="173">
        <f t="shared" si="617"/>
        <v>69</v>
      </c>
      <c r="CH167" s="173">
        <f t="shared" si="617"/>
        <v>23.6</v>
      </c>
      <c r="CI167" s="173">
        <f t="shared" si="617"/>
        <v>173.7</v>
      </c>
      <c r="CJ167" s="173">
        <f t="shared" si="617"/>
        <v>346.4</v>
      </c>
      <c r="CK167" s="173">
        <f t="shared" si="617"/>
        <v>816.5</v>
      </c>
      <c r="CL167" s="173">
        <f t="shared" si="617"/>
        <v>2586.9</v>
      </c>
      <c r="CM167" s="173">
        <f t="shared" si="617"/>
        <v>1106.2</v>
      </c>
      <c r="CN167" s="173">
        <f t="shared" si="612"/>
        <v>1106.2</v>
      </c>
      <c r="CO167" s="173">
        <f t="shared" si="612"/>
        <v>1106.2</v>
      </c>
      <c r="CP167" s="174">
        <f t="shared" si="612"/>
        <v>1106.2</v>
      </c>
      <c r="CQ167" s="22"/>
    </row>
    <row r="168" spans="1:95" ht="14.25" customHeight="1" outlineLevel="1">
      <c r="A168" s="9"/>
      <c r="B168" s="25" t="s">
        <v>429</v>
      </c>
      <c r="C168" s="26"/>
      <c r="D168" s="176">
        <v>0</v>
      </c>
      <c r="E168" s="176">
        <v>0</v>
      </c>
      <c r="F168" s="176">
        <v>0</v>
      </c>
      <c r="G168" s="176">
        <v>-0.2</v>
      </c>
      <c r="H168" s="178">
        <v>-0.6</v>
      </c>
      <c r="I168" s="176">
        <v>-4.2</v>
      </c>
      <c r="J168" s="176">
        <v>-5.0999999999999996</v>
      </c>
      <c r="K168" s="176">
        <v>-6.2</v>
      </c>
      <c r="L168" s="178">
        <v>-1.8</v>
      </c>
      <c r="M168" s="176">
        <v>-3.1</v>
      </c>
      <c r="N168" s="176">
        <v>-4</v>
      </c>
      <c r="O168" s="176">
        <v>-4.9000000000000004</v>
      </c>
      <c r="P168" s="178">
        <v>-1.7</v>
      </c>
      <c r="Q168" s="176">
        <v>-3.9</v>
      </c>
      <c r="R168" s="176">
        <v>-4.8</v>
      </c>
      <c r="S168" s="176">
        <v>-7.6</v>
      </c>
      <c r="T168" s="178">
        <v>-3.4</v>
      </c>
      <c r="U168" s="176">
        <v>-8.1</v>
      </c>
      <c r="V168" s="176">
        <v>-10.6</v>
      </c>
      <c r="W168" s="176">
        <v>-14</v>
      </c>
      <c r="X168" s="178">
        <v>-7.4</v>
      </c>
      <c r="Y168" s="176">
        <v>-12.9</v>
      </c>
      <c r="Z168" s="176">
        <v>-19.7</v>
      </c>
      <c r="AA168" s="176">
        <v>-27.3</v>
      </c>
      <c r="AB168" s="178">
        <v>-6.2</v>
      </c>
      <c r="AC168" s="176">
        <v>-15.6</v>
      </c>
      <c r="AD168" s="176">
        <v>-21.6</v>
      </c>
      <c r="AE168" s="176">
        <v>-29.5</v>
      </c>
      <c r="AF168" s="178">
        <v>-9.1999999999999993</v>
      </c>
      <c r="AG168" s="176">
        <v>-15.3</v>
      </c>
      <c r="AH168" s="176">
        <v>-24.8</v>
      </c>
      <c r="AI168" s="176">
        <v>-32.299999999999997</v>
      </c>
      <c r="AJ168" s="178">
        <v>-9.9</v>
      </c>
      <c r="AK168" s="176">
        <v>-18.600000000000001</v>
      </c>
      <c r="AL168" s="176">
        <v>-28.1</v>
      </c>
      <c r="AM168" s="176">
        <v>-39</v>
      </c>
      <c r="AN168" s="178">
        <v>-11.4</v>
      </c>
      <c r="AO168" s="176">
        <v>-21.2</v>
      </c>
      <c r="AP168" s="176">
        <v>-30.6</v>
      </c>
      <c r="AQ168" s="176">
        <v>-40.799999999999997</v>
      </c>
      <c r="AR168" s="178">
        <v>-11.5</v>
      </c>
      <c r="AS168" s="176">
        <v>-21.8</v>
      </c>
      <c r="AT168" s="176">
        <v>-31.3</v>
      </c>
      <c r="AU168" s="176">
        <v>-41.7</v>
      </c>
      <c r="AV168" s="178">
        <v>-11.1</v>
      </c>
      <c r="AW168" s="176">
        <v>-21</v>
      </c>
      <c r="AX168" s="176">
        <v>-31.6</v>
      </c>
      <c r="AY168" s="176">
        <v>-43.8</v>
      </c>
      <c r="AZ168" s="178">
        <v>-8.1999999999999993</v>
      </c>
      <c r="BA168" s="176">
        <v>-13.1</v>
      </c>
      <c r="BB168" s="176">
        <v>-17.5</v>
      </c>
      <c r="BC168" s="176">
        <v>-22.3</v>
      </c>
      <c r="BD168" s="178">
        <v>-6.6</v>
      </c>
      <c r="BE168" s="176">
        <v>-9.4</v>
      </c>
      <c r="BF168" s="176">
        <v>-12.2</v>
      </c>
      <c r="BG168" s="176">
        <v>-14.9</v>
      </c>
      <c r="BH168" s="178">
        <v>-5.4</v>
      </c>
      <c r="BI168" s="176">
        <v>-6.5</v>
      </c>
      <c r="BJ168" s="176">
        <v>-7.7</v>
      </c>
      <c r="BK168" s="176">
        <v>-8.9</v>
      </c>
      <c r="BL168" s="175">
        <f t="shared" si="601"/>
        <v>0</v>
      </c>
      <c r="BM168" s="173">
        <f t="shared" si="602"/>
        <v>0</v>
      </c>
      <c r="BN168" s="173">
        <f t="shared" si="602"/>
        <v>0</v>
      </c>
      <c r="BO168" s="174">
        <f t="shared" si="602"/>
        <v>0</v>
      </c>
      <c r="BP168" s="175">
        <f t="shared" si="603"/>
        <v>0</v>
      </c>
      <c r="BQ168" s="173">
        <f t="shared" si="604"/>
        <v>0</v>
      </c>
      <c r="BR168" s="173">
        <f t="shared" si="605"/>
        <v>0</v>
      </c>
      <c r="BS168" s="174">
        <f t="shared" si="606"/>
        <v>0</v>
      </c>
      <c r="BT168" s="175">
        <f t="shared" si="607"/>
        <v>0</v>
      </c>
      <c r="BU168" s="173">
        <f t="shared" si="608"/>
        <v>0</v>
      </c>
      <c r="BV168" s="173">
        <f t="shared" si="609"/>
        <v>0</v>
      </c>
      <c r="BW168" s="174">
        <f t="shared" si="610"/>
        <v>0</v>
      </c>
      <c r="BX168" s="149"/>
      <c r="BY168" s="173">
        <f t="shared" ref="BY168:CM168" si="618">BY58</f>
        <v>-0.2</v>
      </c>
      <c r="BZ168" s="173">
        <f t="shared" si="618"/>
        <v>-6.2</v>
      </c>
      <c r="CA168" s="173">
        <f t="shared" si="618"/>
        <v>-4.9000000000000004</v>
      </c>
      <c r="CB168" s="173">
        <f t="shared" si="618"/>
        <v>-7.6</v>
      </c>
      <c r="CC168" s="173">
        <f t="shared" si="618"/>
        <v>-14</v>
      </c>
      <c r="CD168" s="173">
        <f t="shared" si="618"/>
        <v>-27.299999999999997</v>
      </c>
      <c r="CE168" s="173">
        <f t="shared" si="618"/>
        <v>-29.5</v>
      </c>
      <c r="CF168" s="173">
        <f t="shared" si="618"/>
        <v>-32.299999999999997</v>
      </c>
      <c r="CG168" s="173">
        <f t="shared" si="618"/>
        <v>-39</v>
      </c>
      <c r="CH168" s="173">
        <f t="shared" si="618"/>
        <v>-40.799999999999997</v>
      </c>
      <c r="CI168" s="173">
        <f t="shared" si="618"/>
        <v>-41.7</v>
      </c>
      <c r="CJ168" s="173">
        <f t="shared" si="618"/>
        <v>-43.8</v>
      </c>
      <c r="CK168" s="173">
        <f t="shared" si="618"/>
        <v>-22.3</v>
      </c>
      <c r="CL168" s="173">
        <f t="shared" si="618"/>
        <v>-14.9</v>
      </c>
      <c r="CM168" s="173">
        <f t="shared" si="618"/>
        <v>-8.9</v>
      </c>
      <c r="CN168" s="173">
        <f t="shared" si="612"/>
        <v>-8.9</v>
      </c>
      <c r="CO168" s="173">
        <f t="shared" si="612"/>
        <v>-8.9</v>
      </c>
      <c r="CP168" s="174">
        <f t="shared" si="612"/>
        <v>-8.9</v>
      </c>
      <c r="CQ168" s="22"/>
    </row>
    <row r="169" spans="1:95" ht="14.25" customHeight="1" outlineLevel="1">
      <c r="A169" s="9"/>
      <c r="B169" s="25" t="s">
        <v>430</v>
      </c>
      <c r="C169" s="26"/>
      <c r="D169" s="176">
        <v>-180.9</v>
      </c>
      <c r="E169" s="176">
        <v>-180.9</v>
      </c>
      <c r="F169" s="176">
        <v>-434.7</v>
      </c>
      <c r="G169" s="176">
        <v>-482.5</v>
      </c>
      <c r="H169" s="178">
        <v>-177.9</v>
      </c>
      <c r="I169" s="176">
        <v>-404.9</v>
      </c>
      <c r="J169" s="176">
        <v>-442</v>
      </c>
      <c r="K169" s="176">
        <v>-1088.7</v>
      </c>
      <c r="L169" s="178">
        <v>-7.6</v>
      </c>
      <c r="M169" s="176">
        <v>-13.4</v>
      </c>
      <c r="N169" s="176">
        <v>-25.8</v>
      </c>
      <c r="O169" s="176">
        <v>-188.1</v>
      </c>
      <c r="P169" s="178">
        <v>-4.5999999999999996</v>
      </c>
      <c r="Q169" s="176">
        <v>-7.4</v>
      </c>
      <c r="R169" s="176">
        <v>-71.8</v>
      </c>
      <c r="S169" s="176">
        <v>-462.3</v>
      </c>
      <c r="T169" s="178">
        <v>-26.9</v>
      </c>
      <c r="U169" s="176">
        <v>-28.8</v>
      </c>
      <c r="V169" s="176">
        <v>-32.299999999999997</v>
      </c>
      <c r="W169" s="176">
        <v>-34.1</v>
      </c>
      <c r="X169" s="178">
        <v>-280.8</v>
      </c>
      <c r="Y169" s="176">
        <v>-325.3</v>
      </c>
      <c r="Z169" s="176">
        <v>-349.3</v>
      </c>
      <c r="AA169" s="176">
        <v>-402.9</v>
      </c>
      <c r="AB169" s="178">
        <v>-56.8</v>
      </c>
      <c r="AC169" s="176">
        <v>-101.8</v>
      </c>
      <c r="AD169" s="176">
        <v>-125.1</v>
      </c>
      <c r="AE169" s="176">
        <v>-148.19999999999999</v>
      </c>
      <c r="AF169" s="178">
        <v>-4.4000000000000004</v>
      </c>
      <c r="AG169" s="176">
        <v>-199.5</v>
      </c>
      <c r="AH169" s="176">
        <v>-222.5</v>
      </c>
      <c r="AI169" s="176">
        <v>-254.4</v>
      </c>
      <c r="AJ169" s="178">
        <v>-19.600000000000001</v>
      </c>
      <c r="AK169" s="176">
        <v>-43.8</v>
      </c>
      <c r="AL169" s="176">
        <v>-71</v>
      </c>
      <c r="AM169" s="176">
        <v>-159.5</v>
      </c>
      <c r="AN169" s="178">
        <v>-15.6</v>
      </c>
      <c r="AO169" s="176">
        <v>-146.5</v>
      </c>
      <c r="AP169" s="176">
        <v>-173.3</v>
      </c>
      <c r="AQ169" s="176">
        <v>-232.5</v>
      </c>
      <c r="AR169" s="178">
        <v>-81.5</v>
      </c>
      <c r="AS169" s="176">
        <v>-107.6</v>
      </c>
      <c r="AT169" s="176">
        <v>-130.30000000000001</v>
      </c>
      <c r="AU169" s="176">
        <v>-217.7</v>
      </c>
      <c r="AV169" s="178">
        <v>-12.9</v>
      </c>
      <c r="AW169" s="176">
        <v>-40.700000000000003</v>
      </c>
      <c r="AX169" s="176">
        <v>-63.3</v>
      </c>
      <c r="AY169" s="176">
        <v>-90.6</v>
      </c>
      <c r="AZ169" s="178">
        <v>-30.5</v>
      </c>
      <c r="BA169" s="176">
        <v>-453.1</v>
      </c>
      <c r="BB169" s="176">
        <v>-478.4</v>
      </c>
      <c r="BC169" s="176">
        <v>-495.5</v>
      </c>
      <c r="BD169" s="178">
        <v>-38.4</v>
      </c>
      <c r="BE169" s="176">
        <v>-64</v>
      </c>
      <c r="BF169" s="176">
        <v>-287.60000000000002</v>
      </c>
      <c r="BG169" s="176">
        <v>-313.8</v>
      </c>
      <c r="BH169" s="178">
        <v>-1054.4000000000001</v>
      </c>
      <c r="BI169" s="176">
        <v>-1191.3</v>
      </c>
      <c r="BJ169" s="176">
        <v>-1411.6</v>
      </c>
      <c r="BK169" s="176">
        <v>-1831.4</v>
      </c>
      <c r="BL169" s="175">
        <f t="shared" si="601"/>
        <v>0</v>
      </c>
      <c r="BM169" s="173">
        <f t="shared" si="602"/>
        <v>0</v>
      </c>
      <c r="BN169" s="173">
        <f t="shared" si="602"/>
        <v>0</v>
      </c>
      <c r="BO169" s="174">
        <f t="shared" si="602"/>
        <v>0</v>
      </c>
      <c r="BP169" s="175">
        <f t="shared" si="603"/>
        <v>0</v>
      </c>
      <c r="BQ169" s="173">
        <f t="shared" si="604"/>
        <v>0</v>
      </c>
      <c r="BR169" s="173">
        <f t="shared" si="605"/>
        <v>0</v>
      </c>
      <c r="BS169" s="174">
        <f t="shared" si="606"/>
        <v>0</v>
      </c>
      <c r="BT169" s="175">
        <f t="shared" si="607"/>
        <v>0</v>
      </c>
      <c r="BU169" s="173">
        <f t="shared" si="608"/>
        <v>0</v>
      </c>
      <c r="BV169" s="173">
        <f t="shared" si="609"/>
        <v>0</v>
      </c>
      <c r="BW169" s="174">
        <f t="shared" si="610"/>
        <v>0</v>
      </c>
      <c r="BX169" s="149"/>
      <c r="BY169" s="173">
        <f t="shared" ref="BY169:CM169" si="619">BY59</f>
        <v>-482.5</v>
      </c>
      <c r="BZ169" s="173">
        <f t="shared" si="619"/>
        <v>-1088.7</v>
      </c>
      <c r="CA169" s="173">
        <f t="shared" si="619"/>
        <v>-188.1</v>
      </c>
      <c r="CB169" s="173">
        <f t="shared" si="619"/>
        <v>-462.3</v>
      </c>
      <c r="CC169" s="173">
        <f t="shared" si="619"/>
        <v>-34.1</v>
      </c>
      <c r="CD169" s="173">
        <f t="shared" si="619"/>
        <v>-402.9</v>
      </c>
      <c r="CE169" s="173">
        <f t="shared" si="619"/>
        <v>-148.19999999999999</v>
      </c>
      <c r="CF169" s="173">
        <f t="shared" si="619"/>
        <v>-254.4</v>
      </c>
      <c r="CG169" s="173">
        <f t="shared" si="619"/>
        <v>-159.5</v>
      </c>
      <c r="CH169" s="173">
        <f t="shared" si="619"/>
        <v>-232.5</v>
      </c>
      <c r="CI169" s="173">
        <f t="shared" si="619"/>
        <v>-217.7</v>
      </c>
      <c r="CJ169" s="173">
        <f t="shared" si="619"/>
        <v>-90.6</v>
      </c>
      <c r="CK169" s="173">
        <f t="shared" si="619"/>
        <v>-495.5</v>
      </c>
      <c r="CL169" s="173">
        <f t="shared" si="619"/>
        <v>-313.80000000000007</v>
      </c>
      <c r="CM169" s="173">
        <f t="shared" si="619"/>
        <v>-1831.4</v>
      </c>
      <c r="CN169" s="173">
        <f t="shared" si="612"/>
        <v>-1831.4</v>
      </c>
      <c r="CO169" s="173">
        <f t="shared" si="612"/>
        <v>-1831.4</v>
      </c>
      <c r="CP169" s="174">
        <f t="shared" si="612"/>
        <v>-1831.4</v>
      </c>
      <c r="CQ169" s="22"/>
    </row>
    <row r="170" spans="1:95" ht="14.25" customHeight="1" outlineLevel="1">
      <c r="A170" s="9"/>
      <c r="B170" s="25" t="s">
        <v>431</v>
      </c>
      <c r="C170" s="26"/>
      <c r="D170" s="176">
        <v>0</v>
      </c>
      <c r="E170" s="176">
        <v>0</v>
      </c>
      <c r="F170" s="176">
        <v>0</v>
      </c>
      <c r="G170" s="176">
        <v>0</v>
      </c>
      <c r="H170" s="178">
        <v>0</v>
      </c>
      <c r="I170" s="176">
        <v>0</v>
      </c>
      <c r="J170" s="176">
        <v>0</v>
      </c>
      <c r="K170" s="176">
        <v>0</v>
      </c>
      <c r="L170" s="178">
        <v>0</v>
      </c>
      <c r="M170" s="176">
        <v>0</v>
      </c>
      <c r="N170" s="176">
        <v>0</v>
      </c>
      <c r="O170" s="176">
        <v>0</v>
      </c>
      <c r="P170" s="178">
        <v>0</v>
      </c>
      <c r="Q170" s="176">
        <v>0</v>
      </c>
      <c r="R170" s="176">
        <v>0</v>
      </c>
      <c r="S170" s="176">
        <v>0</v>
      </c>
      <c r="T170" s="178">
        <v>0</v>
      </c>
      <c r="U170" s="176">
        <v>0</v>
      </c>
      <c r="V170" s="176">
        <v>0</v>
      </c>
      <c r="W170" s="176">
        <v>0</v>
      </c>
      <c r="X170" s="178">
        <v>0</v>
      </c>
      <c r="Y170" s="176">
        <v>0</v>
      </c>
      <c r="Z170" s="176">
        <v>0</v>
      </c>
      <c r="AA170" s="176">
        <v>0</v>
      </c>
      <c r="AB170" s="178">
        <v>0</v>
      </c>
      <c r="AC170" s="176">
        <v>0</v>
      </c>
      <c r="AD170" s="176">
        <v>0</v>
      </c>
      <c r="AE170" s="176">
        <v>0</v>
      </c>
      <c r="AF170" s="178">
        <v>0</v>
      </c>
      <c r="AG170" s="176">
        <v>0</v>
      </c>
      <c r="AH170" s="176">
        <v>0</v>
      </c>
      <c r="AI170" s="176">
        <v>0</v>
      </c>
      <c r="AJ170" s="178">
        <v>0</v>
      </c>
      <c r="AK170" s="176">
        <v>0</v>
      </c>
      <c r="AL170" s="176">
        <v>-56.2</v>
      </c>
      <c r="AM170" s="176">
        <v>-15.9</v>
      </c>
      <c r="AN170" s="178">
        <v>0</v>
      </c>
      <c r="AO170" s="176">
        <v>0</v>
      </c>
      <c r="AP170" s="176">
        <v>-2</v>
      </c>
      <c r="AQ170" s="176">
        <v>-2.6</v>
      </c>
      <c r="AR170" s="178">
        <v>0</v>
      </c>
      <c r="AS170" s="176">
        <v>0</v>
      </c>
      <c r="AT170" s="176">
        <v>0</v>
      </c>
      <c r="AU170" s="176">
        <v>-3.2</v>
      </c>
      <c r="AV170" s="178">
        <v>0</v>
      </c>
      <c r="AW170" s="176">
        <v>0</v>
      </c>
      <c r="AX170" s="176">
        <v>0</v>
      </c>
      <c r="AY170" s="176">
        <v>0</v>
      </c>
      <c r="AZ170" s="178">
        <v>0</v>
      </c>
      <c r="BA170" s="176">
        <v>0</v>
      </c>
      <c r="BB170" s="176">
        <v>0</v>
      </c>
      <c r="BC170" s="176">
        <v>0</v>
      </c>
      <c r="BD170" s="178">
        <v>0</v>
      </c>
      <c r="BE170" s="176">
        <v>0</v>
      </c>
      <c r="BF170" s="176">
        <v>0</v>
      </c>
      <c r="BG170" s="176">
        <v>0</v>
      </c>
      <c r="BH170" s="178">
        <v>0</v>
      </c>
      <c r="BI170" s="176">
        <v>0</v>
      </c>
      <c r="BJ170" s="176">
        <v>0</v>
      </c>
      <c r="BK170" s="176">
        <v>0</v>
      </c>
      <c r="BL170" s="175">
        <f t="shared" si="601"/>
        <v>0</v>
      </c>
      <c r="BM170" s="173">
        <f t="shared" si="602"/>
        <v>0</v>
      </c>
      <c r="BN170" s="173">
        <f t="shared" si="602"/>
        <v>0</v>
      </c>
      <c r="BO170" s="174">
        <f t="shared" si="602"/>
        <v>0</v>
      </c>
      <c r="BP170" s="175">
        <f t="shared" si="603"/>
        <v>0</v>
      </c>
      <c r="BQ170" s="173">
        <f t="shared" si="604"/>
        <v>0</v>
      </c>
      <c r="BR170" s="173">
        <f t="shared" si="605"/>
        <v>0</v>
      </c>
      <c r="BS170" s="174">
        <f t="shared" si="606"/>
        <v>0</v>
      </c>
      <c r="BT170" s="175">
        <f t="shared" si="607"/>
        <v>0</v>
      </c>
      <c r="BU170" s="173">
        <f t="shared" si="608"/>
        <v>0</v>
      </c>
      <c r="BV170" s="173">
        <f t="shared" si="609"/>
        <v>0</v>
      </c>
      <c r="BW170" s="174">
        <f t="shared" si="610"/>
        <v>0</v>
      </c>
      <c r="BX170" s="149"/>
      <c r="BY170" s="173">
        <f t="shared" ref="BY170:CM170" si="620">BY60</f>
        <v>0</v>
      </c>
      <c r="BZ170" s="173">
        <f t="shared" si="620"/>
        <v>0</v>
      </c>
      <c r="CA170" s="173">
        <f t="shared" si="620"/>
        <v>0</v>
      </c>
      <c r="CB170" s="173">
        <f t="shared" si="620"/>
        <v>0</v>
      </c>
      <c r="CC170" s="173">
        <f t="shared" si="620"/>
        <v>0</v>
      </c>
      <c r="CD170" s="173">
        <f t="shared" si="620"/>
        <v>0</v>
      </c>
      <c r="CE170" s="173">
        <f t="shared" si="620"/>
        <v>0</v>
      </c>
      <c r="CF170" s="173">
        <f t="shared" si="620"/>
        <v>0</v>
      </c>
      <c r="CG170" s="173">
        <f t="shared" si="620"/>
        <v>-15.899999999999999</v>
      </c>
      <c r="CH170" s="173">
        <f t="shared" si="620"/>
        <v>-2.6</v>
      </c>
      <c r="CI170" s="173">
        <f t="shared" si="620"/>
        <v>-3.2</v>
      </c>
      <c r="CJ170" s="173">
        <f t="shared" si="620"/>
        <v>0</v>
      </c>
      <c r="CK170" s="173">
        <f t="shared" si="620"/>
        <v>0</v>
      </c>
      <c r="CL170" s="173">
        <f t="shared" si="620"/>
        <v>0</v>
      </c>
      <c r="CM170" s="173">
        <f t="shared" si="620"/>
        <v>0</v>
      </c>
      <c r="CN170" s="173">
        <f t="shared" si="612"/>
        <v>0</v>
      </c>
      <c r="CO170" s="173">
        <f t="shared" si="612"/>
        <v>0</v>
      </c>
      <c r="CP170" s="174">
        <f t="shared" si="612"/>
        <v>0</v>
      </c>
      <c r="CQ170" s="22"/>
    </row>
    <row r="171" spans="1:95" ht="14.25" customHeight="1" outlineLevel="1">
      <c r="A171" s="12"/>
      <c r="B171" s="25" t="s">
        <v>512</v>
      </c>
      <c r="C171" s="26"/>
      <c r="D171" s="176">
        <v>0</v>
      </c>
      <c r="E171" s="176">
        <v>0</v>
      </c>
      <c r="F171" s="176">
        <v>0</v>
      </c>
      <c r="G171" s="176">
        <v>0</v>
      </c>
      <c r="H171" s="178">
        <v>0</v>
      </c>
      <c r="I171" s="176">
        <v>0</v>
      </c>
      <c r="J171" s="176">
        <v>0</v>
      </c>
      <c r="K171" s="176">
        <v>0</v>
      </c>
      <c r="L171" s="178">
        <v>0</v>
      </c>
      <c r="M171" s="176">
        <v>0</v>
      </c>
      <c r="N171" s="176">
        <v>0</v>
      </c>
      <c r="O171" s="176">
        <v>0</v>
      </c>
      <c r="P171" s="178">
        <v>0</v>
      </c>
      <c r="Q171" s="176">
        <v>0</v>
      </c>
      <c r="R171" s="176">
        <v>0</v>
      </c>
      <c r="S171" s="176">
        <v>0</v>
      </c>
      <c r="T171" s="178">
        <v>0</v>
      </c>
      <c r="U171" s="176">
        <v>0</v>
      </c>
      <c r="V171" s="176">
        <v>0</v>
      </c>
      <c r="W171" s="176">
        <v>0</v>
      </c>
      <c r="X171" s="178">
        <v>0</v>
      </c>
      <c r="Y171" s="176">
        <v>0</v>
      </c>
      <c r="Z171" s="176">
        <v>0</v>
      </c>
      <c r="AA171" s="176">
        <v>0</v>
      </c>
      <c r="AB171" s="178">
        <v>0</v>
      </c>
      <c r="AC171" s="176">
        <v>0</v>
      </c>
      <c r="AD171" s="176">
        <v>0</v>
      </c>
      <c r="AE171" s="176">
        <v>0</v>
      </c>
      <c r="AF171" s="178">
        <v>0</v>
      </c>
      <c r="AG171" s="176">
        <v>0</v>
      </c>
      <c r="AH171" s="176">
        <v>0</v>
      </c>
      <c r="AI171" s="176">
        <v>0</v>
      </c>
      <c r="AJ171" s="178">
        <v>0</v>
      </c>
      <c r="AK171" s="176">
        <v>0</v>
      </c>
      <c r="AL171" s="176">
        <v>0</v>
      </c>
      <c r="AM171" s="176">
        <v>0</v>
      </c>
      <c r="AN171" s="178">
        <v>0</v>
      </c>
      <c r="AO171" s="176">
        <v>0</v>
      </c>
      <c r="AP171" s="176">
        <v>0</v>
      </c>
      <c r="AQ171" s="176">
        <v>0</v>
      </c>
      <c r="AR171" s="178">
        <v>0</v>
      </c>
      <c r="AS171" s="176">
        <v>0</v>
      </c>
      <c r="AT171" s="176">
        <v>0</v>
      </c>
      <c r="AU171" s="176">
        <v>0</v>
      </c>
      <c r="AV171" s="178">
        <v>0</v>
      </c>
      <c r="AW171" s="176">
        <v>-1.2</v>
      </c>
      <c r="AX171" s="176">
        <v>-2.7</v>
      </c>
      <c r="AY171" s="176">
        <v>-4.2</v>
      </c>
      <c r="AZ171" s="178">
        <v>0</v>
      </c>
      <c r="BA171" s="176">
        <v>0</v>
      </c>
      <c r="BB171" s="176">
        <v>0</v>
      </c>
      <c r="BC171" s="176">
        <v>0</v>
      </c>
      <c r="BD171" s="178">
        <v>0</v>
      </c>
      <c r="BE171" s="176">
        <v>0</v>
      </c>
      <c r="BF171" s="176">
        <v>0</v>
      </c>
      <c r="BG171" s="176">
        <v>0</v>
      </c>
      <c r="BH171" s="178">
        <v>0</v>
      </c>
      <c r="BI171" s="176">
        <v>0</v>
      </c>
      <c r="BJ171" s="176">
        <v>0</v>
      </c>
      <c r="BK171" s="176">
        <v>0</v>
      </c>
      <c r="BL171" s="175">
        <f t="shared" si="601"/>
        <v>0</v>
      </c>
      <c r="BM171" s="173">
        <f t="shared" si="602"/>
        <v>0</v>
      </c>
      <c r="BN171" s="173">
        <f t="shared" si="602"/>
        <v>0</v>
      </c>
      <c r="BO171" s="174">
        <f t="shared" si="602"/>
        <v>0</v>
      </c>
      <c r="BP171" s="175">
        <f t="shared" si="603"/>
        <v>0</v>
      </c>
      <c r="BQ171" s="173">
        <f t="shared" si="604"/>
        <v>0</v>
      </c>
      <c r="BR171" s="173">
        <f t="shared" si="605"/>
        <v>0</v>
      </c>
      <c r="BS171" s="174">
        <f t="shared" si="606"/>
        <v>0</v>
      </c>
      <c r="BT171" s="175">
        <f t="shared" si="607"/>
        <v>0</v>
      </c>
      <c r="BU171" s="173">
        <f t="shared" si="608"/>
        <v>0</v>
      </c>
      <c r="BV171" s="173">
        <f t="shared" si="609"/>
        <v>0</v>
      </c>
      <c r="BW171" s="174">
        <f t="shared" si="610"/>
        <v>0</v>
      </c>
      <c r="BX171" s="149"/>
      <c r="BY171" s="178">
        <v>0</v>
      </c>
      <c r="BZ171" s="176">
        <v>0</v>
      </c>
      <c r="CA171" s="176">
        <v>0</v>
      </c>
      <c r="CB171" s="176">
        <v>0</v>
      </c>
      <c r="CC171" s="176">
        <v>0</v>
      </c>
      <c r="CD171" s="176">
        <v>0</v>
      </c>
      <c r="CE171" s="176">
        <v>0</v>
      </c>
      <c r="CF171" s="176">
        <v>0</v>
      </c>
      <c r="CG171" s="176">
        <v>0</v>
      </c>
      <c r="CH171" s="176">
        <f t="shared" ref="CH171:CM172" si="621">CH61</f>
        <v>0</v>
      </c>
      <c r="CI171" s="176">
        <f t="shared" si="621"/>
        <v>0</v>
      </c>
      <c r="CJ171" s="176">
        <f t="shared" si="621"/>
        <v>-4.2</v>
      </c>
      <c r="CK171" s="176">
        <f t="shared" si="621"/>
        <v>0</v>
      </c>
      <c r="CL171" s="176">
        <f t="shared" si="621"/>
        <v>0</v>
      </c>
      <c r="CM171" s="176">
        <f t="shared" si="621"/>
        <v>0</v>
      </c>
      <c r="CN171" s="176">
        <f t="shared" si="612"/>
        <v>0</v>
      </c>
      <c r="CO171" s="176">
        <f t="shared" si="612"/>
        <v>0</v>
      </c>
      <c r="CP171" s="174">
        <f t="shared" si="612"/>
        <v>0</v>
      </c>
      <c r="CQ171" s="23"/>
    </row>
    <row r="172" spans="1:95" ht="14.25" customHeight="1" outlineLevel="1">
      <c r="A172" s="12"/>
      <c r="B172" s="25" t="s">
        <v>292</v>
      </c>
      <c r="C172" s="26"/>
      <c r="D172" s="176">
        <v>0</v>
      </c>
      <c r="E172" s="176">
        <v>0</v>
      </c>
      <c r="F172" s="176">
        <v>0</v>
      </c>
      <c r="G172" s="176">
        <v>0</v>
      </c>
      <c r="H172" s="178">
        <f>-1</f>
        <v>-1</v>
      </c>
      <c r="I172" s="176">
        <f>-2.1</f>
        <v>-2.1</v>
      </c>
      <c r="J172" s="176">
        <f>-2.1</f>
        <v>-2.1</v>
      </c>
      <c r="K172" s="176">
        <f>-4.2</f>
        <v>-4.2</v>
      </c>
      <c r="L172" s="178">
        <f>-1.5</f>
        <v>-1.5</v>
      </c>
      <c r="M172" s="176">
        <f>-2</f>
        <v>-2</v>
      </c>
      <c r="N172" s="176">
        <f>-2</f>
        <v>-2</v>
      </c>
      <c r="O172" s="176">
        <f>-4.2-0.3</f>
        <v>-4.5</v>
      </c>
      <c r="P172" s="178">
        <v>0</v>
      </c>
      <c r="Q172" s="176">
        <v>-1</v>
      </c>
      <c r="R172" s="176">
        <v>-1.4</v>
      </c>
      <c r="S172" s="176">
        <v>-1.4</v>
      </c>
      <c r="T172" s="178">
        <v>-2.8</v>
      </c>
      <c r="U172" s="644">
        <v>-2.8</v>
      </c>
      <c r="V172" s="176">
        <v>-4.0999999999999996</v>
      </c>
      <c r="W172" s="176">
        <v>-4.0999999999999996</v>
      </c>
      <c r="X172" s="178">
        <v>-1.5</v>
      </c>
      <c r="Y172" s="644">
        <v>-1.5</v>
      </c>
      <c r="Z172" s="644">
        <v>-1.5</v>
      </c>
      <c r="AA172" s="644">
        <v>-1.5</v>
      </c>
      <c r="AB172" s="178">
        <v>0</v>
      </c>
      <c r="AC172" s="176">
        <v>0</v>
      </c>
      <c r="AD172" s="176">
        <v>0</v>
      </c>
      <c r="AE172" s="176">
        <v>0</v>
      </c>
      <c r="AF172" s="178">
        <v>0</v>
      </c>
      <c r="AG172" s="176">
        <v>0</v>
      </c>
      <c r="AH172" s="176">
        <v>0</v>
      </c>
      <c r="AI172" s="176">
        <v>0</v>
      </c>
      <c r="AJ172" s="178">
        <v>0</v>
      </c>
      <c r="AK172" s="176">
        <v>0</v>
      </c>
      <c r="AL172" s="176">
        <v>0</v>
      </c>
      <c r="AM172" s="176">
        <v>0</v>
      </c>
      <c r="AN172" s="178">
        <v>0</v>
      </c>
      <c r="AO172" s="176">
        <v>0</v>
      </c>
      <c r="AP172" s="176">
        <v>-0.3</v>
      </c>
      <c r="AQ172" s="176">
        <v>0</v>
      </c>
      <c r="AR172" s="178">
        <v>0</v>
      </c>
      <c r="AS172" s="176">
        <v>0</v>
      </c>
      <c r="AT172" s="176">
        <v>0</v>
      </c>
      <c r="AU172" s="176">
        <v>0</v>
      </c>
      <c r="AV172" s="178">
        <v>0</v>
      </c>
      <c r="AW172" s="176">
        <v>0</v>
      </c>
      <c r="AX172" s="176">
        <v>0</v>
      </c>
      <c r="AY172" s="176">
        <v>-20.399999999999999</v>
      </c>
      <c r="AZ172" s="178">
        <v>0</v>
      </c>
      <c r="BA172" s="176">
        <f>-108.9+52-19.5</f>
        <v>-76.400000000000006</v>
      </c>
      <c r="BB172" s="176">
        <f>52-20.4</f>
        <v>31.6</v>
      </c>
      <c r="BC172" s="176">
        <f>-108.9+52-20.4</f>
        <v>-77.300000000000011</v>
      </c>
      <c r="BD172" s="178">
        <v>0</v>
      </c>
      <c r="BE172" s="176">
        <v>-3.1</v>
      </c>
      <c r="BF172" s="176">
        <f>-6.5-1.9</f>
        <v>-8.4</v>
      </c>
      <c r="BG172" s="176">
        <f>-6.8-4.3</f>
        <v>-11.1</v>
      </c>
      <c r="BH172" s="178">
        <f>-144.7+85.2</f>
        <v>-59.499999999999986</v>
      </c>
      <c r="BI172" s="176">
        <f>-144.7+85.2</f>
        <v>-59.499999999999986</v>
      </c>
      <c r="BJ172" s="176">
        <f>-144.7+85.2</f>
        <v>-59.499999999999986</v>
      </c>
      <c r="BK172" s="176">
        <f>-1.9+85.2-3.9-144.7</f>
        <v>-65.3</v>
      </c>
      <c r="BL172" s="175">
        <f t="shared" si="601"/>
        <v>0</v>
      </c>
      <c r="BM172" s="173">
        <f t="shared" si="602"/>
        <v>0</v>
      </c>
      <c r="BN172" s="173">
        <f t="shared" si="602"/>
        <v>0</v>
      </c>
      <c r="BO172" s="174">
        <f t="shared" si="602"/>
        <v>0</v>
      </c>
      <c r="BP172" s="175">
        <f t="shared" si="603"/>
        <v>0</v>
      </c>
      <c r="BQ172" s="173">
        <f t="shared" si="604"/>
        <v>0</v>
      </c>
      <c r="BR172" s="173">
        <f t="shared" si="605"/>
        <v>0</v>
      </c>
      <c r="BS172" s="174">
        <f t="shared" si="606"/>
        <v>0</v>
      </c>
      <c r="BT172" s="175">
        <f t="shared" si="607"/>
        <v>0</v>
      </c>
      <c r="BU172" s="173">
        <f t="shared" si="608"/>
        <v>0</v>
      </c>
      <c r="BV172" s="173">
        <f t="shared" si="609"/>
        <v>0</v>
      </c>
      <c r="BW172" s="174">
        <f t="shared" si="610"/>
        <v>0</v>
      </c>
      <c r="BX172" s="149"/>
      <c r="BY172" s="173">
        <f t="shared" ref="BY172:CG172" si="622">BY62</f>
        <v>0</v>
      </c>
      <c r="BZ172" s="173">
        <f t="shared" si="622"/>
        <v>-4.2</v>
      </c>
      <c r="CA172" s="173">
        <f t="shared" si="622"/>
        <v>-4.5</v>
      </c>
      <c r="CB172" s="173">
        <f t="shared" si="622"/>
        <v>-1.4</v>
      </c>
      <c r="CC172" s="173">
        <f t="shared" si="622"/>
        <v>-4.0999999999999996</v>
      </c>
      <c r="CD172" s="173">
        <f t="shared" si="622"/>
        <v>-1.5</v>
      </c>
      <c r="CE172" s="173">
        <f t="shared" si="622"/>
        <v>0</v>
      </c>
      <c r="CF172" s="173">
        <f t="shared" si="622"/>
        <v>0</v>
      </c>
      <c r="CG172" s="173">
        <f t="shared" si="622"/>
        <v>0</v>
      </c>
      <c r="CH172" s="173">
        <f t="shared" si="621"/>
        <v>0</v>
      </c>
      <c r="CI172" s="173">
        <f t="shared" si="621"/>
        <v>0</v>
      </c>
      <c r="CJ172" s="173">
        <f t="shared" si="621"/>
        <v>-20.399999999999999</v>
      </c>
      <c r="CK172" s="173">
        <f t="shared" si="621"/>
        <v>-77.300000000000011</v>
      </c>
      <c r="CL172" s="173">
        <f t="shared" si="621"/>
        <v>-11.1</v>
      </c>
      <c r="CM172" s="173">
        <f t="shared" si="621"/>
        <v>-65.3</v>
      </c>
      <c r="CN172" s="173">
        <f t="shared" si="612"/>
        <v>-65.3</v>
      </c>
      <c r="CO172" s="173">
        <f t="shared" si="612"/>
        <v>-65.3</v>
      </c>
      <c r="CP172" s="174">
        <f t="shared" si="612"/>
        <v>-65.3</v>
      </c>
      <c r="CQ172" s="23"/>
    </row>
    <row r="173" spans="1:95" ht="14.25" customHeight="1" outlineLevel="1" thickBot="1">
      <c r="A173" s="9"/>
      <c r="B173" s="179" t="s">
        <v>273</v>
      </c>
      <c r="C173" s="180"/>
      <c r="D173" s="181">
        <f t="shared" ref="D173:O173" si="623">SUM(D162:D172)</f>
        <v>0.89999999999997726</v>
      </c>
      <c r="E173" s="181">
        <f t="shared" si="623"/>
        <v>9.9999999999994316E-2</v>
      </c>
      <c r="F173" s="181">
        <f t="shared" si="623"/>
        <v>4.4000000000000341</v>
      </c>
      <c r="G173" s="181">
        <f t="shared" si="623"/>
        <v>4.3999999999999773</v>
      </c>
      <c r="H173" s="182">
        <f t="shared" si="623"/>
        <v>53.5</v>
      </c>
      <c r="I173" s="181">
        <f t="shared" si="623"/>
        <v>72.500000000000085</v>
      </c>
      <c r="J173" s="181">
        <f t="shared" si="623"/>
        <v>34.999999999999964</v>
      </c>
      <c r="K173" s="181">
        <f t="shared" si="623"/>
        <v>31.39999999999991</v>
      </c>
      <c r="L173" s="182">
        <f t="shared" si="623"/>
        <v>-10.1</v>
      </c>
      <c r="M173" s="181">
        <f t="shared" si="623"/>
        <v>-16.8</v>
      </c>
      <c r="N173" s="181">
        <f t="shared" si="623"/>
        <v>-27.5</v>
      </c>
      <c r="O173" s="181">
        <f t="shared" si="623"/>
        <v>-99.600000000000009</v>
      </c>
      <c r="P173" s="182">
        <f t="shared" ref="P173:AT173" si="624">SUM(P162:P172)</f>
        <v>-1.9999999999999991</v>
      </c>
      <c r="Q173" s="181">
        <f t="shared" si="624"/>
        <v>72.399999999999991</v>
      </c>
      <c r="R173" s="181">
        <f t="shared" si="624"/>
        <v>18.399999999999999</v>
      </c>
      <c r="S173" s="181">
        <f t="shared" si="624"/>
        <v>-184.50000000000009</v>
      </c>
      <c r="T173" s="182">
        <f t="shared" si="624"/>
        <v>-12.699999999999996</v>
      </c>
      <c r="U173" s="181">
        <f t="shared" si="624"/>
        <v>-63.7</v>
      </c>
      <c r="V173" s="181">
        <f t="shared" si="624"/>
        <v>-58.5</v>
      </c>
      <c r="W173" s="181">
        <f t="shared" si="624"/>
        <v>-35.500000000000007</v>
      </c>
      <c r="X173" s="182">
        <f t="shared" si="624"/>
        <v>-289.60000000000002</v>
      </c>
      <c r="Y173" s="181">
        <f t="shared" si="624"/>
        <v>-285.39999999999998</v>
      </c>
      <c r="Z173" s="181">
        <f t="shared" si="624"/>
        <v>-291.3</v>
      </c>
      <c r="AA173" s="181">
        <f t="shared" si="624"/>
        <v>-337.09999999999997</v>
      </c>
      <c r="AB173" s="182">
        <f t="shared" si="624"/>
        <v>-62.4</v>
      </c>
      <c r="AC173" s="181">
        <f t="shared" si="624"/>
        <v>-105.1</v>
      </c>
      <c r="AD173" s="181">
        <f t="shared" si="624"/>
        <v>-115.39999999999999</v>
      </c>
      <c r="AE173" s="181">
        <f t="shared" si="624"/>
        <v>-83.799999999999983</v>
      </c>
      <c r="AF173" s="182">
        <f t="shared" si="624"/>
        <v>-11.1</v>
      </c>
      <c r="AG173" s="181">
        <f t="shared" si="624"/>
        <v>-188</v>
      </c>
      <c r="AH173" s="181">
        <f t="shared" si="624"/>
        <v>-165.5</v>
      </c>
      <c r="AI173" s="181">
        <f t="shared" si="624"/>
        <v>-119.4</v>
      </c>
      <c r="AJ173" s="182">
        <f t="shared" si="624"/>
        <v>21.099999999999994</v>
      </c>
      <c r="AK173" s="181">
        <f t="shared" si="624"/>
        <v>27.899999999999991</v>
      </c>
      <c r="AL173" s="181">
        <f t="shared" si="624"/>
        <v>-42.3</v>
      </c>
      <c r="AM173" s="181">
        <f t="shared" si="624"/>
        <v>-97.2</v>
      </c>
      <c r="AN173" s="182">
        <f t="shared" si="624"/>
        <v>-25.5</v>
      </c>
      <c r="AO173" s="181">
        <f t="shared" si="624"/>
        <v>-166.4</v>
      </c>
      <c r="AP173" s="181">
        <f t="shared" si="624"/>
        <v>-216.10000000000002</v>
      </c>
      <c r="AQ173" s="181">
        <f t="shared" si="624"/>
        <v>-299.70000000000005</v>
      </c>
      <c r="AR173" s="182">
        <f t="shared" si="624"/>
        <v>-65.2</v>
      </c>
      <c r="AS173" s="181">
        <f t="shared" si="624"/>
        <v>-106.1</v>
      </c>
      <c r="AT173" s="181">
        <f t="shared" si="624"/>
        <v>-140.4</v>
      </c>
      <c r="AU173" s="181">
        <f>SUM(AU162:AU172)</f>
        <v>-174</v>
      </c>
      <c r="AV173" s="182">
        <f t="shared" ref="AV173:BA173" si="625">SUM(AV162:AV172)</f>
        <v>-38.299999999999997</v>
      </c>
      <c r="AW173" s="181">
        <f t="shared" si="625"/>
        <v>-66.2</v>
      </c>
      <c r="AX173" s="181">
        <f>SUM(AX162:AX172)</f>
        <v>175.40000000000003</v>
      </c>
      <c r="AY173" s="181">
        <f>SUM(AY162:AY172)</f>
        <v>91.399999999999977</v>
      </c>
      <c r="AZ173" s="182">
        <f t="shared" si="625"/>
        <v>-113.2</v>
      </c>
      <c r="BA173" s="181">
        <f t="shared" si="625"/>
        <v>7.4999999999998579</v>
      </c>
      <c r="BB173" s="181">
        <f t="shared" ref="BB173:BG173" si="626">SUM(BB162:BB172)</f>
        <v>-69.699999999999903</v>
      </c>
      <c r="BC173" s="181">
        <f t="shared" si="626"/>
        <v>-99.800000000000011</v>
      </c>
      <c r="BD173" s="182">
        <f t="shared" si="626"/>
        <v>-44.5</v>
      </c>
      <c r="BE173" s="181">
        <f t="shared" si="626"/>
        <v>-66</v>
      </c>
      <c r="BF173" s="181">
        <f t="shared" si="626"/>
        <v>2279.3000000000002</v>
      </c>
      <c r="BG173" s="181">
        <f t="shared" si="626"/>
        <v>2264.6999999999998</v>
      </c>
      <c r="BH173" s="182">
        <f t="shared" ref="BH173:BK173" si="627">SUM(BH162:BH172)</f>
        <v>-454.90000000000009</v>
      </c>
      <c r="BI173" s="181">
        <f t="shared" si="627"/>
        <v>-579.5</v>
      </c>
      <c r="BJ173" s="181">
        <f t="shared" si="627"/>
        <v>-805.3</v>
      </c>
      <c r="BK173" s="181">
        <f t="shared" si="627"/>
        <v>-810.90000000000009</v>
      </c>
      <c r="BL173" s="182">
        <f t="shared" ref="BL173:BS173" si="628">SUM(BL162:BL172)</f>
        <v>0</v>
      </c>
      <c r="BM173" s="181">
        <f t="shared" si="628"/>
        <v>0</v>
      </c>
      <c r="BN173" s="181">
        <f t="shared" si="628"/>
        <v>0</v>
      </c>
      <c r="BO173" s="181">
        <f t="shared" si="628"/>
        <v>0</v>
      </c>
      <c r="BP173" s="182">
        <f t="shared" si="628"/>
        <v>0</v>
      </c>
      <c r="BQ173" s="181">
        <f t="shared" si="628"/>
        <v>0</v>
      </c>
      <c r="BR173" s="181">
        <f t="shared" si="628"/>
        <v>0</v>
      </c>
      <c r="BS173" s="181">
        <f t="shared" si="628"/>
        <v>0</v>
      </c>
      <c r="BT173" s="182">
        <f t="shared" ref="BT173:BW173" si="629">SUM(BT162:BT172)</f>
        <v>0</v>
      </c>
      <c r="BU173" s="181">
        <f t="shared" si="629"/>
        <v>0</v>
      </c>
      <c r="BV173" s="181">
        <f t="shared" si="629"/>
        <v>0</v>
      </c>
      <c r="BW173" s="181">
        <f t="shared" si="629"/>
        <v>0</v>
      </c>
      <c r="BX173" s="149"/>
      <c r="BY173" s="181">
        <f t="shared" ref="BY173:CH173" si="630">SUM(BY162:BY172)</f>
        <v>4.3999999999999773</v>
      </c>
      <c r="BZ173" s="181">
        <f t="shared" si="630"/>
        <v>31.39999999999991</v>
      </c>
      <c r="CA173" s="181">
        <f t="shared" si="630"/>
        <v>-99.600000000000009</v>
      </c>
      <c r="CB173" s="181">
        <f t="shared" si="630"/>
        <v>-184.50000000000009</v>
      </c>
      <c r="CC173" s="181">
        <f t="shared" si="630"/>
        <v>-35.500000000000007</v>
      </c>
      <c r="CD173" s="181">
        <f t="shared" si="630"/>
        <v>-337.09999999999997</v>
      </c>
      <c r="CE173" s="181">
        <f t="shared" si="630"/>
        <v>-83.799999999999983</v>
      </c>
      <c r="CF173" s="181">
        <f t="shared" si="630"/>
        <v>-119.4</v>
      </c>
      <c r="CG173" s="181">
        <f t="shared" si="630"/>
        <v>-97.199999999999989</v>
      </c>
      <c r="CH173" s="181">
        <f t="shared" si="630"/>
        <v>-299.70000000000005</v>
      </c>
      <c r="CI173" s="181">
        <f t="shared" ref="CI173:CN173" si="631">SUM(CI162:CI172)</f>
        <v>-174</v>
      </c>
      <c r="CJ173" s="181">
        <f t="shared" si="631"/>
        <v>91.399999999999977</v>
      </c>
      <c r="CK173" s="181">
        <f t="shared" si="631"/>
        <v>-99.800000000000011</v>
      </c>
      <c r="CL173" s="181">
        <f t="shared" si="631"/>
        <v>2264.6999999999998</v>
      </c>
      <c r="CM173" s="181">
        <f t="shared" si="631"/>
        <v>-810.90000000000009</v>
      </c>
      <c r="CN173" s="181">
        <f t="shared" si="631"/>
        <v>-810.90000000000009</v>
      </c>
      <c r="CO173" s="181">
        <f t="shared" ref="CO173:CP173" si="632">SUM(CO162:CO172)</f>
        <v>-810.90000000000009</v>
      </c>
      <c r="CP173" s="183">
        <f t="shared" si="632"/>
        <v>-810.90000000000009</v>
      </c>
      <c r="CQ173" s="22"/>
    </row>
    <row r="174" spans="1:95" ht="14.25" customHeight="1" outlineLevel="1" thickTop="1">
      <c r="A174" s="9"/>
      <c r="B174" s="45"/>
      <c r="C174" s="46"/>
      <c r="D174" s="186"/>
      <c r="E174" s="186"/>
      <c r="F174" s="186"/>
      <c r="G174" s="186"/>
      <c r="H174" s="187"/>
      <c r="I174" s="186"/>
      <c r="J174" s="186"/>
      <c r="K174" s="186"/>
      <c r="L174" s="187"/>
      <c r="M174" s="186"/>
      <c r="N174" s="186"/>
      <c r="O174" s="186"/>
      <c r="P174" s="187"/>
      <c r="Q174" s="186"/>
      <c r="R174" s="186"/>
      <c r="S174" s="186"/>
      <c r="T174" s="187"/>
      <c r="U174" s="186"/>
      <c r="V174" s="186"/>
      <c r="W174" s="186"/>
      <c r="X174" s="187"/>
      <c r="Y174" s="186"/>
      <c r="Z174" s="186"/>
      <c r="AA174" s="186"/>
      <c r="AB174" s="187"/>
      <c r="AC174" s="186"/>
      <c r="AD174" s="186"/>
      <c r="AE174" s="186"/>
      <c r="AF174" s="187"/>
      <c r="AG174" s="186"/>
      <c r="AH174" s="186"/>
      <c r="AI174" s="186"/>
      <c r="AJ174" s="187"/>
      <c r="AK174" s="186"/>
      <c r="AL174" s="186"/>
      <c r="AM174" s="186"/>
      <c r="AN174" s="187"/>
      <c r="AO174" s="186"/>
      <c r="AP174" s="186"/>
      <c r="AQ174" s="186"/>
      <c r="AR174" s="187"/>
      <c r="AS174" s="186"/>
      <c r="AT174" s="186"/>
      <c r="AU174" s="186"/>
      <c r="AV174" s="187"/>
      <c r="AW174" s="186"/>
      <c r="AX174" s="186"/>
      <c r="AY174" s="186"/>
      <c r="AZ174" s="187"/>
      <c r="BA174" s="186"/>
      <c r="BB174" s="186"/>
      <c r="BC174" s="186"/>
      <c r="BD174" s="187"/>
      <c r="BE174" s="186"/>
      <c r="BF174" s="186"/>
      <c r="BG174" s="186"/>
      <c r="BH174" s="187"/>
      <c r="BI174" s="186"/>
      <c r="BJ174" s="186"/>
      <c r="BK174" s="186"/>
      <c r="BL174" s="187"/>
      <c r="BM174" s="186"/>
      <c r="BN174" s="186"/>
      <c r="BO174" s="188"/>
      <c r="BP174" s="187"/>
      <c r="BQ174" s="186"/>
      <c r="BR174" s="186"/>
      <c r="BS174" s="188"/>
      <c r="BT174" s="187"/>
      <c r="BU174" s="186"/>
      <c r="BV174" s="186"/>
      <c r="BW174" s="188"/>
      <c r="BX174" s="149"/>
      <c r="BY174" s="186"/>
      <c r="BZ174" s="186"/>
      <c r="CA174" s="186"/>
      <c r="CB174" s="186"/>
      <c r="CC174" s="186"/>
      <c r="CD174" s="186"/>
      <c r="CE174" s="186"/>
      <c r="CF174" s="186"/>
      <c r="CG174" s="186"/>
      <c r="CH174" s="186"/>
      <c r="CI174" s="186"/>
      <c r="CJ174" s="186"/>
      <c r="CK174" s="186"/>
      <c r="CL174" s="186"/>
      <c r="CM174" s="186"/>
      <c r="CN174" s="186"/>
      <c r="CO174" s="186"/>
      <c r="CP174" s="1453"/>
      <c r="CQ174" s="22"/>
    </row>
    <row r="175" spans="1:95" ht="14.25" customHeight="1" outlineLevel="1">
      <c r="A175" s="9"/>
      <c r="B175" s="45" t="s">
        <v>274</v>
      </c>
      <c r="C175" s="46"/>
      <c r="D175" s="176">
        <v>0.3</v>
      </c>
      <c r="E175" s="176">
        <v>0.4</v>
      </c>
      <c r="F175" s="176">
        <v>1</v>
      </c>
      <c r="G175" s="176">
        <v>1.3</v>
      </c>
      <c r="H175" s="178">
        <v>0.1</v>
      </c>
      <c r="I175" s="176">
        <v>-0.3</v>
      </c>
      <c r="J175" s="176">
        <v>-0.8</v>
      </c>
      <c r="K175" s="176">
        <v>-0.1</v>
      </c>
      <c r="L175" s="178">
        <v>0</v>
      </c>
      <c r="M175" s="176">
        <v>-0.1</v>
      </c>
      <c r="N175" s="176">
        <v>-0.2</v>
      </c>
      <c r="O175" s="176">
        <v>-0.7</v>
      </c>
      <c r="P175" s="178">
        <v>0.3</v>
      </c>
      <c r="Q175" s="176">
        <v>0.6</v>
      </c>
      <c r="R175" s="176">
        <v>0.5</v>
      </c>
      <c r="S175" s="176">
        <v>0.4</v>
      </c>
      <c r="T175" s="178">
        <v>-0.2</v>
      </c>
      <c r="U175" s="176">
        <v>-0.6</v>
      </c>
      <c r="V175" s="176">
        <v>0.1</v>
      </c>
      <c r="W175" s="176">
        <v>0.3</v>
      </c>
      <c r="X175" s="178">
        <v>1.2</v>
      </c>
      <c r="Y175" s="176">
        <v>-2.2000000000000002</v>
      </c>
      <c r="Z175" s="176">
        <v>-3.2</v>
      </c>
      <c r="AA175" s="176">
        <v>-0.3</v>
      </c>
      <c r="AB175" s="178">
        <v>-0.5</v>
      </c>
      <c r="AC175" s="176">
        <v>-0.3</v>
      </c>
      <c r="AD175" s="176">
        <v>0.3</v>
      </c>
      <c r="AE175" s="176">
        <v>0.2</v>
      </c>
      <c r="AF175" s="178">
        <v>-0.2</v>
      </c>
      <c r="AG175" s="176">
        <v>0.1</v>
      </c>
      <c r="AH175" s="176">
        <v>1</v>
      </c>
      <c r="AI175" s="176">
        <v>0.9</v>
      </c>
      <c r="AJ175" s="178">
        <v>0.2</v>
      </c>
      <c r="AK175" s="176">
        <v>2</v>
      </c>
      <c r="AL175" s="176">
        <v>6.7</v>
      </c>
      <c r="AM175" s="176">
        <v>5</v>
      </c>
      <c r="AN175" s="178">
        <v>-5.5</v>
      </c>
      <c r="AO175" s="176">
        <v>-2.4</v>
      </c>
      <c r="AP175" s="176">
        <v>-1.2</v>
      </c>
      <c r="AQ175" s="176">
        <v>-8.9</v>
      </c>
      <c r="AR175" s="178">
        <v>-7.9</v>
      </c>
      <c r="AS175" s="176">
        <v>-9.1999999999999993</v>
      </c>
      <c r="AT175" s="176">
        <v>-9.9</v>
      </c>
      <c r="AU175" s="176">
        <v>-12.5</v>
      </c>
      <c r="AV175" s="178">
        <v>1</v>
      </c>
      <c r="AW175" s="176">
        <v>1.1000000000000001</v>
      </c>
      <c r="AX175" s="176">
        <v>-1.2</v>
      </c>
      <c r="AY175" s="176">
        <v>-4.9000000000000004</v>
      </c>
      <c r="AZ175" s="178">
        <v>0.3</v>
      </c>
      <c r="BA175" s="176">
        <v>-1</v>
      </c>
      <c r="BB175" s="176">
        <v>-0.2</v>
      </c>
      <c r="BC175" s="176">
        <v>-0.4</v>
      </c>
      <c r="BD175" s="178">
        <v>2.2999999999999998</v>
      </c>
      <c r="BE175" s="176">
        <v>6.4</v>
      </c>
      <c r="BF175" s="176">
        <v>6.6</v>
      </c>
      <c r="BG175" s="176">
        <v>-0.8</v>
      </c>
      <c r="BH175" s="178">
        <v>2.2999999999999998</v>
      </c>
      <c r="BI175" s="176">
        <v>2.2000000000000002</v>
      </c>
      <c r="BJ175" s="176">
        <v>2.4</v>
      </c>
      <c r="BK175" s="176">
        <v>2.2999999999999998</v>
      </c>
      <c r="BL175" s="175">
        <f>BL65</f>
        <v>0</v>
      </c>
      <c r="BM175" s="173">
        <f>BL175+BM65</f>
        <v>0</v>
      </c>
      <c r="BN175" s="173">
        <f>BM175+BN65</f>
        <v>0</v>
      </c>
      <c r="BO175" s="174">
        <f>BN175+BO65</f>
        <v>0</v>
      </c>
      <c r="BP175" s="175">
        <f>BP65</f>
        <v>0</v>
      </c>
      <c r="BQ175" s="173">
        <f>BP175+BQ65</f>
        <v>0</v>
      </c>
      <c r="BR175" s="173">
        <f>BQ175+BR65</f>
        <v>0</v>
      </c>
      <c r="BS175" s="174">
        <f>BR175+BS65</f>
        <v>0</v>
      </c>
      <c r="BT175" s="175">
        <f>BT65</f>
        <v>0</v>
      </c>
      <c r="BU175" s="173">
        <f>BT175+BU65</f>
        <v>0</v>
      </c>
      <c r="BV175" s="173">
        <f>BU175+BV65</f>
        <v>0</v>
      </c>
      <c r="BW175" s="174">
        <f>BV175+BW65</f>
        <v>0</v>
      </c>
      <c r="BX175" s="149"/>
      <c r="BY175" s="173">
        <f t="shared" ref="BY175:CM175" si="633">BY65</f>
        <v>1.2999999999999998</v>
      </c>
      <c r="BZ175" s="173">
        <f t="shared" si="633"/>
        <v>-0.10000000000000009</v>
      </c>
      <c r="CA175" s="173">
        <f t="shared" si="633"/>
        <v>-0.7</v>
      </c>
      <c r="CB175" s="173">
        <f t="shared" si="633"/>
        <v>0.4</v>
      </c>
      <c r="CC175" s="173">
        <f t="shared" si="633"/>
        <v>0.29999999999999993</v>
      </c>
      <c r="CD175" s="173">
        <f t="shared" si="633"/>
        <v>-0.29999999999999982</v>
      </c>
      <c r="CE175" s="173">
        <f t="shared" si="633"/>
        <v>0.19999999999999996</v>
      </c>
      <c r="CF175" s="173">
        <f t="shared" si="633"/>
        <v>0.90000000000000013</v>
      </c>
      <c r="CG175" s="173">
        <f t="shared" si="633"/>
        <v>5</v>
      </c>
      <c r="CH175" s="173">
        <f t="shared" si="633"/>
        <v>-8.8999999999999986</v>
      </c>
      <c r="CI175" s="173">
        <f t="shared" si="633"/>
        <v>-12.5</v>
      </c>
      <c r="CJ175" s="173">
        <f t="shared" si="633"/>
        <v>-4.9000000000000004</v>
      </c>
      <c r="CK175" s="173">
        <f t="shared" si="633"/>
        <v>-0.39999999999999991</v>
      </c>
      <c r="CL175" s="173">
        <f t="shared" si="633"/>
        <v>-0.79999999999999982</v>
      </c>
      <c r="CM175" s="173">
        <f t="shared" si="633"/>
        <v>2.2999999999999998</v>
      </c>
      <c r="CN175" s="173">
        <f>CM175+CN65</f>
        <v>2.2999999999999998</v>
      </c>
      <c r="CO175" s="173">
        <f>CN175+CO65</f>
        <v>2.2999999999999998</v>
      </c>
      <c r="CP175" s="174">
        <f>CO175+CP65</f>
        <v>2.2999999999999998</v>
      </c>
      <c r="CQ175" s="22"/>
    </row>
    <row r="176" spans="1:95" ht="14.25" customHeight="1" outlineLevel="1">
      <c r="A176" s="9"/>
      <c r="B176" s="45"/>
      <c r="C176" s="46"/>
      <c r="D176" s="189"/>
      <c r="E176" s="189"/>
      <c r="F176" s="189"/>
      <c r="G176" s="189"/>
      <c r="H176" s="191"/>
      <c r="I176" s="189"/>
      <c r="J176" s="189"/>
      <c r="K176" s="189"/>
      <c r="L176" s="191"/>
      <c r="M176" s="189"/>
      <c r="N176" s="189"/>
      <c r="O176" s="189"/>
      <c r="P176" s="191"/>
      <c r="Q176" s="189"/>
      <c r="R176" s="189"/>
      <c r="S176" s="189"/>
      <c r="T176" s="191"/>
      <c r="U176" s="189"/>
      <c r="V176" s="189"/>
      <c r="W176" s="189"/>
      <c r="X176" s="191"/>
      <c r="Y176" s="189"/>
      <c r="Z176" s="189"/>
      <c r="AA176" s="189"/>
      <c r="AB176" s="191"/>
      <c r="AC176" s="189"/>
      <c r="AD176" s="189"/>
      <c r="AE176" s="189"/>
      <c r="AF176" s="191"/>
      <c r="AG176" s="189"/>
      <c r="AH176" s="189"/>
      <c r="AI176" s="189"/>
      <c r="AJ176" s="191"/>
      <c r="AK176" s="189"/>
      <c r="AL176" s="189"/>
      <c r="AM176" s="189"/>
      <c r="AN176" s="191"/>
      <c r="AO176" s="189"/>
      <c r="AP176" s="189"/>
      <c r="AQ176" s="189"/>
      <c r="AR176" s="191"/>
      <c r="AS176" s="189"/>
      <c r="AT176" s="189"/>
      <c r="AU176" s="189"/>
      <c r="AV176" s="191"/>
      <c r="AW176" s="189"/>
      <c r="AX176" s="189"/>
      <c r="AY176" s="189"/>
      <c r="AZ176" s="191"/>
      <c r="BA176" s="189"/>
      <c r="BB176" s="189"/>
      <c r="BC176" s="189"/>
      <c r="BD176" s="191"/>
      <c r="BE176" s="189"/>
      <c r="BF176" s="189"/>
      <c r="BG176" s="189"/>
      <c r="BH176" s="187"/>
      <c r="BI176" s="189"/>
      <c r="BJ176" s="189"/>
      <c r="BK176" s="189"/>
      <c r="BL176" s="187"/>
      <c r="BM176" s="186"/>
      <c r="BN176" s="186"/>
      <c r="BO176" s="188"/>
      <c r="BP176" s="187"/>
      <c r="BQ176" s="186"/>
      <c r="BR176" s="186"/>
      <c r="BS176" s="188"/>
      <c r="BT176" s="187"/>
      <c r="BU176" s="186"/>
      <c r="BV176" s="186"/>
      <c r="BW176" s="188"/>
      <c r="BX176" s="149"/>
      <c r="BY176" s="189"/>
      <c r="BZ176" s="189"/>
      <c r="CA176" s="189"/>
      <c r="CB176" s="189"/>
      <c r="CC176" s="189"/>
      <c r="CD176" s="189"/>
      <c r="CE176" s="189"/>
      <c r="CF176" s="189"/>
      <c r="CG176" s="189"/>
      <c r="CH176" s="189"/>
      <c r="CI176" s="189"/>
      <c r="CJ176" s="189"/>
      <c r="CK176" s="189"/>
      <c r="CL176" s="189"/>
      <c r="CM176" s="189"/>
      <c r="CN176" s="189"/>
      <c r="CO176" s="189"/>
      <c r="CP176" s="188"/>
      <c r="CQ176" s="22"/>
    </row>
    <row r="177" spans="1:95" ht="14.25" customHeight="1" outlineLevel="1">
      <c r="A177" s="9"/>
      <c r="B177" s="45" t="s">
        <v>275</v>
      </c>
      <c r="C177" s="46"/>
      <c r="D177" s="642">
        <v>190.4</v>
      </c>
      <c r="E177" s="452">
        <f>D177</f>
        <v>190.4</v>
      </c>
      <c r="F177" s="452">
        <f>E177</f>
        <v>190.4</v>
      </c>
      <c r="G177" s="452">
        <f>F177</f>
        <v>190.4</v>
      </c>
      <c r="H177" s="643">
        <f>G180</f>
        <v>186.59999999999997</v>
      </c>
      <c r="I177" s="452">
        <f>H177</f>
        <v>186.59999999999997</v>
      </c>
      <c r="J177" s="452">
        <f>I177</f>
        <v>186.59999999999997</v>
      </c>
      <c r="K177" s="452">
        <f>J177</f>
        <v>186.59999999999997</v>
      </c>
      <c r="L177" s="643">
        <f>K180</f>
        <v>105.69999999999993</v>
      </c>
      <c r="M177" s="452">
        <f>L177</f>
        <v>105.69999999999993</v>
      </c>
      <c r="N177" s="452">
        <f>M177</f>
        <v>105.69999999999993</v>
      </c>
      <c r="O177" s="452">
        <f>N177</f>
        <v>105.69999999999993</v>
      </c>
      <c r="P177" s="643">
        <f>O180</f>
        <v>233.2999999999999</v>
      </c>
      <c r="Q177" s="452">
        <f>P177</f>
        <v>233.2999999999999</v>
      </c>
      <c r="R177" s="452">
        <f>Q177</f>
        <v>233.2999999999999</v>
      </c>
      <c r="S177" s="452">
        <f>R177</f>
        <v>233.2999999999999</v>
      </c>
      <c r="T177" s="643">
        <f>S180</f>
        <v>268.79999999999978</v>
      </c>
      <c r="U177" s="452">
        <f>T177</f>
        <v>268.79999999999978</v>
      </c>
      <c r="V177" s="452">
        <f>U177</f>
        <v>268.79999999999978</v>
      </c>
      <c r="W177" s="452">
        <f>V177</f>
        <v>268.79999999999978</v>
      </c>
      <c r="X177" s="643">
        <f>W180</f>
        <v>274.59999999999974</v>
      </c>
      <c r="Y177" s="452">
        <f>X177</f>
        <v>274.59999999999974</v>
      </c>
      <c r="Z177" s="452">
        <f>Y177</f>
        <v>274.59999999999974</v>
      </c>
      <c r="AA177" s="452">
        <f>Z177</f>
        <v>274.59999999999974</v>
      </c>
      <c r="AB177" s="643">
        <f>AA180</f>
        <v>458.69999999999953</v>
      </c>
      <c r="AC177" s="452">
        <f>AB177</f>
        <v>458.69999999999953</v>
      </c>
      <c r="AD177" s="452">
        <f>AC177</f>
        <v>458.69999999999953</v>
      </c>
      <c r="AE177" s="452">
        <f>AD177</f>
        <v>458.69999999999953</v>
      </c>
      <c r="AF177" s="643">
        <f>AE180</f>
        <v>525.69999999999959</v>
      </c>
      <c r="AG177" s="452">
        <f>AF177</f>
        <v>525.69999999999959</v>
      </c>
      <c r="AH177" s="452">
        <f>AG177</f>
        <v>525.69999999999959</v>
      </c>
      <c r="AI177" s="452">
        <f>AH177</f>
        <v>525.69999999999959</v>
      </c>
      <c r="AJ177" s="643">
        <f>AI180</f>
        <v>623.29999999999973</v>
      </c>
      <c r="AK177" s="452">
        <f>AJ177</f>
        <v>623.29999999999973</v>
      </c>
      <c r="AL177" s="452">
        <f>AK177</f>
        <v>623.29999999999973</v>
      </c>
      <c r="AM177" s="452">
        <f>AL177</f>
        <v>623.29999999999973</v>
      </c>
      <c r="AN177" s="643">
        <f>AM180</f>
        <v>652.89999999999964</v>
      </c>
      <c r="AO177" s="452">
        <f>AN177</f>
        <v>652.89999999999964</v>
      </c>
      <c r="AP177" s="452">
        <f>AO177</f>
        <v>652.89999999999964</v>
      </c>
      <c r="AQ177" s="452">
        <f>AP177</f>
        <v>652.89999999999964</v>
      </c>
      <c r="AR177" s="643">
        <f>AQ180</f>
        <v>486.89999999999947</v>
      </c>
      <c r="AS177" s="452">
        <f>AR177</f>
        <v>486.89999999999947</v>
      </c>
      <c r="AT177" s="452">
        <f>AS177</f>
        <v>486.89999999999947</v>
      </c>
      <c r="AU177" s="452">
        <f>AT177</f>
        <v>486.89999999999947</v>
      </c>
      <c r="AV177" s="643">
        <f>AU180</f>
        <v>509.4999999999996</v>
      </c>
      <c r="AW177" s="452">
        <f>AV177</f>
        <v>509.4999999999996</v>
      </c>
      <c r="AX177" s="452">
        <f>AW177</f>
        <v>509.4999999999996</v>
      </c>
      <c r="AY177" s="452">
        <f>AX177</f>
        <v>509.4999999999996</v>
      </c>
      <c r="AZ177" s="643">
        <f>AY180</f>
        <v>511.69999999999965</v>
      </c>
      <c r="BA177" s="452">
        <f>AZ177</f>
        <v>511.69999999999965</v>
      </c>
      <c r="BB177" s="452">
        <f>BA177</f>
        <v>511.69999999999965</v>
      </c>
      <c r="BC177" s="452">
        <f>BB177</f>
        <v>511.69999999999965</v>
      </c>
      <c r="BD177" s="643">
        <f>BC180</f>
        <v>617.59999999999957</v>
      </c>
      <c r="BE177" s="452">
        <f>BD177</f>
        <v>617.59999999999957</v>
      </c>
      <c r="BF177" s="452">
        <f>BE177</f>
        <v>617.59999999999957</v>
      </c>
      <c r="BG177" s="452">
        <f>BF177</f>
        <v>617.59999999999957</v>
      </c>
      <c r="BH177" s="187">
        <f>BG180</f>
        <v>1028.0999999999992</v>
      </c>
      <c r="BI177" s="452">
        <f>BH177</f>
        <v>1028.0999999999992</v>
      </c>
      <c r="BJ177" s="452">
        <f>BI177</f>
        <v>1028.0999999999992</v>
      </c>
      <c r="BK177" s="452">
        <f>BJ177</f>
        <v>1028.0999999999992</v>
      </c>
      <c r="BL177" s="187">
        <f>BK180</f>
        <v>949.19999999999936</v>
      </c>
      <c r="BM177" s="186">
        <f>BL177</f>
        <v>949.19999999999936</v>
      </c>
      <c r="BN177" s="186">
        <f>BM177</f>
        <v>949.19999999999936</v>
      </c>
      <c r="BO177" s="186">
        <f>BN177</f>
        <v>949.19999999999936</v>
      </c>
      <c r="BP177" s="187">
        <f>BO180</f>
        <v>1724.2509290395124</v>
      </c>
      <c r="BQ177" s="186">
        <f>BP177</f>
        <v>1724.2509290395124</v>
      </c>
      <c r="BR177" s="186">
        <f>BQ177</f>
        <v>1724.2509290395124</v>
      </c>
      <c r="BS177" s="186">
        <f>BR177</f>
        <v>1724.2509290395124</v>
      </c>
      <c r="BT177" s="187">
        <f>BS180</f>
        <v>2703.1717725719627</v>
      </c>
      <c r="BU177" s="186">
        <f>BT177</f>
        <v>2703.1717725719627</v>
      </c>
      <c r="BV177" s="186">
        <f>BU177</f>
        <v>2703.1717725719627</v>
      </c>
      <c r="BW177" s="186">
        <f>BV177</f>
        <v>2703.1717725719627</v>
      </c>
      <c r="BX177" s="149"/>
      <c r="BY177" s="452">
        <f>BY67</f>
        <v>190.4</v>
      </c>
      <c r="BZ177" s="186">
        <f>BY180</f>
        <v>186.6</v>
      </c>
      <c r="CA177" s="186">
        <f t="shared" ref="CA177:CH177" si="634">BZ180</f>
        <v>105.69999999999996</v>
      </c>
      <c r="CB177" s="186">
        <f t="shared" si="634"/>
        <v>233.2999999999999</v>
      </c>
      <c r="CC177" s="186">
        <f t="shared" si="634"/>
        <v>268.79999999999978</v>
      </c>
      <c r="CD177" s="186">
        <f t="shared" si="634"/>
        <v>274.59999999999974</v>
      </c>
      <c r="CE177" s="186">
        <f t="shared" si="634"/>
        <v>458.69999999999976</v>
      </c>
      <c r="CF177" s="186">
        <f t="shared" si="634"/>
        <v>525.69999999999982</v>
      </c>
      <c r="CG177" s="186">
        <f t="shared" si="634"/>
        <v>623.29999999999995</v>
      </c>
      <c r="CH177" s="186">
        <f t="shared" si="634"/>
        <v>652.89999999999986</v>
      </c>
      <c r="CI177" s="186">
        <f>CH180</f>
        <v>486.89999999999969</v>
      </c>
      <c r="CJ177" s="186">
        <f>CI180</f>
        <v>509.49999999999977</v>
      </c>
      <c r="CK177" s="186">
        <f>CJ180</f>
        <v>511.69999999999982</v>
      </c>
      <c r="CL177" s="186">
        <f>CK180</f>
        <v>617.59999999999968</v>
      </c>
      <c r="CM177" s="186">
        <f>CL180</f>
        <v>1028.0999999999995</v>
      </c>
      <c r="CN177" s="186">
        <f>CM177</f>
        <v>1028.0999999999995</v>
      </c>
      <c r="CO177" s="186">
        <f>CN177</f>
        <v>1028.0999999999995</v>
      </c>
      <c r="CP177" s="188">
        <f>CO177</f>
        <v>1028.0999999999995</v>
      </c>
      <c r="CQ177" s="22"/>
    </row>
    <row r="178" spans="1:95" ht="14.25" customHeight="1" outlineLevel="1">
      <c r="A178" s="9"/>
      <c r="B178" s="45" t="s">
        <v>276</v>
      </c>
      <c r="C178" s="46"/>
      <c r="D178" s="189">
        <f>189.1-190</f>
        <v>-0.90000000000000568</v>
      </c>
      <c r="E178" s="189">
        <v>0</v>
      </c>
      <c r="F178" s="189">
        <v>0</v>
      </c>
      <c r="G178" s="189">
        <v>0</v>
      </c>
      <c r="H178" s="191">
        <v>29.5</v>
      </c>
      <c r="I178" s="189">
        <v>88.5</v>
      </c>
      <c r="J178" s="189">
        <v>87.5</v>
      </c>
      <c r="K178" s="189">
        <v>0</v>
      </c>
      <c r="L178" s="191">
        <v>0</v>
      </c>
      <c r="M178" s="189">
        <v>0</v>
      </c>
      <c r="N178" s="189">
        <v>0</v>
      </c>
      <c r="O178" s="189">
        <v>0</v>
      </c>
      <c r="P178" s="191">
        <v>0</v>
      </c>
      <c r="Q178" s="189">
        <v>0</v>
      </c>
      <c r="R178" s="189">
        <v>0</v>
      </c>
      <c r="S178" s="189">
        <v>0</v>
      </c>
      <c r="T178" s="191">
        <v>0</v>
      </c>
      <c r="U178" s="189">
        <v>0</v>
      </c>
      <c r="V178" s="189">
        <v>0</v>
      </c>
      <c r="W178" s="189">
        <v>0</v>
      </c>
      <c r="X178" s="191">
        <v>0</v>
      </c>
      <c r="Y178" s="189">
        <v>0</v>
      </c>
      <c r="Z178" s="189">
        <v>0</v>
      </c>
      <c r="AA178" s="189">
        <v>0</v>
      </c>
      <c r="AB178" s="191">
        <v>0</v>
      </c>
      <c r="AC178" s="189">
        <v>0</v>
      </c>
      <c r="AD178" s="189">
        <v>0</v>
      </c>
      <c r="AE178" s="189">
        <v>0</v>
      </c>
      <c r="AF178" s="191">
        <v>0</v>
      </c>
      <c r="AG178" s="189">
        <v>0</v>
      </c>
      <c r="AH178" s="189">
        <v>0</v>
      </c>
      <c r="AI178" s="189">
        <v>0</v>
      </c>
      <c r="AJ178" s="191">
        <v>0</v>
      </c>
      <c r="AK178" s="189">
        <v>0</v>
      </c>
      <c r="AL178" s="189">
        <v>0</v>
      </c>
      <c r="AM178" s="189">
        <v>0</v>
      </c>
      <c r="AN178" s="191">
        <v>0</v>
      </c>
      <c r="AO178" s="189">
        <v>0</v>
      </c>
      <c r="AP178" s="189">
        <v>0</v>
      </c>
      <c r="AQ178" s="189">
        <v>0</v>
      </c>
      <c r="AR178" s="191">
        <v>0</v>
      </c>
      <c r="AS178" s="189">
        <v>0</v>
      </c>
      <c r="AT178" s="189">
        <v>0</v>
      </c>
      <c r="AU178" s="189">
        <v>0</v>
      </c>
      <c r="AV178" s="191">
        <v>0</v>
      </c>
      <c r="AW178" s="189">
        <v>0</v>
      </c>
      <c r="AX178" s="189">
        <v>0</v>
      </c>
      <c r="AY178" s="189">
        <v>0</v>
      </c>
      <c r="AZ178" s="191">
        <v>0</v>
      </c>
      <c r="BA178" s="189">
        <v>0</v>
      </c>
      <c r="BB178" s="189">
        <v>0</v>
      </c>
      <c r="BC178" s="189">
        <v>0</v>
      </c>
      <c r="BD178" s="191">
        <v>0</v>
      </c>
      <c r="BE178" s="189">
        <v>0</v>
      </c>
      <c r="BF178" s="189">
        <v>0</v>
      </c>
      <c r="BG178" s="189">
        <v>0</v>
      </c>
      <c r="BH178" s="175">
        <v>0</v>
      </c>
      <c r="BI178" s="189">
        <v>0</v>
      </c>
      <c r="BJ178" s="189">
        <v>0</v>
      </c>
      <c r="BK178" s="189">
        <v>0</v>
      </c>
      <c r="BL178" s="175">
        <f>BL68</f>
        <v>0</v>
      </c>
      <c r="BM178" s="186">
        <f>BL178+BM68</f>
        <v>0</v>
      </c>
      <c r="BN178" s="186">
        <f>BM178+BN68</f>
        <v>0</v>
      </c>
      <c r="BO178" s="186">
        <f>BN178+BO68</f>
        <v>0</v>
      </c>
      <c r="BP178" s="175">
        <f>BP68</f>
        <v>0</v>
      </c>
      <c r="BQ178" s="186">
        <f>BP178+BQ68</f>
        <v>0</v>
      </c>
      <c r="BR178" s="186">
        <f>BQ178+BR68</f>
        <v>0</v>
      </c>
      <c r="BS178" s="186">
        <f>BR178+BS68</f>
        <v>0</v>
      </c>
      <c r="BT178" s="175">
        <f>BT68</f>
        <v>0</v>
      </c>
      <c r="BU178" s="186">
        <f>BT178+BU68</f>
        <v>0</v>
      </c>
      <c r="BV178" s="186">
        <f>BU178+BV68</f>
        <v>0</v>
      </c>
      <c r="BW178" s="186">
        <f>BV178+BW68</f>
        <v>0</v>
      </c>
      <c r="BX178" s="149"/>
      <c r="BY178" s="452">
        <f>BY68</f>
        <v>0</v>
      </c>
      <c r="BZ178" s="452">
        <f t="shared" ref="BZ178:CM178" si="635">BZ68</f>
        <v>0</v>
      </c>
      <c r="CA178" s="452">
        <f t="shared" si="635"/>
        <v>0</v>
      </c>
      <c r="CB178" s="452">
        <f t="shared" si="635"/>
        <v>0</v>
      </c>
      <c r="CC178" s="452">
        <f t="shared" si="635"/>
        <v>0</v>
      </c>
      <c r="CD178" s="452">
        <f t="shared" si="635"/>
        <v>0</v>
      </c>
      <c r="CE178" s="452">
        <f t="shared" si="635"/>
        <v>0</v>
      </c>
      <c r="CF178" s="452">
        <f t="shared" si="635"/>
        <v>0</v>
      </c>
      <c r="CG178" s="452">
        <f t="shared" si="635"/>
        <v>0</v>
      </c>
      <c r="CH178" s="452">
        <f t="shared" si="635"/>
        <v>0</v>
      </c>
      <c r="CI178" s="452">
        <f t="shared" si="635"/>
        <v>0</v>
      </c>
      <c r="CJ178" s="452">
        <f t="shared" si="635"/>
        <v>0</v>
      </c>
      <c r="CK178" s="452">
        <f t="shared" si="635"/>
        <v>0</v>
      </c>
      <c r="CL178" s="452">
        <f t="shared" si="635"/>
        <v>0</v>
      </c>
      <c r="CM178" s="452">
        <f t="shared" si="635"/>
        <v>0</v>
      </c>
      <c r="CN178" s="452">
        <f>CM178+CN68</f>
        <v>0</v>
      </c>
      <c r="CO178" s="452">
        <f>CN178+CO68</f>
        <v>0</v>
      </c>
      <c r="CP178" s="188">
        <f>CO178+CP68</f>
        <v>0</v>
      </c>
      <c r="CQ178" s="22"/>
    </row>
    <row r="179" spans="1:95" ht="14.25" customHeight="1" outlineLevel="1">
      <c r="A179" s="9"/>
      <c r="B179" s="184" t="s">
        <v>277</v>
      </c>
      <c r="C179" s="185"/>
      <c r="D179" s="186">
        <f t="shared" ref="D179:AI179" si="636">D147+D159+D173+D175</f>
        <v>-0.40000000000002151</v>
      </c>
      <c r="E179" s="186">
        <f t="shared" si="636"/>
        <v>-9.2000000000000188</v>
      </c>
      <c r="F179" s="186">
        <f t="shared" si="636"/>
        <v>-6.8000000000000043</v>
      </c>
      <c r="G179" s="186">
        <f t="shared" si="636"/>
        <v>-3.8000000000000513</v>
      </c>
      <c r="H179" s="187">
        <f t="shared" si="636"/>
        <v>5.3000000000000096</v>
      </c>
      <c r="I179" s="186">
        <f t="shared" si="636"/>
        <v>-17.39999999999991</v>
      </c>
      <c r="J179" s="186">
        <f t="shared" si="636"/>
        <v>-42.300000000000033</v>
      </c>
      <c r="K179" s="186">
        <f t="shared" si="636"/>
        <v>-80.900000000000034</v>
      </c>
      <c r="L179" s="187">
        <f t="shared" si="636"/>
        <v>71.800000000000011</v>
      </c>
      <c r="M179" s="186">
        <f t="shared" si="636"/>
        <v>129.89999999999998</v>
      </c>
      <c r="N179" s="186">
        <f t="shared" si="636"/>
        <v>166.60000000000002</v>
      </c>
      <c r="O179" s="186">
        <f t="shared" si="636"/>
        <v>127.59999999999995</v>
      </c>
      <c r="P179" s="187">
        <f t="shared" si="636"/>
        <v>18.000000000000014</v>
      </c>
      <c r="Q179" s="186">
        <f t="shared" si="636"/>
        <v>61.400000000000084</v>
      </c>
      <c r="R179" s="186">
        <f t="shared" si="636"/>
        <v>9.999999999998721E-2</v>
      </c>
      <c r="S179" s="186">
        <f t="shared" si="636"/>
        <v>35.499999999999908</v>
      </c>
      <c r="T179" s="187">
        <f t="shared" si="636"/>
        <v>6.9999999999999742</v>
      </c>
      <c r="U179" s="186">
        <f t="shared" si="636"/>
        <v>-13.00000000000002</v>
      </c>
      <c r="V179" s="186">
        <f t="shared" si="636"/>
        <v>58.29999999999999</v>
      </c>
      <c r="W179" s="186">
        <f t="shared" si="636"/>
        <v>5.7999999999999359</v>
      </c>
      <c r="X179" s="187">
        <f t="shared" si="636"/>
        <v>33.299999999999969</v>
      </c>
      <c r="Y179" s="186">
        <f t="shared" si="636"/>
        <v>46.600000000000065</v>
      </c>
      <c r="Z179" s="186">
        <f t="shared" si="636"/>
        <v>143.2999999999999</v>
      </c>
      <c r="AA179" s="186">
        <f t="shared" si="636"/>
        <v>184.0999999999998</v>
      </c>
      <c r="AB179" s="187">
        <f t="shared" si="636"/>
        <v>-56.299999999999983</v>
      </c>
      <c r="AC179" s="186">
        <f t="shared" si="636"/>
        <v>-55.29999999999999</v>
      </c>
      <c r="AD179" s="186">
        <f t="shared" si="636"/>
        <v>-63.500000000000028</v>
      </c>
      <c r="AE179" s="186">
        <f t="shared" si="636"/>
        <v>67.000000000000043</v>
      </c>
      <c r="AF179" s="187">
        <f t="shared" si="636"/>
        <v>35.00000000000005</v>
      </c>
      <c r="AG179" s="186">
        <f t="shared" si="636"/>
        <v>-58.600000000000101</v>
      </c>
      <c r="AH179" s="186">
        <f t="shared" si="636"/>
        <v>37.199999999999989</v>
      </c>
      <c r="AI179" s="186">
        <f t="shared" si="636"/>
        <v>97.60000000000008</v>
      </c>
      <c r="AJ179" s="187">
        <f t="shared" ref="AJ179:BO179" si="637">AJ147+AJ159+AJ173+AJ175</f>
        <v>142.69999999999996</v>
      </c>
      <c r="AK179" s="186">
        <f t="shared" si="637"/>
        <v>133.30000000000001</v>
      </c>
      <c r="AL179" s="186">
        <f t="shared" si="637"/>
        <v>36.000000000000028</v>
      </c>
      <c r="AM179" s="186">
        <f t="shared" si="637"/>
        <v>29.599999999999952</v>
      </c>
      <c r="AN179" s="187">
        <f t="shared" si="637"/>
        <v>-72.800000000000026</v>
      </c>
      <c r="AO179" s="186">
        <f t="shared" si="637"/>
        <v>-135.10000000000005</v>
      </c>
      <c r="AP179" s="186">
        <f t="shared" si="637"/>
        <v>-231.50000000000003</v>
      </c>
      <c r="AQ179" s="186">
        <f t="shared" si="637"/>
        <v>-166.00000000000017</v>
      </c>
      <c r="AR179" s="187">
        <f t="shared" si="637"/>
        <v>50.099999999999987</v>
      </c>
      <c r="AS179" s="186">
        <f t="shared" si="637"/>
        <v>-90.8</v>
      </c>
      <c r="AT179" s="186">
        <f t="shared" si="637"/>
        <v>-117.40000000000003</v>
      </c>
      <c r="AU179" s="186">
        <f t="shared" si="637"/>
        <v>22.600000000000136</v>
      </c>
      <c r="AV179" s="187">
        <f t="shared" si="637"/>
        <v>52.500000000000014</v>
      </c>
      <c r="AW179" s="186">
        <f t="shared" si="637"/>
        <v>89.399999999999935</v>
      </c>
      <c r="AX179" s="186">
        <f t="shared" si="637"/>
        <v>-17.399999999999988</v>
      </c>
      <c r="AY179" s="186">
        <f t="shared" si="637"/>
        <v>2.2000000000000224</v>
      </c>
      <c r="AZ179" s="187">
        <f t="shared" si="637"/>
        <v>-83.59999999999998</v>
      </c>
      <c r="BA179" s="186">
        <f t="shared" si="637"/>
        <v>64.899999999999807</v>
      </c>
      <c r="BB179" s="186">
        <f t="shared" si="637"/>
        <v>45.100000000000037</v>
      </c>
      <c r="BC179" s="186">
        <f t="shared" si="637"/>
        <v>105.89999999999989</v>
      </c>
      <c r="BD179" s="187">
        <f t="shared" si="637"/>
        <v>1.8999999999999799</v>
      </c>
      <c r="BE179" s="186">
        <f t="shared" si="637"/>
        <v>-29.500000000000007</v>
      </c>
      <c r="BF179" s="186">
        <f t="shared" si="637"/>
        <v>262.90000000000043</v>
      </c>
      <c r="BG179" s="186">
        <f t="shared" ref="BG179" si="638">BG147+BG159+BG173+BG175</f>
        <v>410.49999999999972</v>
      </c>
      <c r="BH179" s="187">
        <f t="shared" si="637"/>
        <v>-299.2000000000001</v>
      </c>
      <c r="BI179" s="186">
        <f t="shared" ref="BI179:BK179" si="639">BI147+BI159+BI173+BI175</f>
        <v>-156.50000000000017</v>
      </c>
      <c r="BJ179" s="186">
        <f t="shared" si="639"/>
        <v>-126.89999999999984</v>
      </c>
      <c r="BK179" s="186">
        <f t="shared" si="639"/>
        <v>-78.899999999999821</v>
      </c>
      <c r="BL179" s="187">
        <f t="shared" si="637"/>
        <v>112.81300091469011</v>
      </c>
      <c r="BM179" s="186">
        <f t="shared" si="637"/>
        <v>307.73008776730308</v>
      </c>
      <c r="BN179" s="186">
        <f t="shared" si="637"/>
        <v>503.96114555861953</v>
      </c>
      <c r="BO179" s="186">
        <f t="shared" si="637"/>
        <v>775.05092903951299</v>
      </c>
      <c r="BP179" s="187">
        <f t="shared" ref="BP179:BS179" si="640">BP147+BP159+BP173+BP175</f>
        <v>253.51051330456909</v>
      </c>
      <c r="BQ179" s="186">
        <f t="shared" si="640"/>
        <v>448.55313702640132</v>
      </c>
      <c r="BR179" s="186">
        <f t="shared" si="640"/>
        <v>686.6782051771072</v>
      </c>
      <c r="BS179" s="186">
        <f t="shared" si="640"/>
        <v>978.92084353245036</v>
      </c>
      <c r="BT179" s="187">
        <f t="shared" ref="BT179:BW179" si="641">BT147+BT159+BT173+BT175</f>
        <v>258.98920936407848</v>
      </c>
      <c r="BU179" s="186">
        <f t="shared" si="641"/>
        <v>482.15532574072614</v>
      </c>
      <c r="BV179" s="186">
        <f t="shared" si="641"/>
        <v>751.6564233853378</v>
      </c>
      <c r="BW179" s="186">
        <f t="shared" si="641"/>
        <v>1074.620107336247</v>
      </c>
      <c r="BX179" s="149"/>
      <c r="BY179" s="186">
        <f t="shared" ref="BY179:CN179" si="642">BY147+BY159+BY173+BY175</f>
        <v>-3.8000000000000087</v>
      </c>
      <c r="BZ179" s="186">
        <f t="shared" si="642"/>
        <v>-80.900000000000034</v>
      </c>
      <c r="CA179" s="186">
        <f t="shared" si="642"/>
        <v>127.59999999999995</v>
      </c>
      <c r="CB179" s="186">
        <f t="shared" si="642"/>
        <v>35.499999999999879</v>
      </c>
      <c r="CC179" s="186">
        <f t="shared" si="642"/>
        <v>5.7999999999999359</v>
      </c>
      <c r="CD179" s="186">
        <f t="shared" si="642"/>
        <v>184.10000000000002</v>
      </c>
      <c r="CE179" s="186">
        <f t="shared" si="642"/>
        <v>67.000000000000043</v>
      </c>
      <c r="CF179" s="186">
        <f t="shared" si="642"/>
        <v>97.60000000000008</v>
      </c>
      <c r="CG179" s="186">
        <f t="shared" si="642"/>
        <v>29.599999999999852</v>
      </c>
      <c r="CH179" s="186">
        <f t="shared" si="642"/>
        <v>-166.00000000000017</v>
      </c>
      <c r="CI179" s="186">
        <f t="shared" si="642"/>
        <v>22.60000000000008</v>
      </c>
      <c r="CJ179" s="186">
        <f t="shared" si="642"/>
        <v>2.2000000000000224</v>
      </c>
      <c r="CK179" s="186">
        <f t="shared" si="642"/>
        <v>105.89999999999989</v>
      </c>
      <c r="CL179" s="186">
        <f t="shared" si="642"/>
        <v>410.49999999999972</v>
      </c>
      <c r="CM179" s="186">
        <f t="shared" si="642"/>
        <v>-78.899999999999821</v>
      </c>
      <c r="CN179" s="186">
        <f t="shared" si="642"/>
        <v>696.15092903951313</v>
      </c>
      <c r="CO179" s="186">
        <f t="shared" ref="CO179:CP179" si="643">CO147+CO159+CO173+CO175</f>
        <v>1675.0717725719626</v>
      </c>
      <c r="CP179" s="188">
        <f t="shared" si="643"/>
        <v>2749.6918799082091</v>
      </c>
      <c r="CQ179" s="22"/>
    </row>
    <row r="180" spans="1:95" ht="14.25" customHeight="1" outlineLevel="1">
      <c r="A180" s="9"/>
      <c r="B180" s="324" t="s">
        <v>278</v>
      </c>
      <c r="C180" s="192"/>
      <c r="D180" s="193">
        <f t="shared" ref="D180:AT180" si="644">D177+D179+D178</f>
        <v>189.09999999999997</v>
      </c>
      <c r="E180" s="193">
        <f t="shared" si="644"/>
        <v>181.2</v>
      </c>
      <c r="F180" s="193">
        <f t="shared" si="644"/>
        <v>183.6</v>
      </c>
      <c r="G180" s="193">
        <f t="shared" si="644"/>
        <v>186.59999999999997</v>
      </c>
      <c r="H180" s="194">
        <f t="shared" si="644"/>
        <v>221.39999999999998</v>
      </c>
      <c r="I180" s="193">
        <f t="shared" si="644"/>
        <v>257.70000000000005</v>
      </c>
      <c r="J180" s="193">
        <f t="shared" si="644"/>
        <v>231.79999999999993</v>
      </c>
      <c r="K180" s="193">
        <f t="shared" si="644"/>
        <v>105.69999999999993</v>
      </c>
      <c r="L180" s="194">
        <f t="shared" si="644"/>
        <v>177.49999999999994</v>
      </c>
      <c r="M180" s="193">
        <f t="shared" si="644"/>
        <v>235.59999999999991</v>
      </c>
      <c r="N180" s="193">
        <f t="shared" si="644"/>
        <v>272.29999999999995</v>
      </c>
      <c r="O180" s="193">
        <f t="shared" si="644"/>
        <v>233.2999999999999</v>
      </c>
      <c r="P180" s="194">
        <f t="shared" si="644"/>
        <v>251.2999999999999</v>
      </c>
      <c r="Q180" s="193">
        <f t="shared" si="644"/>
        <v>294.7</v>
      </c>
      <c r="R180" s="193">
        <f t="shared" si="644"/>
        <v>233.39999999999989</v>
      </c>
      <c r="S180" s="193">
        <f t="shared" si="644"/>
        <v>268.79999999999978</v>
      </c>
      <c r="T180" s="194">
        <f t="shared" si="644"/>
        <v>275.79999999999978</v>
      </c>
      <c r="U180" s="193">
        <f t="shared" si="644"/>
        <v>255.79999999999976</v>
      </c>
      <c r="V180" s="193">
        <f t="shared" si="644"/>
        <v>327.0999999999998</v>
      </c>
      <c r="W180" s="193">
        <f t="shared" si="644"/>
        <v>274.59999999999974</v>
      </c>
      <c r="X180" s="194">
        <f t="shared" si="644"/>
        <v>307.89999999999969</v>
      </c>
      <c r="Y180" s="193">
        <f t="shared" si="644"/>
        <v>321.19999999999982</v>
      </c>
      <c r="Z180" s="193">
        <f t="shared" si="644"/>
        <v>417.89999999999964</v>
      </c>
      <c r="AA180" s="193">
        <f t="shared" si="644"/>
        <v>458.69999999999953</v>
      </c>
      <c r="AB180" s="194">
        <f t="shared" si="644"/>
        <v>402.39999999999952</v>
      </c>
      <c r="AC180" s="193">
        <f t="shared" si="644"/>
        <v>403.39999999999952</v>
      </c>
      <c r="AD180" s="193">
        <f t="shared" si="644"/>
        <v>395.19999999999948</v>
      </c>
      <c r="AE180" s="193">
        <f t="shared" si="644"/>
        <v>525.69999999999959</v>
      </c>
      <c r="AF180" s="194">
        <f t="shared" si="644"/>
        <v>560.69999999999959</v>
      </c>
      <c r="AG180" s="193">
        <f t="shared" si="644"/>
        <v>467.09999999999951</v>
      </c>
      <c r="AH180" s="193">
        <f t="shared" si="644"/>
        <v>562.89999999999964</v>
      </c>
      <c r="AI180" s="193">
        <f t="shared" si="644"/>
        <v>623.29999999999973</v>
      </c>
      <c r="AJ180" s="194">
        <f t="shared" si="644"/>
        <v>765.99999999999966</v>
      </c>
      <c r="AK180" s="193">
        <f t="shared" si="644"/>
        <v>756.59999999999968</v>
      </c>
      <c r="AL180" s="193">
        <f t="shared" si="644"/>
        <v>659.29999999999973</v>
      </c>
      <c r="AM180" s="193">
        <f t="shared" si="644"/>
        <v>652.89999999999964</v>
      </c>
      <c r="AN180" s="194">
        <f t="shared" si="644"/>
        <v>580.09999999999957</v>
      </c>
      <c r="AO180" s="193">
        <f t="shared" si="644"/>
        <v>517.79999999999961</v>
      </c>
      <c r="AP180" s="193">
        <f t="shared" si="644"/>
        <v>421.39999999999964</v>
      </c>
      <c r="AQ180" s="193">
        <f t="shared" si="644"/>
        <v>486.89999999999947</v>
      </c>
      <c r="AR180" s="194">
        <f t="shared" si="644"/>
        <v>536.99999999999943</v>
      </c>
      <c r="AS180" s="193">
        <f t="shared" si="644"/>
        <v>396.09999999999945</v>
      </c>
      <c r="AT180" s="193">
        <f t="shared" si="644"/>
        <v>369.49999999999943</v>
      </c>
      <c r="AU180" s="193">
        <f>AU177+AU179+AU178</f>
        <v>509.4999999999996</v>
      </c>
      <c r="AV180" s="194">
        <f t="shared" ref="AV180:BB180" si="645">AV177+AV179+AV178</f>
        <v>561.99999999999966</v>
      </c>
      <c r="AW180" s="193">
        <f t="shared" si="645"/>
        <v>598.89999999999952</v>
      </c>
      <c r="AX180" s="193">
        <f t="shared" si="645"/>
        <v>492.09999999999962</v>
      </c>
      <c r="AY180" s="193">
        <f>AY177+AY179+AY178</f>
        <v>511.69999999999965</v>
      </c>
      <c r="AZ180" s="194">
        <f t="shared" si="645"/>
        <v>428.09999999999968</v>
      </c>
      <c r="BA180" s="193">
        <f t="shared" si="645"/>
        <v>576.59999999999945</v>
      </c>
      <c r="BB180" s="193">
        <f t="shared" si="645"/>
        <v>556.79999999999973</v>
      </c>
      <c r="BC180" s="193">
        <f>BC177+BC179+BC178</f>
        <v>617.59999999999957</v>
      </c>
      <c r="BD180" s="194">
        <f>BD177+BD179+BD178</f>
        <v>619.49999999999955</v>
      </c>
      <c r="BE180" s="193">
        <f>BE177+BE179+BE178</f>
        <v>588.09999999999957</v>
      </c>
      <c r="BF180" s="193">
        <f>BF177+BF179+BF178</f>
        <v>880.5</v>
      </c>
      <c r="BG180" s="193">
        <f>BG177+BG179+BG178</f>
        <v>1028.0999999999992</v>
      </c>
      <c r="BH180" s="194">
        <f t="shared" ref="BH180" si="646">BH177+BH179+BH178</f>
        <v>728.89999999999918</v>
      </c>
      <c r="BI180" s="193">
        <f>BI177+BI179+BI178</f>
        <v>871.599999999999</v>
      </c>
      <c r="BJ180" s="193">
        <f>BJ177+BJ179+BJ178</f>
        <v>901.19999999999936</v>
      </c>
      <c r="BK180" s="193">
        <f>BK177+BK179+BK178</f>
        <v>949.19999999999936</v>
      </c>
      <c r="BL180" s="194">
        <f t="shared" ref="BL180:BS180" si="647">BL177+BL179+BL178</f>
        <v>1062.0130009146894</v>
      </c>
      <c r="BM180" s="193">
        <f t="shared" si="647"/>
        <v>1256.9300877673024</v>
      </c>
      <c r="BN180" s="193">
        <f t="shared" si="647"/>
        <v>1453.161145558619</v>
      </c>
      <c r="BO180" s="193">
        <f t="shared" si="647"/>
        <v>1724.2509290395124</v>
      </c>
      <c r="BP180" s="194">
        <f t="shared" si="647"/>
        <v>1977.7614423440814</v>
      </c>
      <c r="BQ180" s="193">
        <f t="shared" si="647"/>
        <v>2172.8040660659135</v>
      </c>
      <c r="BR180" s="193">
        <f t="shared" si="647"/>
        <v>2410.9291342166198</v>
      </c>
      <c r="BS180" s="193">
        <f t="shared" si="647"/>
        <v>2703.1717725719627</v>
      </c>
      <c r="BT180" s="194">
        <f t="shared" ref="BT180:BW180" si="648">BT177+BT179+BT178</f>
        <v>2962.160981936041</v>
      </c>
      <c r="BU180" s="193">
        <f t="shared" si="648"/>
        <v>3185.327098312689</v>
      </c>
      <c r="BV180" s="193">
        <f t="shared" si="648"/>
        <v>3454.8281959573005</v>
      </c>
      <c r="BW180" s="193">
        <f t="shared" si="648"/>
        <v>3777.7918799082099</v>
      </c>
      <c r="BX180" s="149"/>
      <c r="BY180" s="193">
        <f t="shared" ref="BY180:CH180" si="649">BY177+BY179+BY178</f>
        <v>186.6</v>
      </c>
      <c r="BZ180" s="193">
        <f t="shared" si="649"/>
        <v>105.69999999999996</v>
      </c>
      <c r="CA180" s="193">
        <f t="shared" si="649"/>
        <v>233.2999999999999</v>
      </c>
      <c r="CB180" s="193">
        <f t="shared" si="649"/>
        <v>268.79999999999978</v>
      </c>
      <c r="CC180" s="193">
        <f t="shared" si="649"/>
        <v>274.59999999999974</v>
      </c>
      <c r="CD180" s="193">
        <f t="shared" si="649"/>
        <v>458.69999999999976</v>
      </c>
      <c r="CE180" s="193">
        <f t="shared" si="649"/>
        <v>525.69999999999982</v>
      </c>
      <c r="CF180" s="193">
        <f t="shared" si="649"/>
        <v>623.29999999999995</v>
      </c>
      <c r="CG180" s="193">
        <f t="shared" si="649"/>
        <v>652.89999999999986</v>
      </c>
      <c r="CH180" s="193">
        <f t="shared" si="649"/>
        <v>486.89999999999969</v>
      </c>
      <c r="CI180" s="193">
        <f t="shared" ref="CI180:CN180" si="650">CI177+CI179+CI178</f>
        <v>509.49999999999977</v>
      </c>
      <c r="CJ180" s="193">
        <f t="shared" si="650"/>
        <v>511.69999999999982</v>
      </c>
      <c r="CK180" s="193">
        <f t="shared" si="650"/>
        <v>617.59999999999968</v>
      </c>
      <c r="CL180" s="193">
        <f t="shared" si="650"/>
        <v>1028.0999999999995</v>
      </c>
      <c r="CM180" s="193">
        <f t="shared" si="650"/>
        <v>949.19999999999959</v>
      </c>
      <c r="CN180" s="193">
        <f t="shared" si="650"/>
        <v>1724.2509290395126</v>
      </c>
      <c r="CO180" s="193">
        <f t="shared" ref="CO180:CP180" si="651">CO177+CO179+CO178</f>
        <v>2703.1717725719618</v>
      </c>
      <c r="CP180" s="188">
        <f t="shared" si="651"/>
        <v>3777.7918799082086</v>
      </c>
      <c r="CQ180" s="22"/>
    </row>
    <row r="181" spans="1:95" ht="14.25" customHeight="1" outlineLevel="1">
      <c r="A181" s="9"/>
      <c r="B181" s="243"/>
      <c r="C181" s="244"/>
      <c r="D181" s="186"/>
      <c r="E181" s="186"/>
      <c r="F181" s="186"/>
      <c r="G181" s="186"/>
      <c r="H181" s="186"/>
      <c r="I181" s="186"/>
      <c r="J181" s="186"/>
      <c r="K181" s="186"/>
      <c r="L181" s="186"/>
      <c r="M181" s="186"/>
      <c r="N181" s="186"/>
      <c r="O181" s="186"/>
      <c r="P181" s="186"/>
      <c r="Q181" s="186"/>
      <c r="R181" s="186"/>
      <c r="S181" s="186"/>
      <c r="T181" s="186"/>
      <c r="U181" s="186"/>
      <c r="V181" s="186"/>
      <c r="W181" s="186"/>
      <c r="X181" s="186"/>
      <c r="Y181" s="186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57"/>
      <c r="BY181" s="186"/>
      <c r="BZ181" s="186"/>
      <c r="CA181" s="186"/>
      <c r="CB181" s="186"/>
      <c r="CC181" s="186"/>
      <c r="CD181" s="186"/>
      <c r="CE181" s="186"/>
      <c r="CF181" s="186"/>
      <c r="CG181" s="186"/>
      <c r="CH181" s="186"/>
      <c r="CI181" s="186"/>
      <c r="CJ181" s="186"/>
      <c r="CK181" s="186"/>
      <c r="CL181" s="186"/>
      <c r="CM181" s="186"/>
      <c r="CN181" s="186"/>
      <c r="CO181" s="186"/>
      <c r="CP181" s="139"/>
      <c r="CQ181" s="15"/>
    </row>
    <row r="182" spans="1:95" ht="14.25" customHeight="1" outlineLevel="1">
      <c r="A182" s="9"/>
      <c r="B182" s="61" t="s">
        <v>181</v>
      </c>
      <c r="C182" s="62"/>
      <c r="D182" s="147">
        <f>BS!D9</f>
        <v>189.1</v>
      </c>
      <c r="E182" s="145">
        <f>BS!E9</f>
        <v>181.2</v>
      </c>
      <c r="F182" s="145">
        <f>BS!F9</f>
        <v>183.6</v>
      </c>
      <c r="G182" s="148">
        <f>BS!G9</f>
        <v>186.6</v>
      </c>
      <c r="H182" s="147">
        <f>BS!H9</f>
        <v>221.4</v>
      </c>
      <c r="I182" s="145">
        <f>BS!I9</f>
        <v>257.7</v>
      </c>
      <c r="J182" s="145">
        <f>BS!J9</f>
        <v>231.8</v>
      </c>
      <c r="K182" s="148">
        <f>BS!K9</f>
        <v>105.7</v>
      </c>
      <c r="L182" s="147">
        <f>BS!L9</f>
        <v>177.5</v>
      </c>
      <c r="M182" s="145">
        <f>BS!M9</f>
        <v>235.6</v>
      </c>
      <c r="N182" s="145">
        <f>BS!N9</f>
        <v>272.3</v>
      </c>
      <c r="O182" s="148">
        <f>BS!O9</f>
        <v>233.3</v>
      </c>
      <c r="P182" s="147">
        <f>BS!P9</f>
        <v>251.3</v>
      </c>
      <c r="Q182" s="145">
        <f>BS!Q9</f>
        <v>294.7</v>
      </c>
      <c r="R182" s="145">
        <f>BS!R9</f>
        <v>233.4</v>
      </c>
      <c r="S182" s="148">
        <f>BS!S9</f>
        <v>268.8</v>
      </c>
      <c r="T182" s="147">
        <f>BS!T9</f>
        <v>275.8</v>
      </c>
      <c r="U182" s="145">
        <f>BS!U9</f>
        <v>255.8</v>
      </c>
      <c r="V182" s="145">
        <f>BS!V9</f>
        <v>327.10000000000002</v>
      </c>
      <c r="W182" s="148">
        <f>BS!W9</f>
        <v>274.60000000000002</v>
      </c>
      <c r="X182" s="147">
        <f>BS!X9</f>
        <v>307.89999999999998</v>
      </c>
      <c r="Y182" s="145">
        <f>BS!Y9</f>
        <v>321.2</v>
      </c>
      <c r="Z182" s="145">
        <f>BS!Z9</f>
        <v>417.9</v>
      </c>
      <c r="AA182" s="148">
        <f>BS!AA9</f>
        <v>458.7</v>
      </c>
      <c r="AB182" s="147">
        <f>BS!AB9</f>
        <v>402.4</v>
      </c>
      <c r="AC182" s="145">
        <f>BS!AC9</f>
        <v>403.4</v>
      </c>
      <c r="AD182" s="145">
        <f>BS!AD9</f>
        <v>395.2</v>
      </c>
      <c r="AE182" s="148">
        <f>BS!AE9</f>
        <v>525.70000000000005</v>
      </c>
      <c r="AF182" s="147">
        <f>BS!AF9</f>
        <v>560.70000000000005</v>
      </c>
      <c r="AG182" s="145">
        <f>BS!AG9</f>
        <v>467.1</v>
      </c>
      <c r="AH182" s="145">
        <f>BS!AH9</f>
        <v>562.9</v>
      </c>
      <c r="AI182" s="148">
        <f>BS!AI9</f>
        <v>623.29999999999995</v>
      </c>
      <c r="AJ182" s="147">
        <f>BS!AJ9</f>
        <v>766</v>
      </c>
      <c r="AK182" s="145">
        <f>BS!AK9</f>
        <v>756.6</v>
      </c>
      <c r="AL182" s="145">
        <f>BS!AL9</f>
        <v>659.3</v>
      </c>
      <c r="AM182" s="148">
        <f>BS!AM9</f>
        <v>652.9</v>
      </c>
      <c r="AN182" s="147">
        <f>BS!AN9</f>
        <v>580.1</v>
      </c>
      <c r="AO182" s="145">
        <f>BS!AO9</f>
        <v>517.79999999999995</v>
      </c>
      <c r="AP182" s="145">
        <f>BS!AP9</f>
        <v>421.4</v>
      </c>
      <c r="AQ182" s="148">
        <f>BS!AQ9</f>
        <v>486.9</v>
      </c>
      <c r="AR182" s="147">
        <f>BS!AR9</f>
        <v>537</v>
      </c>
      <c r="AS182" s="145">
        <f>BS!AS9</f>
        <v>396.1</v>
      </c>
      <c r="AT182" s="145">
        <f>BS!AT9</f>
        <v>369.5</v>
      </c>
      <c r="AU182" s="148">
        <f>BS!AU9</f>
        <v>509.5</v>
      </c>
      <c r="AV182" s="147">
        <f>BS!AV9</f>
        <v>562</v>
      </c>
      <c r="AW182" s="145">
        <f>BS!AW9</f>
        <v>598.9</v>
      </c>
      <c r="AX182" s="145">
        <f>BS!AX9</f>
        <v>492.1</v>
      </c>
      <c r="AY182" s="148">
        <f>BS!AY9</f>
        <v>511.7</v>
      </c>
      <c r="AZ182" s="147">
        <f>BS!AZ9</f>
        <v>428.1</v>
      </c>
      <c r="BA182" s="145">
        <f>BS!BA9</f>
        <v>576.6</v>
      </c>
      <c r="BB182" s="145">
        <f>BS!BB9</f>
        <v>556.79999999999995</v>
      </c>
      <c r="BC182" s="148">
        <f>BS!BC9</f>
        <v>617.6</v>
      </c>
      <c r="BD182" s="147">
        <f>BS!BD9</f>
        <v>619.5</v>
      </c>
      <c r="BE182" s="145">
        <f>BS!BE9</f>
        <v>588.1</v>
      </c>
      <c r="BF182" s="145">
        <f>BS!BF9</f>
        <v>880.5</v>
      </c>
      <c r="BG182" s="148">
        <f>BS!BG9</f>
        <v>1028.0999999999999</v>
      </c>
      <c r="BH182" s="147">
        <f>BS!BH9</f>
        <v>728.9</v>
      </c>
      <c r="BI182" s="145">
        <f>BS!BI9</f>
        <v>871.6</v>
      </c>
      <c r="BJ182" s="145">
        <f>BS!BJ9</f>
        <v>901.2</v>
      </c>
      <c r="BK182" s="148">
        <f>BS!BK9</f>
        <v>949.2</v>
      </c>
      <c r="BL182" s="147">
        <f>BS!BL9</f>
        <v>1062.0130009146901</v>
      </c>
      <c r="BM182" s="145">
        <f>BS!BM9</f>
        <v>1256.9300877673031</v>
      </c>
      <c r="BN182" s="145">
        <f>BS!BN9</f>
        <v>1453.1611455586196</v>
      </c>
      <c r="BO182" s="145">
        <f>BS!BO9</f>
        <v>1724.2509290395133</v>
      </c>
      <c r="BP182" s="147">
        <f>BS!BP9</f>
        <v>1977.7614423440823</v>
      </c>
      <c r="BQ182" s="145">
        <f>BS!BQ9</f>
        <v>2172.8040660659144</v>
      </c>
      <c r="BR182" s="145">
        <f>BS!BR9</f>
        <v>2410.9291342166202</v>
      </c>
      <c r="BS182" s="145">
        <f>BS!BS9</f>
        <v>2703.1717725719636</v>
      </c>
      <c r="BT182" s="147">
        <f>BS!BT9</f>
        <v>2962.1609819360419</v>
      </c>
      <c r="BU182" s="145">
        <f>BS!BU9</f>
        <v>3185.3270983126895</v>
      </c>
      <c r="BV182" s="145">
        <f>BS!BV9</f>
        <v>3454.8281959573014</v>
      </c>
      <c r="BW182" s="145">
        <f>BS!BW9</f>
        <v>3777.7918799082108</v>
      </c>
      <c r="BX182" s="149"/>
      <c r="BY182" s="145">
        <f>BS!BY9</f>
        <v>186.6</v>
      </c>
      <c r="BZ182" s="145">
        <f>BS!BZ9</f>
        <v>105.7</v>
      </c>
      <c r="CA182" s="145">
        <f>BS!CA9</f>
        <v>233.3</v>
      </c>
      <c r="CB182" s="145">
        <f>BS!CB9</f>
        <v>268.8</v>
      </c>
      <c r="CC182" s="145">
        <f>BS!CC9</f>
        <v>274.60000000000002</v>
      </c>
      <c r="CD182" s="145">
        <f>BS!CD9</f>
        <v>458.7</v>
      </c>
      <c r="CE182" s="145">
        <f>BS!CE9</f>
        <v>525.70000000000005</v>
      </c>
      <c r="CF182" s="145">
        <f>BS!CF9</f>
        <v>623.29999999999995</v>
      </c>
      <c r="CG182" s="145">
        <f>BS!CG9</f>
        <v>652.9</v>
      </c>
      <c r="CH182" s="145">
        <f>BS!CH9</f>
        <v>486.9</v>
      </c>
      <c r="CI182" s="145">
        <f>BS!CI9</f>
        <v>509.5</v>
      </c>
      <c r="CJ182" s="145">
        <f>BS!CJ9</f>
        <v>511.7</v>
      </c>
      <c r="CK182" s="145">
        <f>BS!CK9</f>
        <v>617.6</v>
      </c>
      <c r="CL182" s="145">
        <f>BS!CL9</f>
        <v>1028.0999999999999</v>
      </c>
      <c r="CM182" s="145">
        <f>BS!CM9</f>
        <v>949.2</v>
      </c>
      <c r="CN182" s="145">
        <f>BS!CN9</f>
        <v>1724.2509290395133</v>
      </c>
      <c r="CO182" s="145">
        <f>BS!CO9</f>
        <v>2703.1717725719636</v>
      </c>
      <c r="CP182" s="208">
        <f>BS!CP9</f>
        <v>3777.7918799082108</v>
      </c>
      <c r="CQ182" s="22"/>
    </row>
    <row r="183" spans="1:95" ht="14.25" customHeight="1" outlineLevel="1">
      <c r="A183" s="9"/>
      <c r="B183" s="123" t="s">
        <v>166</v>
      </c>
      <c r="C183" s="124"/>
      <c r="D183" s="127">
        <f t="shared" ref="D183:AT183" si="652">IF(ROUND(D182,4)=ROUND(D180,4),0,(D182-D180))</f>
        <v>0</v>
      </c>
      <c r="E183" s="125">
        <f t="shared" si="652"/>
        <v>0</v>
      </c>
      <c r="F183" s="125">
        <f t="shared" si="652"/>
        <v>0</v>
      </c>
      <c r="G183" s="126">
        <f t="shared" si="652"/>
        <v>0</v>
      </c>
      <c r="H183" s="127">
        <f t="shared" si="652"/>
        <v>0</v>
      </c>
      <c r="I183" s="125">
        <f t="shared" si="652"/>
        <v>0</v>
      </c>
      <c r="J183" s="125">
        <f t="shared" si="652"/>
        <v>0</v>
      </c>
      <c r="K183" s="126">
        <f t="shared" si="652"/>
        <v>0</v>
      </c>
      <c r="L183" s="127">
        <f t="shared" si="652"/>
        <v>0</v>
      </c>
      <c r="M183" s="125">
        <f t="shared" si="652"/>
        <v>0</v>
      </c>
      <c r="N183" s="125">
        <f t="shared" si="652"/>
        <v>0</v>
      </c>
      <c r="O183" s="126">
        <f t="shared" si="652"/>
        <v>0</v>
      </c>
      <c r="P183" s="127">
        <f t="shared" si="652"/>
        <v>0</v>
      </c>
      <c r="Q183" s="125">
        <f t="shared" si="652"/>
        <v>0</v>
      </c>
      <c r="R183" s="125">
        <f t="shared" si="652"/>
        <v>0</v>
      </c>
      <c r="S183" s="126">
        <f t="shared" si="652"/>
        <v>0</v>
      </c>
      <c r="T183" s="127">
        <f t="shared" si="652"/>
        <v>0</v>
      </c>
      <c r="U183" s="125">
        <f t="shared" si="652"/>
        <v>0</v>
      </c>
      <c r="V183" s="125">
        <f t="shared" si="652"/>
        <v>0</v>
      </c>
      <c r="W183" s="126">
        <f t="shared" si="652"/>
        <v>0</v>
      </c>
      <c r="X183" s="127">
        <f t="shared" si="652"/>
        <v>0</v>
      </c>
      <c r="Y183" s="125">
        <f t="shared" si="652"/>
        <v>0</v>
      </c>
      <c r="Z183" s="125">
        <f t="shared" si="652"/>
        <v>0</v>
      </c>
      <c r="AA183" s="126">
        <f t="shared" si="652"/>
        <v>0</v>
      </c>
      <c r="AB183" s="127">
        <f t="shared" si="652"/>
        <v>0</v>
      </c>
      <c r="AC183" s="125">
        <f t="shared" si="652"/>
        <v>0</v>
      </c>
      <c r="AD183" s="125">
        <f t="shared" si="652"/>
        <v>0</v>
      </c>
      <c r="AE183" s="126">
        <f t="shared" si="652"/>
        <v>0</v>
      </c>
      <c r="AF183" s="127">
        <f t="shared" si="652"/>
        <v>0</v>
      </c>
      <c r="AG183" s="125">
        <f t="shared" si="652"/>
        <v>0</v>
      </c>
      <c r="AH183" s="125">
        <f t="shared" si="652"/>
        <v>0</v>
      </c>
      <c r="AI183" s="126">
        <f t="shared" si="652"/>
        <v>0</v>
      </c>
      <c r="AJ183" s="127">
        <f t="shared" si="652"/>
        <v>0</v>
      </c>
      <c r="AK183" s="125">
        <f t="shared" si="652"/>
        <v>0</v>
      </c>
      <c r="AL183" s="125">
        <f t="shared" si="652"/>
        <v>0</v>
      </c>
      <c r="AM183" s="126">
        <f t="shared" si="652"/>
        <v>0</v>
      </c>
      <c r="AN183" s="127">
        <f t="shared" si="652"/>
        <v>0</v>
      </c>
      <c r="AO183" s="125">
        <f t="shared" si="652"/>
        <v>0</v>
      </c>
      <c r="AP183" s="125">
        <f t="shared" si="652"/>
        <v>0</v>
      </c>
      <c r="AQ183" s="126">
        <f>IF(ROUND(AQ182,4)=ROUND(AQ180,4),0,(AQ182-AQ180))</f>
        <v>0</v>
      </c>
      <c r="AR183" s="127">
        <f t="shared" si="652"/>
        <v>0</v>
      </c>
      <c r="AS183" s="125">
        <f t="shared" si="652"/>
        <v>0</v>
      </c>
      <c r="AT183" s="125">
        <f t="shared" si="652"/>
        <v>0</v>
      </c>
      <c r="AU183" s="126">
        <f t="shared" ref="AU183:BA183" si="653">IF(ROUND(AU182,4)=ROUND(AU180,4),0,(AU182-AU180))</f>
        <v>0</v>
      </c>
      <c r="AV183" s="127">
        <f t="shared" si="653"/>
        <v>0</v>
      </c>
      <c r="AW183" s="125">
        <f t="shared" si="653"/>
        <v>0</v>
      </c>
      <c r="AX183" s="125">
        <f t="shared" si="653"/>
        <v>0</v>
      </c>
      <c r="AY183" s="126">
        <f>IF(ROUND(AY182,4)=ROUND(AY180,4),0,(AY182-AY180))</f>
        <v>0</v>
      </c>
      <c r="AZ183" s="127">
        <f t="shared" si="653"/>
        <v>0</v>
      </c>
      <c r="BA183" s="125">
        <f t="shared" si="653"/>
        <v>0</v>
      </c>
      <c r="BB183" s="125">
        <f>IF(ROUND(BB182,4)=ROUND(BB180,4),0,(BB182-BB180))</f>
        <v>0</v>
      </c>
      <c r="BC183" s="126">
        <f>IF(ROUND(BC182,4)=ROUND(BC180,4),0,(BC182-BC180))</f>
        <v>0</v>
      </c>
      <c r="BD183" s="127">
        <f>IF(ROUND(BD182,4)=ROUND(BD180,4),0,(BD182-BD180))</f>
        <v>0</v>
      </c>
      <c r="BE183" s="125">
        <f>IF(ROUND(BE182,4)=ROUND(BE180,4),0,(BE182-BE180))</f>
        <v>0</v>
      </c>
      <c r="BF183" s="125">
        <f t="shared" ref="BF183" si="654">IF(ROUND(BF182,4)=ROUND(BF180,4),0,(BF182-BF180))</f>
        <v>0</v>
      </c>
      <c r="BG183" s="126">
        <f>IF(ROUND(BG182,4)=ROUND(BG180,4),0,(BG182-BG180))</f>
        <v>0</v>
      </c>
      <c r="BH183" s="127">
        <f t="shared" ref="BH183:BO183" si="655">IF(ROUND(BH182,4)=ROUND(BH180,4),0,(BH182-BH180))</f>
        <v>0</v>
      </c>
      <c r="BI183" s="125">
        <f>IF(ROUND(BI182,4)=ROUND(BI180,4),0,(BI182-BI180))</f>
        <v>0</v>
      </c>
      <c r="BJ183" s="125">
        <f t="shared" ref="BJ183" si="656">IF(ROUND(BJ182,4)=ROUND(BJ180,4),0,(BJ182-BJ180))</f>
        <v>0</v>
      </c>
      <c r="BK183" s="126">
        <f>IF(ROUND(BK182,4)=ROUND(BK180,4),0,(BK182-BK180))</f>
        <v>0</v>
      </c>
      <c r="BL183" s="127">
        <f t="shared" si="655"/>
        <v>0</v>
      </c>
      <c r="BM183" s="125">
        <f t="shared" si="655"/>
        <v>0</v>
      </c>
      <c r="BN183" s="125">
        <f t="shared" si="655"/>
        <v>0</v>
      </c>
      <c r="BO183" s="125">
        <f t="shared" si="655"/>
        <v>0</v>
      </c>
      <c r="BP183" s="127">
        <f t="shared" ref="BP183:BS183" si="657">IF(ROUND(BP182,4)=ROUND(BP180,4),0,(BP182-BP180))</f>
        <v>0</v>
      </c>
      <c r="BQ183" s="125">
        <f t="shared" si="657"/>
        <v>0</v>
      </c>
      <c r="BR183" s="125">
        <f t="shared" si="657"/>
        <v>0</v>
      </c>
      <c r="BS183" s="125">
        <f t="shared" si="657"/>
        <v>0</v>
      </c>
      <c r="BT183" s="127">
        <f t="shared" ref="BT183:BW183" si="658">IF(ROUND(BT182,4)=ROUND(BT180,4),0,(BT182-BT180))</f>
        <v>0</v>
      </c>
      <c r="BU183" s="125">
        <f t="shared" si="658"/>
        <v>0</v>
      </c>
      <c r="BV183" s="125">
        <f t="shared" si="658"/>
        <v>0</v>
      </c>
      <c r="BW183" s="125">
        <f t="shared" si="658"/>
        <v>0</v>
      </c>
      <c r="BX183" s="149"/>
      <c r="BY183" s="125">
        <f t="shared" ref="BY183:CL183" si="659">IF(ROUND(BY182,4)=ROUND(BY180,4),0,(BY182-BY180))</f>
        <v>0</v>
      </c>
      <c r="BZ183" s="125">
        <f t="shared" si="659"/>
        <v>0</v>
      </c>
      <c r="CA183" s="125">
        <f t="shared" si="659"/>
        <v>0</v>
      </c>
      <c r="CB183" s="125">
        <f t="shared" si="659"/>
        <v>0</v>
      </c>
      <c r="CC183" s="125">
        <f t="shared" si="659"/>
        <v>0</v>
      </c>
      <c r="CD183" s="125">
        <f t="shared" si="659"/>
        <v>0</v>
      </c>
      <c r="CE183" s="125">
        <f t="shared" si="659"/>
        <v>0</v>
      </c>
      <c r="CF183" s="125">
        <f t="shared" si="659"/>
        <v>0</v>
      </c>
      <c r="CG183" s="125">
        <f t="shared" si="659"/>
        <v>0</v>
      </c>
      <c r="CH183" s="125">
        <f t="shared" si="659"/>
        <v>0</v>
      </c>
      <c r="CI183" s="125">
        <f t="shared" si="659"/>
        <v>0</v>
      </c>
      <c r="CJ183" s="125">
        <f t="shared" si="659"/>
        <v>0</v>
      </c>
      <c r="CK183" s="125">
        <f t="shared" si="659"/>
        <v>0</v>
      </c>
      <c r="CL183" s="125">
        <f t="shared" si="659"/>
        <v>0</v>
      </c>
      <c r="CM183" s="125">
        <f>IF(ROUND(CM182,4)=ROUND(CM180,4),0,(CM182-CM180))</f>
        <v>0</v>
      </c>
      <c r="CN183" s="125">
        <f>IF(ROUND(CN182,4)=ROUND(CN180,4),0,(CN182-CN180))</f>
        <v>0</v>
      </c>
      <c r="CO183" s="125">
        <f>IF(ROUND(CO182,4)=ROUND(CO180,4),0,(CO182-CO180))</f>
        <v>0</v>
      </c>
      <c r="CP183" s="126">
        <f>IF(ROUND(CP182,4)=ROUND(CP180,4),0,(CP182-CP180))</f>
        <v>0</v>
      </c>
      <c r="CQ183" s="22"/>
    </row>
    <row r="184" spans="1:95" ht="14.25" customHeight="1" outlineLevel="1">
      <c r="A184" s="9"/>
      <c r="B184" s="200"/>
      <c r="C184" s="200"/>
      <c r="D184" s="201"/>
      <c r="E184" s="201"/>
      <c r="F184" s="201"/>
      <c r="G184" s="201"/>
      <c r="H184" s="201"/>
      <c r="I184" s="201"/>
      <c r="J184" s="201"/>
      <c r="K184" s="201"/>
      <c r="L184" s="201"/>
      <c r="M184" s="201"/>
      <c r="N184" s="201"/>
      <c r="O184" s="201"/>
      <c r="P184" s="201"/>
      <c r="Q184" s="201"/>
      <c r="R184" s="201"/>
      <c r="S184" s="201"/>
      <c r="T184" s="201"/>
      <c r="U184" s="201"/>
      <c r="V184" s="201"/>
      <c r="W184" s="201"/>
      <c r="X184" s="201"/>
      <c r="Y184" s="201"/>
      <c r="Z184" s="201"/>
      <c r="AA184" s="201"/>
      <c r="AB184" s="201"/>
      <c r="AC184" s="201"/>
      <c r="AD184" s="201"/>
      <c r="AE184" s="201"/>
      <c r="AF184" s="201"/>
      <c r="AG184" s="201"/>
      <c r="AH184" s="201"/>
      <c r="AI184" s="201"/>
      <c r="AJ184" s="201"/>
      <c r="AK184" s="201"/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57"/>
      <c r="BY184" s="201"/>
      <c r="BZ184" s="201"/>
      <c r="CA184" s="201"/>
      <c r="CB184" s="201"/>
      <c r="CC184" s="201"/>
      <c r="CD184" s="201"/>
      <c r="CE184" s="201"/>
      <c r="CF184" s="201"/>
      <c r="CG184" s="201"/>
      <c r="CH184" s="201"/>
      <c r="CI184" s="201"/>
      <c r="CJ184" s="201"/>
      <c r="CK184" s="201"/>
      <c r="CL184" s="201"/>
      <c r="CM184" s="201"/>
      <c r="CN184" s="201"/>
      <c r="CO184" s="201"/>
      <c r="CP184" s="201"/>
      <c r="CQ184" s="15"/>
    </row>
    <row r="185" spans="1:95" ht="14.25" customHeight="1" outlineLevel="1">
      <c r="A185" s="9"/>
      <c r="B185" s="57"/>
      <c r="C185" s="15"/>
      <c r="D185" s="202"/>
      <c r="E185" s="202"/>
      <c r="F185" s="202"/>
      <c r="G185" s="202"/>
      <c r="H185" s="202"/>
      <c r="I185" s="202"/>
      <c r="J185" s="202"/>
      <c r="K185" s="202"/>
      <c r="L185" s="202"/>
      <c r="M185" s="202"/>
      <c r="N185" s="202"/>
      <c r="O185" s="202"/>
      <c r="P185" s="202"/>
      <c r="Q185" s="202"/>
      <c r="R185" s="202"/>
      <c r="S185" s="202"/>
      <c r="T185" s="202"/>
      <c r="U185" s="202"/>
      <c r="V185" s="202"/>
      <c r="W185" s="202"/>
      <c r="X185" s="202"/>
      <c r="Y185" s="202"/>
      <c r="Z185" s="202"/>
      <c r="AA185" s="202"/>
      <c r="AB185" s="202"/>
      <c r="AC185" s="202"/>
      <c r="AD185" s="202"/>
      <c r="AE185" s="202"/>
      <c r="AF185" s="202"/>
      <c r="AG185" s="202"/>
      <c r="AH185" s="202"/>
      <c r="AI185" s="202"/>
      <c r="AJ185" s="202"/>
      <c r="AK185" s="202"/>
      <c r="AL185" s="202"/>
      <c r="AM185" s="202"/>
      <c r="AN185" s="202"/>
      <c r="AO185" s="202"/>
      <c r="AP185" s="202"/>
      <c r="AQ185" s="202"/>
      <c r="AR185" s="202"/>
      <c r="AS185" s="202"/>
      <c r="AT185" s="202"/>
      <c r="AU185" s="202"/>
      <c r="AV185" s="202"/>
      <c r="AW185" s="202"/>
      <c r="AX185" s="202"/>
      <c r="AY185" s="202"/>
      <c r="AZ185" s="202"/>
      <c r="BA185" s="202"/>
      <c r="BB185" s="202"/>
      <c r="BC185" s="202"/>
      <c r="BD185" s="202"/>
      <c r="BE185" s="202"/>
      <c r="BF185" s="202"/>
      <c r="BG185" s="202"/>
      <c r="BH185" s="202"/>
      <c r="BI185" s="202"/>
      <c r="BJ185" s="202"/>
      <c r="BK185" s="202"/>
      <c r="BL185" s="202"/>
      <c r="BM185" s="202"/>
      <c r="BN185" s="202"/>
      <c r="BO185" s="202"/>
      <c r="BP185" s="202"/>
      <c r="BQ185" s="202"/>
      <c r="BR185" s="202"/>
      <c r="BS185" s="202"/>
      <c r="BT185" s="202"/>
      <c r="BU185" s="202"/>
      <c r="BV185" s="202"/>
      <c r="BW185" s="202"/>
      <c r="BX185" s="9"/>
      <c r="BY185" s="202"/>
      <c r="BZ185" s="202"/>
      <c r="CA185" s="202"/>
      <c r="CB185" s="202"/>
      <c r="CC185" s="202"/>
      <c r="CD185" s="202"/>
      <c r="CE185" s="202"/>
      <c r="CF185" s="202"/>
      <c r="CG185" s="202"/>
      <c r="CH185" s="202"/>
      <c r="CI185" s="202"/>
      <c r="CJ185" s="202"/>
      <c r="CK185" s="202"/>
      <c r="CL185" s="202"/>
      <c r="CM185" s="202"/>
      <c r="CN185" s="202"/>
      <c r="CO185" s="202"/>
      <c r="CP185" s="202"/>
      <c r="CQ185" s="15"/>
    </row>
    <row r="186" spans="1:95" ht="14.25" customHeight="1" outlineLevel="1">
      <c r="A186" s="9"/>
      <c r="B186" s="57"/>
      <c r="C186" s="15"/>
      <c r="D186" s="202"/>
      <c r="E186" s="202"/>
      <c r="F186" s="202"/>
      <c r="G186" s="202"/>
      <c r="H186" s="202"/>
      <c r="I186" s="202"/>
      <c r="J186" s="202"/>
      <c r="K186" s="202"/>
      <c r="L186" s="202"/>
      <c r="M186" s="202"/>
      <c r="N186" s="202"/>
      <c r="O186" s="202"/>
      <c r="P186" s="202"/>
      <c r="Q186" s="202"/>
      <c r="R186" s="202"/>
      <c r="S186" s="202"/>
      <c r="T186" s="202"/>
      <c r="U186" s="202"/>
      <c r="V186" s="202"/>
      <c r="W186" s="202"/>
      <c r="X186" s="202"/>
      <c r="Y186" s="202"/>
      <c r="Z186" s="202"/>
      <c r="AA186" s="202"/>
      <c r="AB186" s="202"/>
      <c r="AC186" s="202"/>
      <c r="AD186" s="202"/>
      <c r="AE186" s="202"/>
      <c r="AF186" s="202"/>
      <c r="AG186" s="202"/>
      <c r="AH186" s="202"/>
      <c r="AI186" s="202"/>
      <c r="AJ186" s="202"/>
      <c r="AK186" s="202"/>
      <c r="AL186" s="202"/>
      <c r="AM186" s="202"/>
      <c r="AN186" s="202"/>
      <c r="AO186" s="202"/>
      <c r="AP186" s="202"/>
      <c r="AQ186" s="202"/>
      <c r="AR186" s="202"/>
      <c r="AS186" s="202"/>
      <c r="AT186" s="202"/>
      <c r="AU186" s="202"/>
      <c r="AV186" s="202"/>
      <c r="AW186" s="202"/>
      <c r="AX186" s="202"/>
      <c r="AY186" s="202"/>
      <c r="AZ186" s="202"/>
      <c r="BA186" s="202"/>
      <c r="BB186" s="202"/>
      <c r="BC186" s="202"/>
      <c r="BD186" s="202"/>
      <c r="BE186" s="202"/>
      <c r="BF186" s="202"/>
      <c r="BG186" s="202"/>
      <c r="BH186" s="202"/>
      <c r="BI186" s="202"/>
      <c r="BJ186" s="202"/>
      <c r="BK186" s="202"/>
      <c r="BL186" s="202"/>
      <c r="BM186" s="202"/>
      <c r="BN186" s="202"/>
      <c r="BO186" s="202"/>
      <c r="BP186" s="202"/>
      <c r="BQ186" s="202"/>
      <c r="BR186" s="202"/>
      <c r="BS186" s="202"/>
      <c r="BT186" s="202"/>
      <c r="BU186" s="202"/>
      <c r="BV186" s="202"/>
      <c r="BW186" s="202"/>
      <c r="BX186" s="9"/>
      <c r="BY186" s="202"/>
      <c r="BZ186" s="202"/>
      <c r="CA186" s="202"/>
      <c r="CB186" s="202"/>
      <c r="CC186" s="202"/>
      <c r="CD186" s="202"/>
      <c r="CE186" s="202"/>
      <c r="CF186" s="202"/>
      <c r="CG186" s="202"/>
      <c r="CH186" s="202"/>
      <c r="CI186" s="202"/>
      <c r="CJ186" s="202"/>
      <c r="CK186" s="202"/>
      <c r="CL186" s="202"/>
      <c r="CM186" s="202"/>
      <c r="CN186" s="202"/>
      <c r="CO186" s="202"/>
      <c r="CP186" s="202"/>
      <c r="CQ186" s="15"/>
    </row>
    <row r="187" spans="1:95" ht="14.25" customHeight="1" outlineLevel="1">
      <c r="BP187"/>
      <c r="BQ187"/>
      <c r="BR187"/>
      <c r="BS187"/>
      <c r="BT187"/>
      <c r="BU187"/>
      <c r="BV187"/>
      <c r="BW187"/>
      <c r="CE187"/>
      <c r="CF187"/>
      <c r="CG187"/>
      <c r="CH187"/>
      <c r="CI187"/>
      <c r="CJ187"/>
      <c r="CK187"/>
      <c r="CL187"/>
      <c r="CM187"/>
      <c r="CN187"/>
      <c r="CO187"/>
      <c r="CP187"/>
    </row>
    <row r="188" spans="1:95" ht="14.25" customHeight="1" outlineLevel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160"/>
    </row>
    <row r="189" spans="1:95" ht="14.25" customHeight="1" outlineLevel="1">
      <c r="BF189" s="1319"/>
    </row>
    <row r="190" spans="1:95" ht="14.25" customHeight="1" outlineLevel="1">
      <c r="A190" s="2"/>
      <c r="B190" s="159" t="s">
        <v>139</v>
      </c>
      <c r="C190" s="246">
        <f>IS!C160</f>
        <v>0</v>
      </c>
      <c r="D190" s="246" t="str">
        <f>IS!D160</f>
        <v>A</v>
      </c>
      <c r="E190" s="246" t="str">
        <f>IS!E160</f>
        <v>A</v>
      </c>
      <c r="F190" s="246" t="str">
        <f>IS!F160</f>
        <v>A</v>
      </c>
      <c r="G190" s="246" t="str">
        <f>IS!G160</f>
        <v>A</v>
      </c>
      <c r="H190" s="246" t="str">
        <f>IS!H160</f>
        <v>A</v>
      </c>
      <c r="I190" s="246" t="str">
        <f>IS!I160</f>
        <v>A</v>
      </c>
      <c r="J190" s="246" t="str">
        <f>IS!J160</f>
        <v>A</v>
      </c>
      <c r="K190" s="246" t="str">
        <f>IS!K160</f>
        <v>A</v>
      </c>
      <c r="L190" s="246" t="str">
        <f>IS!L160</f>
        <v>A</v>
      </c>
      <c r="M190" s="246" t="str">
        <f>IS!M160</f>
        <v>A</v>
      </c>
      <c r="N190" s="246" t="str">
        <f>IS!N160</f>
        <v>A</v>
      </c>
      <c r="O190" s="246" t="str">
        <f>IS!O160</f>
        <v>A</v>
      </c>
      <c r="P190" s="246" t="str">
        <f>IS!P160</f>
        <v>A</v>
      </c>
      <c r="Q190" s="246" t="str">
        <f>IS!Q160</f>
        <v>A</v>
      </c>
      <c r="R190" s="246" t="str">
        <f>IS!R160</f>
        <v>A</v>
      </c>
      <c r="S190" s="246" t="str">
        <f>IS!S160</f>
        <v>A</v>
      </c>
      <c r="T190" s="246" t="str">
        <f>IS!T160</f>
        <v>A</v>
      </c>
      <c r="U190" s="246" t="str">
        <f>IS!U160</f>
        <v>A</v>
      </c>
      <c r="V190" s="246" t="str">
        <f>IS!V160</f>
        <v>A</v>
      </c>
      <c r="W190" s="246" t="str">
        <f>IS!W160</f>
        <v>A</v>
      </c>
      <c r="X190" s="246" t="str">
        <f>IS!X160</f>
        <v>A</v>
      </c>
      <c r="Y190" s="246" t="str">
        <f>IS!Y160</f>
        <v>A</v>
      </c>
      <c r="Z190" s="246" t="str">
        <f>IS!Z160</f>
        <v>A</v>
      </c>
      <c r="AA190" s="246" t="str">
        <f>IS!AA160</f>
        <v>A</v>
      </c>
      <c r="AB190" s="246" t="str">
        <f>IS!AB160</f>
        <v>A</v>
      </c>
      <c r="AC190" s="246" t="str">
        <f>IS!AC160</f>
        <v>A</v>
      </c>
      <c r="AD190" s="246" t="str">
        <f>IS!AD160</f>
        <v>A</v>
      </c>
      <c r="AE190" s="246" t="str">
        <f>IS!AE160</f>
        <v>A</v>
      </c>
      <c r="AF190" s="246" t="str">
        <f>IS!AF160</f>
        <v>A</v>
      </c>
      <c r="AG190" s="246" t="str">
        <f>IS!AG160</f>
        <v>A</v>
      </c>
      <c r="AH190" s="246" t="str">
        <f>IS!AH160</f>
        <v>A</v>
      </c>
      <c r="AI190" s="246" t="str">
        <f>IS!AI160</f>
        <v>A</v>
      </c>
      <c r="AJ190" s="246" t="str">
        <f>IS!AJ160</f>
        <v>A</v>
      </c>
      <c r="AK190" s="246" t="str">
        <f>IS!AK160</f>
        <v>A</v>
      </c>
      <c r="AL190" s="246" t="str">
        <f>IS!AL160</f>
        <v>A</v>
      </c>
      <c r="AM190" s="246" t="str">
        <f>IS!AM160</f>
        <v>A</v>
      </c>
      <c r="AN190" s="246" t="str">
        <f>IS!AN160</f>
        <v>A</v>
      </c>
      <c r="AO190" s="246" t="str">
        <f>IS!AO160</f>
        <v>A</v>
      </c>
      <c r="AP190" s="246" t="str">
        <f>IS!AP160</f>
        <v>A</v>
      </c>
      <c r="AQ190" s="246" t="str">
        <f>IS!AQ160</f>
        <v>A</v>
      </c>
      <c r="AR190" s="246" t="str">
        <f>IS!AR160</f>
        <v>A</v>
      </c>
      <c r="AS190" s="246" t="str">
        <f>IS!AS160</f>
        <v>A</v>
      </c>
      <c r="AT190" s="246" t="str">
        <f>IS!AT160</f>
        <v>A</v>
      </c>
      <c r="AU190" s="246" t="str">
        <f>IS!AU160</f>
        <v>A</v>
      </c>
      <c r="AV190" s="246" t="str">
        <f>IS!AV160</f>
        <v>A</v>
      </c>
      <c r="AW190" s="246" t="str">
        <f>IS!AW160</f>
        <v>A</v>
      </c>
      <c r="AX190" s="246" t="str">
        <f>IS!AX160</f>
        <v>A</v>
      </c>
      <c r="AY190" s="246" t="str">
        <f>IS!AY160</f>
        <v>A</v>
      </c>
      <c r="AZ190" s="246" t="str">
        <f>IS!AZ160</f>
        <v>A</v>
      </c>
      <c r="BA190" s="246" t="str">
        <f>IS!BA160</f>
        <v>A</v>
      </c>
      <c r="BB190" s="246" t="str">
        <f>IS!BB160</f>
        <v>A</v>
      </c>
      <c r="BC190" s="246" t="str">
        <f>IS!BC160</f>
        <v>A</v>
      </c>
      <c r="BD190" s="246" t="str">
        <f>IS!BD160</f>
        <v>A</v>
      </c>
      <c r="BE190" s="246" t="str">
        <f>IS!BE160</f>
        <v>A</v>
      </c>
      <c r="BF190" s="246" t="str">
        <f>IS!BF160</f>
        <v>A</v>
      </c>
      <c r="BG190" s="246" t="str">
        <f>IS!BG160</f>
        <v>A</v>
      </c>
      <c r="BH190" s="246" t="str">
        <f>IS!BH160</f>
        <v>A</v>
      </c>
      <c r="BI190" s="246" t="str">
        <f>IS!BI160</f>
        <v>A</v>
      </c>
      <c r="BJ190" s="246" t="str">
        <f>IS!BJ160</f>
        <v>A</v>
      </c>
      <c r="BK190" s="246" t="str">
        <f>IS!BK160</f>
        <v>A</v>
      </c>
      <c r="BL190" s="246" t="str">
        <f>IS!BL160</f>
        <v>E</v>
      </c>
      <c r="BM190" s="246" t="str">
        <f>IS!BM160</f>
        <v>E</v>
      </c>
      <c r="BN190" s="246" t="str">
        <f>IS!BN160</f>
        <v>E</v>
      </c>
      <c r="BO190" s="246" t="str">
        <f>IS!BO160</f>
        <v>E</v>
      </c>
      <c r="BP190" s="246" t="str">
        <f>IS!BP160</f>
        <v>E</v>
      </c>
      <c r="BQ190" s="246" t="str">
        <f>IS!BQ160</f>
        <v>E</v>
      </c>
      <c r="BR190" s="246" t="str">
        <f>IS!BR160</f>
        <v>E</v>
      </c>
      <c r="BS190" s="246" t="str">
        <f>IS!BS160</f>
        <v>E</v>
      </c>
      <c r="BT190" s="246" t="str">
        <f>IS!BT160</f>
        <v>E</v>
      </c>
      <c r="BU190" s="246" t="str">
        <f>IS!BU160</f>
        <v>E</v>
      </c>
      <c r="BV190" s="246" t="str">
        <f>IS!BV160</f>
        <v>E</v>
      </c>
      <c r="BW190" s="246" t="str">
        <f>IS!BW160</f>
        <v>E</v>
      </c>
      <c r="BX190" s="2"/>
      <c r="BY190" s="246" t="str">
        <f>IS!BY160</f>
        <v>A</v>
      </c>
      <c r="BZ190" s="246" t="str">
        <f>IS!BZ160</f>
        <v>A</v>
      </c>
      <c r="CA190" s="246" t="str">
        <f>IS!CA160</f>
        <v>A</v>
      </c>
      <c r="CB190" s="246" t="str">
        <f>IS!CB160</f>
        <v>A</v>
      </c>
      <c r="CC190" s="246" t="str">
        <f>IS!CC160</f>
        <v>A</v>
      </c>
      <c r="CD190" s="246" t="str">
        <f>IS!CD160</f>
        <v>A</v>
      </c>
      <c r="CE190" s="246" t="str">
        <f>IS!CE160</f>
        <v>A</v>
      </c>
      <c r="CF190" s="246" t="str">
        <f>IS!CF160</f>
        <v>A</v>
      </c>
      <c r="CG190" s="246" t="str">
        <f>IS!CG160</f>
        <v>A</v>
      </c>
      <c r="CH190" s="246" t="str">
        <f>IS!CH160</f>
        <v>A</v>
      </c>
      <c r="CI190" s="246" t="str">
        <f>IS!CI160</f>
        <v>A</v>
      </c>
      <c r="CJ190" s="246" t="str">
        <f>IS!CJ160</f>
        <v>A</v>
      </c>
      <c r="CK190" s="246" t="str">
        <f>IS!CK160</f>
        <v>A</v>
      </c>
      <c r="CL190" s="246" t="str">
        <f>IS!CL160</f>
        <v>E</v>
      </c>
      <c r="CM190" s="246" t="str">
        <f>IS!CM160</f>
        <v>A</v>
      </c>
      <c r="CN190" s="246" t="str">
        <f>IS!CN160</f>
        <v>E</v>
      </c>
      <c r="CO190" s="246" t="str">
        <f>IS!CO160</f>
        <v>E</v>
      </c>
      <c r="CP190" s="246" t="str">
        <f>IS!CP160</f>
        <v>E</v>
      </c>
      <c r="CQ190" s="160"/>
    </row>
    <row r="191" spans="1:95" ht="14.25" customHeight="1" outlineLevel="1">
      <c r="BF191" s="1319"/>
    </row>
    <row r="192" spans="1:95" ht="14.25" customHeight="1">
      <c r="BF192" s="1319"/>
    </row>
  </sheetData>
  <sheetProtection selectLockedCells="1" selectUnlockedCells="1"/>
  <phoneticPr fontId="27" type="noConversion"/>
  <conditionalFormatting sqref="B4">
    <cfRule type="cellIs" dxfId="57" priority="1" stopIfTrue="1" operator="equal">
      <formula>"Bear Case"</formula>
    </cfRule>
    <cfRule type="cellIs" dxfId="56" priority="2" stopIfTrue="1" operator="equal">
      <formula>"Bull Case"</formula>
    </cfRule>
    <cfRule type="cellIs" dxfId="55" priority="3" stopIfTrue="1" operator="equal">
      <formula>"Base Case"</formula>
    </cfRule>
  </conditionalFormatting>
  <pageMargins left="0" right="0" top="0" bottom="0" header="0" footer="0"/>
  <pageSetup paperSize="5" scale="23" orientation="landscape" r:id="rId1"/>
  <headerFooter alignWithMargins="0"/>
  <ignoredErrors>
    <ignoredError sqref="AV176:AV177 BX83:CK83 AV120 AZ159:AZ161 AV179:AV180 BA83 AZ120 AV159:AV161 AZ173:AZ174 AZ176:AZ177" formula="1"/>
    <ignoredError sqref="CI17:CK26 CI47:CK68 D105:BA105 CL17:CL36 CL172:CL186 CL157:CL170 CL47:CL72 CL74:CL78 CI13:CL16 CL127:CL146 CL40:CL46 CI41:CK46 CL82:CL107 CL148:CL156 CL38 CL109:CL126 CL188:CL190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tabColor indexed="17"/>
  </sheetPr>
  <dimension ref="A1:CV763"/>
  <sheetViews>
    <sheetView zoomScale="85" zoomScaleNormal="85" workbookViewId="0">
      <pane xSplit="3" ySplit="9" topLeftCell="BH16" activePane="bottomRight" state="frozen"/>
      <selection activeCell="CB8" sqref="CB8"/>
      <selection pane="topRight" activeCell="CB8" sqref="CB8"/>
      <selection pane="bottomLeft" activeCell="CB8" sqref="CB8"/>
      <selection pane="bottomRight" activeCell="BH10" sqref="BH10"/>
    </sheetView>
  </sheetViews>
  <sheetFormatPr defaultRowHeight="14.25" customHeight="1" outlineLevelRow="3" outlineLevelCol="1"/>
  <cols>
    <col min="1" max="1" width="1.5703125" customWidth="1"/>
    <col min="2" max="2" width="40.42578125" customWidth="1"/>
    <col min="3" max="3" width="1.7109375" customWidth="1"/>
    <col min="4" max="43" width="11.42578125" hidden="1" customWidth="1" outlineLevel="1"/>
    <col min="44" max="44" width="11.42578125" hidden="1" customWidth="1" outlineLevel="1" collapsed="1"/>
    <col min="45" max="47" width="11.42578125" hidden="1" customWidth="1" outlineLevel="1"/>
    <col min="48" max="48" width="11.42578125" hidden="1" customWidth="1" outlineLevel="1" collapsed="1"/>
    <col min="49" max="59" width="11.42578125" hidden="1" customWidth="1" outlineLevel="1"/>
    <col min="60" max="60" width="11.42578125" customWidth="1" collapsed="1"/>
    <col min="61" max="63" width="11.42578125" customWidth="1"/>
    <col min="64" max="71" width="11.42578125" style="1372" customWidth="1"/>
    <col min="72" max="75" width="11.42578125" style="1463" hidden="1" customWidth="1" outlineLevel="1"/>
    <col min="76" max="76" width="4.28515625" customWidth="1" collapsed="1"/>
    <col min="77" max="81" width="11.42578125" hidden="1" customWidth="1" outlineLevel="1"/>
    <col min="82" max="82" width="11.42578125" hidden="1" customWidth="1" outlineLevel="1" collapsed="1"/>
    <col min="83" max="90" width="11.42578125" hidden="1" customWidth="1" outlineLevel="1"/>
    <col min="91" max="91" width="11.42578125" customWidth="1" collapsed="1"/>
    <col min="92" max="92" width="11.42578125" style="1372" customWidth="1"/>
    <col min="93" max="93" width="11.42578125" style="1463" customWidth="1"/>
    <col min="94" max="94" width="11.42578125" style="1463" hidden="1" customWidth="1" outlineLevel="1"/>
    <col min="95" max="95" width="9.140625" collapsed="1"/>
    <col min="99" max="99" width="9.140625" hidden="1" customWidth="1" outlineLevel="1"/>
    <col min="100" max="100" width="9.140625" collapsed="1"/>
  </cols>
  <sheetData>
    <row r="1" spans="1:95" ht="67.5" customHeight="1">
      <c r="A1" s="2"/>
      <c r="B1" s="273"/>
      <c r="C1" s="2"/>
      <c r="D1" s="2"/>
      <c r="E1" s="2"/>
      <c r="F1" s="2"/>
      <c r="G1" s="2"/>
      <c r="H1" s="2"/>
      <c r="I1" s="2"/>
      <c r="J1" s="2"/>
      <c r="K1" s="2"/>
      <c r="L1" s="3"/>
      <c r="M1" s="2"/>
      <c r="N1" s="3"/>
      <c r="O1" s="2"/>
      <c r="P1" s="3"/>
      <c r="Q1" s="2"/>
      <c r="R1" s="3"/>
      <c r="S1" s="2"/>
      <c r="T1" s="3"/>
      <c r="U1" s="2"/>
      <c r="V1" s="3"/>
      <c r="W1" s="2"/>
      <c r="X1" s="3"/>
      <c r="Y1" s="2"/>
      <c r="Z1" s="3"/>
      <c r="AA1" s="2"/>
      <c r="AB1" s="3"/>
      <c r="AC1" s="2"/>
      <c r="AD1" s="3"/>
      <c r="AE1" s="2"/>
      <c r="AF1" s="3"/>
      <c r="AG1" s="2"/>
      <c r="AH1" s="3"/>
      <c r="AI1" s="2"/>
      <c r="AJ1" s="3"/>
      <c r="AK1" s="2"/>
      <c r="AL1" s="3"/>
      <c r="AM1" s="2"/>
      <c r="AN1" s="3"/>
      <c r="AO1" s="2"/>
      <c r="AP1" s="3"/>
      <c r="AQ1" s="2"/>
      <c r="AR1" s="3"/>
      <c r="AS1" s="2"/>
      <c r="AT1" s="3"/>
      <c r="AU1" s="2"/>
      <c r="AV1" s="3"/>
      <c r="AW1" s="2"/>
      <c r="AX1" s="3"/>
      <c r="AY1" s="2"/>
      <c r="AZ1" s="3"/>
      <c r="BA1" s="2"/>
      <c r="BB1" s="3"/>
      <c r="BC1" s="2"/>
      <c r="BD1" s="3"/>
      <c r="BE1" s="2"/>
      <c r="BF1" s="3"/>
      <c r="BG1" s="2"/>
      <c r="BH1" s="3"/>
      <c r="BI1" s="2"/>
      <c r="BJ1" s="3"/>
      <c r="BK1" s="2"/>
      <c r="BL1" s="3"/>
      <c r="BM1" s="2"/>
      <c r="BN1" s="3"/>
      <c r="BO1" s="2"/>
      <c r="BP1" s="3"/>
      <c r="BQ1" s="2"/>
      <c r="BR1" s="3"/>
      <c r="BS1" s="2"/>
      <c r="BT1" s="3"/>
      <c r="BU1" s="2"/>
      <c r="BV1" s="3"/>
      <c r="BW1" s="2"/>
      <c r="BX1" s="3"/>
      <c r="BY1" s="3"/>
      <c r="BZ1" s="3"/>
      <c r="CA1" s="3"/>
      <c r="CB1" s="2"/>
      <c r="CC1" s="3"/>
      <c r="CD1" s="2"/>
      <c r="CE1" s="3"/>
      <c r="CF1" s="2"/>
      <c r="CG1" s="3"/>
      <c r="CH1" s="2"/>
      <c r="CI1" s="3"/>
      <c r="CJ1" s="160"/>
      <c r="CK1" s="160"/>
      <c r="CL1" s="160"/>
      <c r="CM1" s="3"/>
      <c r="CN1" s="3"/>
      <c r="CO1" s="3"/>
      <c r="CP1" s="3"/>
    </row>
    <row r="2" spans="1:95" ht="18" customHeight="1">
      <c r="A2" s="2"/>
      <c r="B2" s="5" t="s">
        <v>190</v>
      </c>
      <c r="C2" s="5"/>
      <c r="D2" s="5"/>
      <c r="E2" s="5"/>
      <c r="F2" s="5"/>
      <c r="G2" s="5"/>
      <c r="H2" s="5"/>
      <c r="I2" s="5"/>
      <c r="J2" s="5"/>
      <c r="K2" s="5"/>
      <c r="AY2" s="1079"/>
      <c r="BJ2" s="1387"/>
      <c r="BL2" s="1388"/>
      <c r="CJ2" s="302"/>
      <c r="CK2" s="302"/>
      <c r="CL2" s="302"/>
    </row>
    <row r="3" spans="1:95" ht="14.25" customHeight="1">
      <c r="AV3" s="959"/>
      <c r="AW3" s="959"/>
      <c r="AX3" s="959"/>
      <c r="AY3" s="959"/>
      <c r="AZ3" s="959"/>
      <c r="BA3" s="959"/>
      <c r="BB3" s="959"/>
      <c r="BC3" s="959"/>
      <c r="BD3" s="959"/>
      <c r="BE3" s="959"/>
      <c r="BF3" s="959"/>
      <c r="BG3" s="959"/>
      <c r="BH3" s="959"/>
      <c r="BJ3" s="1437"/>
      <c r="BK3" s="1437"/>
      <c r="BL3" s="1437"/>
      <c r="BM3" s="1437"/>
      <c r="BN3" s="1437"/>
      <c r="BO3" s="1437"/>
      <c r="BP3" s="1437"/>
      <c r="BQ3" s="1437"/>
      <c r="BR3" s="1437"/>
      <c r="BS3" s="1437"/>
      <c r="BX3" s="1437"/>
      <c r="BY3" s="1437"/>
      <c r="BZ3" s="1437"/>
      <c r="CA3" s="1437"/>
      <c r="CB3" s="1437"/>
      <c r="CC3" s="1437"/>
      <c r="CD3" s="1437"/>
      <c r="CE3" s="1437"/>
      <c r="CF3" s="1437"/>
      <c r="CG3" s="1437"/>
      <c r="CH3" s="1437"/>
      <c r="CI3" s="1437"/>
      <c r="CJ3" s="1437"/>
      <c r="CL3" s="302"/>
    </row>
    <row r="4" spans="1:95" ht="14.25" customHeight="1">
      <c r="A4" s="252"/>
      <c r="B4" s="306" t="s">
        <v>315</v>
      </c>
      <c r="C4" s="253"/>
      <c r="D4" s="664"/>
      <c r="E4" s="664"/>
      <c r="F4" s="664"/>
      <c r="G4" s="664"/>
      <c r="H4" s="664"/>
      <c r="I4" s="664"/>
      <c r="J4" s="664"/>
      <c r="K4" s="66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522"/>
      <c r="BA4" s="2"/>
      <c r="BB4" s="522"/>
      <c r="BC4" s="522"/>
      <c r="BD4" s="522"/>
      <c r="BE4" s="522"/>
      <c r="BF4" s="522"/>
      <c r="BG4" s="522"/>
      <c r="BH4" s="522"/>
      <c r="BI4" s="522"/>
      <c r="BJ4" s="1387"/>
      <c r="BK4" s="1387"/>
      <c r="BL4" s="522"/>
      <c r="BM4" s="522"/>
      <c r="BN4" s="522"/>
      <c r="BO4" s="522"/>
      <c r="BP4" s="522"/>
      <c r="BQ4" s="522"/>
      <c r="BR4" s="522"/>
      <c r="BS4" s="522"/>
      <c r="BT4" s="522"/>
      <c r="BU4" s="522"/>
      <c r="BV4" s="522"/>
      <c r="BW4" s="522"/>
      <c r="BX4" s="2"/>
      <c r="BY4" s="2"/>
      <c r="BZ4" s="2"/>
      <c r="CA4" s="2"/>
      <c r="CB4" s="2"/>
      <c r="CC4" s="2"/>
      <c r="CD4" s="2"/>
      <c r="CE4" s="2"/>
      <c r="CF4" s="7"/>
      <c r="CG4" s="1039"/>
      <c r="CH4" s="2"/>
      <c r="CI4" s="1039"/>
      <c r="CJ4" s="160"/>
      <c r="CK4" s="160"/>
      <c r="CL4" s="160"/>
      <c r="CM4" s="522"/>
      <c r="CN4" s="522"/>
      <c r="CO4" s="522"/>
      <c r="CP4" s="522"/>
    </row>
    <row r="5" spans="1:95" ht="14.25" customHeight="1">
      <c r="A5" s="2"/>
      <c r="B5" s="10"/>
      <c r="C5" s="371"/>
      <c r="D5" s="397" t="str">
        <f>IS!D5</f>
        <v>C1Q03A</v>
      </c>
      <c r="E5" s="398" t="str">
        <f>IS!E5</f>
        <v>C2Q03A</v>
      </c>
      <c r="F5" s="398" t="str">
        <f>IS!F5</f>
        <v>C3Q03A</v>
      </c>
      <c r="G5" s="398" t="str">
        <f>IS!G5</f>
        <v>C4Q03A</v>
      </c>
      <c r="H5" s="397" t="str">
        <f>IS!H5</f>
        <v>C1Q04A</v>
      </c>
      <c r="I5" s="398" t="str">
        <f>IS!I5</f>
        <v>C2Q04A</v>
      </c>
      <c r="J5" s="398" t="str">
        <f>IS!J5</f>
        <v>C3Q04A</v>
      </c>
      <c r="K5" s="398" t="str">
        <f>IS!K5</f>
        <v>C4Q04A</v>
      </c>
      <c r="L5" s="397" t="str">
        <f>IS!L5</f>
        <v>C1Q05A</v>
      </c>
      <c r="M5" s="398" t="str">
        <f>IS!M5</f>
        <v>C2Q05A</v>
      </c>
      <c r="N5" s="398" t="str">
        <f>IS!N5</f>
        <v>C3Q05A</v>
      </c>
      <c r="O5" s="398" t="str">
        <f>IS!O5</f>
        <v>C4Q05A</v>
      </c>
      <c r="P5" s="397" t="str">
        <f>IS!P5</f>
        <v>C1Q06A</v>
      </c>
      <c r="Q5" s="398" t="str">
        <f>IS!Q5</f>
        <v>C2Q06A</v>
      </c>
      <c r="R5" s="398" t="str">
        <f>IS!R5</f>
        <v>C3Q06A</v>
      </c>
      <c r="S5" s="398" t="str">
        <f>IS!S5</f>
        <v>C4Q06A</v>
      </c>
      <c r="T5" s="397" t="str">
        <f>IS!T5</f>
        <v>C1Q07A</v>
      </c>
      <c r="U5" s="398" t="str">
        <f>IS!U5</f>
        <v>C2Q07A</v>
      </c>
      <c r="V5" s="398" t="str">
        <f>IS!V5</f>
        <v>C3Q07A</v>
      </c>
      <c r="W5" s="398" t="str">
        <f>IS!W5</f>
        <v>C4Q07A</v>
      </c>
      <c r="X5" s="397" t="str">
        <f>IS!X5</f>
        <v>C1Q08A</v>
      </c>
      <c r="Y5" s="398" t="str">
        <f>IS!Y5</f>
        <v>C2Q08A</v>
      </c>
      <c r="Z5" s="398" t="str">
        <f>IS!Z5</f>
        <v>C3Q08A</v>
      </c>
      <c r="AA5" s="398" t="str">
        <f>IS!AA5</f>
        <v>C4Q08A</v>
      </c>
      <c r="AB5" s="397" t="str">
        <f>IS!AB5</f>
        <v>C1Q09A</v>
      </c>
      <c r="AC5" s="398" t="str">
        <f>IS!AC5</f>
        <v>C2Q09A</v>
      </c>
      <c r="AD5" s="398" t="str">
        <f>IS!AD5</f>
        <v>C3Q09A</v>
      </c>
      <c r="AE5" s="398" t="str">
        <f>IS!AE5</f>
        <v>C4Q09A</v>
      </c>
      <c r="AF5" s="397" t="str">
        <f>IS!AF5</f>
        <v>C1Q10A</v>
      </c>
      <c r="AG5" s="398" t="str">
        <f>IS!AG5</f>
        <v>C2Q10A</v>
      </c>
      <c r="AH5" s="398" t="str">
        <f>IS!AH5</f>
        <v>C3Q10A</v>
      </c>
      <c r="AI5" s="405" t="str">
        <f>IS!AI5</f>
        <v>C4Q10A</v>
      </c>
      <c r="AJ5" s="397" t="str">
        <f>IS!AJ5</f>
        <v>C1Q11A</v>
      </c>
      <c r="AK5" s="398" t="str">
        <f>IS!AK5</f>
        <v>C2Q11A</v>
      </c>
      <c r="AL5" s="398" t="str">
        <f>IS!AL5</f>
        <v>C3Q11A</v>
      </c>
      <c r="AM5" s="405" t="str">
        <f>IS!AM5</f>
        <v>C4Q11A</v>
      </c>
      <c r="AN5" s="397" t="str">
        <f>IS!AN5</f>
        <v>C1Q12A</v>
      </c>
      <c r="AO5" s="398" t="str">
        <f>IS!AO5</f>
        <v>C2Q12A</v>
      </c>
      <c r="AP5" s="398" t="str">
        <f>IS!AP5</f>
        <v>C3Q12A</v>
      </c>
      <c r="AQ5" s="405" t="str">
        <f>IS!AQ5</f>
        <v>C4Q12A</v>
      </c>
      <c r="AR5" s="397" t="str">
        <f>IS!AR5</f>
        <v>C1Q13A</v>
      </c>
      <c r="AS5" s="398" t="str">
        <f>IS!AS5</f>
        <v>C2Q13A</v>
      </c>
      <c r="AT5" s="398" t="str">
        <f>IS!AT5</f>
        <v>C3Q13A</v>
      </c>
      <c r="AU5" s="405" t="str">
        <f>IS!AU5</f>
        <v>C4Q13A</v>
      </c>
      <c r="AV5" s="397" t="str">
        <f>IS!AV5</f>
        <v>C1Q14A</v>
      </c>
      <c r="AW5" s="398" t="str">
        <f>IS!AW5</f>
        <v>C2Q14A</v>
      </c>
      <c r="AX5" s="398" t="str">
        <f>IS!AX5</f>
        <v>C3Q14A</v>
      </c>
      <c r="AY5" s="398" t="str">
        <f>IS!AY5</f>
        <v>C4Q14A</v>
      </c>
      <c r="AZ5" s="397" t="str">
        <f>IS!AZ5</f>
        <v>C1Q15A</v>
      </c>
      <c r="BA5" s="398" t="str">
        <f>IS!BA5</f>
        <v>C2Q15E</v>
      </c>
      <c r="BB5" s="398" t="str">
        <f>IS!BB5</f>
        <v>C3Q15A</v>
      </c>
      <c r="BC5" s="405" t="str">
        <f>IS!BC5</f>
        <v>C4Q15A</v>
      </c>
      <c r="BD5" s="397" t="str">
        <f>IS!BD5</f>
        <v>C1Q16A</v>
      </c>
      <c r="BE5" s="398" t="str">
        <f>IS!BE5</f>
        <v>C2Q16A</v>
      </c>
      <c r="BF5" s="398" t="str">
        <f>IS!BF5</f>
        <v>C3Q16A</v>
      </c>
      <c r="BG5" s="405" t="str">
        <f>IS!BG5</f>
        <v>C4Q16A</v>
      </c>
      <c r="BH5" s="397" t="str">
        <f>IS!BH5</f>
        <v>C1Q17A</v>
      </c>
      <c r="BI5" s="398" t="str">
        <f>IS!BI5</f>
        <v>C2Q17A</v>
      </c>
      <c r="BJ5" s="398" t="str">
        <f>IS!BJ5</f>
        <v>C3Q17A</v>
      </c>
      <c r="BK5" s="405" t="str">
        <f>IS!BK5</f>
        <v>C4Q17A</v>
      </c>
      <c r="BL5" s="1251" t="str">
        <f>IS!BL5</f>
        <v>C1Q18E</v>
      </c>
      <c r="BM5" s="1252" t="str">
        <f>IS!BM5</f>
        <v>C2Q18E</v>
      </c>
      <c r="BN5" s="1252" t="str">
        <f>IS!BN5</f>
        <v>C3Q18E</v>
      </c>
      <c r="BO5" s="1255" t="str">
        <f>IS!BO5</f>
        <v>C4Q18E</v>
      </c>
      <c r="BP5" s="1251" t="str">
        <f>IS!BP5</f>
        <v>C1Q19E</v>
      </c>
      <c r="BQ5" s="1252" t="str">
        <f>IS!BQ5</f>
        <v>C2Q19E</v>
      </c>
      <c r="BR5" s="1252" t="str">
        <f>IS!BR5</f>
        <v>C3Q19E</v>
      </c>
      <c r="BS5" s="1255" t="str">
        <f>IS!BS5</f>
        <v>C4Q19E</v>
      </c>
      <c r="BT5" s="1251" t="str">
        <f>IS!BT5</f>
        <v>C1Q20E</v>
      </c>
      <c r="BU5" s="1252" t="str">
        <f>IS!BU5</f>
        <v>C2Q20E</v>
      </c>
      <c r="BV5" s="1252" t="str">
        <f>IS!BV5</f>
        <v>C3Q20E</v>
      </c>
      <c r="BW5" s="1255" t="str">
        <f>IS!BW5</f>
        <v>C4Q20E</v>
      </c>
      <c r="BX5" s="945"/>
      <c r="BY5" s="2"/>
      <c r="BZ5" s="2"/>
      <c r="CA5" s="2"/>
      <c r="CB5" s="2"/>
      <c r="CC5" s="2"/>
      <c r="CD5" s="2"/>
      <c r="CE5" s="2"/>
      <c r="CF5" s="7"/>
      <c r="CG5" s="7"/>
      <c r="CH5" s="2"/>
      <c r="CI5" s="522"/>
      <c r="CJ5" s="160"/>
      <c r="CK5" s="160"/>
      <c r="CP5" s="1049"/>
    </row>
    <row r="6" spans="1:95" ht="14.25" customHeight="1">
      <c r="A6" s="2"/>
      <c r="B6" s="13" t="s">
        <v>317</v>
      </c>
      <c r="C6" s="254"/>
      <c r="D6" s="397">
        <f>IS!D6</f>
        <v>37711</v>
      </c>
      <c r="E6" s="398">
        <f>IS!E6</f>
        <v>37802</v>
      </c>
      <c r="F6" s="398">
        <f>IS!F6</f>
        <v>37894</v>
      </c>
      <c r="G6" s="398">
        <f>IS!G6</f>
        <v>37986</v>
      </c>
      <c r="H6" s="397">
        <f>IS!H6</f>
        <v>38077</v>
      </c>
      <c r="I6" s="398">
        <f>IS!I6</f>
        <v>38168</v>
      </c>
      <c r="J6" s="398">
        <f>IS!J6</f>
        <v>38260</v>
      </c>
      <c r="K6" s="398">
        <f>IS!K6</f>
        <v>38352</v>
      </c>
      <c r="L6" s="397">
        <f>IS!L6</f>
        <v>38442</v>
      </c>
      <c r="M6" s="398">
        <f>IS!M6</f>
        <v>38533</v>
      </c>
      <c r="N6" s="398">
        <f>IS!N6</f>
        <v>38625</v>
      </c>
      <c r="O6" s="398">
        <f>IS!O6</f>
        <v>38717</v>
      </c>
      <c r="P6" s="397">
        <f>IS!P6</f>
        <v>38807</v>
      </c>
      <c r="Q6" s="398">
        <f>IS!Q6</f>
        <v>38898</v>
      </c>
      <c r="R6" s="398">
        <f>IS!R6</f>
        <v>38990</v>
      </c>
      <c r="S6" s="398">
        <f>IS!S6</f>
        <v>39082</v>
      </c>
      <c r="T6" s="397">
        <f>IS!T6</f>
        <v>39172</v>
      </c>
      <c r="U6" s="398">
        <f>IS!U6</f>
        <v>39263</v>
      </c>
      <c r="V6" s="398">
        <f>IS!V6</f>
        <v>39355</v>
      </c>
      <c r="W6" s="398">
        <f>IS!W6</f>
        <v>39447</v>
      </c>
      <c r="X6" s="397">
        <f>IS!X6</f>
        <v>39538</v>
      </c>
      <c r="Y6" s="398">
        <f>IS!Y6</f>
        <v>39629</v>
      </c>
      <c r="Z6" s="398">
        <f>IS!Z6</f>
        <v>39721</v>
      </c>
      <c r="AA6" s="398">
        <f>IS!AA6</f>
        <v>39813</v>
      </c>
      <c r="AB6" s="397">
        <f>IS!AB6</f>
        <v>39903</v>
      </c>
      <c r="AC6" s="398">
        <f>IS!AC6</f>
        <v>39994</v>
      </c>
      <c r="AD6" s="398">
        <f>IS!AD6</f>
        <v>40086</v>
      </c>
      <c r="AE6" s="398">
        <f>IS!AE6</f>
        <v>40178</v>
      </c>
      <c r="AF6" s="397">
        <f>IS!AF6</f>
        <v>40268</v>
      </c>
      <c r="AG6" s="398">
        <f>IS!AG6</f>
        <v>40359</v>
      </c>
      <c r="AH6" s="398">
        <f>IS!AH6</f>
        <v>40451</v>
      </c>
      <c r="AI6" s="398">
        <f>IS!AI6</f>
        <v>40543</v>
      </c>
      <c r="AJ6" s="397">
        <f>IS!AJ6</f>
        <v>40633</v>
      </c>
      <c r="AK6" s="398">
        <f>IS!AK6</f>
        <v>40724</v>
      </c>
      <c r="AL6" s="398">
        <f>IS!AL6</f>
        <v>40816</v>
      </c>
      <c r="AM6" s="405">
        <f>IS!AM6</f>
        <v>40908</v>
      </c>
      <c r="AN6" s="397">
        <f>IS!AN6</f>
        <v>40999</v>
      </c>
      <c r="AO6" s="398">
        <f>IS!AO6</f>
        <v>41090</v>
      </c>
      <c r="AP6" s="398">
        <f>IS!AP6</f>
        <v>41182</v>
      </c>
      <c r="AQ6" s="405">
        <f>IS!AQ6</f>
        <v>41274</v>
      </c>
      <c r="AR6" s="397">
        <f>IS!AR6</f>
        <v>41364</v>
      </c>
      <c r="AS6" s="398">
        <f>IS!AS6</f>
        <v>41455</v>
      </c>
      <c r="AT6" s="398">
        <f>IS!AT6</f>
        <v>41547</v>
      </c>
      <c r="AU6" s="398">
        <f>IS!AU6</f>
        <v>41639</v>
      </c>
      <c r="AV6" s="397">
        <f>IS!AV6</f>
        <v>41729</v>
      </c>
      <c r="AW6" s="398">
        <f>IS!AW6</f>
        <v>41820</v>
      </c>
      <c r="AX6" s="398">
        <f>IS!AX6</f>
        <v>41912</v>
      </c>
      <c r="AY6" s="398">
        <f>IS!AY6</f>
        <v>42004</v>
      </c>
      <c r="AZ6" s="397">
        <f>IS!AZ6</f>
        <v>42094</v>
      </c>
      <c r="BA6" s="398">
        <f>IS!BA6</f>
        <v>42185</v>
      </c>
      <c r="BB6" s="398">
        <f>IS!BB6</f>
        <v>42277</v>
      </c>
      <c r="BC6" s="405">
        <f>IS!BC6</f>
        <v>42369</v>
      </c>
      <c r="BD6" s="397">
        <f>IS!BD6</f>
        <v>42460</v>
      </c>
      <c r="BE6" s="398">
        <f>IS!BE6</f>
        <v>42551</v>
      </c>
      <c r="BF6" s="398">
        <f>IS!BF6</f>
        <v>42643</v>
      </c>
      <c r="BG6" s="405">
        <f>IS!BG6</f>
        <v>42735</v>
      </c>
      <c r="BH6" s="397">
        <f>IS!BH6</f>
        <v>42825</v>
      </c>
      <c r="BI6" s="398">
        <f>IS!BI6</f>
        <v>42916</v>
      </c>
      <c r="BJ6" s="398">
        <f>IS!BJ6</f>
        <v>43008</v>
      </c>
      <c r="BK6" s="405">
        <f>IS!BK6</f>
        <v>43100</v>
      </c>
      <c r="BL6" s="1251">
        <f>IS!BL6</f>
        <v>43190</v>
      </c>
      <c r="BM6" s="1252">
        <f>IS!BM6</f>
        <v>43281</v>
      </c>
      <c r="BN6" s="1252">
        <f>IS!BN6</f>
        <v>43373</v>
      </c>
      <c r="BO6" s="1255">
        <f>IS!BO6</f>
        <v>43465</v>
      </c>
      <c r="BP6" s="1251">
        <f>IS!BP6</f>
        <v>43555</v>
      </c>
      <c r="BQ6" s="1252">
        <f>IS!BQ6</f>
        <v>43646</v>
      </c>
      <c r="BR6" s="1252">
        <f>IS!BR6</f>
        <v>43738</v>
      </c>
      <c r="BS6" s="1255">
        <f>IS!BS6</f>
        <v>43830</v>
      </c>
      <c r="BT6" s="1251">
        <f>IS!BT6</f>
        <v>43921</v>
      </c>
      <c r="BU6" s="1252">
        <f>IS!BU6</f>
        <v>44012</v>
      </c>
      <c r="BV6" s="1252">
        <f>IS!BV6</f>
        <v>44104</v>
      </c>
      <c r="BW6" s="1255">
        <f>IS!BW6</f>
        <v>44196</v>
      </c>
      <c r="BX6" s="22"/>
      <c r="BY6" s="15"/>
      <c r="BZ6" s="15"/>
      <c r="CA6" s="9"/>
      <c r="CB6" s="9"/>
      <c r="CC6" s="9"/>
      <c r="CD6" s="9"/>
      <c r="CE6" s="9"/>
      <c r="CF6" s="9"/>
      <c r="CG6" s="9"/>
      <c r="CH6" s="9"/>
      <c r="CI6" s="9"/>
      <c r="CJ6" s="15"/>
      <c r="CK6" s="15"/>
      <c r="CL6" s="15"/>
      <c r="CM6" s="15"/>
      <c r="CN6" s="15"/>
      <c r="CO6" s="15"/>
      <c r="CP6" s="15"/>
    </row>
    <row r="7" spans="1:95" ht="14.25" customHeight="1">
      <c r="A7" s="2"/>
      <c r="B7" s="226"/>
      <c r="C7" s="255"/>
      <c r="D7" s="768" t="str">
        <f>IS!D7</f>
        <v>F1Q03A</v>
      </c>
      <c r="E7" s="768" t="str">
        <f>IS!E7</f>
        <v>F2Q03A</v>
      </c>
      <c r="F7" s="768" t="str">
        <f>IS!F7</f>
        <v>F3Q03A</v>
      </c>
      <c r="G7" s="768" t="str">
        <f>IS!G7</f>
        <v>F4Q03A</v>
      </c>
      <c r="H7" s="770" t="str">
        <f>IS!H7</f>
        <v>F1Q04A</v>
      </c>
      <c r="I7" s="768" t="str">
        <f>IS!I7</f>
        <v>F2Q04A</v>
      </c>
      <c r="J7" s="768" t="str">
        <f>IS!J7</f>
        <v>F3Q04A</v>
      </c>
      <c r="K7" s="768" t="str">
        <f>IS!K7</f>
        <v>F4Q04A</v>
      </c>
      <c r="L7" s="769" t="str">
        <f>IS!L7</f>
        <v>F1Q05A</v>
      </c>
      <c r="M7" s="768" t="str">
        <f>IS!M7</f>
        <v>F2Q05A</v>
      </c>
      <c r="N7" s="768" t="str">
        <f>IS!N7</f>
        <v>F3Q05A</v>
      </c>
      <c r="O7" s="768" t="str">
        <f>IS!O7</f>
        <v>F4Q05A</v>
      </c>
      <c r="P7" s="770" t="str">
        <f>IS!P7</f>
        <v>F1Q06A</v>
      </c>
      <c r="Q7" s="768" t="str">
        <f>IS!Q7</f>
        <v>F2Q06A</v>
      </c>
      <c r="R7" s="768" t="str">
        <f>IS!R7</f>
        <v>F3Q06A</v>
      </c>
      <c r="S7" s="768" t="str">
        <f>IS!S7</f>
        <v>F4Q06A</v>
      </c>
      <c r="T7" s="770" t="str">
        <f>IS!T7</f>
        <v>F1Q07A</v>
      </c>
      <c r="U7" s="768" t="str">
        <f>IS!U7</f>
        <v>F2Q07A</v>
      </c>
      <c r="V7" s="768" t="str">
        <f>IS!V7</f>
        <v>F3Q07A</v>
      </c>
      <c r="W7" s="768" t="str">
        <f>IS!W7</f>
        <v>F4Q07A</v>
      </c>
      <c r="X7" s="770" t="str">
        <f>IS!X7</f>
        <v>F1Q08A</v>
      </c>
      <c r="Y7" s="768" t="str">
        <f>IS!Y7</f>
        <v>F2Q08A</v>
      </c>
      <c r="Z7" s="768" t="str">
        <f>IS!Z7</f>
        <v>F3Q08A</v>
      </c>
      <c r="AA7" s="768" t="str">
        <f>IS!AA7</f>
        <v>F4Q08A</v>
      </c>
      <c r="AB7" s="770" t="str">
        <f>IS!AB7</f>
        <v>F1Q09A</v>
      </c>
      <c r="AC7" s="768" t="str">
        <f>IS!AC7</f>
        <v>F2Q09A</v>
      </c>
      <c r="AD7" s="768" t="str">
        <f>IS!AD7</f>
        <v>F3Q09A</v>
      </c>
      <c r="AE7" s="768" t="str">
        <f>IS!AE7</f>
        <v>F4Q09A</v>
      </c>
      <c r="AF7" s="769" t="str">
        <f>IS!AF7</f>
        <v>F1Q10A</v>
      </c>
      <c r="AG7" s="768" t="str">
        <f>IS!AG7</f>
        <v>F2Q10A</v>
      </c>
      <c r="AH7" s="768" t="str">
        <f>IS!AH7</f>
        <v>F3Q10A</v>
      </c>
      <c r="AI7" s="768" t="str">
        <f>IS!AI7</f>
        <v>F4Q10A</v>
      </c>
      <c r="AJ7" s="399" t="str">
        <f>IS!AJ7</f>
        <v>F1Q11A</v>
      </c>
      <c r="AK7" s="400" t="str">
        <f>IS!AK7</f>
        <v>F2Q11A</v>
      </c>
      <c r="AL7" s="400" t="str">
        <f>IS!AL7</f>
        <v>F3Q11A</v>
      </c>
      <c r="AM7" s="406" t="str">
        <f>IS!AM7</f>
        <v>F4Q11A</v>
      </c>
      <c r="AN7" s="399" t="str">
        <f>IS!AN7</f>
        <v>F1Q12A</v>
      </c>
      <c r="AO7" s="400" t="str">
        <f>IS!AO7</f>
        <v>F2Q12A</v>
      </c>
      <c r="AP7" s="400" t="str">
        <f>IS!AP7</f>
        <v>F3Q12A</v>
      </c>
      <c r="AQ7" s="406" t="str">
        <f>IS!AQ7</f>
        <v>F4Q12A</v>
      </c>
      <c r="AR7" s="399" t="str">
        <f>IS!AR7</f>
        <v>F1Q13A</v>
      </c>
      <c r="AS7" s="400" t="str">
        <f>IS!AS7</f>
        <v>F2Q13A</v>
      </c>
      <c r="AT7" s="400" t="str">
        <f>IS!AT7</f>
        <v>F3Q13A</v>
      </c>
      <c r="AU7" s="406" t="str">
        <f>IS!AU7</f>
        <v>F4Q13A</v>
      </c>
      <c r="AV7" s="399" t="str">
        <f>IS!AV7</f>
        <v>F1Q14A</v>
      </c>
      <c r="AW7" s="400" t="str">
        <f>IS!AW7</f>
        <v>F2Q14A</v>
      </c>
      <c r="AX7" s="400" t="str">
        <f>IS!AX7</f>
        <v>F3Q14A</v>
      </c>
      <c r="AY7" s="400" t="str">
        <f>IS!AY7</f>
        <v>F4Q14A</v>
      </c>
      <c r="AZ7" s="399" t="str">
        <f>IS!AZ7</f>
        <v>F1Q15A</v>
      </c>
      <c r="BA7" s="400" t="str">
        <f>IS!BA7</f>
        <v>F2Q15A</v>
      </c>
      <c r="BB7" s="400" t="str">
        <f>IS!BB7</f>
        <v>F3Q15A</v>
      </c>
      <c r="BC7" s="406" t="str">
        <f>IS!BC7</f>
        <v>F4Q15A</v>
      </c>
      <c r="BD7" s="399" t="str">
        <f>IS!BD7</f>
        <v>F1Q16A</v>
      </c>
      <c r="BE7" s="400" t="str">
        <f>IS!BE7</f>
        <v>F2Q16A</v>
      </c>
      <c r="BF7" s="400" t="str">
        <f>IS!BF7</f>
        <v>F3Q16A</v>
      </c>
      <c r="BG7" s="406" t="str">
        <f>IS!BG7</f>
        <v>F4Q16A</v>
      </c>
      <c r="BH7" s="399" t="str">
        <f>IS!BH7</f>
        <v>F1Q17A</v>
      </c>
      <c r="BI7" s="400" t="str">
        <f>IS!BI7</f>
        <v>F2Q17A</v>
      </c>
      <c r="BJ7" s="400" t="str">
        <f>IS!BJ7</f>
        <v>F3Q17A</v>
      </c>
      <c r="BK7" s="406" t="str">
        <f>IS!BK7</f>
        <v>F4Q17A</v>
      </c>
      <c r="BL7" s="1253" t="str">
        <f>IS!BL7</f>
        <v>F1Q18E</v>
      </c>
      <c r="BM7" s="1254" t="str">
        <f>IS!BM7</f>
        <v>F2Q18E</v>
      </c>
      <c r="BN7" s="1254" t="str">
        <f>IS!BN7</f>
        <v>F3Q18E</v>
      </c>
      <c r="BO7" s="1256" t="str">
        <f>IS!BO7</f>
        <v>F4Q18E</v>
      </c>
      <c r="BP7" s="1253" t="str">
        <f>IS!BP7</f>
        <v>F1Q19E</v>
      </c>
      <c r="BQ7" s="1254" t="str">
        <f>IS!BQ7</f>
        <v>F2Q19E</v>
      </c>
      <c r="BR7" s="1254" t="str">
        <f>IS!BR7</f>
        <v>F3Q19E</v>
      </c>
      <c r="BS7" s="1256" t="str">
        <f>IS!BS7</f>
        <v>F4Q19E</v>
      </c>
      <c r="BT7" s="1253" t="str">
        <f>IS!BT7</f>
        <v>F1Q20E</v>
      </c>
      <c r="BU7" s="1254" t="str">
        <f>IS!BU7</f>
        <v>F2Q20E</v>
      </c>
      <c r="BV7" s="1254" t="str">
        <f>IS!BV7</f>
        <v>F3Q20E</v>
      </c>
      <c r="BW7" s="1256" t="str">
        <f>IS!BW7</f>
        <v>F4Q20E</v>
      </c>
      <c r="BX7" s="21"/>
      <c r="BY7" s="399" t="str">
        <f>IS!BY7</f>
        <v>FY2003A</v>
      </c>
      <c r="BZ7" s="400" t="str">
        <f>IS!BZ7</f>
        <v>FY2004A</v>
      </c>
      <c r="CA7" s="400" t="str">
        <f>IS!CA7</f>
        <v>FY2005A</v>
      </c>
      <c r="CB7" s="400" t="str">
        <f>IS!CB7</f>
        <v>FY2006A</v>
      </c>
      <c r="CC7" s="400" t="str">
        <f>IS!CC7</f>
        <v>FY2007A</v>
      </c>
      <c r="CD7" s="400" t="str">
        <f>IS!CD7</f>
        <v>FY2008A</v>
      </c>
      <c r="CE7" s="400" t="str">
        <f>IS!CE7</f>
        <v>FY2009A</v>
      </c>
      <c r="CF7" s="400" t="str">
        <f>IS!CF7</f>
        <v>FY2010A</v>
      </c>
      <c r="CG7" s="861" t="str">
        <f>IS!CG7</f>
        <v>FY2011A</v>
      </c>
      <c r="CH7" s="400" t="str">
        <f>IS!CH7</f>
        <v>FY2012A</v>
      </c>
      <c r="CI7" s="400" t="str">
        <f>IS!CI7</f>
        <v>FY2013A</v>
      </c>
      <c r="CJ7" s="861" t="str">
        <f>IS!CJ7</f>
        <v>FY2014A</v>
      </c>
      <c r="CK7" s="861" t="str">
        <f>IS!CK7</f>
        <v>FY2015A</v>
      </c>
      <c r="CL7" s="861" t="str">
        <f>IS!CL7</f>
        <v>FY2016</v>
      </c>
      <c r="CM7" s="400" t="str">
        <f>IS!CM7</f>
        <v>FY2017A</v>
      </c>
      <c r="CN7" s="1254" t="s">
        <v>399</v>
      </c>
      <c r="CO7" s="1254" t="s">
        <v>400</v>
      </c>
      <c r="CP7" s="1256" t="s">
        <v>674</v>
      </c>
      <c r="CQ7" s="1041"/>
    </row>
    <row r="8" spans="1:95" ht="14.25" customHeight="1">
      <c r="A8" s="9"/>
      <c r="B8" s="862"/>
      <c r="C8" s="875"/>
      <c r="D8" s="876"/>
      <c r="E8" s="876"/>
      <c r="F8" s="876"/>
      <c r="G8" s="876"/>
      <c r="H8" s="876"/>
      <c r="I8" s="876"/>
      <c r="J8" s="876"/>
      <c r="K8" s="876"/>
      <c r="L8" s="876"/>
      <c r="M8" s="876"/>
      <c r="N8" s="876"/>
      <c r="O8" s="876"/>
      <c r="P8" s="876"/>
      <c r="Q8" s="876"/>
      <c r="R8" s="876"/>
      <c r="S8" s="876"/>
      <c r="T8" s="876"/>
      <c r="U8" s="876"/>
      <c r="V8" s="876"/>
      <c r="W8" s="876"/>
      <c r="X8" s="876"/>
      <c r="Y8" s="876"/>
      <c r="Z8" s="876"/>
      <c r="AA8" s="876"/>
      <c r="AB8" s="876"/>
      <c r="AC8" s="876"/>
      <c r="AD8" s="876"/>
      <c r="AE8" s="876"/>
      <c r="AF8" s="876"/>
      <c r="AG8" s="876"/>
      <c r="AH8" s="876"/>
      <c r="AI8" s="876"/>
      <c r="AJ8" s="876"/>
      <c r="AK8" s="876"/>
      <c r="AL8" s="876"/>
      <c r="AM8" s="876"/>
      <c r="AN8" s="876"/>
      <c r="AO8" s="876"/>
      <c r="AP8" s="876"/>
      <c r="AQ8" s="876"/>
      <c r="AR8" s="876"/>
      <c r="AS8" s="876"/>
      <c r="AT8" s="876"/>
      <c r="AU8" s="876"/>
      <c r="AV8" s="876"/>
      <c r="AW8" s="876"/>
      <c r="AX8" s="876"/>
      <c r="AY8" s="876"/>
      <c r="AZ8" s="1088"/>
      <c r="BA8" s="876"/>
      <c r="BB8" s="876"/>
      <c r="BC8" s="936"/>
      <c r="BD8" s="1088"/>
      <c r="BE8" s="876"/>
      <c r="BF8" s="876"/>
      <c r="BG8" s="876"/>
      <c r="BH8" s="876"/>
      <c r="BI8" s="876"/>
      <c r="BJ8" s="876"/>
      <c r="BK8" s="936"/>
      <c r="BL8" s="876"/>
      <c r="BM8" s="876"/>
      <c r="BN8" s="876"/>
      <c r="BO8" s="936"/>
      <c r="BP8" s="876"/>
      <c r="BQ8" s="876"/>
      <c r="BR8" s="876"/>
      <c r="BS8" s="936"/>
      <c r="BT8" s="876"/>
      <c r="BU8" s="876"/>
      <c r="BV8" s="876"/>
      <c r="BW8" s="936"/>
      <c r="BX8" s="346"/>
      <c r="BY8" s="910"/>
      <c r="BZ8" s="908"/>
      <c r="CA8" s="908"/>
      <c r="CB8" s="908"/>
      <c r="CC8" s="908"/>
      <c r="CD8" s="908"/>
      <c r="CE8" s="908"/>
      <c r="CF8" s="909"/>
      <c r="CG8" s="909"/>
      <c r="CH8" s="908"/>
      <c r="CI8" s="908"/>
      <c r="CJ8" s="909"/>
      <c r="CK8" s="909"/>
      <c r="CL8" s="909"/>
      <c r="CM8" s="909"/>
      <c r="CN8" s="909"/>
      <c r="CO8" s="909"/>
      <c r="CP8" s="920"/>
      <c r="CQ8" s="1041"/>
    </row>
    <row r="9" spans="1:95" ht="14.25" customHeight="1">
      <c r="A9" s="9"/>
      <c r="B9" s="863" t="s">
        <v>547</v>
      </c>
      <c r="C9" s="877"/>
      <c r="D9" s="878"/>
      <c r="E9" s="878"/>
      <c r="F9" s="878"/>
      <c r="G9" s="878"/>
      <c r="H9" s="878"/>
      <c r="I9" s="878"/>
      <c r="J9" s="878"/>
      <c r="K9" s="878"/>
      <c r="L9" s="878"/>
      <c r="M9" s="878"/>
      <c r="N9" s="878"/>
      <c r="O9" s="878"/>
      <c r="P9" s="878"/>
      <c r="Q9" s="878"/>
      <c r="R9" s="878"/>
      <c r="S9" s="878"/>
      <c r="T9" s="878"/>
      <c r="U9" s="878"/>
      <c r="V9" s="878"/>
      <c r="W9" s="878"/>
      <c r="X9" s="878"/>
      <c r="Y9" s="878"/>
      <c r="Z9" s="878"/>
      <c r="AA9" s="878"/>
      <c r="AB9" s="878"/>
      <c r="AC9" s="878"/>
      <c r="AD9" s="878"/>
      <c r="AE9" s="878"/>
      <c r="AF9" s="878"/>
      <c r="AG9" s="878"/>
      <c r="AH9" s="878"/>
      <c r="AI9" s="878"/>
      <c r="AJ9" s="878"/>
      <c r="AK9" s="878"/>
      <c r="AL9" s="878"/>
      <c r="AM9" s="878"/>
      <c r="AN9" s="878"/>
      <c r="AO9" s="878"/>
      <c r="AP9" s="878"/>
      <c r="AQ9" s="878"/>
      <c r="AR9" s="878"/>
      <c r="AS9" s="878"/>
      <c r="AT9" s="878"/>
      <c r="AU9" s="878"/>
      <c r="AV9" s="878"/>
      <c r="AW9" s="878"/>
      <c r="AX9" s="878"/>
      <c r="AY9" s="878"/>
      <c r="AZ9" s="1089"/>
      <c r="BA9" s="878"/>
      <c r="BB9" s="878"/>
      <c r="BC9" s="937"/>
      <c r="BD9" s="1089"/>
      <c r="BE9" s="878"/>
      <c r="BF9" s="878"/>
      <c r="BG9" s="878"/>
      <c r="BH9" s="878"/>
      <c r="BI9" s="878"/>
      <c r="BJ9" s="878"/>
      <c r="BK9" s="937"/>
      <c r="BL9" s="1260"/>
      <c r="BM9" s="1260"/>
      <c r="BN9" s="1260"/>
      <c r="BO9" s="1261"/>
      <c r="BP9" s="1260"/>
      <c r="BQ9" s="1260"/>
      <c r="BR9" s="1260"/>
      <c r="BS9" s="1261"/>
      <c r="BT9" s="1260"/>
      <c r="BU9" s="1260"/>
      <c r="BV9" s="1260"/>
      <c r="BW9" s="1261"/>
      <c r="BX9" s="346"/>
      <c r="BY9" s="938"/>
      <c r="BZ9" s="911"/>
      <c r="CA9" s="911"/>
      <c r="CB9" s="911"/>
      <c r="CC9" s="911"/>
      <c r="CD9" s="911"/>
      <c r="CE9" s="911"/>
      <c r="CF9" s="911"/>
      <c r="CG9" s="911"/>
      <c r="CH9" s="911"/>
      <c r="CI9" s="911"/>
      <c r="CJ9" s="911"/>
      <c r="CK9" s="911"/>
      <c r="CL9" s="911"/>
      <c r="CM9" s="911"/>
      <c r="CN9" s="911"/>
      <c r="CO9" s="911"/>
      <c r="CP9" s="912"/>
      <c r="CQ9" s="1041"/>
    </row>
    <row r="10" spans="1:95" ht="14.25" customHeight="1">
      <c r="A10" s="864"/>
      <c r="B10" s="297" t="str">
        <f>$B$103&amp;" Revenue"</f>
        <v>Automotive Revenue</v>
      </c>
      <c r="C10" s="287"/>
      <c r="D10" s="879">
        <f t="shared" ref="D10:BK10" si="0">D$103</f>
        <v>0</v>
      </c>
      <c r="E10" s="495">
        <f t="shared" si="0"/>
        <v>64.05</v>
      </c>
      <c r="F10" s="495">
        <f t="shared" si="0"/>
        <v>55.607999999999997</v>
      </c>
      <c r="G10" s="496">
        <f t="shared" si="0"/>
        <v>55.720000000000006</v>
      </c>
      <c r="H10" s="879">
        <f t="shared" si="0"/>
        <v>67.804000000000002</v>
      </c>
      <c r="I10" s="495">
        <f t="shared" si="0"/>
        <v>66.7</v>
      </c>
      <c r="J10" s="495">
        <f t="shared" si="0"/>
        <v>60.495999999999995</v>
      </c>
      <c r="K10" s="496">
        <f t="shared" si="0"/>
        <v>58.292000000000002</v>
      </c>
      <c r="L10" s="879">
        <f t="shared" si="0"/>
        <v>63.503999999999991</v>
      </c>
      <c r="M10" s="495">
        <f t="shared" si="0"/>
        <v>57.532000000000004</v>
      </c>
      <c r="N10" s="495">
        <f t="shared" si="0"/>
        <v>56.448</v>
      </c>
      <c r="O10" s="496">
        <f t="shared" si="0"/>
        <v>58.106000000000009</v>
      </c>
      <c r="P10" s="879">
        <f t="shared" si="0"/>
        <v>56.78</v>
      </c>
      <c r="Q10" s="495">
        <f t="shared" si="0"/>
        <v>60.048000000000002</v>
      </c>
      <c r="R10" s="495">
        <f t="shared" si="0"/>
        <v>63.134999999999991</v>
      </c>
      <c r="S10" s="496">
        <f t="shared" si="0"/>
        <v>60.24</v>
      </c>
      <c r="T10" s="879">
        <f t="shared" si="0"/>
        <v>63.614000000000004</v>
      </c>
      <c r="U10" s="495">
        <f t="shared" si="0"/>
        <v>68.616</v>
      </c>
      <c r="V10" s="495">
        <f t="shared" si="0"/>
        <v>64.463999999999999</v>
      </c>
      <c r="W10" s="496">
        <f t="shared" si="0"/>
        <v>61.184999999999995</v>
      </c>
      <c r="X10" s="879">
        <f t="shared" si="0"/>
        <v>71.722999999999999</v>
      </c>
      <c r="Y10" s="495">
        <f t="shared" si="0"/>
        <v>118.167</v>
      </c>
      <c r="Z10" s="495">
        <f t="shared" si="0"/>
        <v>98.855000000000004</v>
      </c>
      <c r="AA10" s="496">
        <f t="shared" si="0"/>
        <v>78.191999999999993</v>
      </c>
      <c r="AB10" s="879">
        <f t="shared" si="0"/>
        <v>64.447000000000003</v>
      </c>
      <c r="AC10" s="495">
        <f t="shared" si="0"/>
        <v>71.366000000000014</v>
      </c>
      <c r="AD10" s="495">
        <f t="shared" si="0"/>
        <v>85.121999999999986</v>
      </c>
      <c r="AE10" s="496">
        <f t="shared" si="0"/>
        <v>94.449000000000012</v>
      </c>
      <c r="AF10" s="879">
        <f t="shared" si="0"/>
        <v>104.53800000000001</v>
      </c>
      <c r="AG10" s="495">
        <f t="shared" si="0"/>
        <v>116.66</v>
      </c>
      <c r="AH10" s="495">
        <f t="shared" si="0"/>
        <v>114.13300000000001</v>
      </c>
      <c r="AI10" s="496">
        <f t="shared" si="0"/>
        <v>127.42400000000001</v>
      </c>
      <c r="AJ10" s="879">
        <f t="shared" si="0"/>
        <v>191.53200000000001</v>
      </c>
      <c r="AK10" s="495">
        <f t="shared" si="0"/>
        <v>199.27599999999998</v>
      </c>
      <c r="AL10" s="495">
        <f t="shared" si="0"/>
        <v>197.56</v>
      </c>
      <c r="AM10" s="496">
        <f t="shared" si="0"/>
        <v>191.97499999999999</v>
      </c>
      <c r="AN10" s="879">
        <f t="shared" si="0"/>
        <v>193.54400000000001</v>
      </c>
      <c r="AO10" s="495">
        <f t="shared" si="0"/>
        <v>193.648</v>
      </c>
      <c r="AP10" s="495">
        <f t="shared" si="0"/>
        <v>181.375</v>
      </c>
      <c r="AQ10" s="496">
        <f t="shared" si="0"/>
        <v>176.852</v>
      </c>
      <c r="AR10" s="879">
        <f t="shared" si="0"/>
        <v>185.08</v>
      </c>
      <c r="AS10" s="495">
        <f t="shared" si="0"/>
        <v>192.72400000000002</v>
      </c>
      <c r="AT10" s="495">
        <f t="shared" si="0"/>
        <v>186.00399999999999</v>
      </c>
      <c r="AU10" s="496">
        <f t="shared" si="0"/>
        <v>193.86</v>
      </c>
      <c r="AV10" s="879">
        <f t="shared" si="0"/>
        <v>211.95</v>
      </c>
      <c r="AW10" s="495">
        <f t="shared" si="0"/>
        <v>219.70399999999998</v>
      </c>
      <c r="AX10" s="495">
        <f t="shared" si="0"/>
        <v>241.71499999999997</v>
      </c>
      <c r="AY10" s="495">
        <f t="shared" si="0"/>
        <v>276.54400000000004</v>
      </c>
      <c r="AZ10" s="1161">
        <f t="shared" si="0"/>
        <v>289.45</v>
      </c>
      <c r="BA10" s="495">
        <f t="shared" si="0"/>
        <v>280.3</v>
      </c>
      <c r="BB10" s="495">
        <f>BB$103</f>
        <v>280.2</v>
      </c>
      <c r="BC10" s="496">
        <f t="shared" si="0"/>
        <v>296.89999999999998</v>
      </c>
      <c r="BD10" s="1161">
        <f t="shared" si="0"/>
        <v>323.2</v>
      </c>
      <c r="BE10" s="495">
        <f t="shared" si="0"/>
        <v>319.62</v>
      </c>
      <c r="BF10" s="495">
        <f>BF$103</f>
        <v>318.52</v>
      </c>
      <c r="BG10" s="496">
        <f t="shared" si="0"/>
        <v>370.1</v>
      </c>
      <c r="BH10" s="1161">
        <f t="shared" si="0"/>
        <v>415.5</v>
      </c>
      <c r="BI10" s="495">
        <f t="shared" si="0"/>
        <v>411.5</v>
      </c>
      <c r="BJ10" s="495">
        <f t="shared" si="0"/>
        <v>413.3</v>
      </c>
      <c r="BK10" s="496">
        <f t="shared" si="0"/>
        <v>437.3</v>
      </c>
      <c r="BL10" s="940">
        <f t="shared" ref="BL10:BS10" si="1">BK10*(1+BL11)</f>
        <v>463.53800000000001</v>
      </c>
      <c r="BM10" s="800">
        <f t="shared" si="1"/>
        <v>482.07952</v>
      </c>
      <c r="BN10" s="800">
        <f t="shared" si="1"/>
        <v>472.43792960000002</v>
      </c>
      <c r="BO10" s="896">
        <f t="shared" si="1"/>
        <v>474.80011924799999</v>
      </c>
      <c r="BP10" s="940">
        <f t="shared" si="1"/>
        <v>498.54012521039999</v>
      </c>
      <c r="BQ10" s="800">
        <f t="shared" si="1"/>
        <v>515.98902959276393</v>
      </c>
      <c r="BR10" s="800">
        <f t="shared" si="1"/>
        <v>505.66924900090862</v>
      </c>
      <c r="BS10" s="896">
        <f t="shared" si="1"/>
        <v>508.19759524591313</v>
      </c>
      <c r="BT10" s="940">
        <f t="shared" ref="BT10" si="2">BS10*(1+BT11)</f>
        <v>533.60747500820878</v>
      </c>
      <c r="BU10" s="800">
        <f t="shared" ref="BU10" si="3">BT10*(1+BU11)</f>
        <v>552.28373663349601</v>
      </c>
      <c r="BV10" s="800">
        <f t="shared" ref="BV10" si="4">BU10*(1+BV11)</f>
        <v>541.2380619008261</v>
      </c>
      <c r="BW10" s="896">
        <f t="shared" ref="BW10" si="5">BV10*(1+BW11)</f>
        <v>543.94425221033021</v>
      </c>
      <c r="BX10" s="346"/>
      <c r="BY10" s="334">
        <f>SUM(D10:G10)</f>
        <v>175.37799999999999</v>
      </c>
      <c r="BZ10" s="325">
        <f>SUM(H10:K10)</f>
        <v>253.292</v>
      </c>
      <c r="CA10" s="325">
        <f>SUM(L10:O10)</f>
        <v>235.59000000000003</v>
      </c>
      <c r="CB10" s="325">
        <f>SUM(P10:S10)</f>
        <v>240.203</v>
      </c>
      <c r="CC10" s="325">
        <f>SUM(T10:W10)</f>
        <v>257.87900000000002</v>
      </c>
      <c r="CD10" s="325">
        <f>SUM(X10:AA10)</f>
        <v>366.93700000000001</v>
      </c>
      <c r="CE10" s="325">
        <f>SUM(AB10:AE10)</f>
        <v>315.38400000000001</v>
      </c>
      <c r="CF10" s="325">
        <f>SUM(AF10:AI10)</f>
        <v>462.755</v>
      </c>
      <c r="CG10" s="325">
        <f>SUM(AJ10:AM10)</f>
        <v>780.34299999999996</v>
      </c>
      <c r="CH10" s="325">
        <f>SUM(AN10:AQ10)</f>
        <v>745.41899999999998</v>
      </c>
      <c r="CI10" s="325">
        <f>SUM(AR10:AU10)</f>
        <v>757.66800000000001</v>
      </c>
      <c r="CJ10" s="325">
        <f>SUM(AV10:AY10)</f>
        <v>949.91300000000001</v>
      </c>
      <c r="CK10" s="325">
        <f>SUM(AZ10:BC10)</f>
        <v>1146.8499999999999</v>
      </c>
      <c r="CL10" s="325">
        <f>SUM(BD10:BG10)</f>
        <v>1331.44</v>
      </c>
      <c r="CM10" s="387">
        <f>SUM(BH10:BK10)</f>
        <v>1677.6</v>
      </c>
      <c r="CN10" s="387">
        <f>SUM(BL10:BO10)</f>
        <v>1892.8555688480001</v>
      </c>
      <c r="CO10" s="387">
        <f>SUM(BP10:BS10)</f>
        <v>2028.3959990499857</v>
      </c>
      <c r="CP10" s="326">
        <f>SUM(BT10:BW10)</f>
        <v>2171.0735257528613</v>
      </c>
      <c r="CQ10" s="1041"/>
    </row>
    <row r="11" spans="1:95" ht="14.25" customHeight="1">
      <c r="A11" s="865"/>
      <c r="B11" s="32" t="s">
        <v>297</v>
      </c>
      <c r="C11" s="218"/>
      <c r="D11" s="134"/>
      <c r="E11" s="78"/>
      <c r="F11" s="78">
        <f t="shared" ref="F11:S11" si="6">F10/E10-1</f>
        <v>-0.13180327868852459</v>
      </c>
      <c r="G11" s="79">
        <f t="shared" si="6"/>
        <v>2.0140986908359082E-3</v>
      </c>
      <c r="H11" s="134">
        <f t="shared" si="6"/>
        <v>0.21687006460875802</v>
      </c>
      <c r="I11" s="78">
        <f t="shared" si="6"/>
        <v>-1.6282225237449155E-2</v>
      </c>
      <c r="J11" s="78">
        <f t="shared" si="6"/>
        <v>-9.301349325337338E-2</v>
      </c>
      <c r="K11" s="79">
        <f t="shared" si="6"/>
        <v>-3.6432160804020008E-2</v>
      </c>
      <c r="L11" s="134">
        <f t="shared" si="6"/>
        <v>8.9411926164825184E-2</v>
      </c>
      <c r="M11" s="78">
        <f t="shared" si="6"/>
        <v>-9.4041320231796233E-2</v>
      </c>
      <c r="N11" s="78">
        <f t="shared" si="6"/>
        <v>-1.8841688104011767E-2</v>
      </c>
      <c r="O11" s="79">
        <f t="shared" si="6"/>
        <v>2.9372165532880024E-2</v>
      </c>
      <c r="P11" s="134">
        <f t="shared" si="6"/>
        <v>-2.2820362785254678E-2</v>
      </c>
      <c r="Q11" s="78">
        <f t="shared" si="6"/>
        <v>5.7555477280732736E-2</v>
      </c>
      <c r="R11" s="78">
        <f t="shared" si="6"/>
        <v>5.1408872901678393E-2</v>
      </c>
      <c r="S11" s="79">
        <f t="shared" si="6"/>
        <v>-4.5854122119268093E-2</v>
      </c>
      <c r="T11" s="134">
        <f>T10/S10-1</f>
        <v>5.6009296148738397E-2</v>
      </c>
      <c r="U11" s="78">
        <f>U10/T10-1</f>
        <v>7.8630490143678955E-2</v>
      </c>
      <c r="V11" s="78">
        <f>V10/U10-1</f>
        <v>-6.0510668065757223E-2</v>
      </c>
      <c r="W11" s="79">
        <f>W10/V10-1</f>
        <v>-5.0865599404318784E-2</v>
      </c>
      <c r="X11" s="134">
        <f t="shared" ref="X11:AE11" si="7">X10/W10-1</f>
        <v>0.17223175614938313</v>
      </c>
      <c r="Y11" s="78">
        <f t="shared" si="7"/>
        <v>0.64754681204076792</v>
      </c>
      <c r="Z11" s="78">
        <f t="shared" si="7"/>
        <v>-0.16342972234210906</v>
      </c>
      <c r="AA11" s="79">
        <f t="shared" si="7"/>
        <v>-0.20902331697941434</v>
      </c>
      <c r="AB11" s="134">
        <f t="shared" si="7"/>
        <v>-0.17578524657253924</v>
      </c>
      <c r="AC11" s="78">
        <f t="shared" si="7"/>
        <v>0.10735953574254831</v>
      </c>
      <c r="AD11" s="78">
        <f t="shared" si="7"/>
        <v>0.19275285149791177</v>
      </c>
      <c r="AE11" s="79">
        <f t="shared" si="7"/>
        <v>0.10957214351166589</v>
      </c>
      <c r="AF11" s="134">
        <f t="shared" ref="AF11:BH11" si="8">AF10/AE10-1</f>
        <v>0.10681955340977667</v>
      </c>
      <c r="AG11" s="78">
        <f t="shared" si="8"/>
        <v>0.11595783351508526</v>
      </c>
      <c r="AH11" s="78">
        <f t="shared" si="8"/>
        <v>-2.1661237785016163E-2</v>
      </c>
      <c r="AI11" s="79">
        <f t="shared" si="8"/>
        <v>0.11645185879631659</v>
      </c>
      <c r="AJ11" s="134">
        <f t="shared" si="8"/>
        <v>0.50310773480662974</v>
      </c>
      <c r="AK11" s="78">
        <f t="shared" si="8"/>
        <v>4.0431886055593669E-2</v>
      </c>
      <c r="AL11" s="78">
        <f t="shared" si="8"/>
        <v>-8.6111724442480275E-3</v>
      </c>
      <c r="AM11" s="79">
        <f t="shared" si="8"/>
        <v>-2.8269892690828136E-2</v>
      </c>
      <c r="AN11" s="134">
        <f t="shared" si="8"/>
        <v>8.1729391847897848E-3</v>
      </c>
      <c r="AO11" s="78">
        <f t="shared" si="8"/>
        <v>5.3734551316497736E-4</v>
      </c>
      <c r="AP11" s="78">
        <f t="shared" si="8"/>
        <v>-6.3377881516979206E-2</v>
      </c>
      <c r="AQ11" s="79">
        <f t="shared" si="8"/>
        <v>-2.4937284631288748E-2</v>
      </c>
      <c r="AR11" s="134">
        <f t="shared" si="8"/>
        <v>4.6524777780290849E-2</v>
      </c>
      <c r="AS11" s="78">
        <f t="shared" si="8"/>
        <v>4.1301059001512819E-2</v>
      </c>
      <c r="AT11" s="78">
        <f t="shared" si="8"/>
        <v>-3.4868516635188307E-2</v>
      </c>
      <c r="AU11" s="79">
        <f t="shared" si="8"/>
        <v>4.2235650846218498E-2</v>
      </c>
      <c r="AV11" s="134">
        <f t="shared" si="8"/>
        <v>9.3314763231197695E-2</v>
      </c>
      <c r="AW11" s="78">
        <f t="shared" si="8"/>
        <v>3.6584100023590471E-2</v>
      </c>
      <c r="AX11" s="78">
        <f t="shared" si="8"/>
        <v>0.1001847940865892</v>
      </c>
      <c r="AY11" s="78">
        <f t="shared" si="8"/>
        <v>0.14409118176364766</v>
      </c>
      <c r="AZ11" s="134">
        <f t="shared" si="8"/>
        <v>4.6668884517472531E-2</v>
      </c>
      <c r="BA11" s="78">
        <f t="shared" si="8"/>
        <v>-3.1611677319053344E-2</v>
      </c>
      <c r="BB11" s="78">
        <f t="shared" si="8"/>
        <v>-3.5676061362832634E-4</v>
      </c>
      <c r="BC11" s="79">
        <f t="shared" si="8"/>
        <v>5.9600285510349682E-2</v>
      </c>
      <c r="BD11" s="134">
        <f t="shared" si="8"/>
        <v>8.8582014146177279E-2</v>
      </c>
      <c r="BE11" s="78">
        <f t="shared" si="8"/>
        <v>-1.1076732673267253E-2</v>
      </c>
      <c r="BF11" s="78">
        <f t="shared" si="8"/>
        <v>-3.4415868844253072E-3</v>
      </c>
      <c r="BG11" s="79">
        <f t="shared" si="8"/>
        <v>0.16193645610950669</v>
      </c>
      <c r="BH11" s="134">
        <f t="shared" si="8"/>
        <v>0.12266954877060243</v>
      </c>
      <c r="BI11" s="78">
        <f t="shared" ref="BI11" si="9">BI10/BH10-1</f>
        <v>-9.6269554753308784E-3</v>
      </c>
      <c r="BJ11" s="78">
        <f t="shared" ref="BJ11:BK11" si="10">BJ10/BI10-1</f>
        <v>4.374240583232103E-3</v>
      </c>
      <c r="BK11" s="79">
        <f t="shared" si="10"/>
        <v>5.8069199128961912E-2</v>
      </c>
      <c r="BL11" s="82">
        <v>0.06</v>
      </c>
      <c r="BM11" s="80">
        <v>0.04</v>
      </c>
      <c r="BN11" s="80">
        <v>-0.02</v>
      </c>
      <c r="BO11" s="81">
        <v>5.0000000000000001E-3</v>
      </c>
      <c r="BP11" s="82">
        <v>0.05</v>
      </c>
      <c r="BQ11" s="80">
        <v>3.5000000000000003E-2</v>
      </c>
      <c r="BR11" s="80">
        <v>-0.02</v>
      </c>
      <c r="BS11" s="81">
        <v>5.0000000000000001E-3</v>
      </c>
      <c r="BT11" s="82">
        <v>0.05</v>
      </c>
      <c r="BU11" s="80">
        <v>3.5000000000000003E-2</v>
      </c>
      <c r="BV11" s="80">
        <v>-0.02</v>
      </c>
      <c r="BW11" s="81">
        <v>5.0000000000000001E-3</v>
      </c>
      <c r="BX11" s="346"/>
      <c r="BY11" s="219"/>
      <c r="BZ11" s="220"/>
      <c r="CA11" s="220"/>
      <c r="CB11" s="220"/>
      <c r="CC11" s="220"/>
      <c r="CD11" s="220"/>
      <c r="CE11" s="220"/>
      <c r="CF11" s="220"/>
      <c r="CG11" s="220"/>
      <c r="CH11" s="220"/>
      <c r="CI11" s="220"/>
      <c r="CJ11" s="220"/>
      <c r="CK11" s="220"/>
      <c r="CL11" s="220"/>
      <c r="CM11" s="220"/>
      <c r="CN11" s="220"/>
      <c r="CO11" s="220"/>
      <c r="CP11" s="258"/>
      <c r="CQ11" s="1041"/>
    </row>
    <row r="12" spans="1:95" ht="14.25" customHeight="1">
      <c r="A12" s="865"/>
      <c r="B12" s="32" t="s">
        <v>548</v>
      </c>
      <c r="C12" s="218"/>
      <c r="D12" s="134"/>
      <c r="E12" s="78"/>
      <c r="F12" s="78"/>
      <c r="G12" s="79"/>
      <c r="H12" s="134"/>
      <c r="I12" s="78"/>
      <c r="J12" s="78"/>
      <c r="K12" s="79"/>
      <c r="L12" s="134"/>
      <c r="M12" s="78"/>
      <c r="N12" s="78"/>
      <c r="O12" s="79"/>
      <c r="P12" s="134"/>
      <c r="Q12" s="78"/>
      <c r="R12" s="78"/>
      <c r="S12" s="79"/>
      <c r="T12" s="134"/>
      <c r="U12" s="78"/>
      <c r="V12" s="78"/>
      <c r="W12" s="79"/>
      <c r="X12" s="134"/>
      <c r="Y12" s="78">
        <f t="shared" ref="Y12:AE12" si="11">AVERAGE(U11,Q11,M11,I11,E11)</f>
        <v>6.4656054887915759E-3</v>
      </c>
      <c r="Z12" s="78">
        <f t="shared" si="11"/>
        <v>-5.0552051041997711E-2</v>
      </c>
      <c r="AA12" s="79">
        <f t="shared" si="11"/>
        <v>-2.035312362077819E-2</v>
      </c>
      <c r="AB12" s="134">
        <f t="shared" si="11"/>
        <v>0.10234053605729002</v>
      </c>
      <c r="AC12" s="78">
        <f t="shared" si="11"/>
        <v>0.13468184679918685</v>
      </c>
      <c r="AD12" s="78">
        <f t="shared" si="11"/>
        <v>-5.6877339772714607E-2</v>
      </c>
      <c r="AE12" s="79">
        <f t="shared" si="11"/>
        <v>-6.2560606754828246E-2</v>
      </c>
      <c r="AF12" s="134">
        <f t="shared" ref="AF12:BH12" si="12">AVERAGE(AB11,X11,T11,P11,L11)</f>
        <v>2.3809473821030557E-2</v>
      </c>
      <c r="AG12" s="78">
        <f t="shared" si="12"/>
        <v>0.15941019899518633</v>
      </c>
      <c r="AH12" s="78">
        <f t="shared" si="12"/>
        <v>2.7592917754242218E-4</v>
      </c>
      <c r="AI12" s="79">
        <f t="shared" si="12"/>
        <v>-3.3359745891691064E-2</v>
      </c>
      <c r="AJ12" s="134">
        <f t="shared" si="12"/>
        <v>2.7290999270020856E-2</v>
      </c>
      <c r="AK12" s="78">
        <f t="shared" si="12"/>
        <v>0.20141002974456262</v>
      </c>
      <c r="AL12" s="78">
        <f t="shared" si="12"/>
        <v>-2.8798075865845709E-4</v>
      </c>
      <c r="AM12" s="79">
        <f t="shared" si="12"/>
        <v>-1.5943807239003748E-2</v>
      </c>
      <c r="AN12" s="134">
        <f t="shared" si="12"/>
        <v>0.13247661878839773</v>
      </c>
      <c r="AO12" s="78">
        <f t="shared" si="12"/>
        <v>0.19798531149953483</v>
      </c>
      <c r="AP12" s="78">
        <f t="shared" si="12"/>
        <v>-1.2291989827843741E-2</v>
      </c>
      <c r="AQ12" s="79">
        <f>AVERAGE(AM11,AI11,AE11,AA11,W11)</f>
        <v>-1.2426961353315757E-2</v>
      </c>
      <c r="AR12" s="134">
        <f t="shared" si="12"/>
        <v>0.12290934739560802</v>
      </c>
      <c r="AS12" s="78">
        <f t="shared" si="12"/>
        <v>0.18236668257343203</v>
      </c>
      <c r="AT12" s="78">
        <f t="shared" si="12"/>
        <v>-1.2865432518088138E-2</v>
      </c>
      <c r="AU12" s="79">
        <f>AVERAGE(AQ11,AM11,AI11,AE11,AA11)</f>
        <v>-7.2412983987097503E-3</v>
      </c>
      <c r="AV12" s="134">
        <f t="shared" si="12"/>
        <v>9.7767951721789564E-2</v>
      </c>
      <c r="AW12" s="78">
        <f t="shared" si="12"/>
        <v>6.1117531965581007E-2</v>
      </c>
      <c r="AX12" s="78">
        <f t="shared" si="12"/>
        <v>1.2846808623296013E-2</v>
      </c>
      <c r="AY12" s="78">
        <f t="shared" si="12"/>
        <v>4.3010495166416821E-2</v>
      </c>
      <c r="AZ12" s="134">
        <f t="shared" si="12"/>
        <v>0.15158795368253694</v>
      </c>
      <c r="BA12" s="78">
        <f t="shared" si="12"/>
        <v>4.6962444821789441E-2</v>
      </c>
      <c r="BB12" s="78">
        <f t="shared" si="12"/>
        <v>-5.6668028589685008E-3</v>
      </c>
      <c r="BC12" s="79">
        <f t="shared" si="12"/>
        <v>4.9914302816813173E-2</v>
      </c>
      <c r="BD12" s="134">
        <f t="shared" si="12"/>
        <v>0.13955781990407612</v>
      </c>
      <c r="BE12" s="78">
        <f t="shared" si="12"/>
        <v>1.7448542654961718E-2</v>
      </c>
      <c r="BF12" s="78">
        <f t="shared" si="12"/>
        <v>-1.4059074246909331E-3</v>
      </c>
      <c r="BG12" s="79">
        <f t="shared" si="12"/>
        <v>3.8543988159619791E-2</v>
      </c>
      <c r="BH12" s="134">
        <f t="shared" si="12"/>
        <v>5.6652675771985628E-2</v>
      </c>
      <c r="BI12" s="78">
        <f t="shared" ref="BI12" si="13">AVERAGE(BE11,BA11,AW11,AS11,AO11)</f>
        <v>7.1468189091895337E-3</v>
      </c>
      <c r="BJ12" s="78">
        <f t="shared" ref="BJ12:BK12" si="14">AVERAGE(BF11,BB11,AX11,AT11,AP11)</f>
        <v>-3.7199031272638905E-4</v>
      </c>
      <c r="BK12" s="79">
        <f t="shared" si="14"/>
        <v>7.6585257919686761E-2</v>
      </c>
      <c r="BL12" s="134">
        <f t="shared" ref="BL12:BS12" si="15">AVERAGE(BH11,BD11,AZ11,AV11,AR11)</f>
        <v>7.9551997689148155E-2</v>
      </c>
      <c r="BM12" s="78">
        <f t="shared" si="15"/>
        <v>5.1139587114903632E-3</v>
      </c>
      <c r="BN12" s="78">
        <f t="shared" si="15"/>
        <v>1.3178434107315872E-2</v>
      </c>
      <c r="BO12" s="79">
        <f t="shared" si="15"/>
        <v>9.3186554671736893E-2</v>
      </c>
      <c r="BP12" s="134">
        <f t="shared" si="15"/>
        <v>8.224704213308999E-2</v>
      </c>
      <c r="BQ12" s="78">
        <f t="shared" si="15"/>
        <v>4.8537469111877996E-3</v>
      </c>
      <c r="BR12" s="78">
        <f t="shared" si="15"/>
        <v>1.6152137434353533E-2</v>
      </c>
      <c r="BS12" s="79">
        <f t="shared" si="15"/>
        <v>8.5739424502493194E-2</v>
      </c>
      <c r="BT12" s="134">
        <f t="shared" ref="BT12" si="16">AVERAGE(BP11,BL11,BH11,BD11,AZ11)</f>
        <v>7.358408948685044E-2</v>
      </c>
      <c r="BU12" s="78">
        <f t="shared" ref="BU12" si="17">AVERAGE(BQ11,BM11,BI11,BE11,BA11)</f>
        <v>4.5369269064697067E-3</v>
      </c>
      <c r="BV12" s="78">
        <f t="shared" ref="BV12" si="18">AVERAGE(BR11,BN11,BJ11,BF11,BB11)</f>
        <v>-7.8848213829643063E-3</v>
      </c>
      <c r="BW12" s="79">
        <f t="shared" ref="BW12" si="19">AVERAGE(BS11,BO11,BK11,BG11,BC11)</f>
        <v>5.7921188149763658E-2</v>
      </c>
      <c r="BX12" s="346"/>
      <c r="BY12" s="219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58"/>
      <c r="CQ12" s="1041"/>
    </row>
    <row r="13" spans="1:95" ht="14.25" customHeight="1">
      <c r="A13" s="866"/>
      <c r="B13" s="867" t="s">
        <v>298</v>
      </c>
      <c r="C13" s="880"/>
      <c r="D13" s="377"/>
      <c r="E13" s="370"/>
      <c r="F13" s="370"/>
      <c r="G13" s="335"/>
      <c r="H13" s="377"/>
      <c r="I13" s="370">
        <f t="shared" ref="I13:AE13" si="20">I10/E10-1</f>
        <v>4.1373926619828305E-2</v>
      </c>
      <c r="J13" s="370">
        <f t="shared" si="20"/>
        <v>8.7901021435764504E-2</v>
      </c>
      <c r="K13" s="335">
        <f t="shared" si="20"/>
        <v>4.6159368269920842E-2</v>
      </c>
      <c r="L13" s="377">
        <f t="shared" si="20"/>
        <v>-6.3418087428470438E-2</v>
      </c>
      <c r="M13" s="370">
        <f t="shared" si="20"/>
        <v>-0.13745127436281857</v>
      </c>
      <c r="N13" s="370">
        <f t="shared" si="20"/>
        <v>-6.6913514943136687E-2</v>
      </c>
      <c r="O13" s="335">
        <f t="shared" si="20"/>
        <v>-3.1908323612158673E-3</v>
      </c>
      <c r="P13" s="377">
        <f t="shared" si="20"/>
        <v>-0.10588309397833195</v>
      </c>
      <c r="Q13" s="370">
        <f t="shared" si="20"/>
        <v>4.3732183828130378E-2</v>
      </c>
      <c r="R13" s="370">
        <f t="shared" si="20"/>
        <v>0.11846301020408156</v>
      </c>
      <c r="S13" s="335">
        <f t="shared" si="20"/>
        <v>3.6725983547309937E-2</v>
      </c>
      <c r="T13" s="377">
        <f t="shared" si="20"/>
        <v>0.12035928143712571</v>
      </c>
      <c r="U13" s="370">
        <f t="shared" si="20"/>
        <v>0.14268585131894485</v>
      </c>
      <c r="V13" s="370">
        <f t="shared" si="20"/>
        <v>2.1050130672368939E-2</v>
      </c>
      <c r="W13" s="335">
        <f t="shared" si="20"/>
        <v>1.5687250996015756E-2</v>
      </c>
      <c r="X13" s="377">
        <f t="shared" si="20"/>
        <v>0.12747194013896301</v>
      </c>
      <c r="Y13" s="370">
        <f t="shared" si="20"/>
        <v>0.72214935292060156</v>
      </c>
      <c r="Z13" s="370">
        <f t="shared" si="20"/>
        <v>0.53349156118143459</v>
      </c>
      <c r="AA13" s="335">
        <f t="shared" si="20"/>
        <v>0.27796028438342724</v>
      </c>
      <c r="AB13" s="377">
        <f t="shared" si="20"/>
        <v>-0.10144584024650383</v>
      </c>
      <c r="AC13" s="370">
        <f t="shared" si="20"/>
        <v>-0.39605812113364969</v>
      </c>
      <c r="AD13" s="370">
        <f t="shared" si="20"/>
        <v>-0.13892064134338189</v>
      </c>
      <c r="AE13" s="335">
        <f t="shared" si="20"/>
        <v>0.20791129527317409</v>
      </c>
      <c r="AF13" s="377">
        <f t="shared" ref="AF13:BH13" si="21">AF10/AB10-1</f>
        <v>0.62207705556503812</v>
      </c>
      <c r="AG13" s="370">
        <f t="shared" si="21"/>
        <v>0.63467197264803921</v>
      </c>
      <c r="AH13" s="370">
        <f t="shared" si="21"/>
        <v>0.34081671013369075</v>
      </c>
      <c r="AI13" s="335">
        <f t="shared" si="21"/>
        <v>0.34913021842475822</v>
      </c>
      <c r="AJ13" s="377">
        <f t="shared" si="21"/>
        <v>0.83217585949606843</v>
      </c>
      <c r="AK13" s="370">
        <f t="shared" si="21"/>
        <v>0.70817761014915126</v>
      </c>
      <c r="AL13" s="370">
        <f t="shared" si="21"/>
        <v>0.73096299930782505</v>
      </c>
      <c r="AM13" s="335">
        <f t="shared" si="21"/>
        <v>0.50658431692616768</v>
      </c>
      <c r="AN13" s="377">
        <f t="shared" si="21"/>
        <v>1.0504772048534949E-2</v>
      </c>
      <c r="AO13" s="370">
        <f t="shared" si="21"/>
        <v>-2.8242236897569106E-2</v>
      </c>
      <c r="AP13" s="370">
        <f t="shared" si="21"/>
        <v>-8.1924478639400666E-2</v>
      </c>
      <c r="AQ13" s="335">
        <f>AQ10/AM10-1</f>
        <v>-7.8775882276338027E-2</v>
      </c>
      <c r="AR13" s="377">
        <f t="shared" si="21"/>
        <v>-4.3731657917579492E-2</v>
      </c>
      <c r="AS13" s="370">
        <f t="shared" si="21"/>
        <v>-4.7715442452282986E-3</v>
      </c>
      <c r="AT13" s="370">
        <f t="shared" si="21"/>
        <v>2.5521709166092199E-2</v>
      </c>
      <c r="AU13" s="335">
        <f>AU10/AQ10-1</f>
        <v>9.6170809490421449E-2</v>
      </c>
      <c r="AV13" s="377">
        <f t="shared" si="21"/>
        <v>0.14518046250270134</v>
      </c>
      <c r="AW13" s="370">
        <f t="shared" si="21"/>
        <v>0.13999294327639511</v>
      </c>
      <c r="AX13" s="370">
        <f t="shared" si="21"/>
        <v>0.29951506419216778</v>
      </c>
      <c r="AY13" s="370">
        <f t="shared" si="21"/>
        <v>0.42651397916021883</v>
      </c>
      <c r="AZ13" s="377">
        <f t="shared" si="21"/>
        <v>0.36565227648030207</v>
      </c>
      <c r="BA13" s="370">
        <f t="shared" si="21"/>
        <v>0.27580745002366847</v>
      </c>
      <c r="BB13" s="370">
        <f t="shared" si="21"/>
        <v>0.15921643257555385</v>
      </c>
      <c r="BC13" s="335">
        <f t="shared" si="21"/>
        <v>7.3608539689886454E-2</v>
      </c>
      <c r="BD13" s="377">
        <f t="shared" si="21"/>
        <v>0.11660044912765599</v>
      </c>
      <c r="BE13" s="370">
        <f t="shared" si="21"/>
        <v>0.14027827327863007</v>
      </c>
      <c r="BF13" s="370">
        <f t="shared" si="21"/>
        <v>0.13675945753033547</v>
      </c>
      <c r="BG13" s="335">
        <f t="shared" si="21"/>
        <v>0.24654765914449328</v>
      </c>
      <c r="BH13" s="377">
        <f t="shared" si="21"/>
        <v>0.28558168316831689</v>
      </c>
      <c r="BI13" s="370">
        <f t="shared" ref="BI13" si="22">BI10/BE10-1</f>
        <v>0.287466366309993</v>
      </c>
      <c r="BJ13" s="370">
        <f t="shared" ref="BJ13:BK13" si="23">BJ10/BF10-1</f>
        <v>0.29756373226171062</v>
      </c>
      <c r="BK13" s="335">
        <f t="shared" si="23"/>
        <v>0.18157254796001077</v>
      </c>
      <c r="BL13" s="377">
        <f t="shared" ref="BL13:BS13" si="24">BL10/BH10-1</f>
        <v>0.11561492178098676</v>
      </c>
      <c r="BM13" s="370">
        <f t="shared" si="24"/>
        <v>0.17151766707168892</v>
      </c>
      <c r="BN13" s="370">
        <f t="shared" si="24"/>
        <v>0.14308717541737237</v>
      </c>
      <c r="BO13" s="335">
        <f t="shared" si="24"/>
        <v>8.5753760000000012E-2</v>
      </c>
      <c r="BP13" s="377">
        <f t="shared" si="24"/>
        <v>7.5510799999999989E-2</v>
      </c>
      <c r="BQ13" s="370">
        <f t="shared" si="24"/>
        <v>7.0340074999999835E-2</v>
      </c>
      <c r="BR13" s="370">
        <f t="shared" si="24"/>
        <v>7.0340074999999835E-2</v>
      </c>
      <c r="BS13" s="335">
        <f t="shared" si="24"/>
        <v>7.0340074999999835E-2</v>
      </c>
      <c r="BT13" s="377">
        <f t="shared" ref="BT13" si="25">BT10/BP10-1</f>
        <v>7.0340074999999613E-2</v>
      </c>
      <c r="BU13" s="370">
        <f t="shared" ref="BU13" si="26">BU10/BQ10-1</f>
        <v>7.0340074999999613E-2</v>
      </c>
      <c r="BV13" s="370">
        <f t="shared" ref="BV13" si="27">BV10/BR10-1</f>
        <v>7.0340074999999835E-2</v>
      </c>
      <c r="BW13" s="335">
        <f t="shared" ref="BW13" si="28">BW10/BS10-1</f>
        <v>7.0340074999999835E-2</v>
      </c>
      <c r="BX13" s="346"/>
      <c r="BY13" s="359"/>
      <c r="BZ13" s="338">
        <f>BZ10/BY10-1</f>
        <v>0.44426324852604093</v>
      </c>
      <c r="CA13" s="338">
        <f>CA10/BZ10-1</f>
        <v>-6.9887718522495645E-2</v>
      </c>
      <c r="CB13" s="338">
        <f>CB10/CA10-1</f>
        <v>1.9580627361093228E-2</v>
      </c>
      <c r="CC13" s="338">
        <f>CC10/CB10-1</f>
        <v>7.3587757022185452E-2</v>
      </c>
      <c r="CD13" s="338">
        <f t="shared" ref="CD13:CP13" si="29">CD10/CC10-1</f>
        <v>0.42290376494402415</v>
      </c>
      <c r="CE13" s="338">
        <f t="shared" si="29"/>
        <v>-0.14049550740317818</v>
      </c>
      <c r="CF13" s="338">
        <f t="shared" si="29"/>
        <v>0.46727481419475936</v>
      </c>
      <c r="CG13" s="338">
        <f t="shared" si="29"/>
        <v>0.68629836522565935</v>
      </c>
      <c r="CH13" s="338">
        <f t="shared" si="29"/>
        <v>-4.4754678391425329E-2</v>
      </c>
      <c r="CI13" s="338">
        <f t="shared" si="29"/>
        <v>1.6432368909298001E-2</v>
      </c>
      <c r="CJ13" s="338">
        <f t="shared" si="29"/>
        <v>0.25373250553012672</v>
      </c>
      <c r="CK13" s="338">
        <f t="shared" si="29"/>
        <v>0.2073210915104855</v>
      </c>
      <c r="CL13" s="338">
        <f t="shared" si="29"/>
        <v>0.16095391725160235</v>
      </c>
      <c r="CM13" s="338">
        <f t="shared" si="29"/>
        <v>0.25998918464219178</v>
      </c>
      <c r="CN13" s="338">
        <f t="shared" si="29"/>
        <v>0.12831161710062</v>
      </c>
      <c r="CO13" s="338">
        <f t="shared" si="29"/>
        <v>7.1606324556752199E-2</v>
      </c>
      <c r="CP13" s="337">
        <f t="shared" si="29"/>
        <v>7.0340074999999835E-2</v>
      </c>
      <c r="CQ13" s="1041"/>
    </row>
    <row r="14" spans="1:95" ht="14.25" customHeight="1">
      <c r="A14" s="865"/>
      <c r="B14" s="32" t="s">
        <v>299</v>
      </c>
      <c r="C14" s="218"/>
      <c r="D14" s="134"/>
      <c r="E14" s="78">
        <f t="shared" ref="E14:AE14" si="30">E10/E76</f>
        <v>0.25</v>
      </c>
      <c r="F14" s="78">
        <f t="shared" si="30"/>
        <v>0.21</v>
      </c>
      <c r="G14" s="79">
        <f t="shared" si="30"/>
        <v>0.2</v>
      </c>
      <c r="H14" s="134">
        <f t="shared" si="30"/>
        <v>0.21999999999999997</v>
      </c>
      <c r="I14" s="78">
        <f t="shared" si="30"/>
        <v>0.2</v>
      </c>
      <c r="J14" s="78">
        <f t="shared" si="30"/>
        <v>0.19</v>
      </c>
      <c r="K14" s="79">
        <f t="shared" si="30"/>
        <v>0.18999999999999997</v>
      </c>
      <c r="L14" s="134">
        <f t="shared" si="30"/>
        <v>0.21</v>
      </c>
      <c r="M14" s="78">
        <f t="shared" si="30"/>
        <v>0.19</v>
      </c>
      <c r="N14" s="78">
        <f t="shared" si="30"/>
        <v>0.18</v>
      </c>
      <c r="O14" s="79">
        <f t="shared" si="30"/>
        <v>0.17</v>
      </c>
      <c r="P14" s="134">
        <f t="shared" si="30"/>
        <v>0.17</v>
      </c>
      <c r="Q14" s="78">
        <f t="shared" si="30"/>
        <v>0.16</v>
      </c>
      <c r="R14" s="78">
        <f t="shared" si="30"/>
        <v>0.15</v>
      </c>
      <c r="S14" s="79">
        <f t="shared" si="30"/>
        <v>0.15</v>
      </c>
      <c r="T14" s="134">
        <f t="shared" si="30"/>
        <v>0.16999999999999998</v>
      </c>
      <c r="U14" s="78">
        <f t="shared" si="30"/>
        <v>0.18</v>
      </c>
      <c r="V14" s="78">
        <f t="shared" si="30"/>
        <v>0.16</v>
      </c>
      <c r="W14" s="79">
        <f t="shared" si="30"/>
        <v>0.15</v>
      </c>
      <c r="X14" s="134">
        <f t="shared" si="30"/>
        <v>0.17</v>
      </c>
      <c r="Y14" s="78">
        <f t="shared" si="30"/>
        <v>0.20999999999999994</v>
      </c>
      <c r="Z14" s="78">
        <f t="shared" si="30"/>
        <v>0.17</v>
      </c>
      <c r="AA14" s="79">
        <f t="shared" si="30"/>
        <v>0.16</v>
      </c>
      <c r="AB14" s="134">
        <f t="shared" si="30"/>
        <v>0.17</v>
      </c>
      <c r="AC14" s="78">
        <f t="shared" si="30"/>
        <v>0.17000000000000004</v>
      </c>
      <c r="AD14" s="78">
        <f t="shared" si="30"/>
        <v>0.17999999999999997</v>
      </c>
      <c r="AE14" s="79">
        <f t="shared" si="30"/>
        <v>0.19</v>
      </c>
      <c r="AF14" s="134">
        <f t="shared" ref="AF14:AQ14" si="31">AF10/AF76</f>
        <v>0.19</v>
      </c>
      <c r="AG14" s="78">
        <f t="shared" si="31"/>
        <v>0.19999999999999998</v>
      </c>
      <c r="AH14" s="78">
        <f t="shared" si="31"/>
        <v>0.19</v>
      </c>
      <c r="AI14" s="79">
        <f t="shared" si="31"/>
        <v>0.22</v>
      </c>
      <c r="AJ14" s="134">
        <f t="shared" si="31"/>
        <v>0.22</v>
      </c>
      <c r="AK14" s="78">
        <f t="shared" si="31"/>
        <v>0.22</v>
      </c>
      <c r="AL14" s="78">
        <f t="shared" si="31"/>
        <v>0.21999999999999997</v>
      </c>
      <c r="AM14" s="79">
        <f t="shared" si="31"/>
        <v>0.25</v>
      </c>
      <c r="AN14" s="134">
        <f t="shared" si="31"/>
        <v>0.26</v>
      </c>
      <c r="AO14" s="78">
        <f t="shared" si="31"/>
        <v>0.26</v>
      </c>
      <c r="AP14" s="78">
        <f t="shared" si="31"/>
        <v>0.24999999999999997</v>
      </c>
      <c r="AQ14" s="79">
        <f t="shared" si="31"/>
        <v>0.26</v>
      </c>
      <c r="AR14" s="134">
        <f t="shared" ref="AR14:AW14" si="32">AR10/AR76</f>
        <v>0.28000000000000003</v>
      </c>
      <c r="AS14" s="78">
        <f t="shared" si="32"/>
        <v>0.27999999999999997</v>
      </c>
      <c r="AT14" s="78">
        <f t="shared" si="32"/>
        <v>0.25999999999999995</v>
      </c>
      <c r="AU14" s="79">
        <f t="shared" si="32"/>
        <v>0.27</v>
      </c>
      <c r="AV14" s="134">
        <f t="shared" si="32"/>
        <v>0.3</v>
      </c>
      <c r="AW14" s="78">
        <f t="shared" si="32"/>
        <v>0.28999999999999998</v>
      </c>
      <c r="AX14" s="78">
        <f t="shared" ref="AX14:BB14" si="33">AX10/AX76</f>
        <v>0.28999999999999998</v>
      </c>
      <c r="AY14" s="78">
        <f t="shared" si="33"/>
        <v>0.32</v>
      </c>
      <c r="AZ14" s="134">
        <f t="shared" si="33"/>
        <v>0.33239549839228294</v>
      </c>
      <c r="BA14" s="78">
        <f t="shared" si="33"/>
        <v>0.31834185122089725</v>
      </c>
      <c r="BB14" s="78">
        <f t="shared" si="33"/>
        <v>0.3098186643078284</v>
      </c>
      <c r="BC14" s="79">
        <f>BC10/BC76</f>
        <v>0.35332619302630014</v>
      </c>
      <c r="BD14" s="134">
        <f>BD10/BD76</f>
        <v>0.39549681840430739</v>
      </c>
      <c r="BE14" s="78">
        <f>BE10/BE76</f>
        <v>0.36411483253588517</v>
      </c>
      <c r="BF14" s="78">
        <f t="shared" ref="BF14" si="34">BF10/BF76</f>
        <v>0.33496687348827425</v>
      </c>
      <c r="BG14" s="79">
        <f>BG10/BG76</f>
        <v>0.29349722442505949</v>
      </c>
      <c r="BH14" s="134">
        <f>BH10/BH76</f>
        <v>0.32420411985018721</v>
      </c>
      <c r="BI14" s="78">
        <f t="shared" ref="BI14:BJ14" si="35">BI10/BI76</f>
        <v>0.30754857997010471</v>
      </c>
      <c r="BJ14" s="78">
        <f t="shared" si="35"/>
        <v>0.29712437095614669</v>
      </c>
      <c r="BK14" s="79">
        <f>BK10/BK76</f>
        <v>0.31745916515426498</v>
      </c>
      <c r="BL14" s="134">
        <f t="shared" ref="BL14:BS14" si="36">BL10/BL76</f>
        <v>0.33838422550674996</v>
      </c>
      <c r="BM14" s="78">
        <f t="shared" si="36"/>
        <v>0.33749959665999685</v>
      </c>
      <c r="BN14" s="78">
        <f t="shared" si="36"/>
        <v>0.32311823300746978</v>
      </c>
      <c r="BO14" s="79">
        <f t="shared" si="36"/>
        <v>0.33059107645810787</v>
      </c>
      <c r="BP14" s="134">
        <f t="shared" si="36"/>
        <v>0.34905720723002742</v>
      </c>
      <c r="BQ14" s="78">
        <f t="shared" si="36"/>
        <v>0.34825882319188839</v>
      </c>
      <c r="BR14" s="78">
        <f t="shared" si="36"/>
        <v>0.33403976299274485</v>
      </c>
      <c r="BS14" s="79">
        <f t="shared" si="36"/>
        <v>0.34164498515248731</v>
      </c>
      <c r="BT14" s="134">
        <f t="shared" ref="BT14:BW14" si="37">BT10/BT76</f>
        <v>0.36020746276229054</v>
      </c>
      <c r="BU14" s="78">
        <f t="shared" si="37"/>
        <v>0.35941482534146663</v>
      </c>
      <c r="BV14" s="78">
        <f t="shared" si="37"/>
        <v>0.34506766167003072</v>
      </c>
      <c r="BW14" s="79">
        <f t="shared" si="37"/>
        <v>0.35279828790368523</v>
      </c>
      <c r="BX14" s="346"/>
      <c r="BY14" s="359">
        <f t="shared" ref="BY14:CJ14" si="38">BY10/BY76</f>
        <v>0.2192584035635835</v>
      </c>
      <c r="BZ14" s="338">
        <f t="shared" si="38"/>
        <v>0.19993053911121633</v>
      </c>
      <c r="CA14" s="338">
        <f t="shared" si="38"/>
        <v>0.18688719657306049</v>
      </c>
      <c r="CB14" s="338">
        <f t="shared" si="38"/>
        <v>0.15681094137615875</v>
      </c>
      <c r="CC14" s="338">
        <f t="shared" si="38"/>
        <v>0.16465266249521135</v>
      </c>
      <c r="CD14" s="338">
        <f t="shared" si="38"/>
        <v>0.17857553046525207</v>
      </c>
      <c r="CE14" s="338">
        <f t="shared" si="38"/>
        <v>0.17829385493809713</v>
      </c>
      <c r="CF14" s="338">
        <f t="shared" si="38"/>
        <v>0.20003241981499092</v>
      </c>
      <c r="CG14" s="338">
        <f t="shared" si="38"/>
        <v>0.22669232780408446</v>
      </c>
      <c r="CH14" s="338">
        <f t="shared" si="38"/>
        <v>0.2574938685274103</v>
      </c>
      <c r="CI14" s="338">
        <f t="shared" si="38"/>
        <v>0.27227800337801411</v>
      </c>
      <c r="CJ14" s="338">
        <f t="shared" si="38"/>
        <v>0.30043424631538995</v>
      </c>
      <c r="CK14" s="338">
        <f t="shared" ref="CK14:CP14" si="39">CK10/CK76</f>
        <v>0.32804633867276883</v>
      </c>
      <c r="CL14" s="338">
        <f t="shared" si="39"/>
        <v>0.34079193222247817</v>
      </c>
      <c r="CM14" s="338">
        <f t="shared" si="39"/>
        <v>0.31135279597631815</v>
      </c>
      <c r="CN14" s="338">
        <f t="shared" si="39"/>
        <v>0.33227934034232631</v>
      </c>
      <c r="CO14" s="338">
        <f t="shared" si="39"/>
        <v>0.3431460295772637</v>
      </c>
      <c r="CP14" s="337">
        <f t="shared" si="39"/>
        <v>0.35426973787851179</v>
      </c>
      <c r="CQ14" s="1041"/>
    </row>
    <row r="15" spans="1:95" ht="14.25" customHeight="1">
      <c r="A15" s="865"/>
      <c r="B15" s="32"/>
      <c r="C15" s="218"/>
      <c r="D15" s="134"/>
      <c r="E15" s="78"/>
      <c r="F15" s="78"/>
      <c r="G15" s="79"/>
      <c r="H15" s="134"/>
      <c r="I15" s="78"/>
      <c r="J15" s="78"/>
      <c r="K15" s="79"/>
      <c r="L15" s="134"/>
      <c r="M15" s="78"/>
      <c r="N15" s="78"/>
      <c r="O15" s="79"/>
      <c r="P15" s="134"/>
      <c r="Q15" s="78"/>
      <c r="R15" s="78"/>
      <c r="S15" s="79"/>
      <c r="T15" s="134"/>
      <c r="U15" s="78"/>
      <c r="V15" s="78"/>
      <c r="W15" s="79"/>
      <c r="X15" s="134"/>
      <c r="Y15" s="78"/>
      <c r="Z15" s="78"/>
      <c r="AA15" s="79"/>
      <c r="AB15" s="134"/>
      <c r="AC15" s="78"/>
      <c r="AD15" s="78"/>
      <c r="AE15" s="79"/>
      <c r="AF15" s="134"/>
      <c r="AG15" s="78"/>
      <c r="AH15" s="78"/>
      <c r="AI15" s="79"/>
      <c r="AJ15" s="134"/>
      <c r="AK15" s="78"/>
      <c r="AL15" s="78"/>
      <c r="AM15" s="79"/>
      <c r="AN15" s="134"/>
      <c r="AO15" s="78"/>
      <c r="AP15" s="78"/>
      <c r="AQ15" s="79"/>
      <c r="AR15" s="134"/>
      <c r="AS15" s="78"/>
      <c r="AT15" s="78"/>
      <c r="AU15" s="79"/>
      <c r="AV15" s="134"/>
      <c r="AW15" s="78"/>
      <c r="AX15" s="78"/>
      <c r="AY15" s="78"/>
      <c r="AZ15" s="134"/>
      <c r="BA15" s="78"/>
      <c r="BB15" s="78"/>
      <c r="BC15" s="79"/>
      <c r="BD15" s="134"/>
      <c r="BE15" s="78"/>
      <c r="BF15" s="78"/>
      <c r="BG15" s="79"/>
      <c r="BH15" s="134"/>
      <c r="BI15" s="78"/>
      <c r="BJ15" s="78"/>
      <c r="BK15" s="79"/>
      <c r="BL15" s="82"/>
      <c r="BM15" s="80"/>
      <c r="BN15" s="80"/>
      <c r="BO15" s="81"/>
      <c r="BP15" s="82"/>
      <c r="BQ15" s="80"/>
      <c r="BR15" s="80"/>
      <c r="BS15" s="81"/>
      <c r="BT15" s="82"/>
      <c r="BU15" s="80"/>
      <c r="BV15" s="80"/>
      <c r="BW15" s="81"/>
      <c r="BX15" s="346"/>
      <c r="BY15" s="219"/>
      <c r="BZ15" s="220"/>
      <c r="CA15" s="220"/>
      <c r="CB15" s="220"/>
      <c r="CC15" s="220"/>
      <c r="CD15" s="220"/>
      <c r="CE15" s="220"/>
      <c r="CF15" s="220"/>
      <c r="CG15" s="220"/>
      <c r="CH15" s="220"/>
      <c r="CI15" s="220"/>
      <c r="CJ15" s="220"/>
      <c r="CK15" s="220"/>
      <c r="CL15" s="220"/>
      <c r="CM15" s="220"/>
      <c r="CN15" s="220"/>
      <c r="CO15" s="220"/>
      <c r="CP15" s="258"/>
      <c r="CQ15" s="1041"/>
    </row>
    <row r="16" spans="1:95" ht="14.25" customHeight="1">
      <c r="A16" s="865"/>
      <c r="B16" s="45" t="str">
        <f>$B$103&amp;" Gross Margin"</f>
        <v>Automotive Gross Margin</v>
      </c>
      <c r="C16" s="218"/>
      <c r="D16" s="374"/>
      <c r="E16" s="341">
        <f>E98*E14</f>
        <v>18.474999999999994</v>
      </c>
      <c r="F16" s="341">
        <f t="shared" ref="F16:AE16" si="40">F98*F14</f>
        <v>15.456000000000005</v>
      </c>
      <c r="G16" s="342">
        <f t="shared" si="40"/>
        <v>15.680000000000007</v>
      </c>
      <c r="H16" s="374">
        <f t="shared" si="40"/>
        <v>21.097999999999992</v>
      </c>
      <c r="I16" s="341">
        <f t="shared" si="40"/>
        <v>22.480000000000004</v>
      </c>
      <c r="J16" s="341">
        <f t="shared" si="40"/>
        <v>19.569999999999993</v>
      </c>
      <c r="K16" s="342">
        <f t="shared" si="40"/>
        <v>18.734000000000002</v>
      </c>
      <c r="L16" s="374">
        <f t="shared" si="40"/>
        <v>20.201999999999998</v>
      </c>
      <c r="M16" s="341">
        <f t="shared" si="40"/>
        <v>18.715</v>
      </c>
      <c r="N16" s="341">
        <f t="shared" si="40"/>
        <v>18.738000000000003</v>
      </c>
      <c r="O16" s="342">
        <f t="shared" si="40"/>
        <v>20.349000000000004</v>
      </c>
      <c r="P16" s="374">
        <f t="shared" si="40"/>
        <v>20.009</v>
      </c>
      <c r="Q16" s="341">
        <f t="shared" si="40"/>
        <v>24.512000000000004</v>
      </c>
      <c r="R16" s="341">
        <f t="shared" si="40"/>
        <v>24.059999999999995</v>
      </c>
      <c r="S16" s="342">
        <f t="shared" si="40"/>
        <v>23.655000000000001</v>
      </c>
      <c r="T16" s="374">
        <f t="shared" si="40"/>
        <v>23.221999999999998</v>
      </c>
      <c r="U16" s="341">
        <f t="shared" si="40"/>
        <v>26.279999999999998</v>
      </c>
      <c r="V16" s="341">
        <f t="shared" si="40"/>
        <v>24.895999999999994</v>
      </c>
      <c r="W16" s="342">
        <f t="shared" si="40"/>
        <v>22.844999999999995</v>
      </c>
      <c r="X16" s="374">
        <f t="shared" si="40"/>
        <v>24.921999999999997</v>
      </c>
      <c r="Y16" s="341">
        <f t="shared" si="40"/>
        <v>40.23599999999999</v>
      </c>
      <c r="Z16" s="341">
        <f t="shared" si="40"/>
        <v>37.672000000000004</v>
      </c>
      <c r="AA16" s="342">
        <f t="shared" si="40"/>
        <v>29.712</v>
      </c>
      <c r="AB16" s="374">
        <f t="shared" si="40"/>
        <v>19.057000000000006</v>
      </c>
      <c r="AC16" s="341">
        <f t="shared" si="40"/>
        <v>23.494000000000003</v>
      </c>
      <c r="AD16" s="341">
        <f t="shared" si="40"/>
        <v>31.643999999999984</v>
      </c>
      <c r="AE16" s="342">
        <f t="shared" si="40"/>
        <v>36.974000000000004</v>
      </c>
      <c r="AF16" s="374">
        <f t="shared" ref="AF16:AQ16" si="41">AF98*AF14</f>
        <v>43.339000000000006</v>
      </c>
      <c r="AG16" s="341">
        <f t="shared" si="41"/>
        <v>48.759999999999984</v>
      </c>
      <c r="AH16" s="341">
        <f t="shared" si="41"/>
        <v>46.835000000000008</v>
      </c>
      <c r="AI16" s="342">
        <f t="shared" si="41"/>
        <v>52.272000000000006</v>
      </c>
      <c r="AJ16" s="374">
        <f t="shared" si="41"/>
        <v>53.327999999999996</v>
      </c>
      <c r="AK16" s="341">
        <f t="shared" si="41"/>
        <v>58.54199999999998</v>
      </c>
      <c r="AL16" s="341">
        <f t="shared" si="41"/>
        <v>57.442</v>
      </c>
      <c r="AM16" s="342">
        <f t="shared" si="41"/>
        <v>59.799999999999983</v>
      </c>
      <c r="AN16" s="374">
        <f t="shared" si="41"/>
        <v>63.752000000000002</v>
      </c>
      <c r="AO16" s="341">
        <f t="shared" si="41"/>
        <v>67.157999999999987</v>
      </c>
      <c r="AP16" s="341">
        <f t="shared" si="41"/>
        <v>59.499999999999993</v>
      </c>
      <c r="AQ16" s="342">
        <f t="shared" si="41"/>
        <v>54.704000000000008</v>
      </c>
      <c r="AR16" s="374">
        <f t="shared" ref="AR16:AW16" si="42">AR98*AR14</f>
        <v>57.260000000000005</v>
      </c>
      <c r="AS16" s="341">
        <f t="shared" si="42"/>
        <v>64.903999999999982</v>
      </c>
      <c r="AT16" s="341">
        <f t="shared" si="42"/>
        <v>64.791999999999987</v>
      </c>
      <c r="AU16" s="342">
        <f t="shared" si="42"/>
        <v>68.283000000000001</v>
      </c>
      <c r="AV16" s="374">
        <f t="shared" si="42"/>
        <v>75.239999999999995</v>
      </c>
      <c r="AW16" s="341">
        <f t="shared" si="42"/>
        <v>79.169999999999987</v>
      </c>
      <c r="AX16" s="341">
        <f t="shared" ref="AX16:BC16" si="43">AX98*AX14</f>
        <v>82.388999999999996</v>
      </c>
      <c r="AY16" s="341">
        <f t="shared" si="43"/>
        <v>88.864000000000019</v>
      </c>
      <c r="AZ16" s="374">
        <f t="shared" si="43"/>
        <v>99.851607717041787</v>
      </c>
      <c r="BA16" s="341">
        <f t="shared" si="43"/>
        <v>96.90325951164111</v>
      </c>
      <c r="BB16" s="341">
        <f t="shared" si="43"/>
        <v>95.579057938965065</v>
      </c>
      <c r="BC16" s="342">
        <f t="shared" si="43"/>
        <v>98.896001428061396</v>
      </c>
      <c r="BD16" s="374">
        <f>BD98*BD14</f>
        <v>108.95937347038668</v>
      </c>
      <c r="BE16" s="341">
        <f>BE98*BE14</f>
        <v>112.11095693779903</v>
      </c>
      <c r="BF16" s="341">
        <f t="shared" ref="BF16:BG16" si="44">BF98*BF14</f>
        <v>110.20410137764223</v>
      </c>
      <c r="BG16" s="342">
        <f t="shared" si="44"/>
        <v>112.84968279143537</v>
      </c>
      <c r="BH16" s="374">
        <f>BH98*BH14</f>
        <v>163.17193352059925</v>
      </c>
      <c r="BI16" s="341">
        <f t="shared" ref="BI16:BK16" si="45">BI98*BI14</f>
        <v>151.34465620328854</v>
      </c>
      <c r="BJ16" s="341">
        <f t="shared" si="45"/>
        <v>155.7525952552121</v>
      </c>
      <c r="BK16" s="342">
        <f t="shared" si="45"/>
        <v>163.23750272232306</v>
      </c>
      <c r="BL16" s="374">
        <f t="shared" ref="BL16:BS16" si="46">BL19*BL10</f>
        <v>175.217364</v>
      </c>
      <c r="BM16" s="341">
        <f t="shared" si="46"/>
        <v>183.67229712</v>
      </c>
      <c r="BN16" s="341">
        <f t="shared" si="46"/>
        <v>178.1090994592</v>
      </c>
      <c r="BO16" s="342">
        <f t="shared" si="46"/>
        <v>178.99964495649598</v>
      </c>
      <c r="BP16" s="374">
        <f t="shared" si="46"/>
        <v>189.445247579952</v>
      </c>
      <c r="BQ16" s="341">
        <f t="shared" si="46"/>
        <v>197.62379833402858</v>
      </c>
      <c r="BR16" s="341">
        <f t="shared" si="46"/>
        <v>194.68266086534982</v>
      </c>
      <c r="BS16" s="342">
        <f t="shared" si="46"/>
        <v>195.65607416967657</v>
      </c>
      <c r="BT16" s="374">
        <f t="shared" ref="BT16:BW16" si="47">BT19*BT10</f>
        <v>202.77084050311933</v>
      </c>
      <c r="BU16" s="341">
        <f t="shared" si="47"/>
        <v>211.52467113062897</v>
      </c>
      <c r="BV16" s="341">
        <f t="shared" si="47"/>
        <v>208.37665383181806</v>
      </c>
      <c r="BW16" s="342">
        <f t="shared" si="47"/>
        <v>209.41853710097715</v>
      </c>
      <c r="BX16" s="346"/>
      <c r="BY16" s="334">
        <f>SUM(D16:G16)</f>
        <v>49.611000000000004</v>
      </c>
      <c r="BZ16" s="325">
        <f>SUM(H16:K16)</f>
        <v>81.881999999999991</v>
      </c>
      <c r="CA16" s="325">
        <f>SUM(L16:O16)</f>
        <v>78.004000000000005</v>
      </c>
      <c r="CB16" s="325">
        <f>SUM(P16:S16)</f>
        <v>92.23599999999999</v>
      </c>
      <c r="CC16" s="325">
        <f>SUM(T16:W16)</f>
        <v>97.242999999999995</v>
      </c>
      <c r="CD16" s="325">
        <f>SUM(X16:AA16)</f>
        <v>132.54199999999997</v>
      </c>
      <c r="CE16" s="325">
        <f>SUM(AB16:AE16)</f>
        <v>111.169</v>
      </c>
      <c r="CF16" s="325">
        <f>SUM(AF16:AI16)</f>
        <v>191.20600000000002</v>
      </c>
      <c r="CG16" s="325">
        <f>SUM(AJ16:AM16)</f>
        <v>229.11199999999997</v>
      </c>
      <c r="CH16" s="325">
        <f>SUM(AN16:AQ16)</f>
        <v>245.114</v>
      </c>
      <c r="CI16" s="325">
        <f>SUM(AR16:AU16)</f>
        <v>255.23899999999998</v>
      </c>
      <c r="CJ16" s="325">
        <f>SUM(AV16:AY16)</f>
        <v>325.66300000000001</v>
      </c>
      <c r="CK16" s="325">
        <f>SUM(AZ16:BC16)</f>
        <v>391.22992659570934</v>
      </c>
      <c r="CL16" s="325">
        <f>SUM(BD16:BG16)</f>
        <v>444.12411457726336</v>
      </c>
      <c r="CM16" s="325">
        <f>SUM(BH16:BK16)</f>
        <v>633.50668770142295</v>
      </c>
      <c r="CN16" s="325">
        <f>SUM(BL16:BO16)</f>
        <v>715.99840553569607</v>
      </c>
      <c r="CO16" s="325">
        <f>SUM(BP16:BS16)</f>
        <v>777.40778094900691</v>
      </c>
      <c r="CP16" s="326">
        <f>SUM(BT16:BW16)</f>
        <v>832.09070256654354</v>
      </c>
      <c r="CQ16" s="1041"/>
    </row>
    <row r="17" spans="1:95" ht="14.25" customHeight="1">
      <c r="A17" s="865"/>
      <c r="B17" s="32" t="s">
        <v>297</v>
      </c>
      <c r="C17" s="218"/>
      <c r="D17" s="134"/>
      <c r="E17" s="78"/>
      <c r="F17" s="78">
        <f t="shared" ref="F17:S17" si="48">F16/E16-1</f>
        <v>-0.16341001353179918</v>
      </c>
      <c r="G17" s="79">
        <f t="shared" si="48"/>
        <v>1.449275362318847E-2</v>
      </c>
      <c r="H17" s="134">
        <f t="shared" si="48"/>
        <v>0.34553571428571317</v>
      </c>
      <c r="I17" s="78">
        <f t="shared" si="48"/>
        <v>6.550383922646752E-2</v>
      </c>
      <c r="J17" s="78">
        <f t="shared" si="48"/>
        <v>-0.12944839857651291</v>
      </c>
      <c r="K17" s="79">
        <f t="shared" si="48"/>
        <v>-4.2718446601941351E-2</v>
      </c>
      <c r="L17" s="134">
        <f t="shared" si="48"/>
        <v>7.8360200704601146E-2</v>
      </c>
      <c r="M17" s="78">
        <f t="shared" si="48"/>
        <v>-7.3606573606573522E-2</v>
      </c>
      <c r="N17" s="78">
        <f t="shared" si="48"/>
        <v>1.2289607266899871E-3</v>
      </c>
      <c r="O17" s="79">
        <f t="shared" si="48"/>
        <v>8.5975024015369828E-2</v>
      </c>
      <c r="P17" s="134">
        <f t="shared" si="48"/>
        <v>-1.670843776106945E-2</v>
      </c>
      <c r="Q17" s="78">
        <f t="shared" si="48"/>
        <v>0.22504872807236764</v>
      </c>
      <c r="R17" s="78">
        <f t="shared" si="48"/>
        <v>-1.8439947780679256E-2</v>
      </c>
      <c r="S17" s="79">
        <f t="shared" si="48"/>
        <v>-1.6832917705735362E-2</v>
      </c>
      <c r="T17" s="134">
        <f>T16/S16-1</f>
        <v>-1.8304798139928247E-2</v>
      </c>
      <c r="U17" s="78">
        <f>U16/T16-1</f>
        <v>0.13168547067436043</v>
      </c>
      <c r="V17" s="78">
        <f>V16/U16-1</f>
        <v>-5.2663622526636367E-2</v>
      </c>
      <c r="W17" s="79">
        <f>W16/V16-1</f>
        <v>-8.2382712082262222E-2</v>
      </c>
      <c r="X17" s="134">
        <f t="shared" ref="X17:AE17" si="49">X16/W16-1</f>
        <v>9.0917049682643913E-2</v>
      </c>
      <c r="Y17" s="78">
        <f t="shared" si="49"/>
        <v>0.61447716876655134</v>
      </c>
      <c r="Z17" s="78">
        <f t="shared" si="49"/>
        <v>-6.3724028233422492E-2</v>
      </c>
      <c r="AA17" s="79">
        <f t="shared" si="49"/>
        <v>-0.21129751539605024</v>
      </c>
      <c r="AB17" s="134">
        <f t="shared" si="49"/>
        <v>-0.35860931610123836</v>
      </c>
      <c r="AC17" s="78">
        <f t="shared" si="49"/>
        <v>0.23282783229259563</v>
      </c>
      <c r="AD17" s="78">
        <f t="shared" si="49"/>
        <v>0.34689708010555798</v>
      </c>
      <c r="AE17" s="79">
        <f t="shared" si="49"/>
        <v>0.16843635444318106</v>
      </c>
      <c r="AF17" s="134">
        <f t="shared" ref="AF17:BH17" si="50">AF16/AE16-1</f>
        <v>0.17214799588900309</v>
      </c>
      <c r="AG17" s="78">
        <f t="shared" si="50"/>
        <v>0.12508364290823448</v>
      </c>
      <c r="AH17" s="78">
        <f t="shared" si="50"/>
        <v>-3.9479081214109479E-2</v>
      </c>
      <c r="AI17" s="79">
        <f t="shared" si="50"/>
        <v>0.11608839543076743</v>
      </c>
      <c r="AJ17" s="134">
        <f t="shared" si="50"/>
        <v>2.020202020202011E-2</v>
      </c>
      <c r="AK17" s="78">
        <f t="shared" si="50"/>
        <v>9.7772277227722526E-2</v>
      </c>
      <c r="AL17" s="78">
        <f t="shared" si="50"/>
        <v>-1.8789928598271E-2</v>
      </c>
      <c r="AM17" s="79">
        <f t="shared" si="50"/>
        <v>4.1050102712300696E-2</v>
      </c>
      <c r="AN17" s="134">
        <f t="shared" si="50"/>
        <v>6.6086956521739459E-2</v>
      </c>
      <c r="AO17" s="78">
        <f t="shared" si="50"/>
        <v>5.3425774877650545E-2</v>
      </c>
      <c r="AP17" s="78">
        <f t="shared" si="50"/>
        <v>-0.11402960183447985</v>
      </c>
      <c r="AQ17" s="79">
        <f>AQ16/AP16-1</f>
        <v>-8.0605042016806516E-2</v>
      </c>
      <c r="AR17" s="134">
        <f t="shared" si="50"/>
        <v>4.6724188359169361E-2</v>
      </c>
      <c r="AS17" s="78">
        <f t="shared" si="50"/>
        <v>0.13349633251833692</v>
      </c>
      <c r="AT17" s="78">
        <f t="shared" si="50"/>
        <v>-1.7256255392579245E-3</v>
      </c>
      <c r="AU17" s="79">
        <f>AU16/AT16-1</f>
        <v>5.3880108655389725E-2</v>
      </c>
      <c r="AV17" s="134">
        <f t="shared" si="50"/>
        <v>0.10188480295241842</v>
      </c>
      <c r="AW17" s="78">
        <f t="shared" si="50"/>
        <v>5.2232854864433742E-2</v>
      </c>
      <c r="AX17" s="78">
        <f t="shared" si="50"/>
        <v>4.0659340659340737E-2</v>
      </c>
      <c r="AY17" s="78">
        <f t="shared" si="50"/>
        <v>7.8590588549442453E-2</v>
      </c>
      <c r="AZ17" s="134">
        <f t="shared" si="50"/>
        <v>0.12364520747481289</v>
      </c>
      <c r="BA17" s="78">
        <f t="shared" si="50"/>
        <v>-2.9527298286029291E-2</v>
      </c>
      <c r="BB17" s="78">
        <f t="shared" si="50"/>
        <v>-1.3665191236595819E-2</v>
      </c>
      <c r="BC17" s="79">
        <f t="shared" si="50"/>
        <v>3.4703663758796077E-2</v>
      </c>
      <c r="BD17" s="134">
        <f t="shared" si="50"/>
        <v>0.10175711754782668</v>
      </c>
      <c r="BE17" s="78">
        <f t="shared" si="50"/>
        <v>2.8924390504768249E-2</v>
      </c>
      <c r="BF17" s="78">
        <f t="shared" si="50"/>
        <v>-1.7008645829459379E-2</v>
      </c>
      <c r="BG17" s="79">
        <f t="shared" si="50"/>
        <v>2.4006197416622355E-2</v>
      </c>
      <c r="BH17" s="134">
        <f t="shared" si="50"/>
        <v>0.44592283721494907</v>
      </c>
      <c r="BI17" s="78">
        <f t="shared" ref="BI17" si="51">BI16/BH16-1</f>
        <v>-7.2483527418749416E-2</v>
      </c>
      <c r="BJ17" s="78">
        <f t="shared" ref="BJ17:BK17" si="52">BJ16/BI16-1</f>
        <v>2.9125171396886085E-2</v>
      </c>
      <c r="BK17" s="79">
        <f t="shared" si="52"/>
        <v>4.8056390038614616E-2</v>
      </c>
      <c r="BL17" s="134">
        <f t="shared" ref="BL17:BS17" si="53">BL16/BK16-1</f>
        <v>7.3389148191365106E-2</v>
      </c>
      <c r="BM17" s="78">
        <f t="shared" si="53"/>
        <v>4.8253968253968216E-2</v>
      </c>
      <c r="BN17" s="78">
        <f t="shared" si="53"/>
        <v>-3.0288713910761156E-2</v>
      </c>
      <c r="BO17" s="79">
        <f t="shared" si="53"/>
        <v>4.9999999999998934E-3</v>
      </c>
      <c r="BP17" s="134">
        <f t="shared" si="53"/>
        <v>5.8355437665782661E-2</v>
      </c>
      <c r="BQ17" s="78">
        <f t="shared" si="53"/>
        <v>4.3171052631578721E-2</v>
      </c>
      <c r="BR17" s="78">
        <f t="shared" si="53"/>
        <v>-1.4882506527415185E-2</v>
      </c>
      <c r="BS17" s="79">
        <f t="shared" si="53"/>
        <v>5.0000000000001155E-3</v>
      </c>
      <c r="BT17" s="134">
        <f t="shared" ref="BT17" si="54">BT16/BS16-1</f>
        <v>3.6363636363636154E-2</v>
      </c>
      <c r="BU17" s="78">
        <f t="shared" ref="BU17" si="55">BU16/BT16-1</f>
        <v>4.3171052631578943E-2</v>
      </c>
      <c r="BV17" s="78">
        <f t="shared" ref="BV17" si="56">BV16/BU16-1</f>
        <v>-1.4882506527415074E-2</v>
      </c>
      <c r="BW17" s="79">
        <f t="shared" ref="BW17" si="57">BW16/BV16-1</f>
        <v>4.9999999999998934E-3</v>
      </c>
      <c r="BX17" s="346"/>
      <c r="BY17" s="219"/>
      <c r="BZ17" s="220"/>
      <c r="CA17" s="220"/>
      <c r="CB17" s="220"/>
      <c r="CC17" s="220"/>
      <c r="CD17" s="220"/>
      <c r="CE17" s="220"/>
      <c r="CF17" s="220"/>
      <c r="CG17" s="220"/>
      <c r="CH17" s="220"/>
      <c r="CI17" s="220"/>
      <c r="CJ17" s="220"/>
      <c r="CK17" s="220"/>
      <c r="CL17" s="220"/>
      <c r="CM17" s="220"/>
      <c r="CN17" s="220"/>
      <c r="CO17" s="220"/>
      <c r="CP17" s="258"/>
      <c r="CQ17" s="1041"/>
    </row>
    <row r="18" spans="1:95" ht="14.25" customHeight="1">
      <c r="A18" s="865"/>
      <c r="B18" s="32" t="s">
        <v>298</v>
      </c>
      <c r="C18" s="218"/>
      <c r="D18" s="134"/>
      <c r="E18" s="78"/>
      <c r="F18" s="78"/>
      <c r="G18" s="79"/>
      <c r="H18" s="134"/>
      <c r="I18" s="78">
        <f t="shared" ref="I18:AE18" si="58">I16/E16-1</f>
        <v>0.21677943166441205</v>
      </c>
      <c r="J18" s="78">
        <f t="shared" si="58"/>
        <v>0.26617494824016474</v>
      </c>
      <c r="K18" s="79">
        <f t="shared" si="58"/>
        <v>0.19477040816326485</v>
      </c>
      <c r="L18" s="134">
        <f t="shared" si="58"/>
        <v>-4.246848042468454E-2</v>
      </c>
      <c r="M18" s="78">
        <f t="shared" si="58"/>
        <v>-0.16748220640569411</v>
      </c>
      <c r="N18" s="78">
        <f t="shared" si="58"/>
        <v>-4.2514052120592227E-2</v>
      </c>
      <c r="O18" s="79">
        <f t="shared" si="58"/>
        <v>8.6206896551724199E-2</v>
      </c>
      <c r="P18" s="134">
        <f t="shared" si="58"/>
        <v>-9.5535095535094205E-3</v>
      </c>
      <c r="Q18" s="78">
        <f t="shared" si="58"/>
        <v>0.30975153620090867</v>
      </c>
      <c r="R18" s="78">
        <f t="shared" si="58"/>
        <v>0.28402177393531813</v>
      </c>
      <c r="S18" s="79">
        <f t="shared" si="58"/>
        <v>0.16246498599439763</v>
      </c>
      <c r="T18" s="134">
        <f t="shared" si="58"/>
        <v>0.16057774001699232</v>
      </c>
      <c r="U18" s="78">
        <f t="shared" si="58"/>
        <v>7.2127937336814441E-2</v>
      </c>
      <c r="V18" s="78">
        <f t="shared" si="58"/>
        <v>3.4746467165419626E-2</v>
      </c>
      <c r="W18" s="79">
        <f t="shared" si="58"/>
        <v>-3.4242232086239888E-2</v>
      </c>
      <c r="X18" s="134">
        <f t="shared" si="58"/>
        <v>7.3206442166910746E-2</v>
      </c>
      <c r="Y18" s="78">
        <f t="shared" si="58"/>
        <v>0.53105022831050208</v>
      </c>
      <c r="Z18" s="78">
        <f t="shared" si="58"/>
        <v>0.51317480719794406</v>
      </c>
      <c r="AA18" s="79">
        <f t="shared" si="58"/>
        <v>0.30059093893631017</v>
      </c>
      <c r="AB18" s="134">
        <f t="shared" si="58"/>
        <v>-0.23533424283765314</v>
      </c>
      <c r="AC18" s="78">
        <f t="shared" si="58"/>
        <v>-0.4160950392683167</v>
      </c>
      <c r="AD18" s="78">
        <f t="shared" si="58"/>
        <v>-0.16001274155871781</v>
      </c>
      <c r="AE18" s="79">
        <f t="shared" si="58"/>
        <v>0.24441303177167484</v>
      </c>
      <c r="AF18" s="134">
        <f t="shared" ref="AF18:BH18" si="59">AF16/AB16-1</f>
        <v>1.274177467597208</v>
      </c>
      <c r="AG18" s="78">
        <f t="shared" si="59"/>
        <v>1.07542351238614</v>
      </c>
      <c r="AH18" s="78">
        <f t="shared" si="59"/>
        <v>0.48005941094678395</v>
      </c>
      <c r="AI18" s="79">
        <f t="shared" si="59"/>
        <v>0.41375020284524267</v>
      </c>
      <c r="AJ18" s="134">
        <f t="shared" si="59"/>
        <v>0.23048524423729178</v>
      </c>
      <c r="AK18" s="78">
        <f t="shared" si="59"/>
        <v>0.20061525840853167</v>
      </c>
      <c r="AL18" s="78">
        <f t="shared" si="59"/>
        <v>0.22647592612362533</v>
      </c>
      <c r="AM18" s="79">
        <f t="shared" si="59"/>
        <v>0.14401591674318892</v>
      </c>
      <c r="AN18" s="134">
        <f t="shared" si="59"/>
        <v>0.19546954695469565</v>
      </c>
      <c r="AO18" s="78">
        <f t="shared" si="59"/>
        <v>0.14717638618427809</v>
      </c>
      <c r="AP18" s="78">
        <f t="shared" si="59"/>
        <v>3.582744333414567E-2</v>
      </c>
      <c r="AQ18" s="79">
        <f>AQ16/AM16-1</f>
        <v>-8.5217391304347467E-2</v>
      </c>
      <c r="AR18" s="134">
        <f t="shared" si="59"/>
        <v>-0.10183209938511728</v>
      </c>
      <c r="AS18" s="78">
        <f t="shared" si="59"/>
        <v>-3.3562643318740926E-2</v>
      </c>
      <c r="AT18" s="78">
        <f t="shared" si="59"/>
        <v>8.8941176470588079E-2</v>
      </c>
      <c r="AU18" s="79">
        <f>AU16/AQ16-1</f>
        <v>0.2482268207078091</v>
      </c>
      <c r="AV18" s="134">
        <f t="shared" si="59"/>
        <v>0.31400628711142131</v>
      </c>
      <c r="AW18" s="78">
        <f t="shared" si="59"/>
        <v>0.21980155306298554</v>
      </c>
      <c r="AX18" s="78">
        <f t="shared" si="59"/>
        <v>0.27159217187307094</v>
      </c>
      <c r="AY18" s="78">
        <f t="shared" si="59"/>
        <v>0.30140737811754059</v>
      </c>
      <c r="AZ18" s="134">
        <f t="shared" si="59"/>
        <v>0.32710802388412796</v>
      </c>
      <c r="BA18" s="78">
        <f t="shared" si="59"/>
        <v>0.22398963637288283</v>
      </c>
      <c r="BB18" s="78">
        <f t="shared" si="59"/>
        <v>0.16009489056749171</v>
      </c>
      <c r="BC18" s="79">
        <f t="shared" si="59"/>
        <v>0.11289162572089229</v>
      </c>
      <c r="BD18" s="134">
        <f t="shared" si="59"/>
        <v>9.1213010602236411E-2</v>
      </c>
      <c r="BE18" s="78">
        <f t="shared" si="59"/>
        <v>0.15693690287405659</v>
      </c>
      <c r="BF18" s="78">
        <f t="shared" si="59"/>
        <v>0.15301514530532878</v>
      </c>
      <c r="BG18" s="79">
        <f t="shared" si="59"/>
        <v>0.14109449484187797</v>
      </c>
      <c r="BH18" s="134">
        <f t="shared" si="59"/>
        <v>0.49754838270015056</v>
      </c>
      <c r="BI18" s="78">
        <f t="shared" ref="BI18" si="60">BI16/BE16-1</f>
        <v>0.34995419125052152</v>
      </c>
      <c r="BJ18" s="78">
        <f t="shared" ref="BJ18:BK18" si="61">BJ16/BF16-1</f>
        <v>0.4133103333558017</v>
      </c>
      <c r="BK18" s="79">
        <f t="shared" si="61"/>
        <v>0.44650386854886071</v>
      </c>
      <c r="BL18" s="134">
        <f t="shared" ref="BL18:BS18" si="62">BL16/BH16-1</f>
        <v>7.3820480149425327E-2</v>
      </c>
      <c r="BM18" s="78">
        <f t="shared" si="62"/>
        <v>0.21360279066139243</v>
      </c>
      <c r="BN18" s="78">
        <f t="shared" si="62"/>
        <v>0.14353856619438754</v>
      </c>
      <c r="BO18" s="79">
        <f t="shared" si="62"/>
        <v>9.6559564875145609E-2</v>
      </c>
      <c r="BP18" s="134">
        <f t="shared" si="62"/>
        <v>8.1201333333333237E-2</v>
      </c>
      <c r="BQ18" s="78">
        <f t="shared" si="62"/>
        <v>7.5958658070865992E-2</v>
      </c>
      <c r="BR18" s="78">
        <f t="shared" si="62"/>
        <v>9.3052861737400239E-2</v>
      </c>
      <c r="BS18" s="79">
        <f t="shared" si="62"/>
        <v>9.3052861737400461E-2</v>
      </c>
      <c r="BT18" s="134">
        <f t="shared" ref="BT18" si="63">BT16/BP16-1</f>
        <v>7.0340074999999613E-2</v>
      </c>
      <c r="BU18" s="78">
        <f t="shared" ref="BU18" si="64">BU16/BQ16-1</f>
        <v>7.0340074999999835E-2</v>
      </c>
      <c r="BV18" s="78">
        <f t="shared" ref="BV18" si="65">BV16/BR16-1</f>
        <v>7.0340074999999835E-2</v>
      </c>
      <c r="BW18" s="79">
        <f t="shared" ref="BW18" si="66">BW16/BS16-1</f>
        <v>7.0340074999999835E-2</v>
      </c>
      <c r="BX18" s="346"/>
      <c r="BY18" s="377"/>
      <c r="BZ18" s="338">
        <f>BZ16/BY16-1</f>
        <v>0.65048074015843227</v>
      </c>
      <c r="CA18" s="338">
        <f>CA16/BZ16-1</f>
        <v>-4.7360836325443745E-2</v>
      </c>
      <c r="CB18" s="338">
        <f>CB16/CA16-1</f>
        <v>0.18245218193938761</v>
      </c>
      <c r="CC18" s="338">
        <f>CC16/CB16-1</f>
        <v>5.4284661086777541E-2</v>
      </c>
      <c r="CD18" s="338">
        <f t="shared" ref="CD18:CP18" si="67">CD16/CC16-1</f>
        <v>0.36299785074504065</v>
      </c>
      <c r="CE18" s="338">
        <f t="shared" si="67"/>
        <v>-0.16125454572890086</v>
      </c>
      <c r="CF18" s="338">
        <f t="shared" si="67"/>
        <v>0.71995790193309306</v>
      </c>
      <c r="CG18" s="338">
        <f t="shared" si="67"/>
        <v>0.19824691693775276</v>
      </c>
      <c r="CH18" s="338">
        <f t="shared" si="67"/>
        <v>6.9843569957051654E-2</v>
      </c>
      <c r="CI18" s="338">
        <f t="shared" si="67"/>
        <v>4.1307310067968173E-2</v>
      </c>
      <c r="CJ18" s="338">
        <f t="shared" si="67"/>
        <v>0.27591394731996299</v>
      </c>
      <c r="CK18" s="338">
        <f t="shared" si="67"/>
        <v>0.20133366884082426</v>
      </c>
      <c r="CL18" s="338">
        <f t="shared" si="67"/>
        <v>0.13519974926717193</v>
      </c>
      <c r="CM18" s="338">
        <f t="shared" si="67"/>
        <v>0.42641812706887605</v>
      </c>
      <c r="CN18" s="338">
        <f t="shared" si="67"/>
        <v>0.13021443883028461</v>
      </c>
      <c r="CO18" s="338">
        <f t="shared" si="67"/>
        <v>8.5767475092860757E-2</v>
      </c>
      <c r="CP18" s="337">
        <f t="shared" si="67"/>
        <v>7.0340074999999835E-2</v>
      </c>
      <c r="CQ18" s="1041"/>
    </row>
    <row r="19" spans="1:95" s="1360" customFormat="1" ht="14.25" customHeight="1">
      <c r="A19" s="865"/>
      <c r="B19" s="32" t="s">
        <v>549</v>
      </c>
      <c r="C19" s="218"/>
      <c r="D19" s="134"/>
      <c r="E19" s="78">
        <f t="shared" ref="E19:AE19" si="68">E16/E10</f>
        <v>0.28844652615144412</v>
      </c>
      <c r="F19" s="78">
        <f t="shared" si="68"/>
        <v>0.27794561933534756</v>
      </c>
      <c r="G19" s="79">
        <f t="shared" si="68"/>
        <v>0.28140703517587951</v>
      </c>
      <c r="H19" s="134">
        <f t="shared" si="68"/>
        <v>0.31116158338741062</v>
      </c>
      <c r="I19" s="78">
        <f t="shared" si="68"/>
        <v>0.33703148425787111</v>
      </c>
      <c r="J19" s="78">
        <f t="shared" si="68"/>
        <v>0.3234924623115577</v>
      </c>
      <c r="K19" s="79">
        <f t="shared" si="68"/>
        <v>0.32138200782268583</v>
      </c>
      <c r="L19" s="134">
        <f t="shared" si="68"/>
        <v>0.31812169312169314</v>
      </c>
      <c r="M19" s="78">
        <f t="shared" si="68"/>
        <v>0.32529722589167764</v>
      </c>
      <c r="N19" s="78">
        <f t="shared" si="68"/>
        <v>0.33195153061224497</v>
      </c>
      <c r="O19" s="79">
        <f t="shared" si="68"/>
        <v>0.35020479812756</v>
      </c>
      <c r="P19" s="134">
        <f t="shared" si="68"/>
        <v>0.35239520958083831</v>
      </c>
      <c r="Q19" s="78">
        <f t="shared" si="68"/>
        <v>0.40820676791899818</v>
      </c>
      <c r="R19" s="78">
        <f t="shared" si="68"/>
        <v>0.38108814445236394</v>
      </c>
      <c r="S19" s="79">
        <f t="shared" si="68"/>
        <v>0.39267928286852588</v>
      </c>
      <c r="T19" s="134">
        <f t="shared" si="68"/>
        <v>0.36504543025120251</v>
      </c>
      <c r="U19" s="78">
        <f t="shared" si="68"/>
        <v>0.38300104931794332</v>
      </c>
      <c r="V19" s="78">
        <f t="shared" si="68"/>
        <v>0.38620004964010912</v>
      </c>
      <c r="W19" s="79">
        <f t="shared" si="68"/>
        <v>0.37337582740867853</v>
      </c>
      <c r="X19" s="134">
        <f t="shared" si="68"/>
        <v>0.34747570514339887</v>
      </c>
      <c r="Y19" s="78">
        <f t="shared" si="68"/>
        <v>0.34050115514483731</v>
      </c>
      <c r="Z19" s="78">
        <f t="shared" si="68"/>
        <v>0.38108340498710236</v>
      </c>
      <c r="AA19" s="79">
        <f t="shared" si="68"/>
        <v>0.37998772252915902</v>
      </c>
      <c r="AB19" s="134">
        <f t="shared" si="68"/>
        <v>0.29570034291743613</v>
      </c>
      <c r="AC19" s="78">
        <f t="shared" si="68"/>
        <v>0.32920438303954264</v>
      </c>
      <c r="AD19" s="78">
        <f t="shared" si="68"/>
        <v>0.37174878409811785</v>
      </c>
      <c r="AE19" s="79">
        <f t="shared" si="68"/>
        <v>0.39147052906859786</v>
      </c>
      <c r="AF19" s="134">
        <f t="shared" ref="AF19:AQ19" si="69">AF16/AF10</f>
        <v>0.41457651762995273</v>
      </c>
      <c r="AG19" s="78">
        <f t="shared" si="69"/>
        <v>0.41796674095662595</v>
      </c>
      <c r="AH19" s="78">
        <f t="shared" si="69"/>
        <v>0.41035458631596472</v>
      </c>
      <c r="AI19" s="79">
        <f t="shared" si="69"/>
        <v>0.41022099447513816</v>
      </c>
      <c r="AJ19" s="134">
        <f t="shared" si="69"/>
        <v>0.27842866988283937</v>
      </c>
      <c r="AK19" s="78">
        <f t="shared" si="69"/>
        <v>0.29377345992492815</v>
      </c>
      <c r="AL19" s="78">
        <f t="shared" si="69"/>
        <v>0.29075723830734967</v>
      </c>
      <c r="AM19" s="79">
        <f t="shared" si="69"/>
        <v>0.31149889308503703</v>
      </c>
      <c r="AN19" s="134">
        <f t="shared" si="69"/>
        <v>0.32939279957012357</v>
      </c>
      <c r="AO19" s="78">
        <f t="shared" si="69"/>
        <v>0.34680451127819545</v>
      </c>
      <c r="AP19" s="78">
        <f t="shared" si="69"/>
        <v>0.32804962095106821</v>
      </c>
      <c r="AQ19" s="79">
        <f t="shared" si="69"/>
        <v>0.30932078800352841</v>
      </c>
      <c r="AR19" s="134">
        <f t="shared" ref="AR19:AW19" si="70">AR16/AR10</f>
        <v>0.30937972768532529</v>
      </c>
      <c r="AS19" s="78">
        <f t="shared" si="70"/>
        <v>0.33677175650152535</v>
      </c>
      <c r="AT19" s="78">
        <f t="shared" si="70"/>
        <v>0.3483365949119373</v>
      </c>
      <c r="AU19" s="79">
        <f t="shared" si="70"/>
        <v>0.35222841225626739</v>
      </c>
      <c r="AV19" s="134">
        <f t="shared" si="70"/>
        <v>0.35498938428874732</v>
      </c>
      <c r="AW19" s="78">
        <f t="shared" si="70"/>
        <v>0.36034846884899679</v>
      </c>
      <c r="AX19" s="78">
        <f t="shared" ref="AX19:BC19" si="71">AX16/AX10</f>
        <v>0.34085182963407318</v>
      </c>
      <c r="AY19" s="78">
        <f t="shared" si="71"/>
        <v>0.32133765332099051</v>
      </c>
      <c r="AZ19" s="134">
        <f t="shared" si="71"/>
        <v>0.34497014239779511</v>
      </c>
      <c r="BA19" s="78">
        <f t="shared" si="71"/>
        <v>0.34571266325951161</v>
      </c>
      <c r="BB19" s="78">
        <f t="shared" si="71"/>
        <v>0.34111012826183107</v>
      </c>
      <c r="BC19" s="79">
        <f t="shared" si="71"/>
        <v>0.33309532309889323</v>
      </c>
      <c r="BD19" s="134">
        <f>BD16/BD10</f>
        <v>0.33712677435144395</v>
      </c>
      <c r="BE19" s="78">
        <f>BE16/BE10</f>
        <v>0.35076327181590333</v>
      </c>
      <c r="BF19" s="78">
        <f t="shared" ref="BF19:BG19" si="72">BF16/BF10</f>
        <v>0.34598801135766116</v>
      </c>
      <c r="BG19" s="79">
        <f t="shared" si="72"/>
        <v>0.30491673275178427</v>
      </c>
      <c r="BH19" s="134">
        <f>BH16/BH10</f>
        <v>0.39271223470661676</v>
      </c>
      <c r="BI19" s="78">
        <f t="shared" ref="BI19:BK19" si="73">BI16/BI10</f>
        <v>0.36778774289985061</v>
      </c>
      <c r="BJ19" s="78">
        <f t="shared" si="73"/>
        <v>0.37685118619698066</v>
      </c>
      <c r="BK19" s="79">
        <f t="shared" si="73"/>
        <v>0.37328493647912886</v>
      </c>
      <c r="BL19" s="80">
        <v>0.378</v>
      </c>
      <c r="BM19" s="80">
        <f>BL19+0.3%</f>
        <v>0.38100000000000001</v>
      </c>
      <c r="BN19" s="80">
        <f>BM19-0.4%</f>
        <v>0.377</v>
      </c>
      <c r="BO19" s="81">
        <f>BN19</f>
        <v>0.377</v>
      </c>
      <c r="BP19" s="82">
        <v>0.38</v>
      </c>
      <c r="BQ19" s="80">
        <f>BP19+0.3%</f>
        <v>0.38300000000000001</v>
      </c>
      <c r="BR19" s="80">
        <f>BQ19+0.2%</f>
        <v>0.38500000000000001</v>
      </c>
      <c r="BS19" s="81">
        <f>BR19</f>
        <v>0.38500000000000001</v>
      </c>
      <c r="BT19" s="82">
        <v>0.38</v>
      </c>
      <c r="BU19" s="80">
        <f>BT19+0.3%</f>
        <v>0.38300000000000001</v>
      </c>
      <c r="BV19" s="80">
        <f>BU19+0.2%</f>
        <v>0.38500000000000001</v>
      </c>
      <c r="BW19" s="81">
        <f>BV19</f>
        <v>0.38500000000000001</v>
      </c>
      <c r="BX19" s="1371"/>
      <c r="BY19" s="219">
        <f>BY16/BY10</f>
        <v>0.28288040689254074</v>
      </c>
      <c r="BZ19" s="220">
        <f>BZ16/BZ10</f>
        <v>0.32327116529539024</v>
      </c>
      <c r="CA19" s="220">
        <f>CA16/CA10</f>
        <v>0.33110064094401287</v>
      </c>
      <c r="CB19" s="220">
        <f t="shared" ref="CB19:CJ19" si="74">CB16/CB10</f>
        <v>0.38399187354029712</v>
      </c>
      <c r="CC19" s="220">
        <f t="shared" si="74"/>
        <v>0.37708770392315771</v>
      </c>
      <c r="CD19" s="220">
        <f t="shared" si="74"/>
        <v>0.36121187015754741</v>
      </c>
      <c r="CE19" s="220">
        <f t="shared" si="74"/>
        <v>0.35248776095172868</v>
      </c>
      <c r="CF19" s="220">
        <f t="shared" si="74"/>
        <v>0.41319056520188874</v>
      </c>
      <c r="CG19" s="220">
        <f t="shared" si="74"/>
        <v>0.2936042227584536</v>
      </c>
      <c r="CH19" s="220">
        <f t="shared" si="74"/>
        <v>0.32882714285522641</v>
      </c>
      <c r="CI19" s="220">
        <f t="shared" si="74"/>
        <v>0.33687446216548672</v>
      </c>
      <c r="CJ19" s="220">
        <f t="shared" si="74"/>
        <v>0.34283455432234322</v>
      </c>
      <c r="CK19" s="220">
        <f t="shared" ref="CK19:CP19" si="75">CK16/CK10</f>
        <v>0.34113434764416389</v>
      </c>
      <c r="CL19" s="220">
        <f t="shared" si="75"/>
        <v>0.33356675071896846</v>
      </c>
      <c r="CM19" s="220">
        <f t="shared" si="75"/>
        <v>0.37762678093790114</v>
      </c>
      <c r="CN19" s="220">
        <f t="shared" si="75"/>
        <v>0.37826362313076833</v>
      </c>
      <c r="CO19" s="220">
        <f t="shared" si="75"/>
        <v>0.38326233206588439</v>
      </c>
      <c r="CP19" s="258">
        <f t="shared" si="75"/>
        <v>0.38326233206588439</v>
      </c>
      <c r="CQ19" s="1041"/>
    </row>
    <row r="20" spans="1:95" ht="14.25" customHeight="1">
      <c r="A20" s="865"/>
      <c r="B20" s="840"/>
      <c r="C20" s="237"/>
      <c r="D20" s="318"/>
      <c r="E20" s="221"/>
      <c r="F20" s="221"/>
      <c r="G20" s="614"/>
      <c r="H20" s="318"/>
      <c r="I20" s="221"/>
      <c r="J20" s="221"/>
      <c r="K20" s="614"/>
      <c r="L20" s="318"/>
      <c r="M20" s="221"/>
      <c r="N20" s="221"/>
      <c r="O20" s="614"/>
      <c r="P20" s="318"/>
      <c r="Q20" s="221"/>
      <c r="R20" s="221"/>
      <c r="S20" s="614"/>
      <c r="T20" s="318"/>
      <c r="U20" s="221"/>
      <c r="V20" s="221"/>
      <c r="W20" s="614"/>
      <c r="X20" s="318"/>
      <c r="Y20" s="221"/>
      <c r="Z20" s="221"/>
      <c r="AA20" s="614"/>
      <c r="AB20" s="318"/>
      <c r="AC20" s="221"/>
      <c r="AD20" s="221"/>
      <c r="AE20" s="614"/>
      <c r="AF20" s="318"/>
      <c r="AG20" s="221"/>
      <c r="AH20" s="221"/>
      <c r="AI20" s="614"/>
      <c r="AJ20" s="318"/>
      <c r="AK20" s="221"/>
      <c r="AL20" s="221"/>
      <c r="AM20" s="614"/>
      <c r="AN20" s="318"/>
      <c r="AO20" s="221"/>
      <c r="AP20" s="221"/>
      <c r="AQ20" s="614"/>
      <c r="AR20" s="318"/>
      <c r="AS20" s="221"/>
      <c r="AT20" s="221"/>
      <c r="AU20" s="614"/>
      <c r="AV20" s="318"/>
      <c r="AW20" s="221"/>
      <c r="AX20" s="221"/>
      <c r="AY20" s="221"/>
      <c r="AZ20" s="54"/>
      <c r="BA20" s="60"/>
      <c r="BB20" s="221"/>
      <c r="BC20" s="614"/>
      <c r="BD20" s="54"/>
      <c r="BE20" s="60"/>
      <c r="BF20" s="221"/>
      <c r="BG20" s="614"/>
      <c r="BH20" s="54"/>
      <c r="BI20" s="60"/>
      <c r="BJ20" s="60"/>
      <c r="BK20" s="614"/>
      <c r="BL20" s="54"/>
      <c r="BM20" s="60"/>
      <c r="BN20" s="60"/>
      <c r="BO20" s="55"/>
      <c r="BP20" s="54"/>
      <c r="BQ20" s="60"/>
      <c r="BR20" s="60"/>
      <c r="BS20" s="55"/>
      <c r="BT20" s="54"/>
      <c r="BU20" s="60"/>
      <c r="BV20" s="60"/>
      <c r="BW20" s="55"/>
      <c r="BX20" s="346"/>
      <c r="BY20" s="16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  <c r="CK20" s="203"/>
      <c r="CL20" s="203"/>
      <c r="CM20" s="203"/>
      <c r="CN20" s="203"/>
      <c r="CO20" s="203"/>
      <c r="CP20" s="17"/>
      <c r="CQ20" s="1041"/>
    </row>
    <row r="21" spans="1:95" ht="14.25" customHeight="1">
      <c r="A21" s="864"/>
      <c r="B21" s="297" t="str">
        <f>$B$104&amp;" Revenue"</f>
        <v>Communications Revenue</v>
      </c>
      <c r="C21" s="287"/>
      <c r="D21" s="495">
        <f t="shared" ref="D21:BK21" si="76">D$104</f>
        <v>0</v>
      </c>
      <c r="E21" s="495">
        <f t="shared" si="76"/>
        <v>0</v>
      </c>
      <c r="F21" s="495">
        <f t="shared" si="76"/>
        <v>0</v>
      </c>
      <c r="G21" s="496">
        <f t="shared" si="76"/>
        <v>0</v>
      </c>
      <c r="H21" s="495">
        <f t="shared" si="76"/>
        <v>0</v>
      </c>
      <c r="I21" s="495">
        <f t="shared" si="76"/>
        <v>0</v>
      </c>
      <c r="J21" s="495">
        <f t="shared" si="76"/>
        <v>0</v>
      </c>
      <c r="K21" s="496">
        <f t="shared" si="76"/>
        <v>0</v>
      </c>
      <c r="L21" s="495">
        <f t="shared" si="76"/>
        <v>0</v>
      </c>
      <c r="M21" s="495">
        <f t="shared" si="76"/>
        <v>0</v>
      </c>
      <c r="N21" s="495">
        <f t="shared" si="76"/>
        <v>0</v>
      </c>
      <c r="O21" s="496">
        <f t="shared" si="76"/>
        <v>0</v>
      </c>
      <c r="P21" s="495">
        <f t="shared" si="76"/>
        <v>0</v>
      </c>
      <c r="Q21" s="495">
        <f t="shared" si="76"/>
        <v>0</v>
      </c>
      <c r="R21" s="495">
        <f t="shared" si="76"/>
        <v>0</v>
      </c>
      <c r="S21" s="496">
        <f t="shared" si="76"/>
        <v>0</v>
      </c>
      <c r="T21" s="495">
        <f t="shared" si="76"/>
        <v>0</v>
      </c>
      <c r="U21" s="495">
        <f t="shared" si="76"/>
        <v>0</v>
      </c>
      <c r="V21" s="495">
        <f t="shared" si="76"/>
        <v>0</v>
      </c>
      <c r="W21" s="496">
        <f t="shared" si="76"/>
        <v>0</v>
      </c>
      <c r="X21" s="495">
        <f t="shared" si="76"/>
        <v>0</v>
      </c>
      <c r="Y21" s="495">
        <f t="shared" si="76"/>
        <v>106.91300000000001</v>
      </c>
      <c r="Z21" s="495">
        <f t="shared" si="76"/>
        <v>122.11499999999999</v>
      </c>
      <c r="AA21" s="496">
        <f t="shared" si="76"/>
        <v>97.740000000000009</v>
      </c>
      <c r="AB21" s="495">
        <f t="shared" si="76"/>
        <v>75.820000000000007</v>
      </c>
      <c r="AC21" s="495">
        <f t="shared" si="76"/>
        <v>83.960000000000008</v>
      </c>
      <c r="AD21" s="495">
        <f t="shared" si="76"/>
        <v>80.393000000000001</v>
      </c>
      <c r="AE21" s="496">
        <f t="shared" si="76"/>
        <v>74.564999999999998</v>
      </c>
      <c r="AF21" s="495">
        <f t="shared" si="76"/>
        <v>88.032000000000011</v>
      </c>
      <c r="AG21" s="495">
        <f t="shared" si="76"/>
        <v>87.49499999999999</v>
      </c>
      <c r="AH21" s="495">
        <f t="shared" si="76"/>
        <v>102.11900000000001</v>
      </c>
      <c r="AI21" s="496">
        <f t="shared" si="76"/>
        <v>92.672000000000011</v>
      </c>
      <c r="AJ21" s="495">
        <f t="shared" si="76"/>
        <v>121.88400000000001</v>
      </c>
      <c r="AK21" s="495">
        <f t="shared" si="76"/>
        <v>126.81200000000001</v>
      </c>
      <c r="AL21" s="495">
        <f t="shared" si="76"/>
        <v>125.72000000000001</v>
      </c>
      <c r="AM21" s="496">
        <f t="shared" si="76"/>
        <v>107.506</v>
      </c>
      <c r="AN21" s="495">
        <f t="shared" si="76"/>
        <v>119.104</v>
      </c>
      <c r="AO21" s="495">
        <f t="shared" si="76"/>
        <v>119.16799999999999</v>
      </c>
      <c r="AP21" s="495">
        <f t="shared" si="76"/>
        <v>123.33500000000001</v>
      </c>
      <c r="AQ21" s="496">
        <f t="shared" si="76"/>
        <v>115.63400000000001</v>
      </c>
      <c r="AR21" s="495">
        <f t="shared" si="76"/>
        <v>105.76</v>
      </c>
      <c r="AS21" s="495">
        <f t="shared" si="76"/>
        <v>117.011</v>
      </c>
      <c r="AT21" s="495">
        <f t="shared" si="76"/>
        <v>128.77199999999999</v>
      </c>
      <c r="AU21" s="496">
        <f t="shared" si="76"/>
        <v>129.24</v>
      </c>
      <c r="AV21" s="495">
        <f t="shared" si="76"/>
        <v>120.105</v>
      </c>
      <c r="AW21" s="495">
        <f t="shared" si="76"/>
        <v>128.792</v>
      </c>
      <c r="AX21" s="495">
        <f t="shared" si="76"/>
        <v>158.36500000000001</v>
      </c>
      <c r="AY21" s="495">
        <f t="shared" si="76"/>
        <v>155.55600000000001</v>
      </c>
      <c r="AZ21" s="1161">
        <f t="shared" si="76"/>
        <v>140.30000000000001</v>
      </c>
      <c r="BA21" s="495">
        <f t="shared" si="76"/>
        <v>164.2</v>
      </c>
      <c r="BB21" s="495">
        <f t="shared" si="76"/>
        <v>168</v>
      </c>
      <c r="BC21" s="496">
        <f t="shared" si="76"/>
        <v>156.9</v>
      </c>
      <c r="BD21" s="1161">
        <f t="shared" si="76"/>
        <v>140.6</v>
      </c>
      <c r="BE21" s="495">
        <f t="shared" si="76"/>
        <v>155.91999999999999</v>
      </c>
      <c r="BF21" s="495">
        <f t="shared" si="76"/>
        <v>192.42</v>
      </c>
      <c r="BG21" s="496">
        <f t="shared" si="76"/>
        <v>280.8</v>
      </c>
      <c r="BH21" s="1161">
        <f t="shared" si="76"/>
        <v>247.1</v>
      </c>
      <c r="BI21" s="495">
        <f t="shared" si="76"/>
        <v>259.89999999999998</v>
      </c>
      <c r="BJ21" s="495">
        <f t="shared" si="76"/>
        <v>284.60000000000002</v>
      </c>
      <c r="BK21" s="496">
        <f t="shared" si="76"/>
        <v>268.5</v>
      </c>
      <c r="BL21" s="801">
        <f t="shared" ref="BL21:BS21" si="77">BK21*(1+BL22)</f>
        <v>244.33500000000001</v>
      </c>
      <c r="BM21" s="801">
        <f t="shared" si="77"/>
        <v>256.55175000000003</v>
      </c>
      <c r="BN21" s="801">
        <f t="shared" si="77"/>
        <v>282.20692500000007</v>
      </c>
      <c r="BO21" s="810">
        <f t="shared" si="77"/>
        <v>273.74071725000005</v>
      </c>
      <c r="BP21" s="801">
        <f t="shared" si="77"/>
        <v>249.10405269750004</v>
      </c>
      <c r="BQ21" s="801">
        <f t="shared" si="77"/>
        <v>261.55925533237507</v>
      </c>
      <c r="BR21" s="801">
        <f t="shared" si="77"/>
        <v>287.71518086561258</v>
      </c>
      <c r="BS21" s="810">
        <f t="shared" si="77"/>
        <v>279.08372543964418</v>
      </c>
      <c r="BT21" s="801">
        <f t="shared" ref="BT21" si="78">BS21*(1+BT22)</f>
        <v>253.96619015007622</v>
      </c>
      <c r="BU21" s="801">
        <f t="shared" ref="BU21" si="79">BT21*(1+BU22)</f>
        <v>266.66449965758005</v>
      </c>
      <c r="BV21" s="801">
        <f t="shared" ref="BV21" si="80">BU21*(1+BV22)</f>
        <v>293.33094962333809</v>
      </c>
      <c r="BW21" s="810">
        <f t="shared" ref="BW21" si="81">BV21*(1+BW22)</f>
        <v>284.53102113463791</v>
      </c>
      <c r="BX21" s="346"/>
      <c r="BY21" s="334">
        <f>SUM(D21:G21)</f>
        <v>0</v>
      </c>
      <c r="BZ21" s="325">
        <f>SUM(H21:K21)</f>
        <v>0</v>
      </c>
      <c r="CA21" s="325">
        <f>SUM(L21:O21)</f>
        <v>0</v>
      </c>
      <c r="CB21" s="325">
        <f>SUM(P21:S21)</f>
        <v>0</v>
      </c>
      <c r="CC21" s="325">
        <f>SUM(T21:W21)</f>
        <v>0</v>
      </c>
      <c r="CD21" s="325">
        <f>SUM(X21:AA21)</f>
        <v>326.76800000000003</v>
      </c>
      <c r="CE21" s="325">
        <f>SUM(AB21:AE21)</f>
        <v>314.73800000000006</v>
      </c>
      <c r="CF21" s="325">
        <f>SUM(AF21:AI21)</f>
        <v>370.31800000000004</v>
      </c>
      <c r="CG21" s="325">
        <f>SUM(AJ21:AM21)</f>
        <v>481.92200000000003</v>
      </c>
      <c r="CH21" s="325">
        <f>SUM(AN21:AQ21)</f>
        <v>477.24099999999999</v>
      </c>
      <c r="CI21" s="325">
        <f>SUM(AR21:AU21)</f>
        <v>480.78300000000002</v>
      </c>
      <c r="CJ21" s="325">
        <f>SUM(AV21:AY21)</f>
        <v>562.81799999999998</v>
      </c>
      <c r="CK21" s="325">
        <f>SUM(AZ21:BC21)</f>
        <v>629.4</v>
      </c>
      <c r="CL21" s="325">
        <f>SUM(BD21:BG21)</f>
        <v>769.74</v>
      </c>
      <c r="CM21" s="325">
        <f>SUM(BH21:BK21)</f>
        <v>1060.0999999999999</v>
      </c>
      <c r="CN21" s="325">
        <f>SUM(BL21:BO21)</f>
        <v>1056.8343922500001</v>
      </c>
      <c r="CO21" s="325">
        <f>SUM(BP21:BS21)</f>
        <v>1077.4622143351319</v>
      </c>
      <c r="CP21" s="326">
        <f>SUM(BT21:BW21)</f>
        <v>1098.4926605656324</v>
      </c>
      <c r="CQ21" s="1041"/>
    </row>
    <row r="22" spans="1:95" ht="14.25" customHeight="1">
      <c r="A22" s="865"/>
      <c r="B22" s="32" t="s">
        <v>297</v>
      </c>
      <c r="C22" s="218"/>
      <c r="D22" s="134"/>
      <c r="E22" s="78"/>
      <c r="F22" s="78"/>
      <c r="G22" s="79"/>
      <c r="H22" s="134"/>
      <c r="I22" s="78"/>
      <c r="J22" s="78"/>
      <c r="K22" s="79"/>
      <c r="L22" s="134"/>
      <c r="M22" s="78"/>
      <c r="N22" s="78"/>
      <c r="O22" s="79"/>
      <c r="P22" s="134"/>
      <c r="Q22" s="78"/>
      <c r="R22" s="78"/>
      <c r="S22" s="79"/>
      <c r="T22" s="134"/>
      <c r="U22" s="78"/>
      <c r="V22" s="78"/>
      <c r="W22" s="79"/>
      <c r="X22" s="134"/>
      <c r="Y22" s="78"/>
      <c r="Z22" s="78">
        <f t="shared" ref="Z22:AE22" si="82">Z21/Y21-1</f>
        <v>0.14219037909328125</v>
      </c>
      <c r="AA22" s="79">
        <f t="shared" si="82"/>
        <v>-0.19960692789583578</v>
      </c>
      <c r="AB22" s="134">
        <f t="shared" si="82"/>
        <v>-0.22426846736239003</v>
      </c>
      <c r="AC22" s="78">
        <f t="shared" si="82"/>
        <v>0.10735953574254808</v>
      </c>
      <c r="AD22" s="78">
        <f t="shared" si="82"/>
        <v>-4.248451643639839E-2</v>
      </c>
      <c r="AE22" s="79">
        <f t="shared" si="82"/>
        <v>-7.2493873844737711E-2</v>
      </c>
      <c r="AF22" s="134">
        <f t="shared" ref="AF22:BH22" si="83">AF21/AE21-1</f>
        <v>0.18060752363709542</v>
      </c>
      <c r="AG22" s="78">
        <f t="shared" si="83"/>
        <v>-6.1000545256272298E-3</v>
      </c>
      <c r="AH22" s="78">
        <f t="shared" si="83"/>
        <v>0.16714097948454221</v>
      </c>
      <c r="AI22" s="79">
        <f t="shared" si="83"/>
        <v>-9.2509719053261441E-2</v>
      </c>
      <c r="AJ22" s="134">
        <f t="shared" si="83"/>
        <v>0.31521926795580102</v>
      </c>
      <c r="AK22" s="78">
        <f t="shared" si="83"/>
        <v>4.0431886055593891E-2</v>
      </c>
      <c r="AL22" s="78">
        <f t="shared" si="83"/>
        <v>-8.6111724442481385E-3</v>
      </c>
      <c r="AM22" s="79">
        <f t="shared" si="83"/>
        <v>-0.14487750556792878</v>
      </c>
      <c r="AN22" s="134">
        <f t="shared" si="83"/>
        <v>0.10788235075251618</v>
      </c>
      <c r="AO22" s="78">
        <f t="shared" si="83"/>
        <v>5.3734551316497736E-4</v>
      </c>
      <c r="AP22" s="78">
        <f t="shared" si="83"/>
        <v>3.4967440923738158E-2</v>
      </c>
      <c r="AQ22" s="79">
        <f t="shared" si="83"/>
        <v>-6.243969676085448E-2</v>
      </c>
      <c r="AR22" s="134">
        <f t="shared" si="83"/>
        <v>-8.5390110175208034E-2</v>
      </c>
      <c r="AS22" s="78">
        <f t="shared" si="83"/>
        <v>0.10638237518910731</v>
      </c>
      <c r="AT22" s="78">
        <f t="shared" si="83"/>
        <v>0.10051191768295276</v>
      </c>
      <c r="AU22" s="79">
        <f t="shared" si="83"/>
        <v>3.6343304445067837E-3</v>
      </c>
      <c r="AV22" s="134">
        <f t="shared" si="83"/>
        <v>-7.0682451253481937E-2</v>
      </c>
      <c r="AW22" s="78">
        <f t="shared" si="83"/>
        <v>7.2328379334748671E-2</v>
      </c>
      <c r="AX22" s="78">
        <f t="shared" si="83"/>
        <v>0.22961829927324695</v>
      </c>
      <c r="AY22" s="78">
        <f t="shared" si="83"/>
        <v>-1.7737505130552833E-2</v>
      </c>
      <c r="AZ22" s="134">
        <f t="shared" si="83"/>
        <v>-9.8074005502841399E-2</v>
      </c>
      <c r="BA22" s="78">
        <f t="shared" si="83"/>
        <v>0.17034925160370618</v>
      </c>
      <c r="BB22" s="78">
        <f t="shared" si="83"/>
        <v>2.3142509135201106E-2</v>
      </c>
      <c r="BC22" s="79">
        <f t="shared" si="83"/>
        <v>-6.6071428571428559E-2</v>
      </c>
      <c r="BD22" s="134">
        <f t="shared" si="83"/>
        <v>-0.1038878266411728</v>
      </c>
      <c r="BE22" s="78">
        <f t="shared" si="83"/>
        <v>0.10896159317211951</v>
      </c>
      <c r="BF22" s="78">
        <f t="shared" si="83"/>
        <v>0.23409440738840437</v>
      </c>
      <c r="BG22" s="79">
        <f t="shared" si="83"/>
        <v>0.45930776426566911</v>
      </c>
      <c r="BH22" s="134">
        <f t="shared" si="83"/>
        <v>-0.12001424501424507</v>
      </c>
      <c r="BI22" s="78">
        <f t="shared" ref="BI22" si="84">BI21/BH21-1</f>
        <v>5.180089032780244E-2</v>
      </c>
      <c r="BJ22" s="78">
        <f t="shared" ref="BJ22:BK22" si="85">BJ21/BI21-1</f>
        <v>9.5036552520200157E-2</v>
      </c>
      <c r="BK22" s="79">
        <f t="shared" si="85"/>
        <v>-5.6570625439212985E-2</v>
      </c>
      <c r="BL22" s="80">
        <v>-0.09</v>
      </c>
      <c r="BM22" s="80">
        <v>0.05</v>
      </c>
      <c r="BN22" s="80">
        <v>0.1</v>
      </c>
      <c r="BO22" s="81">
        <v>-0.03</v>
      </c>
      <c r="BP22" s="80">
        <v>-0.09</v>
      </c>
      <c r="BQ22" s="80">
        <v>0.05</v>
      </c>
      <c r="BR22" s="80">
        <v>0.1</v>
      </c>
      <c r="BS22" s="81">
        <v>-0.03</v>
      </c>
      <c r="BT22" s="80">
        <v>-0.09</v>
      </c>
      <c r="BU22" s="80">
        <v>0.05</v>
      </c>
      <c r="BV22" s="80">
        <v>0.1</v>
      </c>
      <c r="BW22" s="81">
        <v>-0.03</v>
      </c>
      <c r="BX22" s="346"/>
      <c r="BY22" s="219"/>
      <c r="BZ22" s="220"/>
      <c r="CA22" s="220"/>
      <c r="CB22" s="220"/>
      <c r="CC22" s="220"/>
      <c r="CD22" s="220"/>
      <c r="CE22" s="220"/>
      <c r="CF22" s="220"/>
      <c r="CG22" s="220"/>
      <c r="CH22" s="220"/>
      <c r="CI22" s="220"/>
      <c r="CJ22" s="220"/>
      <c r="CK22" s="220"/>
      <c r="CL22" s="220"/>
      <c r="CM22" s="220"/>
      <c r="CN22" s="220"/>
      <c r="CO22" s="220"/>
      <c r="CP22" s="258"/>
      <c r="CQ22" s="1041"/>
    </row>
    <row r="23" spans="1:95" ht="14.25" customHeight="1">
      <c r="A23" s="865"/>
      <c r="B23" s="32" t="s">
        <v>548</v>
      </c>
      <c r="C23" s="218"/>
      <c r="D23" s="134"/>
      <c r="E23" s="78"/>
      <c r="F23" s="78"/>
      <c r="G23" s="79"/>
      <c r="H23" s="134"/>
      <c r="I23" s="78"/>
      <c r="J23" s="78"/>
      <c r="K23" s="79"/>
      <c r="L23" s="134"/>
      <c r="M23" s="78"/>
      <c r="N23" s="78"/>
      <c r="O23" s="79"/>
      <c r="P23" s="134"/>
      <c r="Q23" s="78"/>
      <c r="R23" s="78"/>
      <c r="S23" s="79"/>
      <c r="T23" s="134"/>
      <c r="U23" s="78"/>
      <c r="V23" s="78"/>
      <c r="W23" s="79"/>
      <c r="X23" s="134"/>
      <c r="Y23" s="78"/>
      <c r="Z23" s="78"/>
      <c r="AA23" s="79"/>
      <c r="AB23" s="134"/>
      <c r="AC23" s="78"/>
      <c r="AD23" s="78"/>
      <c r="AE23" s="79"/>
      <c r="AF23" s="134"/>
      <c r="AG23" s="78"/>
      <c r="AH23" s="78"/>
      <c r="AI23" s="79"/>
      <c r="AJ23" s="134"/>
      <c r="AK23" s="78"/>
      <c r="AL23" s="78"/>
      <c r="AM23" s="79"/>
      <c r="AN23" s="134"/>
      <c r="AO23" s="78"/>
      <c r="AP23" s="78"/>
      <c r="AQ23" s="79"/>
      <c r="AR23" s="134"/>
      <c r="AS23" s="78"/>
      <c r="AT23" s="78"/>
      <c r="AU23" s="79"/>
      <c r="AV23" s="78">
        <f t="shared" ref="AV23:BH23" si="86">AVERAGE(AR22,AN22,AJ22,AF22,AB22)</f>
        <v>5.881011296156291E-2</v>
      </c>
      <c r="AW23" s="78">
        <f t="shared" si="86"/>
        <v>4.9722217594957409E-2</v>
      </c>
      <c r="AX23" s="78">
        <f t="shared" si="86"/>
        <v>5.0304929842117319E-2</v>
      </c>
      <c r="AY23" s="79">
        <f t="shared" si="86"/>
        <v>-7.3737292956455119E-2</v>
      </c>
      <c r="AZ23" s="134">
        <f t="shared" si="86"/>
        <v>8.952731618334453E-2</v>
      </c>
      <c r="BA23" s="78">
        <f t="shared" si="86"/>
        <v>4.2715986313397528E-2</v>
      </c>
      <c r="BB23" s="78">
        <f t="shared" si="86"/>
        <v>0.10472549298404639</v>
      </c>
      <c r="BC23" s="79">
        <f t="shared" si="86"/>
        <v>-6.2786019213618149E-2</v>
      </c>
      <c r="BD23" s="134">
        <f t="shared" si="86"/>
        <v>3.3791010355357164E-2</v>
      </c>
      <c r="BE23" s="78">
        <f t="shared" si="86"/>
        <v>7.8005847539264206E-2</v>
      </c>
      <c r="BF23" s="78">
        <f t="shared" si="86"/>
        <v>7.5925798914178166E-2</v>
      </c>
      <c r="BG23" s="79">
        <f t="shared" si="86"/>
        <v>-5.7498361117251574E-2</v>
      </c>
      <c r="BH23" s="134">
        <f t="shared" si="86"/>
        <v>-5.00304085640376E-2</v>
      </c>
      <c r="BI23" s="78">
        <f t="shared" ref="BI23" si="87">AVERAGE(BE22,BA22,AW22,AS22,AO22)</f>
        <v>9.1711788962569332E-2</v>
      </c>
      <c r="BJ23" s="78">
        <f t="shared" ref="BJ23:BK23" si="88">AVERAGE(BF22,BB22,AX22,AT22,AP22)</f>
        <v>0.12446691488070867</v>
      </c>
      <c r="BK23" s="79">
        <f t="shared" si="88"/>
        <v>6.3338692849467998E-2</v>
      </c>
      <c r="BL23" s="78">
        <f t="shared" ref="BL23:BS23" si="89">AVERAGE(BH22,BD22,AZ22,AV22,AR22)</f>
        <v>-9.5609727717389847E-2</v>
      </c>
      <c r="BM23" s="78">
        <f t="shared" si="89"/>
        <v>0.10196449792549682</v>
      </c>
      <c r="BN23" s="78">
        <f t="shared" si="89"/>
        <v>0.13648073720000106</v>
      </c>
      <c r="BO23" s="79">
        <f t="shared" si="89"/>
        <v>6.4512507113796302E-2</v>
      </c>
      <c r="BP23" s="78">
        <f t="shared" si="89"/>
        <v>-9.6531705682348229E-2</v>
      </c>
      <c r="BQ23" s="78">
        <f t="shared" si="89"/>
        <v>9.0688022887675357E-2</v>
      </c>
      <c r="BR23" s="78">
        <f t="shared" si="89"/>
        <v>0.1363783536634105</v>
      </c>
      <c r="BS23" s="79">
        <f t="shared" si="89"/>
        <v>5.7785641024894939E-2</v>
      </c>
      <c r="BT23" s="78">
        <f t="shared" ref="BT23" si="90">AVERAGE(BP22,BL22,BH22,BD22,AZ22)</f>
        <v>-0.10039521543165186</v>
      </c>
      <c r="BU23" s="78">
        <f t="shared" ref="BU23" si="91">AVERAGE(BQ22,BM22,BI22,BE22,BA22)</f>
        <v>8.622234702072562E-2</v>
      </c>
      <c r="BV23" s="78">
        <f t="shared" ref="BV23" si="92">AVERAGE(BR22,BN22,BJ22,BF22,BB22)</f>
        <v>0.11045469380876112</v>
      </c>
      <c r="BW23" s="79">
        <f t="shared" ref="BW23" si="93">AVERAGE(BS22,BO22,BK22,BG22,BC22)</f>
        <v>5.5333142051005514E-2</v>
      </c>
      <c r="BX23" s="346"/>
      <c r="BY23" s="219"/>
      <c r="BZ23" s="220"/>
      <c r="CA23" s="220"/>
      <c r="CB23" s="220"/>
      <c r="CC23" s="220"/>
      <c r="CD23" s="220"/>
      <c r="CE23" s="220"/>
      <c r="CF23" s="220"/>
      <c r="CG23" s="220"/>
      <c r="CH23" s="220"/>
      <c r="CI23" s="220"/>
      <c r="CJ23" s="220"/>
      <c r="CK23" s="220"/>
      <c r="CL23" s="220"/>
      <c r="CM23" s="220"/>
      <c r="CN23" s="220"/>
      <c r="CO23" s="220"/>
      <c r="CP23" s="258"/>
      <c r="CQ23" s="1041"/>
    </row>
    <row r="24" spans="1:95" ht="14.25" customHeight="1">
      <c r="A24" s="866"/>
      <c r="B24" s="867" t="s">
        <v>298</v>
      </c>
      <c r="C24" s="880"/>
      <c r="D24" s="377"/>
      <c r="E24" s="370"/>
      <c r="F24" s="370"/>
      <c r="G24" s="335"/>
      <c r="H24" s="377"/>
      <c r="I24" s="370"/>
      <c r="J24" s="370"/>
      <c r="K24" s="335"/>
      <c r="L24" s="377"/>
      <c r="M24" s="370"/>
      <c r="N24" s="370"/>
      <c r="O24" s="335"/>
      <c r="P24" s="377"/>
      <c r="Q24" s="370"/>
      <c r="R24" s="370"/>
      <c r="S24" s="335"/>
      <c r="T24" s="377"/>
      <c r="U24" s="370"/>
      <c r="V24" s="370"/>
      <c r="W24" s="335"/>
      <c r="X24" s="377"/>
      <c r="Y24" s="370"/>
      <c r="Z24" s="370"/>
      <c r="AA24" s="335"/>
      <c r="AB24" s="377"/>
      <c r="AC24" s="370">
        <f>AC21/Y21-1</f>
        <v>-0.21468857856387902</v>
      </c>
      <c r="AD24" s="370">
        <f>AD21/Z21-1</f>
        <v>-0.34166154854031028</v>
      </c>
      <c r="AE24" s="335">
        <f>AE21/AA21-1</f>
        <v>-0.23710865561694305</v>
      </c>
      <c r="AF24" s="377">
        <f t="shared" ref="AF24:BH24" si="94">AF21/AB21-1</f>
        <v>0.16106568187813242</v>
      </c>
      <c r="AG24" s="370">
        <f t="shared" si="94"/>
        <v>4.210338256312518E-2</v>
      </c>
      <c r="AH24" s="370">
        <f t="shared" si="94"/>
        <v>0.27024740960033844</v>
      </c>
      <c r="AI24" s="335">
        <f t="shared" si="94"/>
        <v>0.24283511030644434</v>
      </c>
      <c r="AJ24" s="377">
        <f t="shared" si="94"/>
        <v>0.38454198473282442</v>
      </c>
      <c r="AK24" s="370">
        <f t="shared" si="94"/>
        <v>0.44936282073261369</v>
      </c>
      <c r="AL24" s="370">
        <f t="shared" si="94"/>
        <v>0.23111272143283812</v>
      </c>
      <c r="AM24" s="335">
        <f t="shared" si="94"/>
        <v>0.16006992403314912</v>
      </c>
      <c r="AN24" s="377">
        <f t="shared" si="94"/>
        <v>-2.2808572084933365E-2</v>
      </c>
      <c r="AO24" s="370">
        <f t="shared" si="94"/>
        <v>-6.0278207109737414E-2</v>
      </c>
      <c r="AP24" s="370">
        <f t="shared" si="94"/>
        <v>-1.8970728603245335E-2</v>
      </c>
      <c r="AQ24" s="335">
        <f>AQ21/AM21-1</f>
        <v>7.5605082507022914E-2</v>
      </c>
      <c r="AR24" s="377">
        <f t="shared" si="94"/>
        <v>-0.11203653949489512</v>
      </c>
      <c r="AS24" s="370">
        <f t="shared" si="94"/>
        <v>-1.8100496777658348E-2</v>
      </c>
      <c r="AT24" s="370">
        <f t="shared" si="94"/>
        <v>4.4083188065026091E-2</v>
      </c>
      <c r="AU24" s="335">
        <f>AU21/AQ21-1</f>
        <v>0.11766435477454729</v>
      </c>
      <c r="AV24" s="377">
        <f t="shared" si="94"/>
        <v>0.1356372919818456</v>
      </c>
      <c r="AW24" s="370">
        <f t="shared" si="94"/>
        <v>0.10068284178410591</v>
      </c>
      <c r="AX24" s="370">
        <f t="shared" si="94"/>
        <v>0.22980927530829698</v>
      </c>
      <c r="AY24" s="370">
        <f t="shared" si="94"/>
        <v>0.20362116991643453</v>
      </c>
      <c r="AZ24" s="377">
        <f t="shared" si="94"/>
        <v>0.16814454019399694</v>
      </c>
      <c r="BA24" s="370">
        <f t="shared" si="94"/>
        <v>0.27492390831728675</v>
      </c>
      <c r="BB24" s="370">
        <f t="shared" si="94"/>
        <v>6.0840463486250052E-2</v>
      </c>
      <c r="BC24" s="335">
        <f t="shared" si="94"/>
        <v>8.6399753143562297E-3</v>
      </c>
      <c r="BD24" s="377">
        <f t="shared" si="94"/>
        <v>2.1382751247325249E-3</v>
      </c>
      <c r="BE24" s="370">
        <f t="shared" si="94"/>
        <v>-5.0426309378806322E-2</v>
      </c>
      <c r="BF24" s="370">
        <f t="shared" si="94"/>
        <v>0.14535714285714274</v>
      </c>
      <c r="BG24" s="335">
        <f t="shared" si="94"/>
        <v>0.78967495219885286</v>
      </c>
      <c r="BH24" s="377">
        <f t="shared" si="94"/>
        <v>0.7574679943100997</v>
      </c>
      <c r="BI24" s="370">
        <f t="shared" ref="BI24" si="95">BI21/BE21-1</f>
        <v>0.66688045151359665</v>
      </c>
      <c r="BJ24" s="370">
        <f t="shared" ref="BJ24:BK24" si="96">BJ21/BF21-1</f>
        <v>0.47905623116100227</v>
      </c>
      <c r="BK24" s="335">
        <f t="shared" si="96"/>
        <v>-4.380341880341887E-2</v>
      </c>
      <c r="BL24" s="370">
        <f t="shared" ref="BL24:BS24" si="97">BL21/BH21-1</f>
        <v>-1.1189801699716617E-2</v>
      </c>
      <c r="BM24" s="370">
        <f t="shared" si="97"/>
        <v>-1.2882839553674308E-2</v>
      </c>
      <c r="BN24" s="370">
        <f t="shared" si="97"/>
        <v>-8.4085558678845818E-3</v>
      </c>
      <c r="BO24" s="335">
        <f t="shared" si="97"/>
        <v>1.9518500000000216E-2</v>
      </c>
      <c r="BP24" s="370">
        <f t="shared" si="97"/>
        <v>1.9518500000000216E-2</v>
      </c>
      <c r="BQ24" s="370">
        <f t="shared" si="97"/>
        <v>1.9518500000000216E-2</v>
      </c>
      <c r="BR24" s="370">
        <f t="shared" si="97"/>
        <v>1.9518499999999994E-2</v>
      </c>
      <c r="BS24" s="335">
        <f t="shared" si="97"/>
        <v>1.9518499999999994E-2</v>
      </c>
      <c r="BT24" s="370">
        <f t="shared" ref="BT24" si="98">BT21/BP21-1</f>
        <v>1.9518499999999994E-2</v>
      </c>
      <c r="BU24" s="370">
        <f t="shared" ref="BU24" si="99">BU21/BQ21-1</f>
        <v>1.9518499999999994E-2</v>
      </c>
      <c r="BV24" s="370">
        <f t="shared" ref="BV24" si="100">BV21/BR21-1</f>
        <v>1.9518500000000216E-2</v>
      </c>
      <c r="BW24" s="335">
        <f t="shared" ref="BW24" si="101">BW21/BS21-1</f>
        <v>1.9518500000000216E-2</v>
      </c>
      <c r="BX24" s="346"/>
      <c r="BY24" s="377"/>
      <c r="BZ24" s="338"/>
      <c r="CA24" s="338"/>
      <c r="CB24" s="338"/>
      <c r="CC24" s="338"/>
      <c r="CD24" s="338"/>
      <c r="CE24" s="338">
        <f t="shared" ref="CE24:CP24" si="102">CE21/CD21-1</f>
        <v>-3.6815110414728403E-2</v>
      </c>
      <c r="CF24" s="338">
        <f t="shared" si="102"/>
        <v>0.17659132357707041</v>
      </c>
      <c r="CG24" s="338">
        <f t="shared" si="102"/>
        <v>0.30137341420076802</v>
      </c>
      <c r="CH24" s="338">
        <f t="shared" si="102"/>
        <v>-9.7131901013027822E-3</v>
      </c>
      <c r="CI24" s="338">
        <f t="shared" si="102"/>
        <v>7.4218267080994327E-3</v>
      </c>
      <c r="CJ24" s="338">
        <f t="shared" si="102"/>
        <v>0.17062791321656534</v>
      </c>
      <c r="CK24" s="338">
        <f t="shared" si="102"/>
        <v>0.11830112043324847</v>
      </c>
      <c r="CL24" s="338">
        <f t="shared" si="102"/>
        <v>0.22297426120114405</v>
      </c>
      <c r="CM24" s="338">
        <f t="shared" si="102"/>
        <v>0.37721828149764836</v>
      </c>
      <c r="CN24" s="338">
        <f t="shared" si="102"/>
        <v>-3.0804714177906645E-3</v>
      </c>
      <c r="CO24" s="338">
        <f t="shared" si="102"/>
        <v>1.9518500000000216E-2</v>
      </c>
      <c r="CP24" s="337">
        <f t="shared" si="102"/>
        <v>1.9518500000000216E-2</v>
      </c>
      <c r="CQ24" s="1041"/>
    </row>
    <row r="25" spans="1:95" ht="14.25" customHeight="1">
      <c r="A25" s="865"/>
      <c r="B25" s="32" t="s">
        <v>299</v>
      </c>
      <c r="C25" s="218"/>
      <c r="D25" s="78"/>
      <c r="E25" s="78"/>
      <c r="F25" s="78"/>
      <c r="G25" s="79"/>
      <c r="H25" s="78"/>
      <c r="I25" s="78"/>
      <c r="J25" s="78"/>
      <c r="K25" s="79"/>
      <c r="L25" s="78"/>
      <c r="M25" s="78"/>
      <c r="N25" s="78"/>
      <c r="O25" s="79"/>
      <c r="P25" s="78"/>
      <c r="Q25" s="78"/>
      <c r="R25" s="78"/>
      <c r="S25" s="79"/>
      <c r="T25" s="78"/>
      <c r="U25" s="78"/>
      <c r="V25" s="78"/>
      <c r="W25" s="79"/>
      <c r="X25" s="78"/>
      <c r="Y25" s="78">
        <f t="shared" ref="Y25:AE25" si="103">Y21/Y76</f>
        <v>0.18999999999999997</v>
      </c>
      <c r="Z25" s="78">
        <f t="shared" si="103"/>
        <v>0.21</v>
      </c>
      <c r="AA25" s="79">
        <f t="shared" si="103"/>
        <v>0.2</v>
      </c>
      <c r="AB25" s="78">
        <f t="shared" si="103"/>
        <v>0.20000000000000004</v>
      </c>
      <c r="AC25" s="78">
        <f t="shared" si="103"/>
        <v>0.2</v>
      </c>
      <c r="AD25" s="78">
        <f t="shared" si="103"/>
        <v>0.17</v>
      </c>
      <c r="AE25" s="79">
        <f t="shared" si="103"/>
        <v>0.15</v>
      </c>
      <c r="AF25" s="78">
        <f t="shared" ref="AF25:AQ25" si="104">AF21/AF76</f>
        <v>0.16</v>
      </c>
      <c r="AG25" s="78">
        <f t="shared" si="104"/>
        <v>0.14999999999999997</v>
      </c>
      <c r="AH25" s="78">
        <f t="shared" si="104"/>
        <v>0.17</v>
      </c>
      <c r="AI25" s="79">
        <f t="shared" si="104"/>
        <v>0.16</v>
      </c>
      <c r="AJ25" s="78">
        <f t="shared" si="104"/>
        <v>0.14000000000000001</v>
      </c>
      <c r="AK25" s="78">
        <f t="shared" si="104"/>
        <v>0.14000000000000001</v>
      </c>
      <c r="AL25" s="78">
        <f t="shared" si="104"/>
        <v>0.13999999999999999</v>
      </c>
      <c r="AM25" s="79">
        <f t="shared" si="104"/>
        <v>0.14000000000000001</v>
      </c>
      <c r="AN25" s="78">
        <f t="shared" si="104"/>
        <v>0.16</v>
      </c>
      <c r="AO25" s="78">
        <f t="shared" si="104"/>
        <v>0.16</v>
      </c>
      <c r="AP25" s="78">
        <f t="shared" si="104"/>
        <v>0.16999999999999998</v>
      </c>
      <c r="AQ25" s="79">
        <f t="shared" si="104"/>
        <v>0.17</v>
      </c>
      <c r="AR25" s="78">
        <f t="shared" ref="AR25:AW25" si="105">AR21/AR76</f>
        <v>0.16</v>
      </c>
      <c r="AS25" s="78">
        <f t="shared" si="105"/>
        <v>0.16999999999999998</v>
      </c>
      <c r="AT25" s="78">
        <f t="shared" si="105"/>
        <v>0.17999999999999997</v>
      </c>
      <c r="AU25" s="79">
        <f t="shared" si="105"/>
        <v>0.18000000000000002</v>
      </c>
      <c r="AV25" s="78">
        <f t="shared" si="105"/>
        <v>0.17</v>
      </c>
      <c r="AW25" s="78">
        <f t="shared" si="105"/>
        <v>0.17</v>
      </c>
      <c r="AX25" s="78">
        <f t="shared" ref="AX25:BB25" si="106">AX21/AX76</f>
        <v>0.19</v>
      </c>
      <c r="AY25" s="78">
        <f t="shared" si="106"/>
        <v>0.18</v>
      </c>
      <c r="AZ25" s="134">
        <f t="shared" si="106"/>
        <v>0.16111621497473588</v>
      </c>
      <c r="BA25" s="78">
        <f t="shared" si="106"/>
        <v>0.18648495173197047</v>
      </c>
      <c r="BB25" s="78">
        <f t="shared" si="106"/>
        <v>0.18575851393188855</v>
      </c>
      <c r="BC25" s="79">
        <f>BC21/BC76</f>
        <v>0.18671902891824349</v>
      </c>
      <c r="BD25" s="134">
        <f>BD21/BD76</f>
        <v>0.17205090553108174</v>
      </c>
      <c r="BE25" s="78">
        <f>BE21/BE76</f>
        <v>0.17762588288904077</v>
      </c>
      <c r="BF25" s="78">
        <f t="shared" ref="BF25" si="107">BF21/BF76</f>
        <v>0.20235566305605215</v>
      </c>
      <c r="BG25" s="79">
        <f>BG21/BG76</f>
        <v>0.22268041237113403</v>
      </c>
      <c r="BH25" s="134">
        <f>BH21/BH76</f>
        <v>0.19280586766541821</v>
      </c>
      <c r="BI25" s="78">
        <f t="shared" ref="BI25:BJ25" si="108">BI21/BI76</f>
        <v>0.19424514200298956</v>
      </c>
      <c r="BJ25" s="78">
        <f t="shared" si="108"/>
        <v>0.20460100647016535</v>
      </c>
      <c r="BK25" s="79">
        <f>BK21/BK76</f>
        <v>0.19491833030852995</v>
      </c>
      <c r="BL25" s="78">
        <f t="shared" ref="BL25:BS25" si="109">BL21/BL76</f>
        <v>0.17836533302381197</v>
      </c>
      <c r="BM25" s="78">
        <f t="shared" si="109"/>
        <v>0.17960960496188752</v>
      </c>
      <c r="BN25" s="78">
        <f t="shared" si="109"/>
        <v>0.19301202811060575</v>
      </c>
      <c r="BO25" s="79">
        <f t="shared" si="109"/>
        <v>0.19059860079526139</v>
      </c>
      <c r="BP25" s="78">
        <f t="shared" si="109"/>
        <v>0.17441237033343021</v>
      </c>
      <c r="BQ25" s="78">
        <f t="shared" si="109"/>
        <v>0.17653537814339032</v>
      </c>
      <c r="BR25" s="78">
        <f t="shared" si="109"/>
        <v>0.19006160848351539</v>
      </c>
      <c r="BS25" s="79">
        <f t="shared" si="109"/>
        <v>0.18761906023579292</v>
      </c>
      <c r="BT25" s="78">
        <f t="shared" ref="BT25:BW25" si="110">BT21/BT76</f>
        <v>0.17143784760503417</v>
      </c>
      <c r="BU25" s="78">
        <f t="shared" si="110"/>
        <v>0.17353973729775374</v>
      </c>
      <c r="BV25" s="78">
        <f t="shared" si="110"/>
        <v>0.18701387061821559</v>
      </c>
      <c r="BW25" s="79">
        <f t="shared" si="110"/>
        <v>0.18454475197390668</v>
      </c>
      <c r="BX25" s="346"/>
      <c r="BY25" s="359"/>
      <c r="BZ25" s="338"/>
      <c r="CA25" s="338"/>
      <c r="CB25" s="338"/>
      <c r="CC25" s="338"/>
      <c r="CD25" s="338">
        <f t="shared" ref="CD25:CJ25" si="111">CD21/CD76</f>
        <v>0.15902666926221531</v>
      </c>
      <c r="CE25" s="338">
        <f t="shared" si="111"/>
        <v>0.17792865622703377</v>
      </c>
      <c r="CF25" s="338">
        <f t="shared" si="111"/>
        <v>0.16007521397077895</v>
      </c>
      <c r="CG25" s="338">
        <f t="shared" si="111"/>
        <v>0.14000000000000001</v>
      </c>
      <c r="CH25" s="338">
        <f t="shared" si="111"/>
        <v>0.16485578085598812</v>
      </c>
      <c r="CI25" s="338">
        <f t="shared" si="111"/>
        <v>0.17277572142164085</v>
      </c>
      <c r="CJ25" s="338">
        <f t="shared" si="111"/>
        <v>0.17800556644949078</v>
      </c>
      <c r="CK25" s="338">
        <f t="shared" ref="CK25:CP25" si="112">CK21/CK76</f>
        <v>0.18003432494279176</v>
      </c>
      <c r="CL25" s="338">
        <f t="shared" si="112"/>
        <v>0.19702065576288105</v>
      </c>
      <c r="CM25" s="338">
        <f t="shared" si="112"/>
        <v>0.19674838997049049</v>
      </c>
      <c r="CN25" s="338">
        <f t="shared" si="112"/>
        <v>0.18552088204047887</v>
      </c>
      <c r="CO25" s="338">
        <f t="shared" si="112"/>
        <v>0.18227549307028387</v>
      </c>
      <c r="CP25" s="337">
        <f t="shared" si="112"/>
        <v>0.17924897628011285</v>
      </c>
      <c r="CQ25" s="1041"/>
    </row>
    <row r="26" spans="1:95" ht="14.25" customHeight="1">
      <c r="A26" s="865"/>
      <c r="B26" s="32"/>
      <c r="C26" s="218"/>
      <c r="D26" s="78"/>
      <c r="E26" s="78"/>
      <c r="F26" s="78"/>
      <c r="G26" s="79"/>
      <c r="H26" s="78"/>
      <c r="I26" s="78"/>
      <c r="J26" s="78"/>
      <c r="K26" s="79"/>
      <c r="L26" s="78"/>
      <c r="M26" s="78"/>
      <c r="N26" s="78"/>
      <c r="O26" s="79"/>
      <c r="P26" s="78"/>
      <c r="Q26" s="78"/>
      <c r="R26" s="78"/>
      <c r="S26" s="79"/>
      <c r="T26" s="78"/>
      <c r="U26" s="78"/>
      <c r="V26" s="78"/>
      <c r="W26" s="79"/>
      <c r="X26" s="78"/>
      <c r="Y26" s="78"/>
      <c r="Z26" s="78"/>
      <c r="AA26" s="79"/>
      <c r="AB26" s="78"/>
      <c r="AC26" s="78"/>
      <c r="AD26" s="78"/>
      <c r="AE26" s="79"/>
      <c r="AF26" s="78"/>
      <c r="AG26" s="78"/>
      <c r="AH26" s="78"/>
      <c r="AI26" s="79"/>
      <c r="AJ26" s="78"/>
      <c r="AK26" s="78"/>
      <c r="AL26" s="78"/>
      <c r="AM26" s="79"/>
      <c r="AN26" s="78"/>
      <c r="AO26" s="78"/>
      <c r="AP26" s="78"/>
      <c r="AQ26" s="79"/>
      <c r="AR26" s="78"/>
      <c r="AS26" s="78"/>
      <c r="AT26" s="78"/>
      <c r="AU26" s="79"/>
      <c r="AV26" s="78"/>
      <c r="AW26" s="78"/>
      <c r="AX26" s="78"/>
      <c r="AY26" s="78"/>
      <c r="AZ26" s="134"/>
      <c r="BA26" s="78"/>
      <c r="BB26" s="78"/>
      <c r="BC26" s="79"/>
      <c r="BD26" s="134"/>
      <c r="BE26" s="78"/>
      <c r="BF26" s="78"/>
      <c r="BG26" s="79"/>
      <c r="BH26" s="134"/>
      <c r="BI26" s="78"/>
      <c r="BJ26" s="78"/>
      <c r="BK26" s="79"/>
      <c r="BL26" s="80"/>
      <c r="BM26" s="80"/>
      <c r="BN26" s="80"/>
      <c r="BO26" s="81"/>
      <c r="BP26" s="80"/>
      <c r="BQ26" s="80"/>
      <c r="BR26" s="80"/>
      <c r="BS26" s="81"/>
      <c r="BT26" s="80"/>
      <c r="BU26" s="80"/>
      <c r="BV26" s="80"/>
      <c r="BW26" s="81"/>
      <c r="BX26" s="346"/>
      <c r="BY26" s="219"/>
      <c r="BZ26" s="220"/>
      <c r="CA26" s="220"/>
      <c r="CB26" s="220"/>
      <c r="CC26" s="220"/>
      <c r="CD26" s="220"/>
      <c r="CE26" s="220"/>
      <c r="CF26" s="220"/>
      <c r="CG26" s="220"/>
      <c r="CH26" s="220"/>
      <c r="CI26" s="220"/>
      <c r="CJ26" s="220"/>
      <c r="CK26" s="220"/>
      <c r="CL26" s="220"/>
      <c r="CM26" s="220"/>
      <c r="CN26" s="220"/>
      <c r="CO26" s="220"/>
      <c r="CP26" s="258"/>
      <c r="CQ26" s="1041"/>
    </row>
    <row r="27" spans="1:95" ht="14.25" customHeight="1">
      <c r="A27" s="865"/>
      <c r="B27" s="45" t="str">
        <f>$B$104&amp;" Gross Margin"</f>
        <v>Communications Gross Margin</v>
      </c>
      <c r="C27" s="218"/>
      <c r="D27" s="374"/>
      <c r="E27" s="341">
        <f t="shared" ref="E27:AE27" si="113">E98*E25</f>
        <v>0</v>
      </c>
      <c r="F27" s="341">
        <f t="shared" si="113"/>
        <v>0</v>
      </c>
      <c r="G27" s="342">
        <f t="shared" si="113"/>
        <v>0</v>
      </c>
      <c r="H27" s="374">
        <f t="shared" si="113"/>
        <v>0</v>
      </c>
      <c r="I27" s="341">
        <f t="shared" si="113"/>
        <v>0</v>
      </c>
      <c r="J27" s="341">
        <f t="shared" si="113"/>
        <v>0</v>
      </c>
      <c r="K27" s="342">
        <f t="shared" si="113"/>
        <v>0</v>
      </c>
      <c r="L27" s="374">
        <f t="shared" si="113"/>
        <v>0</v>
      </c>
      <c r="M27" s="341">
        <f t="shared" si="113"/>
        <v>0</v>
      </c>
      <c r="N27" s="341">
        <f t="shared" si="113"/>
        <v>0</v>
      </c>
      <c r="O27" s="342">
        <f t="shared" si="113"/>
        <v>0</v>
      </c>
      <c r="P27" s="374">
        <f t="shared" si="113"/>
        <v>0</v>
      </c>
      <c r="Q27" s="341">
        <f t="shared" si="113"/>
        <v>0</v>
      </c>
      <c r="R27" s="341">
        <f t="shared" si="113"/>
        <v>0</v>
      </c>
      <c r="S27" s="342">
        <f t="shared" si="113"/>
        <v>0</v>
      </c>
      <c r="T27" s="374">
        <f t="shared" si="113"/>
        <v>0</v>
      </c>
      <c r="U27" s="341">
        <f t="shared" si="113"/>
        <v>0</v>
      </c>
      <c r="V27" s="341">
        <f t="shared" si="113"/>
        <v>0</v>
      </c>
      <c r="W27" s="342">
        <f t="shared" si="113"/>
        <v>0</v>
      </c>
      <c r="X27" s="374">
        <f t="shared" si="113"/>
        <v>0</v>
      </c>
      <c r="Y27" s="341">
        <f>Y98*Y25</f>
        <v>36.403999999999996</v>
      </c>
      <c r="Z27" s="341">
        <f t="shared" si="113"/>
        <v>46.536000000000001</v>
      </c>
      <c r="AA27" s="342">
        <f t="shared" si="113"/>
        <v>37.14</v>
      </c>
      <c r="AB27" s="374">
        <f t="shared" si="113"/>
        <v>22.420000000000009</v>
      </c>
      <c r="AC27" s="341">
        <f t="shared" si="113"/>
        <v>27.64</v>
      </c>
      <c r="AD27" s="341">
        <f t="shared" si="113"/>
        <v>29.885999999999996</v>
      </c>
      <c r="AE27" s="342">
        <f t="shared" si="113"/>
        <v>29.19</v>
      </c>
      <c r="AF27" s="374">
        <f t="shared" ref="AF27:AQ27" si="114">AF98*AF25</f>
        <v>36.496000000000002</v>
      </c>
      <c r="AG27" s="341">
        <f t="shared" si="114"/>
        <v>36.569999999999986</v>
      </c>
      <c r="AH27" s="341">
        <f t="shared" si="114"/>
        <v>41.905000000000015</v>
      </c>
      <c r="AI27" s="342">
        <f t="shared" si="114"/>
        <v>38.016000000000005</v>
      </c>
      <c r="AJ27" s="374">
        <f t="shared" si="114"/>
        <v>33.936</v>
      </c>
      <c r="AK27" s="341">
        <f t="shared" si="114"/>
        <v>37.253999999999991</v>
      </c>
      <c r="AL27" s="341">
        <f t="shared" si="114"/>
        <v>36.554000000000002</v>
      </c>
      <c r="AM27" s="342">
        <f t="shared" si="114"/>
        <v>33.487999999999992</v>
      </c>
      <c r="AN27" s="374">
        <f t="shared" si="114"/>
        <v>39.231999999999999</v>
      </c>
      <c r="AO27" s="341">
        <f t="shared" si="114"/>
        <v>41.327999999999996</v>
      </c>
      <c r="AP27" s="341">
        <f t="shared" si="114"/>
        <v>40.459999999999994</v>
      </c>
      <c r="AQ27" s="342">
        <f t="shared" si="114"/>
        <v>35.768000000000008</v>
      </c>
      <c r="AR27" s="374">
        <f t="shared" ref="AR27:AW27" si="115">AR98*AR25</f>
        <v>32.72</v>
      </c>
      <c r="AS27" s="341">
        <f t="shared" si="115"/>
        <v>39.405999999999992</v>
      </c>
      <c r="AT27" s="341">
        <f t="shared" si="115"/>
        <v>44.855999999999987</v>
      </c>
      <c r="AU27" s="342">
        <f t="shared" si="115"/>
        <v>45.521999999999998</v>
      </c>
      <c r="AV27" s="374">
        <f t="shared" si="115"/>
        <v>42.636000000000003</v>
      </c>
      <c r="AW27" s="341">
        <f t="shared" si="115"/>
        <v>46.410000000000004</v>
      </c>
      <c r="AX27" s="341">
        <f t="shared" ref="AX27:BC27" si="116">AX98*AX25</f>
        <v>53.979000000000006</v>
      </c>
      <c r="AY27" s="341">
        <f t="shared" si="116"/>
        <v>49.986000000000004</v>
      </c>
      <c r="AZ27" s="374">
        <f t="shared" si="116"/>
        <v>48.399310978410654</v>
      </c>
      <c r="BA27" s="341">
        <f t="shared" si="116"/>
        <v>56.766019307211806</v>
      </c>
      <c r="BB27" s="341">
        <f t="shared" si="116"/>
        <v>57.306501547987615</v>
      </c>
      <c r="BC27" s="342">
        <f t="shared" si="116"/>
        <v>52.262656194216348</v>
      </c>
      <c r="BD27" s="374">
        <f>BD98*BD25</f>
        <v>47.400024473813019</v>
      </c>
      <c r="BE27" s="341">
        <f>BE98*BE25</f>
        <v>54.691009341535647</v>
      </c>
      <c r="BF27" s="341">
        <f t="shared" ref="BF27:BG27" si="117">BF98*BF25</f>
        <v>66.575013145441162</v>
      </c>
      <c r="BG27" s="342">
        <f t="shared" si="117"/>
        <v>85.620618556701032</v>
      </c>
      <c r="BH27" s="374">
        <f>BH98*BH25</f>
        <v>97.039193196005002</v>
      </c>
      <c r="BI27" s="341">
        <f t="shared" ref="BI27:BK27" si="118">BI98*BI25</f>
        <v>95.588034379671171</v>
      </c>
      <c r="BJ27" s="341">
        <f t="shared" si="118"/>
        <v>107.25184759166069</v>
      </c>
      <c r="BK27" s="342">
        <f t="shared" si="118"/>
        <v>100.22700544464611</v>
      </c>
      <c r="BL27" s="341">
        <f t="shared" ref="BL27:BS27" si="119">BL30*BL21</f>
        <v>91.625624999999999</v>
      </c>
      <c r="BM27" s="341">
        <f t="shared" si="119"/>
        <v>96.976561500000017</v>
      </c>
      <c r="BN27" s="341">
        <f t="shared" si="119"/>
        <v>107.66194188750003</v>
      </c>
      <c r="BO27" s="342">
        <f t="shared" si="119"/>
        <v>103.88460219637501</v>
      </c>
      <c r="BP27" s="341">
        <f t="shared" si="119"/>
        <v>93.78767584060877</v>
      </c>
      <c r="BQ27" s="341">
        <f t="shared" si="119"/>
        <v>99.784855909301086</v>
      </c>
      <c r="BR27" s="341">
        <f t="shared" si="119"/>
        <v>113.21592367061855</v>
      </c>
      <c r="BS27" s="342">
        <f t="shared" si="119"/>
        <v>110.09852968593964</v>
      </c>
      <c r="BT27" s="341">
        <f t="shared" ref="BT27:BW27" si="120">BT30*BT21</f>
        <v>99.427763443754841</v>
      </c>
      <c r="BU27" s="341">
        <f t="shared" si="120"/>
        <v>105.7324741142305</v>
      </c>
      <c r="BV27" s="341">
        <f t="shared" si="120"/>
        <v>119.82569292113362</v>
      </c>
      <c r="BW27" s="342">
        <f t="shared" si="120"/>
        <v>116.51545315463423</v>
      </c>
      <c r="BX27" s="346"/>
      <c r="BY27" s="334">
        <f>SUM(D27:G27)</f>
        <v>0</v>
      </c>
      <c r="BZ27" s="325">
        <f>SUM(H27:K27)</f>
        <v>0</v>
      </c>
      <c r="CA27" s="325">
        <f>SUM(L27:O27)</f>
        <v>0</v>
      </c>
      <c r="CB27" s="325">
        <f>SUM(P27:S27)</f>
        <v>0</v>
      </c>
      <c r="CC27" s="325">
        <f>SUM(T27:W27)</f>
        <v>0</v>
      </c>
      <c r="CD27" s="325">
        <f>SUM(X27:AA27)</f>
        <v>120.08</v>
      </c>
      <c r="CE27" s="325">
        <f>SUM(AB27:AE27)</f>
        <v>109.136</v>
      </c>
      <c r="CF27" s="325">
        <f>SUM(AF27:AI27)</f>
        <v>152.98700000000002</v>
      </c>
      <c r="CG27" s="325">
        <f>SUM(AJ27:AM27)</f>
        <v>141.232</v>
      </c>
      <c r="CH27" s="325">
        <f>SUM(AN27:AQ27)</f>
        <v>156.78800000000001</v>
      </c>
      <c r="CI27" s="325">
        <f>SUM(AR27:AU27)</f>
        <v>162.50399999999996</v>
      </c>
      <c r="CJ27" s="325">
        <f>SUM(AV27:AY27)</f>
        <v>193.01100000000002</v>
      </c>
      <c r="CK27" s="325">
        <f>SUM(AZ27:BC27)</f>
        <v>214.73448802782644</v>
      </c>
      <c r="CL27" s="325">
        <f>SUM(BD27:BG27)</f>
        <v>254.28666551749086</v>
      </c>
      <c r="CM27" s="325">
        <f>SUM(BH27:BK27)</f>
        <v>400.10608061198297</v>
      </c>
      <c r="CN27" s="325">
        <f>SUM(BL27:BO27)</f>
        <v>400.14873058387502</v>
      </c>
      <c r="CO27" s="325">
        <f>SUM(BP27:BS27)</f>
        <v>416.88698510646805</v>
      </c>
      <c r="CP27" s="326">
        <f>SUM(BT27:BW27)</f>
        <v>441.50138363375322</v>
      </c>
      <c r="CQ27" s="1041"/>
    </row>
    <row r="28" spans="1:95" ht="14.25" customHeight="1">
      <c r="A28" s="865"/>
      <c r="B28" s="32" t="s">
        <v>297</v>
      </c>
      <c r="C28" s="218"/>
      <c r="D28" s="134"/>
      <c r="E28" s="78"/>
      <c r="F28" s="78"/>
      <c r="G28" s="79"/>
      <c r="H28" s="134"/>
      <c r="I28" s="78"/>
      <c r="J28" s="78"/>
      <c r="K28" s="79"/>
      <c r="L28" s="134"/>
      <c r="M28" s="78"/>
      <c r="N28" s="78"/>
      <c r="O28" s="79"/>
      <c r="P28" s="134"/>
      <c r="Q28" s="78"/>
      <c r="R28" s="78"/>
      <c r="S28" s="79"/>
      <c r="T28" s="134"/>
      <c r="U28" s="78"/>
      <c r="V28" s="78"/>
      <c r="W28" s="79"/>
      <c r="X28" s="134"/>
      <c r="Y28" s="78"/>
      <c r="Z28" s="78">
        <f t="shared" ref="Z28:AE28" si="121">Z27/Y27-1</f>
        <v>0.27832106361938269</v>
      </c>
      <c r="AA28" s="79">
        <f t="shared" si="121"/>
        <v>-0.20190820010314592</v>
      </c>
      <c r="AB28" s="134">
        <f t="shared" si="121"/>
        <v>-0.39633817985998898</v>
      </c>
      <c r="AC28" s="78">
        <f t="shared" si="121"/>
        <v>0.2328278322925954</v>
      </c>
      <c r="AD28" s="78">
        <f t="shared" si="121"/>
        <v>8.1259044862517893E-2</v>
      </c>
      <c r="AE28" s="79">
        <f t="shared" si="121"/>
        <v>-2.328849628588614E-2</v>
      </c>
      <c r="AF28" s="134">
        <f t="shared" ref="AF28:BH28" si="122">AF27/AE27-1</f>
        <v>0.25029119561493673</v>
      </c>
      <c r="AG28" s="78">
        <f t="shared" si="122"/>
        <v>2.0276194651465129E-3</v>
      </c>
      <c r="AH28" s="78">
        <f t="shared" si="122"/>
        <v>0.14588460486737853</v>
      </c>
      <c r="AI28" s="79">
        <f t="shared" si="122"/>
        <v>-9.2805154516167776E-2</v>
      </c>
      <c r="AJ28" s="134">
        <f t="shared" si="122"/>
        <v>-0.10732323232323249</v>
      </c>
      <c r="AK28" s="78">
        <f t="shared" si="122"/>
        <v>9.7772277227722526E-2</v>
      </c>
      <c r="AL28" s="78">
        <f t="shared" si="122"/>
        <v>-1.8789928598271E-2</v>
      </c>
      <c r="AM28" s="79">
        <f t="shared" si="122"/>
        <v>-8.3875909613175259E-2</v>
      </c>
      <c r="AN28" s="134">
        <f t="shared" si="122"/>
        <v>0.17152412804586747</v>
      </c>
      <c r="AO28" s="78">
        <f t="shared" si="122"/>
        <v>5.3425774877650767E-2</v>
      </c>
      <c r="AP28" s="78">
        <f t="shared" si="122"/>
        <v>-2.1002710027100302E-2</v>
      </c>
      <c r="AQ28" s="79">
        <f>AQ27/AP27-1</f>
        <v>-0.11596638655462155</v>
      </c>
      <c r="AR28" s="134">
        <f t="shared" si="122"/>
        <v>-8.5215835383583349E-2</v>
      </c>
      <c r="AS28" s="78">
        <f t="shared" si="122"/>
        <v>0.20433985330073323</v>
      </c>
      <c r="AT28" s="78">
        <f t="shared" si="122"/>
        <v>0.13830381160229388</v>
      </c>
      <c r="AU28" s="79">
        <f>AU27/AT27-1</f>
        <v>1.4847512038523414E-2</v>
      </c>
      <c r="AV28" s="134">
        <f t="shared" si="122"/>
        <v>-6.33979174904441E-2</v>
      </c>
      <c r="AW28" s="78">
        <f t="shared" si="122"/>
        <v>8.8516746411483327E-2</v>
      </c>
      <c r="AX28" s="78">
        <f t="shared" si="122"/>
        <v>0.16308985132514553</v>
      </c>
      <c r="AY28" s="78">
        <f t="shared" si="122"/>
        <v>-7.3973211804590711E-2</v>
      </c>
      <c r="AZ28" s="134">
        <f t="shared" si="122"/>
        <v>-3.1742668378933137E-2</v>
      </c>
      <c r="BA28" s="78">
        <f t="shared" si="122"/>
        <v>0.17286833551273628</v>
      </c>
      <c r="BB28" s="78">
        <f t="shared" si="122"/>
        <v>9.5212284985279894E-3</v>
      </c>
      <c r="BC28" s="79">
        <f t="shared" si="122"/>
        <v>-8.8015237669806567E-2</v>
      </c>
      <c r="BD28" s="134">
        <f t="shared" si="122"/>
        <v>-9.3042184888824209E-2</v>
      </c>
      <c r="BE28" s="78">
        <f t="shared" si="122"/>
        <v>0.15381816673429483</v>
      </c>
      <c r="BF28" s="78">
        <f t="shared" si="122"/>
        <v>0.2172935542237302</v>
      </c>
      <c r="BG28" s="79">
        <f t="shared" si="122"/>
        <v>0.28607738115879067</v>
      </c>
      <c r="BH28" s="134">
        <f t="shared" si="122"/>
        <v>0.13336244040028955</v>
      </c>
      <c r="BI28" s="78">
        <f t="shared" ref="BI28" si="123">BI27/BH27-1</f>
        <v>-1.4954357806775009E-2</v>
      </c>
      <c r="BJ28" s="78">
        <f t="shared" ref="BJ28:BK28" si="124">BJ27/BI27-1</f>
        <v>0.12202168699966576</v>
      </c>
      <c r="BK28" s="79">
        <f t="shared" si="124"/>
        <v>-6.5498565337169912E-2</v>
      </c>
      <c r="BL28" s="78">
        <f t="shared" ref="BL28:BS28" si="125">BL27/BK27-1</f>
        <v>-8.5818990665111006E-2</v>
      </c>
      <c r="BM28" s="78">
        <f t="shared" si="125"/>
        <v>5.840000000000023E-2</v>
      </c>
      <c r="BN28" s="78">
        <f t="shared" si="125"/>
        <v>0.11018518518518539</v>
      </c>
      <c r="BO28" s="79">
        <f t="shared" si="125"/>
        <v>-3.5085190039318648E-2</v>
      </c>
      <c r="BP28" s="78">
        <f t="shared" si="125"/>
        <v>-9.7193675889328035E-2</v>
      </c>
      <c r="BQ28" s="78">
        <f t="shared" si="125"/>
        <v>6.3944223107569753E-2</v>
      </c>
      <c r="BR28" s="78">
        <f t="shared" si="125"/>
        <v>0.13460026212319787</v>
      </c>
      <c r="BS28" s="79">
        <f t="shared" si="125"/>
        <v>-2.7534942820838681E-2</v>
      </c>
      <c r="BT28" s="78">
        <f t="shared" ref="BT28" si="126">BT27/BS27-1</f>
        <v>-9.6920152091254708E-2</v>
      </c>
      <c r="BU28" s="78">
        <f t="shared" ref="BU28" si="127">BU27/BT27-1</f>
        <v>6.3409961685823912E-2</v>
      </c>
      <c r="BV28" s="78">
        <f t="shared" ref="BV28" si="128">BV27/BU27-1</f>
        <v>0.13329129886506963</v>
      </c>
      <c r="BW28" s="79">
        <f t="shared" ref="BW28" si="129">BW27/BV27-1</f>
        <v>-2.7625458996328178E-2</v>
      </c>
      <c r="BX28" s="346"/>
      <c r="BY28" s="219"/>
      <c r="BZ28" s="220"/>
      <c r="CA28" s="220"/>
      <c r="CB28" s="220"/>
      <c r="CC28" s="220"/>
      <c r="CD28" s="220"/>
      <c r="CE28" s="220"/>
      <c r="CF28" s="220"/>
      <c r="CG28" s="220"/>
      <c r="CH28" s="220"/>
      <c r="CI28" s="220"/>
      <c r="CJ28" s="220"/>
      <c r="CK28" s="220"/>
      <c r="CL28" s="220"/>
      <c r="CM28" s="220"/>
      <c r="CN28" s="220"/>
      <c r="CO28" s="220"/>
      <c r="CP28" s="258"/>
      <c r="CQ28" s="1041"/>
    </row>
    <row r="29" spans="1:95" ht="14.25" customHeight="1">
      <c r="A29" s="865"/>
      <c r="B29" s="32" t="s">
        <v>298</v>
      </c>
      <c r="C29" s="218"/>
      <c r="D29" s="134"/>
      <c r="E29" s="78"/>
      <c r="F29" s="78"/>
      <c r="G29" s="79"/>
      <c r="H29" s="134"/>
      <c r="I29" s="78"/>
      <c r="J29" s="78"/>
      <c r="K29" s="79"/>
      <c r="L29" s="134"/>
      <c r="M29" s="78"/>
      <c r="N29" s="78"/>
      <c r="O29" s="79"/>
      <c r="P29" s="134"/>
      <c r="Q29" s="78"/>
      <c r="R29" s="78"/>
      <c r="S29" s="79"/>
      <c r="T29" s="134"/>
      <c r="U29" s="78"/>
      <c r="V29" s="78"/>
      <c r="W29" s="79"/>
      <c r="X29" s="134"/>
      <c r="Y29" s="78"/>
      <c r="Z29" s="78"/>
      <c r="AA29" s="79"/>
      <c r="AB29" s="134"/>
      <c r="AC29" s="78">
        <f>AC27/Y27-1</f>
        <v>-0.24074277551917367</v>
      </c>
      <c r="AD29" s="78">
        <f>AD27/Z27-1</f>
        <v>-0.35778751933986597</v>
      </c>
      <c r="AE29" s="79">
        <f>AE27/AA27-1</f>
        <v>-0.21405492730210018</v>
      </c>
      <c r="AF29" s="134">
        <f t="shared" ref="AF29:BH29" si="130">AF27/AB27-1</f>
        <v>0.6278322925958959</v>
      </c>
      <c r="AG29" s="78">
        <f t="shared" si="130"/>
        <v>0.32308248914616455</v>
      </c>
      <c r="AH29" s="78">
        <f t="shared" si="130"/>
        <v>0.40216154721274244</v>
      </c>
      <c r="AI29" s="79">
        <f t="shared" si="130"/>
        <v>0.30236382322713262</v>
      </c>
      <c r="AJ29" s="134">
        <f t="shared" si="130"/>
        <v>-7.0144673388864542E-2</v>
      </c>
      <c r="AK29" s="78">
        <f t="shared" si="130"/>
        <v>1.8703855619360166E-2</v>
      </c>
      <c r="AL29" s="78">
        <f t="shared" si="130"/>
        <v>-0.12769359265004199</v>
      </c>
      <c r="AM29" s="79">
        <f t="shared" si="130"/>
        <v>-0.11910774410774438</v>
      </c>
      <c r="AN29" s="134">
        <f t="shared" si="130"/>
        <v>0.15605846298915593</v>
      </c>
      <c r="AO29" s="78">
        <f t="shared" si="130"/>
        <v>0.10935738444193932</v>
      </c>
      <c r="AP29" s="78">
        <f t="shared" si="130"/>
        <v>0.10685561087705842</v>
      </c>
      <c r="AQ29" s="79">
        <f>AQ27/AM27-1</f>
        <v>6.8084089823220673E-2</v>
      </c>
      <c r="AR29" s="134">
        <f t="shared" si="130"/>
        <v>-0.16598694942903758</v>
      </c>
      <c r="AS29" s="78">
        <f t="shared" si="130"/>
        <v>-4.6506000774293565E-2</v>
      </c>
      <c r="AT29" s="78">
        <f t="shared" si="130"/>
        <v>0.10865051903114176</v>
      </c>
      <c r="AU29" s="79">
        <f>AU27/AQ27-1</f>
        <v>0.27270185640796218</v>
      </c>
      <c r="AV29" s="134">
        <f t="shared" si="130"/>
        <v>0.30305623471882659</v>
      </c>
      <c r="AW29" s="78">
        <f t="shared" si="130"/>
        <v>0.17773943054357244</v>
      </c>
      <c r="AX29" s="78">
        <f t="shared" si="130"/>
        <v>0.20338416265382597</v>
      </c>
      <c r="AY29" s="78">
        <f t="shared" si="130"/>
        <v>9.8062475286674777E-2</v>
      </c>
      <c r="AZ29" s="134">
        <f t="shared" si="130"/>
        <v>0.13517475791375011</v>
      </c>
      <c r="BA29" s="78">
        <f t="shared" si="130"/>
        <v>0.22314198033207933</v>
      </c>
      <c r="BB29" s="78">
        <f t="shared" si="130"/>
        <v>6.1644371848081914E-2</v>
      </c>
      <c r="BC29" s="79">
        <f t="shared" si="130"/>
        <v>4.5545876729811141E-2</v>
      </c>
      <c r="BD29" s="134">
        <f t="shared" si="130"/>
        <v>-2.0646709310456535E-2</v>
      </c>
      <c r="BE29" s="78">
        <f t="shared" si="130"/>
        <v>-3.6553733923924137E-2</v>
      </c>
      <c r="BF29" s="78">
        <f t="shared" si="130"/>
        <v>0.16173577774054548</v>
      </c>
      <c r="BG29" s="79">
        <f t="shared" si="130"/>
        <v>0.63827529619851675</v>
      </c>
      <c r="BH29" s="134">
        <f t="shared" si="130"/>
        <v>1.0472393057437346</v>
      </c>
      <c r="BI29" s="78">
        <f t="shared" ref="BI29" si="131">BI27/BE27-1</f>
        <v>0.74778332911614154</v>
      </c>
      <c r="BJ29" s="78">
        <f t="shared" ref="BJ29:BK29" si="132">BJ27/BF27-1</f>
        <v>0.6109925109193155</v>
      </c>
      <c r="BK29" s="79">
        <f t="shared" si="132"/>
        <v>0.17059426962995139</v>
      </c>
      <c r="BL29" s="78">
        <f t="shared" ref="BL29:BS29" si="133">BL27/BH27-1</f>
        <v>-5.5787440287867862E-2</v>
      </c>
      <c r="BM29" s="78">
        <f t="shared" si="133"/>
        <v>1.4526160406371336E-2</v>
      </c>
      <c r="BN29" s="78">
        <f t="shared" si="133"/>
        <v>3.8236571681329323E-3</v>
      </c>
      <c r="BO29" s="79">
        <f t="shared" si="133"/>
        <v>3.6493126134043097E-2</v>
      </c>
      <c r="BP29" s="78">
        <f t="shared" si="133"/>
        <v>2.3596574000000148E-2</v>
      </c>
      <c r="BQ29" s="78">
        <f t="shared" si="133"/>
        <v>2.8958486111111181E-2</v>
      </c>
      <c r="BR29" s="78">
        <f t="shared" si="133"/>
        <v>5.1587233944954125E-2</v>
      </c>
      <c r="BS29" s="79">
        <f t="shared" si="133"/>
        <v>5.9815673913043543E-2</v>
      </c>
      <c r="BT29" s="78">
        <f t="shared" ref="BT29" si="134">BT27/BP27-1</f>
        <v>6.0136766932270991E-2</v>
      </c>
      <c r="BU29" s="78">
        <f t="shared" ref="BU29" si="135">BU27/BQ27-1</f>
        <v>5.9604417431192935E-2</v>
      </c>
      <c r="BV29" s="78">
        <f t="shared" ref="BV29" si="136">BV27/BR27-1</f>
        <v>5.8381975222363769E-2</v>
      </c>
      <c r="BW29" s="79">
        <f t="shared" ref="BW29" si="137">BW27/BS27-1</f>
        <v>5.8283461977186368E-2</v>
      </c>
      <c r="BX29" s="346"/>
      <c r="BY29" s="377"/>
      <c r="BZ29" s="338"/>
      <c r="CA29" s="338"/>
      <c r="CB29" s="338"/>
      <c r="CC29" s="338"/>
      <c r="CD29" s="338"/>
      <c r="CE29" s="338">
        <f t="shared" ref="CE29:CP29" si="138">CE27/CD27-1</f>
        <v>-9.1139240506329156E-2</v>
      </c>
      <c r="CF29" s="338">
        <f t="shared" si="138"/>
        <v>0.40180142207887437</v>
      </c>
      <c r="CG29" s="338">
        <f t="shared" si="138"/>
        <v>-7.6836593958964028E-2</v>
      </c>
      <c r="CH29" s="338">
        <f t="shared" si="138"/>
        <v>0.11014500962954576</v>
      </c>
      <c r="CI29" s="338">
        <f t="shared" si="138"/>
        <v>3.6456871699364513E-2</v>
      </c>
      <c r="CJ29" s="338">
        <f t="shared" si="138"/>
        <v>0.18773076355043616</v>
      </c>
      <c r="CK29" s="338">
        <f t="shared" si="138"/>
        <v>0.11255051799030324</v>
      </c>
      <c r="CL29" s="338">
        <f t="shared" si="138"/>
        <v>0.18419108105512616</v>
      </c>
      <c r="CM29" s="338">
        <f t="shared" si="138"/>
        <v>0.57344499286952222</v>
      </c>
      <c r="CN29" s="338">
        <f t="shared" si="138"/>
        <v>1.0659666013279612E-4</v>
      </c>
      <c r="CO29" s="338">
        <f t="shared" si="138"/>
        <v>4.183008277489586E-2</v>
      </c>
      <c r="CP29" s="337">
        <f t="shared" si="138"/>
        <v>5.9043336459637663E-2</v>
      </c>
      <c r="CQ29" s="1041"/>
    </row>
    <row r="30" spans="1:95" s="1360" customFormat="1" ht="14.25" customHeight="1">
      <c r="A30" s="865"/>
      <c r="B30" s="32" t="s">
        <v>549</v>
      </c>
      <c r="C30" s="218"/>
      <c r="D30" s="134"/>
      <c r="E30" s="78"/>
      <c r="F30" s="78"/>
      <c r="G30" s="79"/>
      <c r="H30" s="134"/>
      <c r="I30" s="78"/>
      <c r="J30" s="78"/>
      <c r="K30" s="79"/>
      <c r="L30" s="134"/>
      <c r="M30" s="78"/>
      <c r="N30" s="78"/>
      <c r="O30" s="79"/>
      <c r="P30" s="134"/>
      <c r="Q30" s="78"/>
      <c r="R30" s="78"/>
      <c r="S30" s="79"/>
      <c r="T30" s="134"/>
      <c r="U30" s="78"/>
      <c r="V30" s="78"/>
      <c r="W30" s="79"/>
      <c r="X30" s="134"/>
      <c r="Y30" s="78">
        <f t="shared" ref="Y30:AE30" si="139">Y27/Y21</f>
        <v>0.34050115514483731</v>
      </c>
      <c r="Z30" s="78">
        <f t="shared" si="139"/>
        <v>0.38108340498710236</v>
      </c>
      <c r="AA30" s="79">
        <f t="shared" si="139"/>
        <v>0.37998772252915897</v>
      </c>
      <c r="AB30" s="134">
        <f t="shared" si="139"/>
        <v>0.29570034291743613</v>
      </c>
      <c r="AC30" s="78">
        <f t="shared" si="139"/>
        <v>0.32920438303954264</v>
      </c>
      <c r="AD30" s="78">
        <f t="shared" si="139"/>
        <v>0.37174878409811796</v>
      </c>
      <c r="AE30" s="79">
        <f t="shared" si="139"/>
        <v>0.39147052906859792</v>
      </c>
      <c r="AF30" s="134">
        <f t="shared" ref="AF30:AQ30" si="140">AF27/AF21</f>
        <v>0.41457651762995273</v>
      </c>
      <c r="AG30" s="78">
        <f t="shared" si="140"/>
        <v>0.417966740956626</v>
      </c>
      <c r="AH30" s="78">
        <f t="shared" si="140"/>
        <v>0.41035458631596478</v>
      </c>
      <c r="AI30" s="79">
        <f t="shared" si="140"/>
        <v>0.41022099447513816</v>
      </c>
      <c r="AJ30" s="134">
        <f t="shared" si="140"/>
        <v>0.27842866988283937</v>
      </c>
      <c r="AK30" s="78">
        <f t="shared" si="140"/>
        <v>0.29377345992492815</v>
      </c>
      <c r="AL30" s="78">
        <f t="shared" si="140"/>
        <v>0.29075723830734967</v>
      </c>
      <c r="AM30" s="79">
        <f t="shared" si="140"/>
        <v>0.31149889308503703</v>
      </c>
      <c r="AN30" s="134">
        <f t="shared" si="140"/>
        <v>0.32939279957012357</v>
      </c>
      <c r="AO30" s="78">
        <f t="shared" si="140"/>
        <v>0.3468045112781955</v>
      </c>
      <c r="AP30" s="78">
        <f t="shared" si="140"/>
        <v>0.32804962095106815</v>
      </c>
      <c r="AQ30" s="79">
        <f t="shared" si="140"/>
        <v>0.30932078800352841</v>
      </c>
      <c r="AR30" s="134">
        <f t="shared" ref="AR30:AW30" si="141">AR27/AR21</f>
        <v>0.30937972768532523</v>
      </c>
      <c r="AS30" s="78">
        <f t="shared" si="141"/>
        <v>0.33677175650152547</v>
      </c>
      <c r="AT30" s="78">
        <f t="shared" si="141"/>
        <v>0.3483365949119373</v>
      </c>
      <c r="AU30" s="79">
        <f t="shared" si="141"/>
        <v>0.35222841225626739</v>
      </c>
      <c r="AV30" s="134">
        <f t="shared" si="141"/>
        <v>0.35498938428874738</v>
      </c>
      <c r="AW30" s="78">
        <f t="shared" si="141"/>
        <v>0.36034846884899685</v>
      </c>
      <c r="AX30" s="78">
        <f t="shared" ref="AX30:BC30" si="142">AX27/AX21</f>
        <v>0.34085182963407318</v>
      </c>
      <c r="AY30" s="78">
        <f t="shared" si="142"/>
        <v>0.32133765332099051</v>
      </c>
      <c r="AZ30" s="134">
        <f t="shared" si="142"/>
        <v>0.34497014239779505</v>
      </c>
      <c r="BA30" s="78">
        <f t="shared" si="142"/>
        <v>0.34571266325951161</v>
      </c>
      <c r="BB30" s="78">
        <f t="shared" si="142"/>
        <v>0.34111012826183107</v>
      </c>
      <c r="BC30" s="79">
        <f t="shared" si="142"/>
        <v>0.33309532309889323</v>
      </c>
      <c r="BD30" s="134">
        <f>BD27/BD21</f>
        <v>0.33712677435144395</v>
      </c>
      <c r="BE30" s="78">
        <f>BE27/BE21</f>
        <v>0.35076327181590333</v>
      </c>
      <c r="BF30" s="78">
        <f t="shared" ref="BF30:BG30" si="143">BF27/BF21</f>
        <v>0.34598801135766116</v>
      </c>
      <c r="BG30" s="79">
        <f t="shared" si="143"/>
        <v>0.30491673275178427</v>
      </c>
      <c r="BH30" s="134">
        <f>BH27/BH21</f>
        <v>0.39271223470661676</v>
      </c>
      <c r="BI30" s="78">
        <f t="shared" ref="BI30:BK30" si="144">BI27/BI21</f>
        <v>0.36778774289985061</v>
      </c>
      <c r="BJ30" s="78">
        <f t="shared" si="144"/>
        <v>0.3768511861969806</v>
      </c>
      <c r="BK30" s="79">
        <f t="shared" si="144"/>
        <v>0.37328493647912891</v>
      </c>
      <c r="BL30" s="80">
        <v>0.375</v>
      </c>
      <c r="BM30" s="80">
        <f>BL30+0.003</f>
        <v>0.378</v>
      </c>
      <c r="BN30" s="80">
        <f>BM30+0.0035</f>
        <v>0.38150000000000001</v>
      </c>
      <c r="BO30" s="1434">
        <f>BN30-0.2%</f>
        <v>0.3795</v>
      </c>
      <c r="BP30" s="82">
        <f>BO30-0.003</f>
        <v>0.3765</v>
      </c>
      <c r="BQ30" s="80">
        <f>BP30+0.005</f>
        <v>0.38150000000000001</v>
      </c>
      <c r="BR30" s="80">
        <f>BQ30+0.012</f>
        <v>0.39350000000000002</v>
      </c>
      <c r="BS30" s="81">
        <f>BR30+0.1%</f>
        <v>0.39450000000000002</v>
      </c>
      <c r="BT30" s="82">
        <f>BS30-0.003</f>
        <v>0.39150000000000001</v>
      </c>
      <c r="BU30" s="80">
        <f>BT30+0.005</f>
        <v>0.39650000000000002</v>
      </c>
      <c r="BV30" s="80">
        <f>BU30+0.012</f>
        <v>0.40850000000000003</v>
      </c>
      <c r="BW30" s="81">
        <f>BV30+0.1%</f>
        <v>0.40950000000000003</v>
      </c>
      <c r="BX30" s="1371"/>
      <c r="BY30" s="219"/>
      <c r="BZ30" s="220"/>
      <c r="CA30" s="220"/>
      <c r="CB30" s="220"/>
      <c r="CC30" s="220"/>
      <c r="CD30" s="220">
        <f t="shared" ref="CD30:CJ30" si="145">CD27/CD21</f>
        <v>0.36747784360769714</v>
      </c>
      <c r="CE30" s="220">
        <f t="shared" si="145"/>
        <v>0.34675190158163288</v>
      </c>
      <c r="CF30" s="220">
        <f t="shared" si="145"/>
        <v>0.41312331563683108</v>
      </c>
      <c r="CG30" s="220">
        <f t="shared" si="145"/>
        <v>0.29305987275949219</v>
      </c>
      <c r="CH30" s="220">
        <f t="shared" si="145"/>
        <v>0.32853002990103536</v>
      </c>
      <c r="CI30" s="220">
        <f t="shared" si="145"/>
        <v>0.33799863971895838</v>
      </c>
      <c r="CJ30" s="220">
        <f t="shared" si="145"/>
        <v>0.34293679306631991</v>
      </c>
      <c r="CK30" s="220">
        <f t="shared" ref="CK30:CP30" si="146">CK27/CK21</f>
        <v>0.34117332066702644</v>
      </c>
      <c r="CL30" s="220">
        <f t="shared" si="146"/>
        <v>0.33035397084403934</v>
      </c>
      <c r="CM30" s="220">
        <f t="shared" si="146"/>
        <v>0.37742296067539194</v>
      </c>
      <c r="CN30" s="220">
        <f t="shared" si="146"/>
        <v>0.3786295502098096</v>
      </c>
      <c r="CO30" s="220">
        <f t="shared" si="146"/>
        <v>0.38691564266475548</v>
      </c>
      <c r="CP30" s="258">
        <f t="shared" si="146"/>
        <v>0.40191564266475549</v>
      </c>
      <c r="CQ30" s="1041"/>
    </row>
    <row r="31" spans="1:95" ht="14.25" customHeight="1">
      <c r="A31" s="865"/>
      <c r="B31" s="840"/>
      <c r="C31" s="237"/>
      <c r="D31" s="318"/>
      <c r="E31" s="221"/>
      <c r="F31" s="221"/>
      <c r="G31" s="614"/>
      <c r="H31" s="318"/>
      <c r="I31" s="221"/>
      <c r="J31" s="221"/>
      <c r="K31" s="614"/>
      <c r="L31" s="318"/>
      <c r="M31" s="221"/>
      <c r="N31" s="221"/>
      <c r="O31" s="614"/>
      <c r="P31" s="318"/>
      <c r="Q31" s="221"/>
      <c r="R31" s="221"/>
      <c r="S31" s="614"/>
      <c r="T31" s="318"/>
      <c r="U31" s="221"/>
      <c r="V31" s="221"/>
      <c r="W31" s="614"/>
      <c r="X31" s="318"/>
      <c r="Y31" s="221"/>
      <c r="Z31" s="221"/>
      <c r="AA31" s="614"/>
      <c r="AB31" s="318"/>
      <c r="AC31" s="221"/>
      <c r="AD31" s="221"/>
      <c r="AE31" s="614"/>
      <c r="AF31" s="318"/>
      <c r="AG31" s="221"/>
      <c r="AH31" s="221"/>
      <c r="AI31" s="614"/>
      <c r="AJ31" s="318"/>
      <c r="AK31" s="221"/>
      <c r="AL31" s="221"/>
      <c r="AM31" s="614"/>
      <c r="AN31" s="318"/>
      <c r="AO31" s="221"/>
      <c r="AP31" s="221"/>
      <c r="AQ31" s="614"/>
      <c r="AR31" s="318"/>
      <c r="AS31" s="221"/>
      <c r="AT31" s="221"/>
      <c r="AU31" s="614"/>
      <c r="AV31" s="318"/>
      <c r="AW31" s="221"/>
      <c r="AX31" s="221"/>
      <c r="AY31" s="221"/>
      <c r="AZ31" s="54"/>
      <c r="BA31" s="60"/>
      <c r="BB31" s="221"/>
      <c r="BC31" s="614"/>
      <c r="BD31" s="54"/>
      <c r="BE31" s="60"/>
      <c r="BF31" s="221"/>
      <c r="BG31" s="614"/>
      <c r="BH31" s="54"/>
      <c r="BI31" s="60"/>
      <c r="BJ31" s="60"/>
      <c r="BK31" s="614"/>
      <c r="BL31" s="60"/>
      <c r="BM31" s="60"/>
      <c r="BN31" s="60"/>
      <c r="BO31" s="55"/>
      <c r="BP31" s="60"/>
      <c r="BQ31" s="60"/>
      <c r="BR31" s="60"/>
      <c r="BS31" s="55"/>
      <c r="BT31" s="60"/>
      <c r="BU31" s="60"/>
      <c r="BV31" s="60"/>
      <c r="BW31" s="55"/>
      <c r="BX31" s="346"/>
      <c r="BY31" s="16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  <c r="CK31" s="203"/>
      <c r="CL31" s="203"/>
      <c r="CM31" s="203"/>
      <c r="CN31" s="203"/>
      <c r="CO31" s="203"/>
      <c r="CP31" s="17"/>
      <c r="CQ31" s="1041"/>
    </row>
    <row r="32" spans="1:95" ht="14.25" customHeight="1">
      <c r="A32" s="864"/>
      <c r="B32" s="297" t="str">
        <f>$B$105&amp;" Revenue"</f>
        <v>Consumer Revenue</v>
      </c>
      <c r="C32" s="287"/>
      <c r="D32" s="495">
        <f t="shared" ref="D32:BK32" si="147">D$105</f>
        <v>0</v>
      </c>
      <c r="E32" s="495">
        <f t="shared" si="147"/>
        <v>46.116</v>
      </c>
      <c r="F32" s="495">
        <f t="shared" si="147"/>
        <v>45.016000000000005</v>
      </c>
      <c r="G32" s="496">
        <f t="shared" si="147"/>
        <v>50.148000000000003</v>
      </c>
      <c r="H32" s="495">
        <f t="shared" si="147"/>
        <v>55.475999999999999</v>
      </c>
      <c r="I32" s="495">
        <f t="shared" si="147"/>
        <v>60.03</v>
      </c>
      <c r="J32" s="495">
        <f t="shared" si="147"/>
        <v>60.495999999999995</v>
      </c>
      <c r="K32" s="496">
        <f t="shared" si="147"/>
        <v>55.223999999999997</v>
      </c>
      <c r="L32" s="495">
        <f t="shared" si="147"/>
        <v>57.455999999999996</v>
      </c>
      <c r="M32" s="495">
        <f t="shared" si="147"/>
        <v>54.503999999999998</v>
      </c>
      <c r="N32" s="495">
        <f t="shared" si="147"/>
        <v>59.584000000000003</v>
      </c>
      <c r="O32" s="496">
        <f t="shared" si="147"/>
        <v>82.031999999999996</v>
      </c>
      <c r="P32" s="495">
        <f t="shared" si="147"/>
        <v>80.16</v>
      </c>
      <c r="Q32" s="495">
        <f t="shared" si="147"/>
        <v>90.072000000000003</v>
      </c>
      <c r="R32" s="495">
        <f t="shared" si="147"/>
        <v>105.22499999999999</v>
      </c>
      <c r="S32" s="496">
        <f t="shared" si="147"/>
        <v>84.335999999999999</v>
      </c>
      <c r="T32" s="495">
        <f t="shared" si="147"/>
        <v>78.581999999999994</v>
      </c>
      <c r="U32" s="495">
        <f t="shared" si="147"/>
        <v>72.427999999999997</v>
      </c>
      <c r="V32" s="495">
        <f t="shared" si="147"/>
        <v>96.695999999999998</v>
      </c>
      <c r="W32" s="496">
        <f t="shared" si="147"/>
        <v>97.895999999999987</v>
      </c>
      <c r="X32" s="495">
        <f t="shared" si="147"/>
        <v>84.38</v>
      </c>
      <c r="Y32" s="495">
        <f t="shared" si="147"/>
        <v>84.405000000000001</v>
      </c>
      <c r="Z32" s="495">
        <f t="shared" si="147"/>
        <v>104.67</v>
      </c>
      <c r="AA32" s="496">
        <f t="shared" si="147"/>
        <v>78.191999999999993</v>
      </c>
      <c r="AB32" s="495">
        <f t="shared" si="147"/>
        <v>53.074000000000005</v>
      </c>
      <c r="AC32" s="495">
        <f t="shared" si="147"/>
        <v>62.97</v>
      </c>
      <c r="AD32" s="495">
        <f t="shared" si="147"/>
        <v>80.393000000000001</v>
      </c>
      <c r="AE32" s="496">
        <f t="shared" si="147"/>
        <v>89.477999999999994</v>
      </c>
      <c r="AF32" s="495">
        <f t="shared" si="147"/>
        <v>88.032000000000011</v>
      </c>
      <c r="AG32" s="495">
        <f t="shared" si="147"/>
        <v>99.161000000000001</v>
      </c>
      <c r="AH32" s="495">
        <f t="shared" si="147"/>
        <v>108.126</v>
      </c>
      <c r="AI32" s="496">
        <f t="shared" si="147"/>
        <v>92.672000000000011</v>
      </c>
      <c r="AJ32" s="495">
        <f t="shared" si="147"/>
        <v>235.06200000000001</v>
      </c>
      <c r="AK32" s="495">
        <f t="shared" si="147"/>
        <v>235.50800000000001</v>
      </c>
      <c r="AL32" s="495">
        <f t="shared" si="147"/>
        <v>242.46</v>
      </c>
      <c r="AM32" s="496">
        <f t="shared" si="147"/>
        <v>176.61699999999999</v>
      </c>
      <c r="AN32" s="495">
        <f t="shared" si="147"/>
        <v>163.768</v>
      </c>
      <c r="AO32" s="495">
        <f t="shared" si="147"/>
        <v>163.85599999999999</v>
      </c>
      <c r="AP32" s="495">
        <f t="shared" si="147"/>
        <v>166.86500000000001</v>
      </c>
      <c r="AQ32" s="496">
        <f t="shared" si="147"/>
        <v>136.04000000000002</v>
      </c>
      <c r="AR32" s="495">
        <f t="shared" si="147"/>
        <v>132.20000000000002</v>
      </c>
      <c r="AS32" s="495">
        <f t="shared" si="147"/>
        <v>130.77699999999999</v>
      </c>
      <c r="AT32" s="495">
        <f t="shared" si="147"/>
        <v>143.08000000000001</v>
      </c>
      <c r="AU32" s="496">
        <f t="shared" si="147"/>
        <v>143.6</v>
      </c>
      <c r="AV32" s="495">
        <f t="shared" si="147"/>
        <v>120.105</v>
      </c>
      <c r="AW32" s="495">
        <f t="shared" si="147"/>
        <v>136.36799999999999</v>
      </c>
      <c r="AX32" s="495">
        <f t="shared" si="147"/>
        <v>133.36000000000001</v>
      </c>
      <c r="AY32" s="495">
        <f t="shared" si="147"/>
        <v>129.63</v>
      </c>
      <c r="AZ32" s="879">
        <f t="shared" si="147"/>
        <v>104.6</v>
      </c>
      <c r="BA32" s="495">
        <f t="shared" si="147"/>
        <v>101</v>
      </c>
      <c r="BB32" s="495">
        <f t="shared" si="147"/>
        <v>110.1</v>
      </c>
      <c r="BC32" s="496">
        <f t="shared" si="147"/>
        <v>95.8</v>
      </c>
      <c r="BD32" s="879">
        <f t="shared" si="147"/>
        <v>85.9</v>
      </c>
      <c r="BE32" s="495">
        <f t="shared" si="147"/>
        <v>93.02</v>
      </c>
      <c r="BF32" s="495">
        <f t="shared" si="147"/>
        <v>112.82</v>
      </c>
      <c r="BG32" s="496">
        <f t="shared" si="147"/>
        <v>174.4</v>
      </c>
      <c r="BH32" s="879">
        <f t="shared" si="147"/>
        <v>169.7</v>
      </c>
      <c r="BI32" s="495">
        <f t="shared" si="147"/>
        <v>184.9</v>
      </c>
      <c r="BJ32" s="495">
        <f t="shared" si="147"/>
        <v>190.7</v>
      </c>
      <c r="BK32" s="496">
        <f t="shared" si="147"/>
        <v>175.4</v>
      </c>
      <c r="BL32" s="801">
        <f t="shared" ref="BL32:BS32" si="148">BK32*(1+BL33)</f>
        <v>175.4</v>
      </c>
      <c r="BM32" s="801">
        <f t="shared" si="148"/>
        <v>182.41600000000003</v>
      </c>
      <c r="BN32" s="801">
        <f t="shared" si="148"/>
        <v>193.36096000000003</v>
      </c>
      <c r="BO32" s="810">
        <f t="shared" si="148"/>
        <v>187.56013120000003</v>
      </c>
      <c r="BP32" s="801">
        <f t="shared" si="148"/>
        <v>174.43092201600001</v>
      </c>
      <c r="BQ32" s="801">
        <f t="shared" si="148"/>
        <v>181.40815889664</v>
      </c>
      <c r="BR32" s="801">
        <f t="shared" si="148"/>
        <v>192.29264843043842</v>
      </c>
      <c r="BS32" s="810">
        <f t="shared" si="148"/>
        <v>186.52386897752527</v>
      </c>
      <c r="BT32" s="801">
        <f t="shared" ref="BT32" si="149">BS32*(1+BT33)</f>
        <v>173.46719814909849</v>
      </c>
      <c r="BU32" s="801">
        <f t="shared" ref="BU32" si="150">BT32*(1+BU33)</f>
        <v>180.40588607506243</v>
      </c>
      <c r="BV32" s="801">
        <f t="shared" ref="BV32" si="151">BU32*(1+BV33)</f>
        <v>191.23023923956617</v>
      </c>
      <c r="BW32" s="810">
        <f t="shared" ref="BW32" si="152">BV32*(1+BW33)</f>
        <v>185.49333206237918</v>
      </c>
      <c r="BX32" s="346"/>
      <c r="BY32" s="334">
        <f>SUM(D32:G32)</f>
        <v>141.28</v>
      </c>
      <c r="BZ32" s="325">
        <f>SUM(H32:K32)</f>
        <v>231.226</v>
      </c>
      <c r="CA32" s="325">
        <f>SUM(L32:O32)</f>
        <v>253.57599999999996</v>
      </c>
      <c r="CB32" s="325">
        <f>SUM(P32:S32)</f>
        <v>359.79300000000001</v>
      </c>
      <c r="CC32" s="325">
        <f>SUM(T32:W32)</f>
        <v>345.60199999999998</v>
      </c>
      <c r="CD32" s="325">
        <f>SUM(X32:AA32)</f>
        <v>351.64699999999999</v>
      </c>
      <c r="CE32" s="325">
        <f>SUM(AB32:AE32)</f>
        <v>285.91500000000002</v>
      </c>
      <c r="CF32" s="325">
        <f>SUM(AF32:AI32)</f>
        <v>387.99100000000004</v>
      </c>
      <c r="CG32" s="325">
        <f>SUM(AJ32:AM32)</f>
        <v>889.64700000000005</v>
      </c>
      <c r="CH32" s="325">
        <f>SUM(AN32:AQ32)</f>
        <v>630.529</v>
      </c>
      <c r="CI32" s="325">
        <f>SUM(AR32:AU32)</f>
        <v>549.65700000000004</v>
      </c>
      <c r="CJ32" s="325">
        <f>SUM(AV32:AY32)</f>
        <v>519.46299999999997</v>
      </c>
      <c r="CK32" s="325">
        <f>SUM(AZ32:BC32)</f>
        <v>411.5</v>
      </c>
      <c r="CL32" s="325">
        <f>SUM(BD32:BG32)</f>
        <v>466.14</v>
      </c>
      <c r="CM32" s="325">
        <f>SUM(BH32:BK32)</f>
        <v>720.69999999999993</v>
      </c>
      <c r="CN32" s="325">
        <f>SUM(BL32:BO32)</f>
        <v>738.73709120000001</v>
      </c>
      <c r="CO32" s="325">
        <f>SUM(BP32:BS32)</f>
        <v>734.65559832060364</v>
      </c>
      <c r="CP32" s="326">
        <f>SUM(BT32:BW32)</f>
        <v>730.59665552610625</v>
      </c>
      <c r="CQ32" s="1041"/>
    </row>
    <row r="33" spans="1:95" ht="14.25" customHeight="1">
      <c r="A33" s="865"/>
      <c r="B33" s="32" t="s">
        <v>297</v>
      </c>
      <c r="C33" s="218"/>
      <c r="D33" s="134"/>
      <c r="E33" s="78"/>
      <c r="F33" s="78">
        <f t="shared" ref="F33:AE33" si="153">F32/E32-1</f>
        <v>-2.3852892705351625E-2</v>
      </c>
      <c r="G33" s="79">
        <f t="shared" si="153"/>
        <v>0.11400390972098795</v>
      </c>
      <c r="H33" s="134">
        <f t="shared" si="153"/>
        <v>0.10624551328068899</v>
      </c>
      <c r="I33" s="78">
        <f t="shared" si="153"/>
        <v>8.2089552238806096E-2</v>
      </c>
      <c r="J33" s="78">
        <f t="shared" si="153"/>
        <v>7.7627852740296266E-3</v>
      </c>
      <c r="K33" s="79">
        <f t="shared" si="153"/>
        <v>-8.7146257603808452E-2</v>
      </c>
      <c r="L33" s="134">
        <f t="shared" si="153"/>
        <v>4.041720990873543E-2</v>
      </c>
      <c r="M33" s="78">
        <f t="shared" si="153"/>
        <v>-5.137844611528819E-2</v>
      </c>
      <c r="N33" s="78">
        <f t="shared" si="153"/>
        <v>9.3204168501394458E-2</v>
      </c>
      <c r="O33" s="79">
        <f t="shared" si="153"/>
        <v>0.37674543501611168</v>
      </c>
      <c r="P33" s="134">
        <f t="shared" si="153"/>
        <v>-2.2820362785254567E-2</v>
      </c>
      <c r="Q33" s="78">
        <f t="shared" si="153"/>
        <v>0.12365269461077855</v>
      </c>
      <c r="R33" s="78">
        <f t="shared" si="153"/>
        <v>0.16823208100186515</v>
      </c>
      <c r="S33" s="79">
        <f t="shared" si="153"/>
        <v>-0.19851746258018532</v>
      </c>
      <c r="T33" s="134">
        <f t="shared" si="153"/>
        <v>-6.8227091633466186E-2</v>
      </c>
      <c r="U33" s="78">
        <f t="shared" si="153"/>
        <v>-7.8313099692041366E-2</v>
      </c>
      <c r="V33" s="78">
        <f t="shared" si="153"/>
        <v>0.33506378748550292</v>
      </c>
      <c r="W33" s="79">
        <f t="shared" si="153"/>
        <v>1.2410027302059978E-2</v>
      </c>
      <c r="X33" s="134">
        <f t="shared" si="153"/>
        <v>-0.13806488518427718</v>
      </c>
      <c r="Y33" s="78">
        <f t="shared" si="153"/>
        <v>2.9627873903770308E-4</v>
      </c>
      <c r="Z33" s="78">
        <f t="shared" si="153"/>
        <v>0.24009241158699135</v>
      </c>
      <c r="AA33" s="79">
        <f t="shared" si="153"/>
        <v>-0.25296646603611361</v>
      </c>
      <c r="AB33" s="134">
        <f t="shared" si="153"/>
        <v>-0.32123490894209117</v>
      </c>
      <c r="AC33" s="78">
        <f t="shared" si="153"/>
        <v>0.1864566454384442</v>
      </c>
      <c r="AD33" s="78">
        <f t="shared" si="153"/>
        <v>0.27668731141813563</v>
      </c>
      <c r="AE33" s="79">
        <f t="shared" si="153"/>
        <v>0.11300735138631457</v>
      </c>
      <c r="AF33" s="134">
        <f t="shared" ref="AF33:BH33" si="154">AF32/AE32-1</f>
        <v>-1.6160396969087221E-2</v>
      </c>
      <c r="AG33" s="78">
        <f t="shared" si="154"/>
        <v>0.12641993820428921</v>
      </c>
      <c r="AH33" s="78">
        <f t="shared" si="154"/>
        <v>9.040852754611195E-2</v>
      </c>
      <c r="AI33" s="79">
        <f t="shared" si="154"/>
        <v>-0.14292584577252454</v>
      </c>
      <c r="AJ33" s="134">
        <f t="shared" si="154"/>
        <v>1.5364943024861875</v>
      </c>
      <c r="AK33" s="78">
        <f t="shared" si="154"/>
        <v>1.8973717572385862E-3</v>
      </c>
      <c r="AL33" s="78">
        <f t="shared" si="154"/>
        <v>2.9519167077126873E-2</v>
      </c>
      <c r="AM33" s="79">
        <f t="shared" si="154"/>
        <v>-0.27156231955786525</v>
      </c>
      <c r="AN33" s="134">
        <f t="shared" si="154"/>
        <v>-7.2750641218002787E-2</v>
      </c>
      <c r="AO33" s="78">
        <f t="shared" si="154"/>
        <v>5.3734551316497736E-4</v>
      </c>
      <c r="AP33" s="78">
        <f t="shared" si="154"/>
        <v>1.8363685186993495E-2</v>
      </c>
      <c r="AQ33" s="79">
        <f t="shared" si="154"/>
        <v>-0.18473017109639522</v>
      </c>
      <c r="AR33" s="134">
        <f t="shared" si="154"/>
        <v>-2.8226992061158529E-2</v>
      </c>
      <c r="AS33" s="78">
        <f t="shared" si="154"/>
        <v>-1.0763993948562978E-2</v>
      </c>
      <c r="AT33" s="78">
        <f t="shared" si="154"/>
        <v>9.4076175474280932E-2</v>
      </c>
      <c r="AU33" s="79">
        <f t="shared" si="154"/>
        <v>3.6343304445063396E-3</v>
      </c>
      <c r="AV33" s="134">
        <f t="shared" si="154"/>
        <v>-0.1636142061281336</v>
      </c>
      <c r="AW33" s="78">
        <f t="shared" si="154"/>
        <v>0.1354065192956162</v>
      </c>
      <c r="AX33" s="78">
        <f t="shared" si="154"/>
        <v>-2.2057960811920574E-2</v>
      </c>
      <c r="AY33" s="78">
        <f t="shared" si="154"/>
        <v>-2.7969406118776408E-2</v>
      </c>
      <c r="AZ33" s="134">
        <f t="shared" si="154"/>
        <v>-0.19308801974851497</v>
      </c>
      <c r="BA33" s="78">
        <f t="shared" si="154"/>
        <v>-3.4416826003824008E-2</v>
      </c>
      <c r="BB33" s="78">
        <f t="shared" si="154"/>
        <v>9.0099009900989957E-2</v>
      </c>
      <c r="BC33" s="79">
        <f t="shared" si="154"/>
        <v>-0.12988192552225253</v>
      </c>
      <c r="BD33" s="134">
        <f t="shared" si="154"/>
        <v>-0.10334029227557406</v>
      </c>
      <c r="BE33" s="78">
        <f t="shared" si="154"/>
        <v>8.2887077997671588E-2</v>
      </c>
      <c r="BF33" s="78">
        <f t="shared" si="154"/>
        <v>0.21285745001075029</v>
      </c>
      <c r="BG33" s="79">
        <f t="shared" si="154"/>
        <v>0.54582520829640147</v>
      </c>
      <c r="BH33" s="134">
        <f t="shared" si="154"/>
        <v>-2.6949541284403744E-2</v>
      </c>
      <c r="BI33" s="78">
        <f t="shared" ref="BI33" si="155">BI32/BH32-1</f>
        <v>8.956982911019451E-2</v>
      </c>
      <c r="BJ33" s="78">
        <f t="shared" ref="BJ33:BK33" si="156">BJ32/BI32-1</f>
        <v>3.1368307193077261E-2</v>
      </c>
      <c r="BK33" s="79">
        <f t="shared" si="156"/>
        <v>-8.0230728893549985E-2</v>
      </c>
      <c r="BL33" s="80">
        <v>0</v>
      </c>
      <c r="BM33" s="80">
        <v>0.04</v>
      </c>
      <c r="BN33" s="80">
        <v>0.06</v>
      </c>
      <c r="BO33" s="81">
        <v>-0.03</v>
      </c>
      <c r="BP33" s="80">
        <v>-7.0000000000000007E-2</v>
      </c>
      <c r="BQ33" s="80">
        <v>0.04</v>
      </c>
      <c r="BR33" s="80">
        <v>0.06</v>
      </c>
      <c r="BS33" s="81">
        <v>-0.03</v>
      </c>
      <c r="BT33" s="80">
        <v>-7.0000000000000007E-2</v>
      </c>
      <c r="BU33" s="80">
        <v>0.04</v>
      </c>
      <c r="BV33" s="80">
        <v>0.06</v>
      </c>
      <c r="BW33" s="81">
        <v>-0.03</v>
      </c>
      <c r="BX33" s="346"/>
      <c r="BY33" s="219"/>
      <c r="BZ33" s="220"/>
      <c r="CA33" s="220"/>
      <c r="CB33" s="220"/>
      <c r="CC33" s="220"/>
      <c r="CD33" s="220"/>
      <c r="CE33" s="220"/>
      <c r="CF33" s="220"/>
      <c r="CG33" s="913"/>
      <c r="CH33" s="220"/>
      <c r="CI33" s="220"/>
      <c r="CJ33" s="220"/>
      <c r="CK33" s="220"/>
      <c r="CL33" s="220"/>
      <c r="CM33" s="220"/>
      <c r="CN33" s="220"/>
      <c r="CO33" s="220"/>
      <c r="CP33" s="258"/>
      <c r="CQ33" s="1041"/>
    </row>
    <row r="34" spans="1:95" ht="14.25" customHeight="1">
      <c r="A34" s="865"/>
      <c r="B34" s="32" t="s">
        <v>548</v>
      </c>
      <c r="C34" s="218"/>
      <c r="D34" s="134"/>
      <c r="E34" s="78"/>
      <c r="F34" s="78"/>
      <c r="G34" s="79"/>
      <c r="H34" s="134"/>
      <c r="I34" s="78"/>
      <c r="J34" s="78"/>
      <c r="K34" s="79"/>
      <c r="L34" s="134"/>
      <c r="M34" s="78"/>
      <c r="N34" s="78"/>
      <c r="O34" s="79"/>
      <c r="P34" s="134"/>
      <c r="Q34" s="78" t="s">
        <v>366</v>
      </c>
      <c r="R34" s="78"/>
      <c r="S34" s="79"/>
      <c r="T34" s="134"/>
      <c r="U34" s="78" t="s">
        <v>366</v>
      </c>
      <c r="V34" s="78"/>
      <c r="W34" s="79"/>
      <c r="X34" s="134"/>
      <c r="Y34" s="78">
        <f t="shared" ref="Y34:AE34" si="157">AVERAGE(U33,Q33,M33,I33,E33)</f>
        <v>1.9012675260563772E-2</v>
      </c>
      <c r="Z34" s="78">
        <f t="shared" si="157"/>
        <v>0.11608198591148811</v>
      </c>
      <c r="AA34" s="79">
        <f t="shared" si="157"/>
        <v>4.3499130371033166E-2</v>
      </c>
      <c r="AB34" s="134">
        <f t="shared" si="157"/>
        <v>-1.6489923282714702E-2</v>
      </c>
      <c r="AC34" s="78">
        <f t="shared" si="157"/>
        <v>1.5269395956258558E-2</v>
      </c>
      <c r="AD34" s="78">
        <f t="shared" si="157"/>
        <v>0.16887104676995671</v>
      </c>
      <c r="AE34" s="79">
        <f t="shared" si="157"/>
        <v>-2.9894944780387143E-2</v>
      </c>
      <c r="AF34" s="134">
        <f t="shared" ref="AF34:BH34" si="158">AVERAGE(AB33,X33,T33,P33,L33)</f>
        <v>-0.10198600772727073</v>
      </c>
      <c r="AG34" s="78">
        <f t="shared" si="158"/>
        <v>3.6142814596186179E-2</v>
      </c>
      <c r="AH34" s="78">
        <f t="shared" si="158"/>
        <v>0.22265595199877791</v>
      </c>
      <c r="AI34" s="79">
        <f t="shared" si="158"/>
        <v>1.013577701763746E-2</v>
      </c>
      <c r="AJ34" s="134">
        <f t="shared" si="158"/>
        <v>-0.11330152910283527</v>
      </c>
      <c r="AK34" s="78">
        <f t="shared" si="158"/>
        <v>7.1702491460101658E-2</v>
      </c>
      <c r="AL34" s="78">
        <f t="shared" si="158"/>
        <v>0.22209682380772139</v>
      </c>
      <c r="AM34" s="79">
        <f t="shared" si="158"/>
        <v>-9.3798479140089791E-2</v>
      </c>
      <c r="AN34" s="134">
        <f t="shared" si="158"/>
        <v>0.19856140395145316</v>
      </c>
      <c r="AO34" s="78">
        <f t="shared" si="158"/>
        <v>4.7351426889393665E-2</v>
      </c>
      <c r="AP34" s="78">
        <f t="shared" si="158"/>
        <v>0.19435424102277374</v>
      </c>
      <c r="AQ34" s="79">
        <f>AVERAGE(AM33,AI33,AE33,AA33,W33)</f>
        <v>-0.10840745053562577</v>
      </c>
      <c r="AR34" s="134">
        <f t="shared" si="158"/>
        <v>0.19765669403454583</v>
      </c>
      <c r="AS34" s="78">
        <f t="shared" si="158"/>
        <v>6.312151593043494E-2</v>
      </c>
      <c r="AT34" s="78">
        <f t="shared" si="158"/>
        <v>0.13101422056307185</v>
      </c>
      <c r="AU34" s="79">
        <f>AVERAGE(AQ33,AM33,AI33,AE33,AA33)</f>
        <v>-0.14783549021531681</v>
      </c>
      <c r="AV34" s="134">
        <f t="shared" si="158"/>
        <v>0.21962427265916956</v>
      </c>
      <c r="AW34" s="78">
        <f t="shared" si="158"/>
        <v>6.0909461392914796E-2</v>
      </c>
      <c r="AX34" s="78">
        <f t="shared" si="158"/>
        <v>0.10181097334052977</v>
      </c>
      <c r="AY34" s="78">
        <f t="shared" si="158"/>
        <v>-9.6515330919192815E-2</v>
      </c>
      <c r="AZ34" s="134">
        <f t="shared" si="158"/>
        <v>0.25114841322196108</v>
      </c>
      <c r="BA34" s="78">
        <f t="shared" si="158"/>
        <v>5.0699436164349201E-2</v>
      </c>
      <c r="BB34" s="78">
        <f t="shared" si="158"/>
        <v>4.2061918894518532E-2</v>
      </c>
      <c r="BC34" s="79">
        <f t="shared" si="158"/>
        <v>-0.12471068242021102</v>
      </c>
      <c r="BD34" s="134">
        <f t="shared" si="158"/>
        <v>0.21576288866607554</v>
      </c>
      <c r="BE34" s="78">
        <f t="shared" si="158"/>
        <v>1.8532083322726555E-2</v>
      </c>
      <c r="BF34" s="78">
        <f t="shared" si="158"/>
        <v>4.2000015365494137E-2</v>
      </c>
      <c r="BG34" s="79">
        <f t="shared" si="158"/>
        <v>-0.12210189837015661</v>
      </c>
      <c r="BH34" s="134">
        <f t="shared" si="158"/>
        <v>-0.11220403028627679</v>
      </c>
      <c r="BI34" s="78">
        <f t="shared" ref="BI34" si="159">AVERAGE(BE33,BA33,AW33,AS33,AO33)</f>
        <v>3.4730024570813159E-2</v>
      </c>
      <c r="BJ34" s="78">
        <f t="shared" ref="BJ34:BK34" si="160">AVERAGE(BF33,BB33,AX33,AT33,AP33)</f>
        <v>7.8667671952218826E-2</v>
      </c>
      <c r="BK34" s="79">
        <f t="shared" si="160"/>
        <v>4.1375607200696732E-2</v>
      </c>
      <c r="BL34" s="78">
        <f t="shared" ref="BL34:BS34" si="161">AVERAGE(BH33,BD33,AZ33,AV33,AR33)</f>
        <v>-0.10304381029955698</v>
      </c>
      <c r="BM34" s="78">
        <f t="shared" si="161"/>
        <v>5.253652129021906E-2</v>
      </c>
      <c r="BN34" s="78">
        <f t="shared" si="161"/>
        <v>8.1268596353435571E-2</v>
      </c>
      <c r="BO34" s="79">
        <f t="shared" si="161"/>
        <v>6.2275495641265777E-2</v>
      </c>
      <c r="BP34" s="78">
        <f t="shared" si="161"/>
        <v>-9.7398411887325273E-2</v>
      </c>
      <c r="BQ34" s="78">
        <f t="shared" si="161"/>
        <v>6.2689320079931665E-2</v>
      </c>
      <c r="BR34" s="78">
        <f t="shared" si="161"/>
        <v>7.445336125857939E-2</v>
      </c>
      <c r="BS34" s="79">
        <f t="shared" si="161"/>
        <v>5.5548629552364504E-2</v>
      </c>
      <c r="BT34" s="78">
        <f t="shared" ref="BT34" si="162">AVERAGE(BP33,BL33,BH33,BD33,AZ33)</f>
        <v>-7.8675570661698557E-2</v>
      </c>
      <c r="BU34" s="78">
        <f t="shared" ref="BU34" si="163">AVERAGE(BQ33,BM33,BI33,BE33,BA33)</f>
        <v>4.360801622080842E-2</v>
      </c>
      <c r="BV34" s="78">
        <f t="shared" ref="BV34" si="164">AVERAGE(BR33,BN33,BJ33,BF33,BB33)</f>
        <v>9.0864953420963498E-2</v>
      </c>
      <c r="BW34" s="79">
        <f t="shared" ref="BW34" si="165">AVERAGE(BS33,BO33,BK33,BG33,BC33)</f>
        <v>5.5142510776119792E-2</v>
      </c>
      <c r="BX34" s="346"/>
      <c r="BY34" s="219"/>
      <c r="BZ34" s="220"/>
      <c r="CA34" s="220"/>
      <c r="CB34" s="220"/>
      <c r="CC34" s="220"/>
      <c r="CD34" s="220"/>
      <c r="CE34" s="220"/>
      <c r="CF34" s="220"/>
      <c r="CG34" s="220"/>
      <c r="CH34" s="220"/>
      <c r="CI34" s="220"/>
      <c r="CJ34" s="220"/>
      <c r="CK34" s="220"/>
      <c r="CL34" s="220"/>
      <c r="CM34" s="220"/>
      <c r="CN34" s="220"/>
      <c r="CO34" s="220"/>
      <c r="CP34" s="258"/>
      <c r="CQ34" s="1041"/>
    </row>
    <row r="35" spans="1:95" ht="14.25" customHeight="1">
      <c r="A35" s="866"/>
      <c r="B35" s="867" t="s">
        <v>298</v>
      </c>
      <c r="C35" s="880"/>
      <c r="D35" s="377"/>
      <c r="E35" s="370"/>
      <c r="F35" s="370"/>
      <c r="G35" s="335"/>
      <c r="H35" s="377"/>
      <c r="I35" s="370">
        <f t="shared" ref="I35:AE35" si="166">I32/E32-1</f>
        <v>0.30171740827478533</v>
      </c>
      <c r="J35" s="370">
        <f t="shared" si="166"/>
        <v>0.34387773236182673</v>
      </c>
      <c r="K35" s="335">
        <f t="shared" si="166"/>
        <v>0.10122038765254837</v>
      </c>
      <c r="L35" s="377">
        <f t="shared" si="166"/>
        <v>3.5691109669045984E-2</v>
      </c>
      <c r="M35" s="370">
        <f t="shared" si="166"/>
        <v>-9.2053973013493273E-2</v>
      </c>
      <c r="N35" s="370">
        <f t="shared" si="166"/>
        <v>-1.5075376884421954E-2</v>
      </c>
      <c r="O35" s="335">
        <f t="shared" si="166"/>
        <v>0.48544111255975664</v>
      </c>
      <c r="P35" s="377">
        <f t="shared" si="166"/>
        <v>0.39515455304928992</v>
      </c>
      <c r="Q35" s="370">
        <f t="shared" si="166"/>
        <v>0.65257595772787336</v>
      </c>
      <c r="R35" s="370">
        <f t="shared" si="166"/>
        <v>0.76599422663802352</v>
      </c>
      <c r="S35" s="335">
        <f t="shared" si="166"/>
        <v>2.8086600351082458E-2</v>
      </c>
      <c r="T35" s="377">
        <f t="shared" si="166"/>
        <v>-1.9685628742515004E-2</v>
      </c>
      <c r="U35" s="370">
        <f t="shared" si="166"/>
        <v>-0.19588773425703887</v>
      </c>
      <c r="V35" s="370">
        <f t="shared" si="166"/>
        <v>-8.1054882394868133E-2</v>
      </c>
      <c r="W35" s="335">
        <f t="shared" si="166"/>
        <v>0.16078542970973242</v>
      </c>
      <c r="X35" s="377">
        <f t="shared" si="166"/>
        <v>7.3782800132345949E-2</v>
      </c>
      <c r="Y35" s="370">
        <f t="shared" si="166"/>
        <v>0.16536422378085835</v>
      </c>
      <c r="Z35" s="370">
        <f t="shared" si="166"/>
        <v>8.2464631422189072E-2</v>
      </c>
      <c r="AA35" s="335">
        <f t="shared" si="166"/>
        <v>-0.20127482226035787</v>
      </c>
      <c r="AB35" s="377">
        <f t="shared" si="166"/>
        <v>-0.3710120881725526</v>
      </c>
      <c r="AC35" s="370">
        <f t="shared" si="166"/>
        <v>-0.25395414963568508</v>
      </c>
      <c r="AD35" s="370">
        <f t="shared" si="166"/>
        <v>-0.23193847329702877</v>
      </c>
      <c r="AE35" s="335">
        <f t="shared" si="166"/>
        <v>0.14433701657458564</v>
      </c>
      <c r="AF35" s="377">
        <f t="shared" ref="AF35:BH35" si="167">AF32/AB32-1</f>
        <v>0.65866525982590352</v>
      </c>
      <c r="AG35" s="370">
        <f t="shared" si="167"/>
        <v>0.57473400031761157</v>
      </c>
      <c r="AH35" s="370">
        <f t="shared" si="167"/>
        <v>0.3449678454591818</v>
      </c>
      <c r="AI35" s="335">
        <f t="shared" si="167"/>
        <v>3.5695925255370131E-2</v>
      </c>
      <c r="AJ35" s="377">
        <f t="shared" si="167"/>
        <v>1.6701881134133041</v>
      </c>
      <c r="AK35" s="370">
        <f t="shared" si="167"/>
        <v>1.375006302881173</v>
      </c>
      <c r="AL35" s="370">
        <f t="shared" si="167"/>
        <v>1.2423838854669551</v>
      </c>
      <c r="AM35" s="335">
        <f t="shared" si="167"/>
        <v>0.90582916091160182</v>
      </c>
      <c r="AN35" s="377">
        <f t="shared" si="167"/>
        <v>-0.30329870417166538</v>
      </c>
      <c r="AO35" s="370">
        <f t="shared" si="167"/>
        <v>-0.30424444180240162</v>
      </c>
      <c r="AP35" s="370">
        <f t="shared" si="167"/>
        <v>-0.31178338695042485</v>
      </c>
      <c r="AQ35" s="335">
        <f>AQ32/AM32-1</f>
        <v>-0.22974572096683765</v>
      </c>
      <c r="AR35" s="377">
        <f t="shared" si="167"/>
        <v>-0.19276049044990462</v>
      </c>
      <c r="AS35" s="370">
        <f t="shared" si="167"/>
        <v>-0.20187847866419295</v>
      </c>
      <c r="AT35" s="370">
        <f t="shared" si="167"/>
        <v>-0.14254037695142774</v>
      </c>
      <c r="AU35" s="335">
        <f>AU32/AQ32-1</f>
        <v>5.5571890620405462E-2</v>
      </c>
      <c r="AV35" s="377">
        <f t="shared" si="167"/>
        <v>-9.1490166414523566E-2</v>
      </c>
      <c r="AW35" s="370">
        <f t="shared" si="167"/>
        <v>4.2752165900731942E-2</v>
      </c>
      <c r="AX35" s="370">
        <f t="shared" si="167"/>
        <v>-6.7934022924238224E-2</v>
      </c>
      <c r="AY35" s="370">
        <f t="shared" si="167"/>
        <v>-9.7284122562674047E-2</v>
      </c>
      <c r="AZ35" s="377">
        <f t="shared" si="167"/>
        <v>-0.12909537488031309</v>
      </c>
      <c r="BA35" s="370">
        <f t="shared" si="167"/>
        <v>-0.25935703390824827</v>
      </c>
      <c r="BB35" s="370">
        <f t="shared" si="167"/>
        <v>-0.17441511697660483</v>
      </c>
      <c r="BC35" s="335">
        <f t="shared" si="167"/>
        <v>-0.26097354007559981</v>
      </c>
      <c r="BD35" s="377">
        <f t="shared" si="167"/>
        <v>-0.178776290630975</v>
      </c>
      <c r="BE35" s="370">
        <f t="shared" si="167"/>
        <v>-7.900990099009908E-2</v>
      </c>
      <c r="BF35" s="370">
        <f t="shared" si="167"/>
        <v>2.4704813805631165E-2</v>
      </c>
      <c r="BG35" s="335">
        <f t="shared" si="167"/>
        <v>0.82045929018789154</v>
      </c>
      <c r="BH35" s="377">
        <f t="shared" si="167"/>
        <v>0.97555296856810214</v>
      </c>
      <c r="BI35" s="370">
        <f t="shared" ref="BI35" si="168">BI32/BE32-1</f>
        <v>0.98774457105998725</v>
      </c>
      <c r="BJ35" s="370">
        <f t="shared" ref="BJ35:BK35" si="169">BJ32/BF32-1</f>
        <v>0.69030313774153518</v>
      </c>
      <c r="BK35" s="335">
        <f t="shared" si="169"/>
        <v>5.7339449541284893E-3</v>
      </c>
      <c r="BL35" s="370">
        <f t="shared" ref="BL35:BS35" si="170">BL32/BH32-1</f>
        <v>3.3588685916323024E-2</v>
      </c>
      <c r="BM35" s="370">
        <f t="shared" si="170"/>
        <v>-1.3434288804759276E-2</v>
      </c>
      <c r="BN35" s="370">
        <f t="shared" si="170"/>
        <v>1.3953644467750603E-2</v>
      </c>
      <c r="BO35" s="335">
        <f t="shared" si="170"/>
        <v>6.9328000000000056E-2</v>
      </c>
      <c r="BP35" s="370">
        <f t="shared" si="170"/>
        <v>-5.5249600000000232E-3</v>
      </c>
      <c r="BQ35" s="370">
        <f t="shared" si="170"/>
        <v>-5.5249600000001342E-3</v>
      </c>
      <c r="BR35" s="370">
        <f t="shared" si="170"/>
        <v>-5.5249600000000232E-3</v>
      </c>
      <c r="BS35" s="335">
        <f t="shared" si="170"/>
        <v>-5.5249600000000232E-3</v>
      </c>
      <c r="BT35" s="370">
        <f t="shared" ref="BT35" si="171">BT32/BP32-1</f>
        <v>-5.5249600000000232E-3</v>
      </c>
      <c r="BU35" s="370">
        <f t="shared" ref="BU35" si="172">BU32/BQ32-1</f>
        <v>-5.5249600000000232E-3</v>
      </c>
      <c r="BV35" s="370">
        <f t="shared" ref="BV35" si="173">BV32/BR32-1</f>
        <v>-5.5249600000000232E-3</v>
      </c>
      <c r="BW35" s="335">
        <f t="shared" ref="BW35" si="174">BW32/BS32-1</f>
        <v>-5.5249600000001342E-3</v>
      </c>
      <c r="BX35" s="346"/>
      <c r="BY35" s="377"/>
      <c r="BZ35" s="338">
        <f>BZ32/BY32-1</f>
        <v>0.63665062287655716</v>
      </c>
      <c r="CA35" s="338">
        <f>CA32/BZ32-1</f>
        <v>9.6658680252220686E-2</v>
      </c>
      <c r="CB35" s="338">
        <f>CB32/CA32-1</f>
        <v>0.41887639208757954</v>
      </c>
      <c r="CC35" s="338">
        <f>CC32/CB32-1</f>
        <v>-3.944212366555222E-2</v>
      </c>
      <c r="CD35" s="338">
        <f t="shared" ref="CD35:CP35" si="175">CD32/CC32-1</f>
        <v>1.7491218222116744E-2</v>
      </c>
      <c r="CE35" s="338">
        <f t="shared" si="175"/>
        <v>-0.18692609349717182</v>
      </c>
      <c r="CF35" s="338">
        <f t="shared" si="175"/>
        <v>0.357015196824231</v>
      </c>
      <c r="CG35" s="338">
        <f t="shared" si="175"/>
        <v>1.2929578263413326</v>
      </c>
      <c r="CH35" s="338">
        <f t="shared" si="175"/>
        <v>-0.291259342188531</v>
      </c>
      <c r="CI35" s="338">
        <f t="shared" si="175"/>
        <v>-0.12826055581900275</v>
      </c>
      <c r="CJ35" s="338">
        <f t="shared" si="175"/>
        <v>-5.4932439685112855E-2</v>
      </c>
      <c r="CK35" s="338">
        <f t="shared" si="175"/>
        <v>-0.20783578426182414</v>
      </c>
      <c r="CL35" s="338">
        <f t="shared" si="175"/>
        <v>0.13278250303766703</v>
      </c>
      <c r="CM35" s="338">
        <f t="shared" si="175"/>
        <v>0.54610202943321728</v>
      </c>
      <c r="CN35" s="338">
        <f t="shared" si="175"/>
        <v>2.5027183571527889E-2</v>
      </c>
      <c r="CO35" s="338">
        <f t="shared" si="175"/>
        <v>-5.5249600000000232E-3</v>
      </c>
      <c r="CP35" s="337">
        <f t="shared" si="175"/>
        <v>-5.5249600000000232E-3</v>
      </c>
      <c r="CQ35" s="1041"/>
    </row>
    <row r="36" spans="1:95" ht="14.25" customHeight="1">
      <c r="A36" s="865"/>
      <c r="B36" s="32" t="s">
        <v>299</v>
      </c>
      <c r="C36" s="218"/>
      <c r="D36" s="78"/>
      <c r="E36" s="78">
        <f t="shared" ref="E36:AE36" si="176">E32/E76</f>
        <v>0.18</v>
      </c>
      <c r="F36" s="78">
        <f t="shared" si="176"/>
        <v>0.17</v>
      </c>
      <c r="G36" s="79">
        <f t="shared" si="176"/>
        <v>0.18</v>
      </c>
      <c r="H36" s="78">
        <f t="shared" si="176"/>
        <v>0.17999999999999997</v>
      </c>
      <c r="I36" s="78">
        <f t="shared" si="176"/>
        <v>0.18</v>
      </c>
      <c r="J36" s="78">
        <f t="shared" si="176"/>
        <v>0.19</v>
      </c>
      <c r="K36" s="79">
        <f t="shared" si="176"/>
        <v>0.17999999999999994</v>
      </c>
      <c r="L36" s="78">
        <f t="shared" si="176"/>
        <v>0.19</v>
      </c>
      <c r="M36" s="78">
        <f t="shared" si="176"/>
        <v>0.18</v>
      </c>
      <c r="N36" s="78">
        <f t="shared" si="176"/>
        <v>0.19</v>
      </c>
      <c r="O36" s="79">
        <f t="shared" si="176"/>
        <v>0.24</v>
      </c>
      <c r="P36" s="78">
        <f t="shared" si="176"/>
        <v>0.24</v>
      </c>
      <c r="Q36" s="78">
        <f t="shared" si="176"/>
        <v>0.24</v>
      </c>
      <c r="R36" s="78">
        <f t="shared" si="176"/>
        <v>0.25</v>
      </c>
      <c r="S36" s="79">
        <f t="shared" si="176"/>
        <v>0.21</v>
      </c>
      <c r="T36" s="78">
        <f t="shared" si="176"/>
        <v>0.20999999999999996</v>
      </c>
      <c r="U36" s="78">
        <f t="shared" si="176"/>
        <v>0.19</v>
      </c>
      <c r="V36" s="78">
        <f t="shared" si="176"/>
        <v>0.24000000000000002</v>
      </c>
      <c r="W36" s="79">
        <f t="shared" si="176"/>
        <v>0.24</v>
      </c>
      <c r="X36" s="78">
        <f t="shared" si="176"/>
        <v>0.2</v>
      </c>
      <c r="Y36" s="78">
        <f t="shared" si="176"/>
        <v>0.14999999999999997</v>
      </c>
      <c r="Z36" s="78">
        <f t="shared" si="176"/>
        <v>0.18</v>
      </c>
      <c r="AA36" s="79">
        <f t="shared" si="176"/>
        <v>0.16</v>
      </c>
      <c r="AB36" s="78">
        <f t="shared" si="176"/>
        <v>0.14000000000000001</v>
      </c>
      <c r="AC36" s="78">
        <f t="shared" si="176"/>
        <v>0.15</v>
      </c>
      <c r="AD36" s="78">
        <f t="shared" si="176"/>
        <v>0.17</v>
      </c>
      <c r="AE36" s="79">
        <f t="shared" si="176"/>
        <v>0.18</v>
      </c>
      <c r="AF36" s="78">
        <f t="shared" ref="AF36:AQ36" si="177">AF32/AF76</f>
        <v>0.16</v>
      </c>
      <c r="AG36" s="78">
        <f t="shared" si="177"/>
        <v>0.16999999999999998</v>
      </c>
      <c r="AH36" s="78">
        <f t="shared" si="177"/>
        <v>0.18</v>
      </c>
      <c r="AI36" s="79">
        <f t="shared" si="177"/>
        <v>0.16</v>
      </c>
      <c r="AJ36" s="78">
        <f t="shared" si="177"/>
        <v>0.27</v>
      </c>
      <c r="AK36" s="78">
        <f t="shared" si="177"/>
        <v>0.26</v>
      </c>
      <c r="AL36" s="78">
        <f t="shared" si="177"/>
        <v>0.26999999999999996</v>
      </c>
      <c r="AM36" s="79">
        <f t="shared" si="177"/>
        <v>0.22999999999999998</v>
      </c>
      <c r="AN36" s="78">
        <f t="shared" si="177"/>
        <v>0.22</v>
      </c>
      <c r="AO36" s="78">
        <f t="shared" si="177"/>
        <v>0.22</v>
      </c>
      <c r="AP36" s="78">
        <f t="shared" si="177"/>
        <v>0.22999999999999998</v>
      </c>
      <c r="AQ36" s="79">
        <f t="shared" si="177"/>
        <v>0.2</v>
      </c>
      <c r="AR36" s="78">
        <f t="shared" ref="AR36:AW36" si="178">AR32/AR76</f>
        <v>0.20000000000000004</v>
      </c>
      <c r="AS36" s="78">
        <f t="shared" si="178"/>
        <v>0.18999999999999997</v>
      </c>
      <c r="AT36" s="78">
        <f t="shared" si="178"/>
        <v>0.19999999999999998</v>
      </c>
      <c r="AU36" s="79">
        <f t="shared" si="178"/>
        <v>0.19999999999999998</v>
      </c>
      <c r="AV36" s="78">
        <f t="shared" si="178"/>
        <v>0.17</v>
      </c>
      <c r="AW36" s="78">
        <f t="shared" si="178"/>
        <v>0.18000000000000002</v>
      </c>
      <c r="AX36" s="78">
        <f t="shared" ref="AX36:BC36" si="179">AX32/AX76</f>
        <v>0.16</v>
      </c>
      <c r="AY36" s="78">
        <f t="shared" si="179"/>
        <v>0.14999999999999997</v>
      </c>
      <c r="AZ36" s="134">
        <f t="shared" si="179"/>
        <v>0.12011943040881948</v>
      </c>
      <c r="BA36" s="78">
        <f t="shared" si="179"/>
        <v>0.11470755252697332</v>
      </c>
      <c r="BB36" s="78">
        <f t="shared" si="179"/>
        <v>0.12173816895179124</v>
      </c>
      <c r="BC36" s="79">
        <f t="shared" si="179"/>
        <v>0.11400690229679876</v>
      </c>
      <c r="BD36" s="134">
        <f>BD32/BD76</f>
        <v>0.10511502692119434</v>
      </c>
      <c r="BE36" s="78">
        <f>BE32/BE76</f>
        <v>0.10596946912736387</v>
      </c>
      <c r="BF36" s="78">
        <f t="shared" ref="BF36:BG36" si="180">BF32/BF76</f>
        <v>0.11864549374277</v>
      </c>
      <c r="BG36" s="79">
        <f t="shared" si="180"/>
        <v>0.13830293417922285</v>
      </c>
      <c r="BH36" s="134">
        <f>BH32/BH76</f>
        <v>0.13241260923845191</v>
      </c>
      <c r="BI36" s="78">
        <f t="shared" ref="BI36:BK36" si="181">BI32/BI76</f>
        <v>0.13819133034379674</v>
      </c>
      <c r="BJ36" s="78">
        <f t="shared" si="181"/>
        <v>0.1370956146657081</v>
      </c>
      <c r="BK36" s="79">
        <f t="shared" si="181"/>
        <v>0.12733212341197822</v>
      </c>
      <c r="BL36" s="78">
        <f t="shared" ref="BL36:BS36" si="182">BL32/(BL76)</f>
        <v>0.12804256210684764</v>
      </c>
      <c r="BM36" s="78">
        <f t="shared" si="182"/>
        <v>0.12770782385513907</v>
      </c>
      <c r="BN36" s="78">
        <f t="shared" si="182"/>
        <v>0.13224690020279875</v>
      </c>
      <c r="BO36" s="79">
        <f t="shared" si="182"/>
        <v>0.13059328159444886</v>
      </c>
      <c r="BP36" s="78">
        <f t="shared" si="182"/>
        <v>0.12212932804108327</v>
      </c>
      <c r="BQ36" s="78">
        <f t="shared" si="182"/>
        <v>0.12243863398532402</v>
      </c>
      <c r="BR36" s="78">
        <f t="shared" si="182"/>
        <v>0.12702649179055664</v>
      </c>
      <c r="BS36" s="79">
        <f t="shared" si="182"/>
        <v>0.12539402988826634</v>
      </c>
      <c r="BT36" s="78">
        <f t="shared" ref="BT36:BW36" si="183">BT32/(BT76)</f>
        <v>0.11709764619921982</v>
      </c>
      <c r="BU36" s="78">
        <f t="shared" si="183"/>
        <v>0.11740441684827355</v>
      </c>
      <c r="BV36" s="78">
        <f t="shared" si="183"/>
        <v>0.121919310817222</v>
      </c>
      <c r="BW36" s="79">
        <f t="shared" si="183"/>
        <v>0.12030962677376061</v>
      </c>
      <c r="BX36" s="346"/>
      <c r="BY36" s="359">
        <f t="shared" ref="BY36:CJ36" si="184">BY32/(BY76)</f>
        <v>0.17662892298613897</v>
      </c>
      <c r="BZ36" s="338">
        <f t="shared" si="184"/>
        <v>0.18251322124871733</v>
      </c>
      <c r="CA36" s="338">
        <f t="shared" si="184"/>
        <v>0.2011550055529113</v>
      </c>
      <c r="CB36" s="338">
        <f t="shared" si="184"/>
        <v>0.23488249118683899</v>
      </c>
      <c r="CC36" s="338">
        <f t="shared" si="184"/>
        <v>0.22066275060656362</v>
      </c>
      <c r="CD36" s="338">
        <f t="shared" si="184"/>
        <v>0.17113441697488804</v>
      </c>
      <c r="CE36" s="338">
        <f t="shared" si="184"/>
        <v>0.16163434903047091</v>
      </c>
      <c r="CF36" s="338">
        <f t="shared" si="184"/>
        <v>0.16771461917523992</v>
      </c>
      <c r="CG36" s="338">
        <f t="shared" si="184"/>
        <v>0.25844551607936556</v>
      </c>
      <c r="CH36" s="338">
        <f t="shared" si="184"/>
        <v>0.21780683270579299</v>
      </c>
      <c r="CI36" s="338">
        <f t="shared" si="184"/>
        <v>0.19752650303661912</v>
      </c>
      <c r="CJ36" s="338">
        <f t="shared" si="184"/>
        <v>0.16429344044531594</v>
      </c>
      <c r="CK36" s="338">
        <f t="shared" ref="CK36:CP36" si="185">CK32/(CK76)</f>
        <v>0.11770594965675057</v>
      </c>
      <c r="CL36" s="338">
        <f t="shared" si="185"/>
        <v>0.11931198648544881</v>
      </c>
      <c r="CM36" s="338">
        <f t="shared" si="185"/>
        <v>0.13375772535773275</v>
      </c>
      <c r="CN36" s="338">
        <f t="shared" si="185"/>
        <v>0.12968082583275872</v>
      </c>
      <c r="CO36" s="338">
        <f t="shared" si="185"/>
        <v>0.12428251277782761</v>
      </c>
      <c r="CP36" s="337">
        <f t="shared" si="185"/>
        <v>0.11921672968601899</v>
      </c>
      <c r="CQ36" s="1041"/>
    </row>
    <row r="37" spans="1:95" ht="14.25" customHeight="1">
      <c r="A37" s="865"/>
      <c r="B37" s="32"/>
      <c r="C37" s="218"/>
      <c r="D37" s="78"/>
      <c r="E37" s="78"/>
      <c r="F37" s="78"/>
      <c r="G37" s="79"/>
      <c r="H37" s="78"/>
      <c r="I37" s="78"/>
      <c r="J37" s="78"/>
      <c r="K37" s="79"/>
      <c r="L37" s="78"/>
      <c r="M37" s="78"/>
      <c r="N37" s="78"/>
      <c r="O37" s="79"/>
      <c r="P37" s="78"/>
      <c r="Q37" s="78"/>
      <c r="R37" s="78"/>
      <c r="S37" s="79"/>
      <c r="T37" s="78"/>
      <c r="U37" s="78"/>
      <c r="V37" s="78"/>
      <c r="W37" s="79"/>
      <c r="X37" s="78"/>
      <c r="Y37" s="78"/>
      <c r="Z37" s="78"/>
      <c r="AA37" s="79"/>
      <c r="AB37" s="78"/>
      <c r="AC37" s="78"/>
      <c r="AD37" s="78"/>
      <c r="AE37" s="79"/>
      <c r="AF37" s="78"/>
      <c r="AG37" s="78"/>
      <c r="AH37" s="78"/>
      <c r="AI37" s="79"/>
      <c r="AJ37" s="78"/>
      <c r="AK37" s="78"/>
      <c r="AL37" s="78"/>
      <c r="AM37" s="79"/>
      <c r="AN37" s="78"/>
      <c r="AO37" s="78"/>
      <c r="AP37" s="78"/>
      <c r="AQ37" s="79"/>
      <c r="AR37" s="78"/>
      <c r="AS37" s="78"/>
      <c r="AT37" s="78"/>
      <c r="AU37" s="79"/>
      <c r="AV37" s="78"/>
      <c r="AW37" s="78"/>
      <c r="AX37" s="78"/>
      <c r="AY37" s="78"/>
      <c r="AZ37" s="134"/>
      <c r="BA37" s="78"/>
      <c r="BB37" s="78"/>
      <c r="BC37" s="79"/>
      <c r="BD37" s="134"/>
      <c r="BE37" s="78"/>
      <c r="BF37" s="78"/>
      <c r="BG37" s="79"/>
      <c r="BH37" s="134"/>
      <c r="BI37" s="78"/>
      <c r="BJ37" s="78"/>
      <c r="BK37" s="79"/>
      <c r="BL37" s="57"/>
      <c r="BM37" s="57"/>
      <c r="BN37" s="57"/>
      <c r="BO37" s="24"/>
      <c r="BP37" s="57"/>
      <c r="BQ37" s="57"/>
      <c r="BR37" s="57"/>
      <c r="BS37" s="24"/>
      <c r="BT37" s="57"/>
      <c r="BU37" s="57"/>
      <c r="BV37" s="57"/>
      <c r="BW37" s="24"/>
      <c r="BX37" s="346"/>
      <c r="BY37" s="22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211"/>
      <c r="CQ37" s="1041"/>
    </row>
    <row r="38" spans="1:95" ht="14.25" customHeight="1">
      <c r="A38" s="865"/>
      <c r="B38" s="45" t="str">
        <f>$B$105&amp;" Gross Margin"</f>
        <v>Consumer Gross Margin</v>
      </c>
      <c r="C38" s="218"/>
      <c r="D38" s="374"/>
      <c r="E38" s="341">
        <f t="shared" ref="E38:AE38" si="186">E98*E36</f>
        <v>13.301999999999996</v>
      </c>
      <c r="F38" s="341">
        <f t="shared" si="186"/>
        <v>12.512000000000004</v>
      </c>
      <c r="G38" s="342">
        <f t="shared" si="186"/>
        <v>14.112000000000005</v>
      </c>
      <c r="H38" s="374">
        <f t="shared" si="186"/>
        <v>17.261999999999993</v>
      </c>
      <c r="I38" s="341">
        <f t="shared" si="186"/>
        <v>20.231999999999999</v>
      </c>
      <c r="J38" s="341">
        <f t="shared" si="186"/>
        <v>19.569999999999993</v>
      </c>
      <c r="K38" s="342">
        <f t="shared" si="186"/>
        <v>17.747999999999998</v>
      </c>
      <c r="L38" s="374">
        <f t="shared" si="186"/>
        <v>18.277999999999999</v>
      </c>
      <c r="M38" s="341">
        <f t="shared" si="186"/>
        <v>17.73</v>
      </c>
      <c r="N38" s="341">
        <f t="shared" si="186"/>
        <v>19.779000000000003</v>
      </c>
      <c r="O38" s="342">
        <f t="shared" si="186"/>
        <v>28.728000000000002</v>
      </c>
      <c r="P38" s="374">
        <f t="shared" si="186"/>
        <v>28.247999999999998</v>
      </c>
      <c r="Q38" s="341">
        <f t="shared" si="186"/>
        <v>36.768000000000001</v>
      </c>
      <c r="R38" s="341">
        <f t="shared" si="186"/>
        <v>40.099999999999994</v>
      </c>
      <c r="S38" s="342">
        <f t="shared" si="186"/>
        <v>33.117000000000004</v>
      </c>
      <c r="T38" s="374">
        <f t="shared" si="186"/>
        <v>28.685999999999993</v>
      </c>
      <c r="U38" s="341">
        <f t="shared" si="186"/>
        <v>27.740000000000002</v>
      </c>
      <c r="V38" s="341">
        <f t="shared" si="186"/>
        <v>37.343999999999994</v>
      </c>
      <c r="W38" s="342">
        <f t="shared" si="186"/>
        <v>36.551999999999992</v>
      </c>
      <c r="X38" s="374">
        <f t="shared" si="186"/>
        <v>29.319999999999993</v>
      </c>
      <c r="Y38" s="341">
        <f t="shared" si="186"/>
        <v>28.74</v>
      </c>
      <c r="Z38" s="341">
        <f t="shared" si="186"/>
        <v>39.888000000000005</v>
      </c>
      <c r="AA38" s="342">
        <f t="shared" si="186"/>
        <v>29.712</v>
      </c>
      <c r="AB38" s="374">
        <f t="shared" si="186"/>
        <v>15.694000000000004</v>
      </c>
      <c r="AC38" s="341">
        <f t="shared" si="186"/>
        <v>20.729999999999997</v>
      </c>
      <c r="AD38" s="341">
        <f t="shared" si="186"/>
        <v>29.885999999999996</v>
      </c>
      <c r="AE38" s="342">
        <f t="shared" si="186"/>
        <v>35.028000000000006</v>
      </c>
      <c r="AF38" s="374">
        <f t="shared" ref="AF38:AQ38" si="187">AF98*AF36</f>
        <v>36.496000000000002</v>
      </c>
      <c r="AG38" s="341">
        <f t="shared" si="187"/>
        <v>41.445999999999991</v>
      </c>
      <c r="AH38" s="341">
        <f t="shared" si="187"/>
        <v>44.370000000000012</v>
      </c>
      <c r="AI38" s="342">
        <f t="shared" si="187"/>
        <v>38.016000000000005</v>
      </c>
      <c r="AJ38" s="374">
        <f t="shared" si="187"/>
        <v>65.447999999999993</v>
      </c>
      <c r="AK38" s="341">
        <f t="shared" si="187"/>
        <v>69.185999999999979</v>
      </c>
      <c r="AL38" s="341">
        <f t="shared" si="187"/>
        <v>70.497</v>
      </c>
      <c r="AM38" s="342">
        <f t="shared" si="187"/>
        <v>55.015999999999977</v>
      </c>
      <c r="AN38" s="374">
        <f t="shared" si="187"/>
        <v>53.943999999999996</v>
      </c>
      <c r="AO38" s="341">
        <f t="shared" si="187"/>
        <v>56.825999999999993</v>
      </c>
      <c r="AP38" s="341">
        <f t="shared" si="187"/>
        <v>54.739999999999995</v>
      </c>
      <c r="AQ38" s="342">
        <f t="shared" si="187"/>
        <v>42.080000000000013</v>
      </c>
      <c r="AR38" s="374">
        <f t="shared" ref="AR38:AW38" si="188">AR98*AR36</f>
        <v>40.900000000000006</v>
      </c>
      <c r="AS38" s="341">
        <f t="shared" si="188"/>
        <v>44.041999999999987</v>
      </c>
      <c r="AT38" s="341">
        <f t="shared" si="188"/>
        <v>49.839999999999996</v>
      </c>
      <c r="AU38" s="342">
        <f t="shared" si="188"/>
        <v>50.579999999999991</v>
      </c>
      <c r="AV38" s="374">
        <f t="shared" si="188"/>
        <v>42.636000000000003</v>
      </c>
      <c r="AW38" s="341">
        <f t="shared" si="188"/>
        <v>49.140000000000008</v>
      </c>
      <c r="AX38" s="341">
        <f t="shared" ref="AX38:BC38" si="189">AX98*AX36</f>
        <v>45.456000000000003</v>
      </c>
      <c r="AY38" s="341">
        <f t="shared" si="189"/>
        <v>41.654999999999994</v>
      </c>
      <c r="AZ38" s="374">
        <f t="shared" si="189"/>
        <v>36.083876894809372</v>
      </c>
      <c r="BA38" s="341">
        <f t="shared" si="189"/>
        <v>34.916978989210676</v>
      </c>
      <c r="BB38" s="341">
        <f t="shared" si="189"/>
        <v>37.556225121627598</v>
      </c>
      <c r="BC38" s="342">
        <f t="shared" si="189"/>
        <v>31.910531952873971</v>
      </c>
      <c r="BD38" s="374">
        <f>BD98*BD36</f>
        <v>28.959189916789043</v>
      </c>
      <c r="BE38" s="341">
        <f>BE98*BE36</f>
        <v>32.62799954431533</v>
      </c>
      <c r="BF38" s="341">
        <f t="shared" ref="BF38:BG38" si="190">BF98*BF36</f>
        <v>39.03436744137133</v>
      </c>
      <c r="BG38" s="342">
        <f t="shared" si="190"/>
        <v>53.177478191911185</v>
      </c>
      <c r="BH38" s="374">
        <f>BH98*BH36</f>
        <v>66.64326622971285</v>
      </c>
      <c r="BI38" s="341">
        <f t="shared" ref="BI38:BK38" si="191">BI98*BI36</f>
        <v>68.003953662182383</v>
      </c>
      <c r="BJ38" s="341">
        <f t="shared" si="191"/>
        <v>71.865521207764189</v>
      </c>
      <c r="BK38" s="342">
        <f t="shared" si="191"/>
        <v>65.474177858439205</v>
      </c>
      <c r="BL38" s="341">
        <f t="shared" ref="BL38:BS38" si="192">BL41*BL32</f>
        <v>65.775000000000006</v>
      </c>
      <c r="BM38" s="341">
        <f t="shared" si="192"/>
        <v>68.770832000000013</v>
      </c>
      <c r="BN38" s="341">
        <f t="shared" si="192"/>
        <v>73.283803840000019</v>
      </c>
      <c r="BO38" s="342">
        <f t="shared" si="192"/>
        <v>70.710169462400017</v>
      </c>
      <c r="BP38" s="341">
        <f t="shared" si="192"/>
        <v>65.324380294992011</v>
      </c>
      <c r="BQ38" s="341">
        <f t="shared" si="192"/>
        <v>69.025804460171528</v>
      </c>
      <c r="BR38" s="341">
        <f t="shared" si="192"/>
        <v>74.513401266794887</v>
      </c>
      <c r="BS38" s="342">
        <f t="shared" si="192"/>
        <v>71.904951490835998</v>
      </c>
      <c r="BT38" s="341">
        <f t="shared" ref="BT38:BW38" si="193">BT41*BT32</f>
        <v>66.437936891104727</v>
      </c>
      <c r="BU38" s="341">
        <f t="shared" si="193"/>
        <v>70.177889683199282</v>
      </c>
      <c r="BV38" s="341">
        <f t="shared" si="193"/>
        <v>75.727174738868214</v>
      </c>
      <c r="BW38" s="342">
        <f t="shared" si="193"/>
        <v>73.084372832577401</v>
      </c>
      <c r="BX38" s="346"/>
      <c r="BY38" s="334">
        <f>SUM(D38:G38)</f>
        <v>39.926000000000002</v>
      </c>
      <c r="BZ38" s="325">
        <f>SUM(H38:K38)</f>
        <v>74.811999999999983</v>
      </c>
      <c r="CA38" s="325">
        <f>SUM(L38:O38)</f>
        <v>84.515000000000001</v>
      </c>
      <c r="CB38" s="325">
        <f>SUM(P38:S38)</f>
        <v>138.233</v>
      </c>
      <c r="CC38" s="325">
        <f>SUM(T38:W38)</f>
        <v>130.32199999999997</v>
      </c>
      <c r="CD38" s="325">
        <f>SUM(X38:AA38)</f>
        <v>127.66</v>
      </c>
      <c r="CE38" s="325">
        <f>SUM(AB38:AE38)</f>
        <v>101.33800000000001</v>
      </c>
      <c r="CF38" s="325">
        <f>SUM(AF38:AI38)</f>
        <v>160.32800000000003</v>
      </c>
      <c r="CG38" s="325">
        <f>SUM(AJ38:AM38)</f>
        <v>260.14699999999993</v>
      </c>
      <c r="CH38" s="325">
        <f>SUM(AN38:AQ38)</f>
        <v>207.59</v>
      </c>
      <c r="CI38" s="325">
        <f>SUM(AR38:AU38)</f>
        <v>185.36199999999997</v>
      </c>
      <c r="CJ38" s="325">
        <f>SUM(AV38:AY38)</f>
        <v>178.88700000000003</v>
      </c>
      <c r="CK38" s="325">
        <f>SUM(AZ38:BC38)</f>
        <v>140.46761295852161</v>
      </c>
      <c r="CL38" s="325">
        <f>SUM(BD38:BG38)</f>
        <v>153.79903509438688</v>
      </c>
      <c r="CM38" s="325">
        <f>SUM(BH38:BK38)</f>
        <v>271.98691895809861</v>
      </c>
      <c r="CN38" s="325">
        <f>SUM(BL38:BO38)</f>
        <v>278.53980530240005</v>
      </c>
      <c r="CO38" s="325">
        <f>SUM(BP38:BS38)</f>
        <v>280.76853751279441</v>
      </c>
      <c r="CP38" s="326">
        <f>SUM(BT38:BW38)</f>
        <v>285.42737414574964</v>
      </c>
      <c r="CQ38" s="1041"/>
    </row>
    <row r="39" spans="1:95" ht="14.25" customHeight="1">
      <c r="A39" s="865"/>
      <c r="B39" s="32" t="s">
        <v>297</v>
      </c>
      <c r="C39" s="218"/>
      <c r="D39" s="134"/>
      <c r="E39" s="78"/>
      <c r="F39" s="78">
        <f t="shared" ref="F39:AE39" si="194">F38/E38-1</f>
        <v>-5.9389565478874751E-2</v>
      </c>
      <c r="G39" s="79">
        <f t="shared" si="194"/>
        <v>0.12787723785166238</v>
      </c>
      <c r="H39" s="134">
        <f t="shared" si="194"/>
        <v>0.2232142857142847</v>
      </c>
      <c r="I39" s="78">
        <f t="shared" si="194"/>
        <v>0.17205422314911401</v>
      </c>
      <c r="J39" s="78">
        <f t="shared" si="194"/>
        <v>-3.2720442862791965E-2</v>
      </c>
      <c r="K39" s="79">
        <f t="shared" si="194"/>
        <v>-9.3101686254470906E-2</v>
      </c>
      <c r="L39" s="134">
        <f t="shared" si="194"/>
        <v>2.9862519720531999E-2</v>
      </c>
      <c r="M39" s="78">
        <f t="shared" si="194"/>
        <v>-2.9981398402450954E-2</v>
      </c>
      <c r="N39" s="78">
        <f t="shared" si="194"/>
        <v>0.11556683587140459</v>
      </c>
      <c r="O39" s="79">
        <f t="shared" si="194"/>
        <v>0.45244956772334266</v>
      </c>
      <c r="P39" s="134">
        <f t="shared" si="194"/>
        <v>-1.670843776106945E-2</v>
      </c>
      <c r="Q39" s="78">
        <f t="shared" si="194"/>
        <v>0.30161427357689052</v>
      </c>
      <c r="R39" s="78">
        <f t="shared" si="194"/>
        <v>9.0622280243690012E-2</v>
      </c>
      <c r="S39" s="79">
        <f t="shared" si="194"/>
        <v>-0.17413965087281769</v>
      </c>
      <c r="T39" s="134">
        <f t="shared" si="194"/>
        <v>-0.13379835129993689</v>
      </c>
      <c r="U39" s="78">
        <f t="shared" si="194"/>
        <v>-3.2977759185665145E-2</v>
      </c>
      <c r="V39" s="78">
        <f t="shared" si="194"/>
        <v>0.34621485219899029</v>
      </c>
      <c r="W39" s="79">
        <f t="shared" si="194"/>
        <v>-2.1208226221079762E-2</v>
      </c>
      <c r="X39" s="134">
        <f t="shared" si="194"/>
        <v>-0.19785511052746774</v>
      </c>
      <c r="Y39" s="78">
        <f t="shared" si="194"/>
        <v>-1.978171896316494E-2</v>
      </c>
      <c r="Z39" s="78">
        <f t="shared" si="194"/>
        <v>0.38789144050104407</v>
      </c>
      <c r="AA39" s="79">
        <f t="shared" si="194"/>
        <v>-0.25511432009626966</v>
      </c>
      <c r="AB39" s="134">
        <f t="shared" si="194"/>
        <v>-0.47179590737749044</v>
      </c>
      <c r="AC39" s="78">
        <f t="shared" si="194"/>
        <v>0.32088696317063792</v>
      </c>
      <c r="AD39" s="78">
        <f t="shared" si="194"/>
        <v>0.44167872648335749</v>
      </c>
      <c r="AE39" s="79">
        <f t="shared" si="194"/>
        <v>0.17205380445693663</v>
      </c>
      <c r="AF39" s="134">
        <f t="shared" ref="AF39:BH39" si="195">AF38/AE38-1</f>
        <v>4.190932967911376E-2</v>
      </c>
      <c r="AG39" s="78">
        <f t="shared" si="195"/>
        <v>0.13563130206049956</v>
      </c>
      <c r="AH39" s="78">
        <f t="shared" si="195"/>
        <v>7.0549630844955358E-2</v>
      </c>
      <c r="AI39" s="79">
        <f t="shared" si="195"/>
        <v>-0.14320486815415834</v>
      </c>
      <c r="AJ39" s="134">
        <f t="shared" si="195"/>
        <v>0.72159090909090873</v>
      </c>
      <c r="AK39" s="78">
        <f t="shared" si="195"/>
        <v>5.7114044737806902E-2</v>
      </c>
      <c r="AL39" s="78">
        <f t="shared" si="195"/>
        <v>1.8948920301795402E-2</v>
      </c>
      <c r="AM39" s="79">
        <f t="shared" si="195"/>
        <v>-0.21959799707789018</v>
      </c>
      <c r="AN39" s="134">
        <f t="shared" si="195"/>
        <v>-1.9485240657262981E-2</v>
      </c>
      <c r="AO39" s="78">
        <f t="shared" si="195"/>
        <v>5.3425774877650767E-2</v>
      </c>
      <c r="AP39" s="78">
        <f t="shared" si="195"/>
        <v>-3.6708548903670812E-2</v>
      </c>
      <c r="AQ39" s="79">
        <f>AQ38/AP38-1</f>
        <v>-0.2312751187431491</v>
      </c>
      <c r="AR39" s="134">
        <f t="shared" si="195"/>
        <v>-2.8041825095057149E-2</v>
      </c>
      <c r="AS39" s="78">
        <f t="shared" si="195"/>
        <v>7.6821515892420145E-2</v>
      </c>
      <c r="AT39" s="78">
        <f t="shared" si="195"/>
        <v>0.13164706416602368</v>
      </c>
      <c r="AU39" s="79">
        <f>AU38/AT38-1</f>
        <v>1.4847512038523192E-2</v>
      </c>
      <c r="AV39" s="134">
        <f t="shared" si="195"/>
        <v>-0.15705812574139955</v>
      </c>
      <c r="AW39" s="78">
        <f t="shared" si="195"/>
        <v>0.15254714325921759</v>
      </c>
      <c r="AX39" s="78">
        <f t="shared" si="195"/>
        <v>-7.4969474969475036E-2</v>
      </c>
      <c r="AY39" s="78">
        <f t="shared" si="195"/>
        <v>-8.3619324181626431E-2</v>
      </c>
      <c r="AZ39" s="134">
        <f t="shared" si="195"/>
        <v>-0.13374440295740309</v>
      </c>
      <c r="BA39" s="78">
        <f t="shared" si="195"/>
        <v>-3.2338484830784719E-2</v>
      </c>
      <c r="BB39" s="78">
        <f t="shared" si="195"/>
        <v>7.5586325301293833E-2</v>
      </c>
      <c r="BC39" s="79">
        <f t="shared" si="195"/>
        <v>-0.15032642792159712</v>
      </c>
      <c r="BD39" s="134">
        <f t="shared" si="195"/>
        <v>-9.2488023717170242E-2</v>
      </c>
      <c r="BE39" s="78">
        <f t="shared" si="195"/>
        <v>0.12668895912034128</v>
      </c>
      <c r="BF39" s="78">
        <f t="shared" si="195"/>
        <v>0.19634571492361563</v>
      </c>
      <c r="BG39" s="79">
        <f t="shared" si="195"/>
        <v>0.36232457902084514</v>
      </c>
      <c r="BH39" s="134">
        <f t="shared" si="195"/>
        <v>0.25322351671520105</v>
      </c>
      <c r="BI39" s="78">
        <f t="shared" ref="BI39" si="196">BI38/BH38-1</f>
        <v>2.0417478155698054E-2</v>
      </c>
      <c r="BJ39" s="78">
        <f t="shared" ref="BJ39:BK39" si="197">BJ38/BI38-1</f>
        <v>5.6784456456231869E-2</v>
      </c>
      <c r="BK39" s="79">
        <f t="shared" si="197"/>
        <v>-8.8934766518251829E-2</v>
      </c>
      <c r="BL39" s="78">
        <f t="shared" ref="BL39:BS39" si="198">BL38/BK38-1</f>
        <v>4.5945157526254832E-3</v>
      </c>
      <c r="BM39" s="78">
        <f t="shared" si="198"/>
        <v>4.5546666666666846E-2</v>
      </c>
      <c r="BN39" s="78">
        <f t="shared" si="198"/>
        <v>6.562334217506649E-2</v>
      </c>
      <c r="BO39" s="79">
        <f t="shared" si="198"/>
        <v>-3.511873350923489E-2</v>
      </c>
      <c r="BP39" s="78">
        <f t="shared" si="198"/>
        <v>-7.6167108753315671E-2</v>
      </c>
      <c r="BQ39" s="78">
        <f t="shared" si="198"/>
        <v>5.6662216288384526E-2</v>
      </c>
      <c r="BR39" s="78">
        <f t="shared" si="198"/>
        <v>7.9500657030223465E-2</v>
      </c>
      <c r="BS39" s="79">
        <f t="shared" si="198"/>
        <v>-3.5006451612903056E-2</v>
      </c>
      <c r="BT39" s="78">
        <f t="shared" ref="BT39" si="199">BT38/BS38-1</f>
        <v>-7.6031128404669301E-2</v>
      </c>
      <c r="BU39" s="78">
        <f t="shared" ref="BU39" si="200">BU38/BT38-1</f>
        <v>5.6292428198433386E-2</v>
      </c>
      <c r="BV39" s="78">
        <f t="shared" ref="BV39" si="201">BV38/BU38-1</f>
        <v>7.9074550128534815E-2</v>
      </c>
      <c r="BW39" s="79">
        <f t="shared" ref="BW39" si="202">BW38/BV38-1</f>
        <v>-3.4898989898989985E-2</v>
      </c>
      <c r="BX39" s="346"/>
      <c r="BY39" s="219"/>
      <c r="BZ39" s="220"/>
      <c r="CA39" s="220"/>
      <c r="CB39" s="220"/>
      <c r="CC39" s="220"/>
      <c r="CD39" s="220"/>
      <c r="CE39" s="220"/>
      <c r="CF39" s="220"/>
      <c r="CG39" s="220"/>
      <c r="CH39" s="220"/>
      <c r="CI39" s="220"/>
      <c r="CJ39" s="220"/>
      <c r="CK39" s="220"/>
      <c r="CL39" s="220"/>
      <c r="CM39" s="220"/>
      <c r="CN39" s="220"/>
      <c r="CO39" s="220"/>
      <c r="CP39" s="258"/>
      <c r="CQ39" s="1041"/>
    </row>
    <row r="40" spans="1:95" ht="14.25" customHeight="1">
      <c r="A40" s="865"/>
      <c r="B40" s="32" t="s">
        <v>298</v>
      </c>
      <c r="C40" s="218"/>
      <c r="D40" s="134"/>
      <c r="E40" s="78"/>
      <c r="F40" s="78"/>
      <c r="G40" s="79"/>
      <c r="H40" s="134"/>
      <c r="I40" s="78">
        <f t="shared" ref="I40:AE40" si="203">I38/E38-1</f>
        <v>0.5209742895805145</v>
      </c>
      <c r="J40" s="78">
        <f t="shared" si="203"/>
        <v>0.56409846547314468</v>
      </c>
      <c r="K40" s="79">
        <f t="shared" si="203"/>
        <v>0.25765306122448917</v>
      </c>
      <c r="L40" s="134">
        <f t="shared" si="203"/>
        <v>5.8857606302862076E-2</v>
      </c>
      <c r="M40" s="78">
        <f t="shared" si="203"/>
        <v>-0.12366548042704617</v>
      </c>
      <c r="N40" s="78">
        <f t="shared" si="203"/>
        <v>1.0679611650485921E-2</v>
      </c>
      <c r="O40" s="79">
        <f t="shared" si="203"/>
        <v>0.61866125760649116</v>
      </c>
      <c r="P40" s="134">
        <f t="shared" si="203"/>
        <v>0.54546449283291376</v>
      </c>
      <c r="Q40" s="78">
        <f t="shared" si="203"/>
        <v>1.0737732656514383</v>
      </c>
      <c r="R40" s="78">
        <f t="shared" si="203"/>
        <v>1.0274028009505023</v>
      </c>
      <c r="S40" s="79">
        <f t="shared" si="203"/>
        <v>0.1527777777777779</v>
      </c>
      <c r="T40" s="134">
        <f t="shared" si="203"/>
        <v>1.5505522514868142E-2</v>
      </c>
      <c r="U40" s="78">
        <f t="shared" si="203"/>
        <v>-0.24553959965187111</v>
      </c>
      <c r="V40" s="78">
        <f t="shared" si="203"/>
        <v>-6.8728179551122204E-2</v>
      </c>
      <c r="W40" s="79">
        <f t="shared" si="203"/>
        <v>0.1037231633300113</v>
      </c>
      <c r="X40" s="134">
        <f t="shared" si="203"/>
        <v>2.2101373492295906E-2</v>
      </c>
      <c r="Y40" s="78">
        <f t="shared" si="203"/>
        <v>3.6049026676279627E-2</v>
      </c>
      <c r="Z40" s="78">
        <f t="shared" si="203"/>
        <v>6.8123393316195768E-2</v>
      </c>
      <c r="AA40" s="79">
        <f t="shared" si="203"/>
        <v>-0.18713066316480609</v>
      </c>
      <c r="AB40" s="134">
        <f t="shared" si="203"/>
        <v>-0.46473396998635719</v>
      </c>
      <c r="AC40" s="78">
        <f t="shared" si="203"/>
        <v>-0.27870563674321513</v>
      </c>
      <c r="AD40" s="78">
        <f t="shared" si="203"/>
        <v>-0.25075210589651042</v>
      </c>
      <c r="AE40" s="79">
        <f t="shared" si="203"/>
        <v>0.17891760904685006</v>
      </c>
      <c r="AF40" s="134">
        <f t="shared" ref="AF40:BH40" si="204">AF38/AB38-1</f>
        <v>1.3254747037084229</v>
      </c>
      <c r="AG40" s="78">
        <f t="shared" si="204"/>
        <v>0.99932465026531592</v>
      </c>
      <c r="AH40" s="78">
        <f t="shared" si="204"/>
        <v>0.48464163822525652</v>
      </c>
      <c r="AI40" s="79">
        <f t="shared" si="204"/>
        <v>8.5303186022610555E-2</v>
      </c>
      <c r="AJ40" s="134">
        <f t="shared" si="204"/>
        <v>0.79329241560718944</v>
      </c>
      <c r="AK40" s="78">
        <f t="shared" si="204"/>
        <v>0.66930463735945556</v>
      </c>
      <c r="AL40" s="78">
        <f t="shared" si="204"/>
        <v>0.58884381338742342</v>
      </c>
      <c r="AM40" s="79">
        <f t="shared" si="204"/>
        <v>0.44718013468013385</v>
      </c>
      <c r="AN40" s="134">
        <f t="shared" si="204"/>
        <v>-0.17577313286884244</v>
      </c>
      <c r="AO40" s="78">
        <f t="shared" si="204"/>
        <v>-0.17864885959587185</v>
      </c>
      <c r="AP40" s="78">
        <f t="shared" si="204"/>
        <v>-0.22351305729321824</v>
      </c>
      <c r="AQ40" s="79">
        <f>AQ38/AM38-1</f>
        <v>-0.23513159808055784</v>
      </c>
      <c r="AR40" s="134">
        <f t="shared" si="204"/>
        <v>-0.24180631766276117</v>
      </c>
      <c r="AS40" s="78">
        <f t="shared" si="204"/>
        <v>-0.22496744447963979</v>
      </c>
      <c r="AT40" s="78">
        <f t="shared" si="204"/>
        <v>-8.9514066496163669E-2</v>
      </c>
      <c r="AU40" s="79">
        <f>AU38/AQ38-1</f>
        <v>0.20199619771863064</v>
      </c>
      <c r="AV40" s="134">
        <f t="shared" si="204"/>
        <v>4.2444987775061005E-2</v>
      </c>
      <c r="AW40" s="78">
        <f t="shared" si="204"/>
        <v>0.11575314472548981</v>
      </c>
      <c r="AX40" s="78">
        <f t="shared" si="204"/>
        <v>-8.796147672552157E-2</v>
      </c>
      <c r="AY40" s="78">
        <f t="shared" si="204"/>
        <v>-0.17645314353499408</v>
      </c>
      <c r="AZ40" s="134">
        <f t="shared" si="204"/>
        <v>-0.1536758397877529</v>
      </c>
      <c r="BA40" s="78">
        <f t="shared" si="204"/>
        <v>-0.28943876700832982</v>
      </c>
      <c r="BB40" s="78">
        <f t="shared" si="204"/>
        <v>-0.17378948606063893</v>
      </c>
      <c r="BC40" s="79">
        <f t="shared" si="204"/>
        <v>-0.23393273429662764</v>
      </c>
      <c r="BD40" s="134">
        <f t="shared" si="204"/>
        <v>-0.19744793495416246</v>
      </c>
      <c r="BE40" s="78">
        <f t="shared" si="204"/>
        <v>-6.5554910853044879E-2</v>
      </c>
      <c r="BF40" s="78">
        <f t="shared" si="204"/>
        <v>3.9358117461398168E-2</v>
      </c>
      <c r="BG40" s="79">
        <f t="shared" si="204"/>
        <v>0.66645539693429767</v>
      </c>
      <c r="BH40" s="134">
        <f t="shared" si="204"/>
        <v>1.3012821291343002</v>
      </c>
      <c r="BI40" s="78">
        <f t="shared" ref="BI40" si="205">BI38/BE38-1</f>
        <v>1.0842207494155276</v>
      </c>
      <c r="BJ40" s="78">
        <f t="shared" ref="BJ40:BK40" si="206">BJ38/BF38-1</f>
        <v>0.8410832791309979</v>
      </c>
      <c r="BK40" s="79">
        <f t="shared" si="206"/>
        <v>0.23123886435815355</v>
      </c>
      <c r="BL40" s="78">
        <f t="shared" ref="BL40:BS40" si="207">BL38/BH38-1</f>
        <v>-1.3028566557947707E-2</v>
      </c>
      <c r="BM40" s="78">
        <f t="shared" si="207"/>
        <v>1.1276966948527534E-2</v>
      </c>
      <c r="BN40" s="78">
        <f t="shared" si="207"/>
        <v>1.9735230586243935E-2</v>
      </c>
      <c r="BO40" s="79">
        <f t="shared" si="207"/>
        <v>7.9970329910540761E-2</v>
      </c>
      <c r="BP40" s="78">
        <f t="shared" si="207"/>
        <v>-6.8509267199998725E-3</v>
      </c>
      <c r="BQ40" s="78">
        <f t="shared" si="207"/>
        <v>3.7075668965516062E-3</v>
      </c>
      <c r="BR40" s="78">
        <f t="shared" si="207"/>
        <v>1.6778569920844255E-2</v>
      </c>
      <c r="BS40" s="79">
        <f t="shared" si="207"/>
        <v>1.6896891034482664E-2</v>
      </c>
      <c r="BT40" s="78">
        <f t="shared" ref="BT40" si="208">BT38/BP38-1</f>
        <v>1.7046569612817031E-2</v>
      </c>
      <c r="BU40" s="78">
        <f t="shared" ref="BU40" si="209">BU38/BQ38-1</f>
        <v>1.6690645361366441E-2</v>
      </c>
      <c r="BV40" s="78">
        <f t="shared" ref="BV40" si="210">BV38/BR38-1</f>
        <v>1.628933120000009E-2</v>
      </c>
      <c r="BW40" s="79">
        <f t="shared" ref="BW40" si="211">BW38/BS38-1</f>
        <v>1.6402505214007546E-2</v>
      </c>
      <c r="BX40" s="346"/>
      <c r="BY40" s="377"/>
      <c r="BZ40" s="338">
        <f>BZ38/BY38-1</f>
        <v>0.8737664679657362</v>
      </c>
      <c r="CA40" s="338">
        <f>CA38/BZ38-1</f>
        <v>0.12969844409987719</v>
      </c>
      <c r="CB40" s="338">
        <f>CB38/CA38-1</f>
        <v>0.63560314737028945</v>
      </c>
      <c r="CC40" s="338">
        <f>CC38/CB38-1</f>
        <v>-5.7229460403811161E-2</v>
      </c>
      <c r="CD40" s="338">
        <f t="shared" ref="CD40:CP40" si="212">CD38/CC38-1</f>
        <v>-2.0426328632157098E-2</v>
      </c>
      <c r="CE40" s="338">
        <f t="shared" si="212"/>
        <v>-0.20618831270562421</v>
      </c>
      <c r="CF40" s="338">
        <f t="shared" si="212"/>
        <v>0.58211135013519133</v>
      </c>
      <c r="CG40" s="338">
        <f t="shared" si="212"/>
        <v>0.62259243550720944</v>
      </c>
      <c r="CH40" s="338">
        <f t="shared" si="212"/>
        <v>-0.2020280841216695</v>
      </c>
      <c r="CI40" s="338">
        <f t="shared" si="212"/>
        <v>-0.10707644876920874</v>
      </c>
      <c r="CJ40" s="338">
        <f t="shared" si="212"/>
        <v>-3.4931647263192755E-2</v>
      </c>
      <c r="CK40" s="338">
        <f t="shared" si="212"/>
        <v>-0.21476902760669259</v>
      </c>
      <c r="CL40" s="338">
        <f t="shared" si="212"/>
        <v>9.4907444179334499E-2</v>
      </c>
      <c r="CM40" s="338">
        <f t="shared" si="212"/>
        <v>0.76845660176723163</v>
      </c>
      <c r="CN40" s="338">
        <f t="shared" si="212"/>
        <v>2.4092652578306284E-2</v>
      </c>
      <c r="CO40" s="338">
        <f t="shared" si="212"/>
        <v>8.0014854895684717E-3</v>
      </c>
      <c r="CP40" s="337">
        <f t="shared" si="212"/>
        <v>1.6593157745614207E-2</v>
      </c>
      <c r="CQ40" s="1041"/>
    </row>
    <row r="41" spans="1:95" s="1360" customFormat="1" ht="14.25" customHeight="1">
      <c r="A41" s="865"/>
      <c r="B41" s="32" t="s">
        <v>549</v>
      </c>
      <c r="C41" s="218"/>
      <c r="D41" s="134"/>
      <c r="E41" s="78">
        <f t="shared" ref="E41:AE41" si="213">E38/E32</f>
        <v>0.28844652615144412</v>
      </c>
      <c r="F41" s="78">
        <f t="shared" si="213"/>
        <v>0.2779456193353475</v>
      </c>
      <c r="G41" s="79">
        <f t="shared" si="213"/>
        <v>0.28140703517587951</v>
      </c>
      <c r="H41" s="134">
        <f t="shared" si="213"/>
        <v>0.31116158338741068</v>
      </c>
      <c r="I41" s="78">
        <f t="shared" si="213"/>
        <v>0.33703148425787105</v>
      </c>
      <c r="J41" s="78">
        <f t="shared" si="213"/>
        <v>0.3234924623115577</v>
      </c>
      <c r="K41" s="79">
        <f t="shared" si="213"/>
        <v>0.32138200782268578</v>
      </c>
      <c r="L41" s="134">
        <f t="shared" si="213"/>
        <v>0.31812169312169314</v>
      </c>
      <c r="M41" s="78">
        <f t="shared" si="213"/>
        <v>0.3252972258916777</v>
      </c>
      <c r="N41" s="78">
        <f t="shared" si="213"/>
        <v>0.33195153061224492</v>
      </c>
      <c r="O41" s="79">
        <f t="shared" si="213"/>
        <v>0.35020479812756</v>
      </c>
      <c r="P41" s="134">
        <f t="shared" si="213"/>
        <v>0.35239520958083831</v>
      </c>
      <c r="Q41" s="78">
        <f t="shared" si="213"/>
        <v>0.40820676791899813</v>
      </c>
      <c r="R41" s="78">
        <f t="shared" si="213"/>
        <v>0.38108814445236394</v>
      </c>
      <c r="S41" s="79">
        <f t="shared" si="213"/>
        <v>0.39267928286852594</v>
      </c>
      <c r="T41" s="134">
        <f t="shared" si="213"/>
        <v>0.36504543025120251</v>
      </c>
      <c r="U41" s="78">
        <f t="shared" si="213"/>
        <v>0.38300104931794338</v>
      </c>
      <c r="V41" s="78">
        <f t="shared" si="213"/>
        <v>0.38620004964010918</v>
      </c>
      <c r="W41" s="79">
        <f t="shared" si="213"/>
        <v>0.37337582740867858</v>
      </c>
      <c r="X41" s="134">
        <f t="shared" si="213"/>
        <v>0.34747570514339887</v>
      </c>
      <c r="Y41" s="78">
        <f t="shared" si="213"/>
        <v>0.34050115514483736</v>
      </c>
      <c r="Z41" s="78">
        <f t="shared" si="213"/>
        <v>0.38108340498710236</v>
      </c>
      <c r="AA41" s="79">
        <f t="shared" si="213"/>
        <v>0.37998772252915902</v>
      </c>
      <c r="AB41" s="134">
        <f t="shared" si="213"/>
        <v>0.29570034291743608</v>
      </c>
      <c r="AC41" s="78">
        <f t="shared" si="213"/>
        <v>0.32920438303954258</v>
      </c>
      <c r="AD41" s="78">
        <f t="shared" si="213"/>
        <v>0.37174878409811796</v>
      </c>
      <c r="AE41" s="79">
        <f t="shared" si="213"/>
        <v>0.39147052906859797</v>
      </c>
      <c r="AF41" s="134">
        <f t="shared" ref="AF41:AQ41" si="214">AF38/AF32</f>
        <v>0.41457651762995273</v>
      </c>
      <c r="AG41" s="78">
        <f t="shared" si="214"/>
        <v>0.417966740956626</v>
      </c>
      <c r="AH41" s="78">
        <f t="shared" si="214"/>
        <v>0.41035458631596478</v>
      </c>
      <c r="AI41" s="79">
        <f t="shared" si="214"/>
        <v>0.41022099447513816</v>
      </c>
      <c r="AJ41" s="134">
        <f t="shared" si="214"/>
        <v>0.27842866988283937</v>
      </c>
      <c r="AK41" s="78">
        <f t="shared" si="214"/>
        <v>0.29377345992492815</v>
      </c>
      <c r="AL41" s="78">
        <f t="shared" si="214"/>
        <v>0.29075723830734967</v>
      </c>
      <c r="AM41" s="79">
        <f t="shared" si="214"/>
        <v>0.31149889308503698</v>
      </c>
      <c r="AN41" s="134">
        <f t="shared" si="214"/>
        <v>0.32939279957012357</v>
      </c>
      <c r="AO41" s="78">
        <f t="shared" si="214"/>
        <v>0.34680451127819545</v>
      </c>
      <c r="AP41" s="78">
        <f t="shared" si="214"/>
        <v>0.32804962095106815</v>
      </c>
      <c r="AQ41" s="79">
        <f t="shared" si="214"/>
        <v>0.30932078800352841</v>
      </c>
      <c r="AR41" s="134">
        <f t="shared" ref="AR41:AW41" si="215">AR38/AR32</f>
        <v>0.30937972768532529</v>
      </c>
      <c r="AS41" s="78">
        <f t="shared" si="215"/>
        <v>0.33677175650152541</v>
      </c>
      <c r="AT41" s="78">
        <f t="shared" si="215"/>
        <v>0.3483365949119373</v>
      </c>
      <c r="AU41" s="79">
        <f t="shared" si="215"/>
        <v>0.35222841225626739</v>
      </c>
      <c r="AV41" s="134">
        <f t="shared" si="215"/>
        <v>0.35498938428874738</v>
      </c>
      <c r="AW41" s="78">
        <f t="shared" si="215"/>
        <v>0.36034846884899691</v>
      </c>
      <c r="AX41" s="78">
        <f t="shared" ref="AX41:BC41" si="216">AX38/AX32</f>
        <v>0.34085182963407318</v>
      </c>
      <c r="AY41" s="78">
        <f t="shared" si="216"/>
        <v>0.32133765332099046</v>
      </c>
      <c r="AZ41" s="134">
        <f t="shared" si="216"/>
        <v>0.34497014239779517</v>
      </c>
      <c r="BA41" s="78">
        <f t="shared" si="216"/>
        <v>0.34571266325951167</v>
      </c>
      <c r="BB41" s="78">
        <f t="shared" si="216"/>
        <v>0.34111012826183107</v>
      </c>
      <c r="BC41" s="79">
        <f t="shared" si="216"/>
        <v>0.33309532309889323</v>
      </c>
      <c r="BD41" s="134">
        <f>BD38/BD32</f>
        <v>0.337126774351444</v>
      </c>
      <c r="BE41" s="78">
        <f>BE38/BE32</f>
        <v>0.35076327181590339</v>
      </c>
      <c r="BF41" s="78">
        <f t="shared" ref="BF41:BG41" si="217">BF38/BF32</f>
        <v>0.34598801135766116</v>
      </c>
      <c r="BG41" s="79">
        <f t="shared" si="217"/>
        <v>0.30491673275178433</v>
      </c>
      <c r="BH41" s="134">
        <f>BH38/BH32</f>
        <v>0.3927122347066167</v>
      </c>
      <c r="BI41" s="78">
        <f t="shared" ref="BI41:BK41" si="218">BI38/BI32</f>
        <v>0.36778774289985061</v>
      </c>
      <c r="BJ41" s="78">
        <f t="shared" si="218"/>
        <v>0.37685118619698055</v>
      </c>
      <c r="BK41" s="79">
        <f t="shared" si="218"/>
        <v>0.37328493647912886</v>
      </c>
      <c r="BL41" s="82">
        <v>0.375</v>
      </c>
      <c r="BM41" s="80">
        <f>BL41+0.002</f>
        <v>0.377</v>
      </c>
      <c r="BN41" s="80">
        <f>BM41+0.2%</f>
        <v>0.379</v>
      </c>
      <c r="BO41" s="81">
        <f>BN41-0.002</f>
        <v>0.377</v>
      </c>
      <c r="BP41" s="82">
        <f>BO41-0.0025</f>
        <v>0.3745</v>
      </c>
      <c r="BQ41" s="80">
        <f>BP41+0.006</f>
        <v>0.3805</v>
      </c>
      <c r="BR41" s="80">
        <f>BQ41+0.7%</f>
        <v>0.38750000000000001</v>
      </c>
      <c r="BS41" s="81">
        <f>BR41-0.002</f>
        <v>0.38550000000000001</v>
      </c>
      <c r="BT41" s="82">
        <f>BS41-0.0025</f>
        <v>0.38300000000000001</v>
      </c>
      <c r="BU41" s="80">
        <f>BT41+0.006</f>
        <v>0.38900000000000001</v>
      </c>
      <c r="BV41" s="80">
        <f>BU41+0.7%</f>
        <v>0.39600000000000002</v>
      </c>
      <c r="BW41" s="81">
        <f>BV41-0.002</f>
        <v>0.39400000000000002</v>
      </c>
      <c r="BX41" s="1371"/>
      <c r="BY41" s="219">
        <f>BY38/BY32</f>
        <v>0.28260192525481315</v>
      </c>
      <c r="BZ41" s="220">
        <f>BZ38/BZ32</f>
        <v>0.32354493006841784</v>
      </c>
      <c r="CA41" s="220">
        <f>CA38/CA32</f>
        <v>0.33329258289428026</v>
      </c>
      <c r="CB41" s="220">
        <f t="shared" ref="CB41:CJ41" si="219">CB38/CB32</f>
        <v>0.38420147140161148</v>
      </c>
      <c r="CC41" s="220">
        <f t="shared" si="219"/>
        <v>0.37708693815429306</v>
      </c>
      <c r="CD41" s="220">
        <f t="shared" si="219"/>
        <v>0.36303452041393786</v>
      </c>
      <c r="CE41" s="220">
        <f t="shared" si="219"/>
        <v>0.35443401010789921</v>
      </c>
      <c r="CF41" s="220">
        <f t="shared" si="219"/>
        <v>0.41322607998639149</v>
      </c>
      <c r="CG41" s="220">
        <f t="shared" si="219"/>
        <v>0.29241598072044295</v>
      </c>
      <c r="CH41" s="220">
        <f t="shared" si="219"/>
        <v>0.32923148657714396</v>
      </c>
      <c r="CI41" s="220">
        <f t="shared" si="219"/>
        <v>0.33723212840007488</v>
      </c>
      <c r="CJ41" s="220">
        <f t="shared" si="219"/>
        <v>0.34436908884752149</v>
      </c>
      <c r="CK41" s="220">
        <f t="shared" ref="CK41:CP41" si="220">CK38/CK32</f>
        <v>0.34135507401827853</v>
      </c>
      <c r="CL41" s="220">
        <f t="shared" si="220"/>
        <v>0.32994172371902625</v>
      </c>
      <c r="CM41" s="220">
        <f t="shared" si="220"/>
        <v>0.37739270009448955</v>
      </c>
      <c r="CN41" s="220">
        <f t="shared" si="220"/>
        <v>0.37704862612210482</v>
      </c>
      <c r="CO41" s="220">
        <f t="shared" si="220"/>
        <v>0.3821770883589824</v>
      </c>
      <c r="CP41" s="258">
        <f t="shared" si="220"/>
        <v>0.39067708835898241</v>
      </c>
      <c r="CQ41" s="1041"/>
    </row>
    <row r="42" spans="1:95" ht="14.25" customHeight="1">
      <c r="A42" s="865"/>
      <c r="B42" s="840"/>
      <c r="C42" s="237"/>
      <c r="D42" s="221"/>
      <c r="E42" s="221"/>
      <c r="F42" s="221"/>
      <c r="G42" s="614"/>
      <c r="H42" s="221"/>
      <c r="I42" s="221"/>
      <c r="J42" s="221"/>
      <c r="K42" s="614"/>
      <c r="L42" s="221"/>
      <c r="M42" s="221"/>
      <c r="N42" s="221"/>
      <c r="O42" s="614"/>
      <c r="P42" s="221"/>
      <c r="Q42" s="221"/>
      <c r="R42" s="221"/>
      <c r="S42" s="614"/>
      <c r="T42" s="221"/>
      <c r="U42" s="221"/>
      <c r="V42" s="221"/>
      <c r="W42" s="614"/>
      <c r="X42" s="221"/>
      <c r="Y42" s="221"/>
      <c r="Z42" s="221"/>
      <c r="AA42" s="614"/>
      <c r="AB42" s="221"/>
      <c r="AC42" s="221"/>
      <c r="AD42" s="221"/>
      <c r="AE42" s="614"/>
      <c r="AF42" s="221"/>
      <c r="AG42" s="221"/>
      <c r="AH42" s="221"/>
      <c r="AI42" s="614"/>
      <c r="AJ42" s="221"/>
      <c r="AK42" s="221"/>
      <c r="AL42" s="221"/>
      <c r="AM42" s="614"/>
      <c r="AN42" s="221"/>
      <c r="AO42" s="221"/>
      <c r="AP42" s="221"/>
      <c r="AQ42" s="614"/>
      <c r="AR42" s="221"/>
      <c r="AS42" s="221"/>
      <c r="AT42" s="221"/>
      <c r="AU42" s="614"/>
      <c r="AV42" s="221"/>
      <c r="AW42" s="221"/>
      <c r="AX42" s="221"/>
      <c r="AY42" s="221"/>
      <c r="AZ42" s="388"/>
      <c r="BA42" s="291"/>
      <c r="BB42" s="221"/>
      <c r="BC42" s="614"/>
      <c r="BD42" s="388"/>
      <c r="BE42" s="291"/>
      <c r="BF42" s="221"/>
      <c r="BG42" s="614"/>
      <c r="BH42" s="388"/>
      <c r="BI42" s="291"/>
      <c r="BJ42" s="291"/>
      <c r="BK42" s="614"/>
      <c r="BL42" s="291"/>
      <c r="BM42" s="291"/>
      <c r="BN42" s="291"/>
      <c r="BO42" s="897"/>
      <c r="BP42" s="291"/>
      <c r="BQ42" s="291"/>
      <c r="BR42" s="291"/>
      <c r="BS42" s="897"/>
      <c r="BT42" s="291"/>
      <c r="BU42" s="291"/>
      <c r="BV42" s="291"/>
      <c r="BW42" s="897"/>
      <c r="BX42" s="346"/>
      <c r="BY42" s="939"/>
      <c r="BZ42" s="238"/>
      <c r="CA42" s="238"/>
      <c r="CB42" s="238"/>
      <c r="CC42" s="238"/>
      <c r="CD42" s="238"/>
      <c r="CE42" s="238"/>
      <c r="CF42" s="238"/>
      <c r="CG42" s="238"/>
      <c r="CH42" s="238"/>
      <c r="CI42" s="238"/>
      <c r="CJ42" s="238"/>
      <c r="CK42" s="238"/>
      <c r="CL42" s="238"/>
      <c r="CM42" s="238"/>
      <c r="CN42" s="238"/>
      <c r="CO42" s="238"/>
      <c r="CP42" s="914"/>
      <c r="CQ42" s="1041"/>
    </row>
    <row r="43" spans="1:95" ht="14.25" customHeight="1">
      <c r="A43" s="864"/>
      <c r="B43" s="297" t="str">
        <f>$B$106&amp;" Revenue"</f>
        <v>Industrial/Medical/Mil-Aero Revenue</v>
      </c>
      <c r="C43" s="287"/>
      <c r="D43" s="495">
        <f t="shared" ref="D43:BK43" si="221">D$106</f>
        <v>0</v>
      </c>
      <c r="E43" s="881">
        <f t="shared" si="221"/>
        <v>40.991999999999997</v>
      </c>
      <c r="F43" s="495">
        <f t="shared" si="221"/>
        <v>39.72</v>
      </c>
      <c r="G43" s="496">
        <f t="shared" si="221"/>
        <v>44.576000000000008</v>
      </c>
      <c r="H43" s="495">
        <f t="shared" si="221"/>
        <v>52.393999999999998</v>
      </c>
      <c r="I43" s="881">
        <f t="shared" si="221"/>
        <v>56.695000000000007</v>
      </c>
      <c r="J43" s="495">
        <f t="shared" si="221"/>
        <v>44.576000000000001</v>
      </c>
      <c r="K43" s="496">
        <f t="shared" si="221"/>
        <v>39.884</v>
      </c>
      <c r="L43" s="495">
        <f t="shared" si="221"/>
        <v>45.359999999999992</v>
      </c>
      <c r="M43" s="881">
        <f t="shared" si="221"/>
        <v>42.392000000000003</v>
      </c>
      <c r="N43" s="495">
        <f t="shared" si="221"/>
        <v>43.904000000000011</v>
      </c>
      <c r="O43" s="496">
        <f t="shared" si="221"/>
        <v>41.015999999999998</v>
      </c>
      <c r="P43" s="495">
        <f t="shared" si="221"/>
        <v>40.08</v>
      </c>
      <c r="Q43" s="881">
        <f t="shared" si="221"/>
        <v>52.542000000000009</v>
      </c>
      <c r="R43" s="495">
        <f t="shared" si="221"/>
        <v>50.507999999999996</v>
      </c>
      <c r="S43" s="496">
        <f t="shared" si="221"/>
        <v>52.208000000000006</v>
      </c>
      <c r="T43" s="495">
        <f t="shared" si="221"/>
        <v>52.388000000000005</v>
      </c>
      <c r="U43" s="881">
        <f t="shared" si="221"/>
        <v>26.684000000000001</v>
      </c>
      <c r="V43" s="495">
        <f t="shared" si="221"/>
        <v>44.318999999999996</v>
      </c>
      <c r="W43" s="496">
        <f t="shared" si="221"/>
        <v>44.869</v>
      </c>
      <c r="X43" s="495">
        <f t="shared" si="221"/>
        <v>50.627999999999993</v>
      </c>
      <c r="Y43" s="881">
        <f t="shared" si="221"/>
        <v>101.286</v>
      </c>
      <c r="Z43" s="495">
        <f t="shared" si="221"/>
        <v>98.855000000000004</v>
      </c>
      <c r="AA43" s="496">
        <f t="shared" si="221"/>
        <v>92.852999999999994</v>
      </c>
      <c r="AB43" s="495">
        <f t="shared" si="221"/>
        <v>75.820000000000007</v>
      </c>
      <c r="AC43" s="495">
        <f t="shared" si="221"/>
        <v>75.563999999999993</v>
      </c>
      <c r="AD43" s="495">
        <f t="shared" si="221"/>
        <v>80.393000000000001</v>
      </c>
      <c r="AE43" s="496">
        <f t="shared" si="221"/>
        <v>89.477999999999994</v>
      </c>
      <c r="AF43" s="495">
        <f t="shared" si="221"/>
        <v>104.53800000000001</v>
      </c>
      <c r="AG43" s="495">
        <f t="shared" si="221"/>
        <v>110.827</v>
      </c>
      <c r="AH43" s="495">
        <f t="shared" si="221"/>
        <v>108.126</v>
      </c>
      <c r="AI43" s="496">
        <f t="shared" si="221"/>
        <v>110.04800000000002</v>
      </c>
      <c r="AJ43" s="495">
        <f t="shared" si="221"/>
        <v>156.708</v>
      </c>
      <c r="AK43" s="495">
        <f t="shared" si="221"/>
        <v>172.102</v>
      </c>
      <c r="AL43" s="495">
        <f t="shared" si="221"/>
        <v>161.63999999999999</v>
      </c>
      <c r="AM43" s="496">
        <f t="shared" si="221"/>
        <v>153.58000000000001</v>
      </c>
      <c r="AN43" s="495">
        <f t="shared" si="221"/>
        <v>141.43600000000001</v>
      </c>
      <c r="AO43" s="495">
        <f t="shared" si="221"/>
        <v>141.512</v>
      </c>
      <c r="AP43" s="495">
        <f t="shared" si="221"/>
        <v>130.59</v>
      </c>
      <c r="AQ43" s="496">
        <f t="shared" si="221"/>
        <v>136.04000000000002</v>
      </c>
      <c r="AR43" s="495">
        <f t="shared" si="221"/>
        <v>132.20000000000002</v>
      </c>
      <c r="AS43" s="495">
        <f t="shared" si="221"/>
        <v>137.66</v>
      </c>
      <c r="AT43" s="495">
        <f t="shared" si="221"/>
        <v>143.08000000000001</v>
      </c>
      <c r="AU43" s="496">
        <f t="shared" si="221"/>
        <v>143.6</v>
      </c>
      <c r="AV43" s="495">
        <f t="shared" si="221"/>
        <v>148.36499999999998</v>
      </c>
      <c r="AW43" s="495">
        <f t="shared" si="221"/>
        <v>166.672</v>
      </c>
      <c r="AX43" s="495">
        <f t="shared" si="221"/>
        <v>183.37</v>
      </c>
      <c r="AY43" s="495">
        <f t="shared" si="221"/>
        <v>207.40800000000002</v>
      </c>
      <c r="AZ43" s="1161">
        <f t="shared" si="221"/>
        <v>211.65</v>
      </c>
      <c r="BA43" s="495">
        <f t="shared" si="221"/>
        <v>210.3</v>
      </c>
      <c r="BB43" s="495">
        <f t="shared" si="221"/>
        <v>211.2</v>
      </c>
      <c r="BC43" s="496">
        <f t="shared" si="221"/>
        <v>190.4</v>
      </c>
      <c r="BD43" s="1161">
        <f t="shared" si="221"/>
        <v>177.9</v>
      </c>
      <c r="BE43" s="495">
        <f t="shared" si="221"/>
        <v>200.62</v>
      </c>
      <c r="BF43" s="495">
        <f t="shared" si="221"/>
        <v>211.52</v>
      </c>
      <c r="BG43" s="496">
        <f t="shared" si="221"/>
        <v>305.10000000000002</v>
      </c>
      <c r="BH43" s="1161">
        <f t="shared" si="221"/>
        <v>323.10000000000002</v>
      </c>
      <c r="BI43" s="495">
        <f t="shared" si="221"/>
        <v>350.9</v>
      </c>
      <c r="BJ43" s="495">
        <f t="shared" si="221"/>
        <v>352.3</v>
      </c>
      <c r="BK43" s="496">
        <f t="shared" si="221"/>
        <v>357.5</v>
      </c>
      <c r="BL43" s="801">
        <f t="shared" ref="BL43:BS43" si="222">BK43*(1+BL44)</f>
        <v>357.5</v>
      </c>
      <c r="BM43" s="801">
        <f t="shared" si="222"/>
        <v>371.8</v>
      </c>
      <c r="BN43" s="801">
        <f t="shared" si="222"/>
        <v>371.8</v>
      </c>
      <c r="BO43" s="810">
        <f t="shared" si="222"/>
        <v>360.64600000000002</v>
      </c>
      <c r="BP43" s="801">
        <f t="shared" si="222"/>
        <v>375.07184000000001</v>
      </c>
      <c r="BQ43" s="801">
        <f t="shared" si="222"/>
        <v>386.32399520000001</v>
      </c>
      <c r="BR43" s="801">
        <f t="shared" si="222"/>
        <v>386.32399520000001</v>
      </c>
      <c r="BS43" s="810">
        <f t="shared" si="222"/>
        <v>374.73427534400003</v>
      </c>
      <c r="BT43" s="801">
        <f t="shared" ref="BT43" si="223">BS43*(1+BT44)</f>
        <v>389.72364635776006</v>
      </c>
      <c r="BU43" s="801">
        <f t="shared" ref="BU43" si="224">BT43*(1+BU44)</f>
        <v>401.41535574849286</v>
      </c>
      <c r="BV43" s="801">
        <f t="shared" ref="BV43" si="225">BU43*(1+BV44)</f>
        <v>401.41535574849286</v>
      </c>
      <c r="BW43" s="810">
        <f t="shared" ref="BW43" si="226">BV43*(1+BW44)</f>
        <v>389.37289507603805</v>
      </c>
      <c r="BX43" s="346"/>
      <c r="BY43" s="334">
        <f>SUM(D43:G43)</f>
        <v>125.288</v>
      </c>
      <c r="BZ43" s="325">
        <f>SUM(H43:K43)</f>
        <v>193.54899999999998</v>
      </c>
      <c r="CA43" s="325">
        <f>SUM(L43:O43)</f>
        <v>172.672</v>
      </c>
      <c r="CB43" s="325">
        <f>SUM(P43:S43)</f>
        <v>195.33799999999999</v>
      </c>
      <c r="CC43" s="325">
        <f>SUM(T43:W43)</f>
        <v>168.26</v>
      </c>
      <c r="CD43" s="325">
        <f>SUM(X43:AA43)</f>
        <v>343.62200000000001</v>
      </c>
      <c r="CE43" s="325">
        <f>SUM(AB43:AE43)</f>
        <v>321.255</v>
      </c>
      <c r="CF43" s="325">
        <f>SUM(AF43:AI43)</f>
        <v>433.53899999999999</v>
      </c>
      <c r="CG43" s="325">
        <f>SUM(AJ43:AM43)</f>
        <v>644.03</v>
      </c>
      <c r="CH43" s="325">
        <f>SUM(AN43:AQ43)</f>
        <v>549.57799999999997</v>
      </c>
      <c r="CI43" s="325">
        <f>SUM(AR43:AU43)</f>
        <v>556.54000000000008</v>
      </c>
      <c r="CJ43" s="325">
        <f>SUM(AV43:AY43)</f>
        <v>705.81500000000005</v>
      </c>
      <c r="CK43" s="325">
        <f>SUM(AZ43:BC43)</f>
        <v>823.55000000000007</v>
      </c>
      <c r="CL43" s="325">
        <f>SUM(BD43:BG43)</f>
        <v>895.14</v>
      </c>
      <c r="CM43" s="325">
        <f>SUM(BH43:BK43)</f>
        <v>1383.8</v>
      </c>
      <c r="CN43" s="325">
        <f>SUM(BL43:BO43)</f>
        <v>1461.7459999999999</v>
      </c>
      <c r="CO43" s="325">
        <f>SUM(BP43:BS43)</f>
        <v>1522.4541057439999</v>
      </c>
      <c r="CP43" s="326">
        <f>SUM(BT43:BW43)</f>
        <v>1581.9272529307839</v>
      </c>
      <c r="CQ43" s="1041"/>
    </row>
    <row r="44" spans="1:95" ht="14.25" customHeight="1">
      <c r="A44" s="865"/>
      <c r="B44" s="32" t="s">
        <v>297</v>
      </c>
      <c r="C44" s="218"/>
      <c r="D44" s="134"/>
      <c r="E44" s="78"/>
      <c r="F44" s="78">
        <f t="shared" ref="F44:BH44" si="227">F43/E43-1</f>
        <v>-3.1030444964871173E-2</v>
      </c>
      <c r="G44" s="79">
        <f t="shared" si="227"/>
        <v>0.12225579053373647</v>
      </c>
      <c r="H44" s="134">
        <f t="shared" si="227"/>
        <v>0.17538585786073191</v>
      </c>
      <c r="I44" s="78">
        <f t="shared" si="227"/>
        <v>8.2089552238806096E-2</v>
      </c>
      <c r="J44" s="78">
        <f t="shared" si="227"/>
        <v>-0.21375782696886858</v>
      </c>
      <c r="K44" s="79">
        <f t="shared" si="227"/>
        <v>-0.10525843503230436</v>
      </c>
      <c r="L44" s="134">
        <f t="shared" si="227"/>
        <v>0.13729816467756484</v>
      </c>
      <c r="M44" s="78">
        <f t="shared" si="227"/>
        <v>-6.5432098765431879E-2</v>
      </c>
      <c r="N44" s="78">
        <f t="shared" si="227"/>
        <v>3.5667107001321252E-2</v>
      </c>
      <c r="O44" s="79">
        <f t="shared" si="227"/>
        <v>-6.577988338192442E-2</v>
      </c>
      <c r="P44" s="134">
        <f t="shared" si="227"/>
        <v>-2.2820362785254567E-2</v>
      </c>
      <c r="Q44" s="78">
        <f t="shared" si="227"/>
        <v>0.31092814371257504</v>
      </c>
      <c r="R44" s="78">
        <f t="shared" si="227"/>
        <v>-3.8711887632751241E-2</v>
      </c>
      <c r="S44" s="79">
        <f t="shared" si="227"/>
        <v>3.3658034370792844E-2</v>
      </c>
      <c r="T44" s="134">
        <f t="shared" si="227"/>
        <v>3.4477474716518852E-3</v>
      </c>
      <c r="U44" s="78">
        <f t="shared" si="227"/>
        <v>-0.49064671298770712</v>
      </c>
      <c r="V44" s="78">
        <f t="shared" si="227"/>
        <v>0.66088292609803601</v>
      </c>
      <c r="W44" s="79">
        <f t="shared" si="227"/>
        <v>1.24100273020602E-2</v>
      </c>
      <c r="X44" s="134">
        <f t="shared" si="227"/>
        <v>0.1283514230314915</v>
      </c>
      <c r="Y44" s="78">
        <f t="shared" si="227"/>
        <v>1.0005925574780759</v>
      </c>
      <c r="Z44" s="78">
        <f t="shared" si="227"/>
        <v>-2.4001342732460573E-2</v>
      </c>
      <c r="AA44" s="79">
        <f t="shared" si="227"/>
        <v>-6.0715188913054607E-2</v>
      </c>
      <c r="AB44" s="134">
        <f t="shared" si="227"/>
        <v>-0.18344049196041046</v>
      </c>
      <c r="AC44" s="78">
        <f t="shared" si="227"/>
        <v>-3.376417831706835E-3</v>
      </c>
      <c r="AD44" s="78">
        <f t="shared" si="227"/>
        <v>6.3906092848446505E-2</v>
      </c>
      <c r="AE44" s="79">
        <f t="shared" si="227"/>
        <v>0.11300735138631457</v>
      </c>
      <c r="AF44" s="134">
        <f t="shared" si="227"/>
        <v>0.16830952859920889</v>
      </c>
      <c r="AG44" s="78">
        <f t="shared" si="227"/>
        <v>6.0159941839331044E-2</v>
      </c>
      <c r="AH44" s="78">
        <f t="shared" si="227"/>
        <v>-2.4371317458741992E-2</v>
      </c>
      <c r="AI44" s="79">
        <f t="shared" si="227"/>
        <v>1.7775558145127102E-2</v>
      </c>
      <c r="AJ44" s="134">
        <f t="shared" si="227"/>
        <v>0.42399680139575446</v>
      </c>
      <c r="AK44" s="78">
        <f t="shared" si="227"/>
        <v>9.8233657503126848E-2</v>
      </c>
      <c r="AL44" s="78">
        <f t="shared" si="227"/>
        <v>-6.078953178928781E-2</v>
      </c>
      <c r="AM44" s="79">
        <f t="shared" si="227"/>
        <v>-4.9863895075476172E-2</v>
      </c>
      <c r="AN44" s="134">
        <f t="shared" si="227"/>
        <v>-7.907279593697103E-2</v>
      </c>
      <c r="AO44" s="78">
        <f t="shared" si="227"/>
        <v>5.3734551316497736E-4</v>
      </c>
      <c r="AP44" s="78">
        <f t="shared" si="227"/>
        <v>-7.7180733789360634E-2</v>
      </c>
      <c r="AQ44" s="79">
        <f t="shared" si="227"/>
        <v>4.1733670265717171E-2</v>
      </c>
      <c r="AR44" s="134">
        <f t="shared" si="227"/>
        <v>-2.8226992061158529E-2</v>
      </c>
      <c r="AS44" s="78">
        <f t="shared" si="227"/>
        <v>4.1301059001512597E-2</v>
      </c>
      <c r="AT44" s="78">
        <f t="shared" si="227"/>
        <v>3.9372366700566763E-2</v>
      </c>
      <c r="AU44" s="79">
        <f t="shared" si="227"/>
        <v>3.6343304445063396E-3</v>
      </c>
      <c r="AV44" s="134">
        <f t="shared" si="227"/>
        <v>3.3182451253481737E-2</v>
      </c>
      <c r="AW44" s="78">
        <f t="shared" si="227"/>
        <v>0.12339163549354648</v>
      </c>
      <c r="AX44" s="78">
        <f t="shared" si="227"/>
        <v>0.1001847940865892</v>
      </c>
      <c r="AY44" s="78">
        <f t="shared" si="227"/>
        <v>0.13109014560724219</v>
      </c>
      <c r="AZ44" s="134">
        <f t="shared" si="227"/>
        <v>2.0452441564452695E-2</v>
      </c>
      <c r="BA44" s="78">
        <f t="shared" si="227"/>
        <v>-6.3784549964563952E-3</v>
      </c>
      <c r="BB44" s="78">
        <f t="shared" si="227"/>
        <v>4.2796005706133844E-3</v>
      </c>
      <c r="BC44" s="79">
        <f t="shared" si="227"/>
        <v>-9.8484848484848397E-2</v>
      </c>
      <c r="BD44" s="134">
        <f t="shared" si="227"/>
        <v>-6.5651260504201669E-2</v>
      </c>
      <c r="BE44" s="78">
        <f t="shared" si="227"/>
        <v>0.12771219786396859</v>
      </c>
      <c r="BF44" s="78">
        <f t="shared" si="227"/>
        <v>5.4331572126408156E-2</v>
      </c>
      <c r="BG44" s="79">
        <f t="shared" si="227"/>
        <v>0.44241679273827539</v>
      </c>
      <c r="BH44" s="134">
        <f t="shared" si="227"/>
        <v>5.8997050147492569E-2</v>
      </c>
      <c r="BI44" s="78">
        <f t="shared" ref="BI44" si="228">BI43/BH43-1</f>
        <v>8.6041473228102516E-2</v>
      </c>
      <c r="BJ44" s="78">
        <f t="shared" ref="BJ44:BK44" si="229">BJ43/BI43-1</f>
        <v>3.9897406668567559E-3</v>
      </c>
      <c r="BK44" s="79">
        <f t="shared" si="229"/>
        <v>1.4760147601476037E-2</v>
      </c>
      <c r="BL44" s="80">
        <v>0</v>
      </c>
      <c r="BM44" s="80">
        <v>0.04</v>
      </c>
      <c r="BN44" s="80">
        <v>0</v>
      </c>
      <c r="BO44" s="81">
        <v>-0.03</v>
      </c>
      <c r="BP44" s="80">
        <v>0.04</v>
      </c>
      <c r="BQ44" s="80">
        <v>0.03</v>
      </c>
      <c r="BR44" s="80">
        <v>0</v>
      </c>
      <c r="BS44" s="81">
        <v>-0.03</v>
      </c>
      <c r="BT44" s="80">
        <v>0.04</v>
      </c>
      <c r="BU44" s="80">
        <v>0.03</v>
      </c>
      <c r="BV44" s="80">
        <v>0</v>
      </c>
      <c r="BW44" s="81">
        <v>-0.03</v>
      </c>
      <c r="BX44" s="346"/>
      <c r="BY44" s="219"/>
      <c r="BZ44" s="220"/>
      <c r="CA44" s="220"/>
      <c r="CB44" s="220"/>
      <c r="CC44" s="220"/>
      <c r="CD44" s="220"/>
      <c r="CE44" s="220"/>
      <c r="CF44" s="220"/>
      <c r="CG44" s="220"/>
      <c r="CH44" s="220"/>
      <c r="CI44" s="220"/>
      <c r="CJ44" s="220"/>
      <c r="CK44" s="220"/>
      <c r="CL44" s="220"/>
      <c r="CM44" s="220"/>
      <c r="CN44" s="220"/>
      <c r="CO44" s="220"/>
      <c r="CP44" s="258"/>
      <c r="CQ44" s="1041"/>
    </row>
    <row r="45" spans="1:95" ht="14.25" customHeight="1">
      <c r="A45" s="865"/>
      <c r="B45" s="32" t="s">
        <v>548</v>
      </c>
      <c r="C45" s="218"/>
      <c r="D45" s="134"/>
      <c r="E45" s="78"/>
      <c r="F45" s="78"/>
      <c r="G45" s="79"/>
      <c r="H45" s="134"/>
      <c r="I45" s="78"/>
      <c r="J45" s="78"/>
      <c r="K45" s="79"/>
      <c r="L45" s="134"/>
      <c r="M45" s="78"/>
      <c r="N45" s="78"/>
      <c r="O45" s="79"/>
      <c r="P45" s="134"/>
      <c r="Q45" s="78"/>
      <c r="R45" s="78"/>
      <c r="S45" s="79"/>
      <c r="T45" s="134"/>
      <c r="U45" s="78"/>
      <c r="V45" s="78"/>
      <c r="W45" s="79"/>
      <c r="X45" s="134"/>
      <c r="Y45" s="78">
        <f t="shared" ref="Y45:BH45" si="230">AVERAGE(U44,Q44,M44,I44,E44)</f>
        <v>-4.0765278950439465E-2</v>
      </c>
      <c r="Z45" s="78">
        <f t="shared" si="230"/>
        <v>8.2609974706573247E-2</v>
      </c>
      <c r="AA45" s="79">
        <f t="shared" si="230"/>
        <v>-5.4289324152785308E-4</v>
      </c>
      <c r="AB45" s="134">
        <f t="shared" si="230"/>
        <v>8.4332566051237109E-2</v>
      </c>
      <c r="AC45" s="78">
        <f t="shared" si="230"/>
        <v>0.1675062883352636</v>
      </c>
      <c r="AD45" s="78">
        <f t="shared" si="230"/>
        <v>8.4015795153055378E-2</v>
      </c>
      <c r="AE45" s="79">
        <f t="shared" si="230"/>
        <v>-3.7137089130886071E-2</v>
      </c>
      <c r="AF45" s="134">
        <f t="shared" si="230"/>
        <v>1.2567296087008639E-2</v>
      </c>
      <c r="AG45" s="78">
        <f t="shared" si="230"/>
        <v>0.15041309432116101</v>
      </c>
      <c r="AH45" s="78">
        <f t="shared" si="230"/>
        <v>0.13954857911651838</v>
      </c>
      <c r="AI45" s="79">
        <f t="shared" si="230"/>
        <v>6.5160681528377172E-3</v>
      </c>
      <c r="AJ45" s="134">
        <f t="shared" si="230"/>
        <v>1.876956887133745E-2</v>
      </c>
      <c r="AK45" s="78">
        <f t="shared" si="230"/>
        <v>0.1755315024421136</v>
      </c>
      <c r="AL45" s="78">
        <f t="shared" si="230"/>
        <v>0.12754089422450574</v>
      </c>
      <c r="AM45" s="79">
        <f t="shared" si="230"/>
        <v>2.3227156458248022E-2</v>
      </c>
      <c r="AN45" s="134">
        <f t="shared" si="230"/>
        <v>0.10813300170753926</v>
      </c>
      <c r="AO45" s="78">
        <f t="shared" si="230"/>
        <v>0.13299260520022396</v>
      </c>
      <c r="AP45" s="78">
        <f t="shared" si="230"/>
        <v>0.12312536539319843</v>
      </c>
      <c r="AQ45" s="79">
        <f t="shared" si="230"/>
        <v>6.5227705689942187E-3</v>
      </c>
      <c r="AR45" s="134">
        <f t="shared" si="230"/>
        <v>9.1628893025814673E-2</v>
      </c>
      <c r="AS45" s="78">
        <f t="shared" si="230"/>
        <v>0.23122941690039839</v>
      </c>
      <c r="AT45" s="78">
        <f t="shared" si="230"/>
        <v>-2.4487366584280901E-2</v>
      </c>
      <c r="AU45" s="79">
        <f t="shared" si="230"/>
        <v>1.2387499161725612E-2</v>
      </c>
      <c r="AV45" s="134">
        <f t="shared" si="230"/>
        <v>6.0313210007284665E-2</v>
      </c>
      <c r="AW45" s="78">
        <f t="shared" si="230"/>
        <v>3.9371117205085723E-2</v>
      </c>
      <c r="AX45" s="78">
        <f t="shared" si="230"/>
        <v>-1.1812624697675434E-2</v>
      </c>
      <c r="AY45" s="78">
        <f t="shared" si="230"/>
        <v>2.5257403033237803E-2</v>
      </c>
      <c r="AZ45" s="134">
        <f t="shared" si="230"/>
        <v>0.1036377986500631</v>
      </c>
      <c r="BA45" s="78">
        <f t="shared" si="230"/>
        <v>6.4724727870136389E-2</v>
      </c>
      <c r="BB45" s="78">
        <f t="shared" si="230"/>
        <v>-4.5568844500468945E-3</v>
      </c>
      <c r="BC45" s="79">
        <f t="shared" si="230"/>
        <v>2.8873961877423325E-2</v>
      </c>
      <c r="BD45" s="134">
        <f t="shared" si="230"/>
        <v>7.4066381243111865E-2</v>
      </c>
      <c r="BE45" s="78">
        <f t="shared" si="230"/>
        <v>5.1417048502978902E-2</v>
      </c>
      <c r="BF45" s="78">
        <f t="shared" si="230"/>
        <v>1.1732991558241813E-3</v>
      </c>
      <c r="BG45" s="79">
        <f t="shared" si="230"/>
        <v>5.621880551428227E-3</v>
      </c>
      <c r="BH45" s="134">
        <f t="shared" si="230"/>
        <v>-2.3863231136879361E-2</v>
      </c>
      <c r="BI45" s="78">
        <f t="shared" ref="BI45" si="231">AVERAGE(BE44,BA44,AW44,AS44,AO44)</f>
        <v>5.7312756575147249E-2</v>
      </c>
      <c r="BJ45" s="78">
        <f t="shared" ref="BJ45:BK45" si="232">AVERAGE(BF44,BB44,AX44,AT44,AP44)</f>
        <v>2.4197519938963373E-2</v>
      </c>
      <c r="BK45" s="79">
        <f t="shared" si="232"/>
        <v>0.10407801811417854</v>
      </c>
      <c r="BL45" s="78">
        <f t="shared" ref="BL45:BS45" si="233">AVERAGE(BH44,BD44,AZ44,AV44,AR44)</f>
        <v>3.7507380800133605E-3</v>
      </c>
      <c r="BM45" s="78">
        <f t="shared" si="233"/>
        <v>7.4413582118134758E-2</v>
      </c>
      <c r="BN45" s="78">
        <f t="shared" si="233"/>
        <v>4.0431614830206852E-2</v>
      </c>
      <c r="BO45" s="79">
        <f t="shared" si="233"/>
        <v>9.8683313581330312E-2</v>
      </c>
      <c r="BP45" s="78">
        <f t="shared" si="233"/>
        <v>9.396136492245067E-3</v>
      </c>
      <c r="BQ45" s="78">
        <f t="shared" si="233"/>
        <v>7.4153370317832243E-2</v>
      </c>
      <c r="BR45" s="78">
        <f t="shared" si="233"/>
        <v>3.2557141490093498E-2</v>
      </c>
      <c r="BS45" s="79">
        <f t="shared" si="233"/>
        <v>9.1956447492429039E-2</v>
      </c>
      <c r="BT45" s="78">
        <f t="shared" ref="BT45" si="234">AVERAGE(BP44,BL44,BH44,BD44,AZ44)</f>
        <v>1.075964624154872E-2</v>
      </c>
      <c r="BU45" s="78">
        <f t="shared" ref="BU45" si="235">AVERAGE(BQ44,BM44,BI44,BE44,BA44)</f>
        <v>5.5475043219122944E-2</v>
      </c>
      <c r="BV45" s="78">
        <f t="shared" ref="BV45" si="236">AVERAGE(BR44,BN44,BJ44,BF44,BB44)</f>
        <v>1.2520182672775659E-2</v>
      </c>
      <c r="BW45" s="79">
        <f t="shared" ref="BW45" si="237">AVERAGE(BS44,BO44,BK44,BG44,BC44)</f>
        <v>5.9738418370980609E-2</v>
      </c>
      <c r="BX45" s="346"/>
      <c r="BY45" s="219"/>
      <c r="BZ45" s="220"/>
      <c r="CA45" s="220"/>
      <c r="CB45" s="220"/>
      <c r="CC45" s="220"/>
      <c r="CD45" s="220"/>
      <c r="CE45" s="220"/>
      <c r="CF45" s="220"/>
      <c r="CG45" s="220"/>
      <c r="CH45" s="220"/>
      <c r="CI45" s="220"/>
      <c r="CJ45" s="220"/>
      <c r="CK45" s="220"/>
      <c r="CL45" s="220"/>
      <c r="CM45" s="220"/>
      <c r="CN45" s="220"/>
      <c r="CO45" s="220"/>
      <c r="CP45" s="258"/>
      <c r="CQ45" s="1041"/>
    </row>
    <row r="46" spans="1:95" ht="14.25" customHeight="1">
      <c r="A46" s="866"/>
      <c r="B46" s="867" t="s">
        <v>298</v>
      </c>
      <c r="C46" s="880"/>
      <c r="D46" s="377"/>
      <c r="E46" s="370"/>
      <c r="F46" s="370"/>
      <c r="G46" s="335"/>
      <c r="H46" s="377"/>
      <c r="I46" s="370">
        <f t="shared" ref="I46:BH46" si="238">I43/E43-1</f>
        <v>0.3830747462919597</v>
      </c>
      <c r="J46" s="370">
        <f t="shared" si="238"/>
        <v>0.12225579053373625</v>
      </c>
      <c r="K46" s="335">
        <f t="shared" si="238"/>
        <v>-0.10525843503230448</v>
      </c>
      <c r="L46" s="377">
        <f t="shared" si="238"/>
        <v>-0.13425201358934236</v>
      </c>
      <c r="M46" s="370">
        <f t="shared" si="238"/>
        <v>-0.25227974248170038</v>
      </c>
      <c r="N46" s="370">
        <f t="shared" si="238"/>
        <v>-1.5075376884421843E-2</v>
      </c>
      <c r="O46" s="335">
        <f t="shared" si="238"/>
        <v>2.8382308695215963E-2</v>
      </c>
      <c r="P46" s="377">
        <f t="shared" si="238"/>
        <v>-0.11640211640211628</v>
      </c>
      <c r="Q46" s="370">
        <f t="shared" si="238"/>
        <v>0.23943196829590496</v>
      </c>
      <c r="R46" s="370">
        <f t="shared" si="238"/>
        <v>0.15041909620991212</v>
      </c>
      <c r="S46" s="335">
        <f t="shared" si="238"/>
        <v>0.27286912424419763</v>
      </c>
      <c r="T46" s="377">
        <f t="shared" si="238"/>
        <v>0.30708582834331355</v>
      </c>
      <c r="U46" s="370">
        <f t="shared" si="238"/>
        <v>-0.49213962163602454</v>
      </c>
      <c r="V46" s="370">
        <f t="shared" si="238"/>
        <v>-0.12253504395343318</v>
      </c>
      <c r="W46" s="335">
        <f t="shared" si="238"/>
        <v>-0.14057232608029435</v>
      </c>
      <c r="X46" s="377">
        <f t="shared" si="238"/>
        <v>-3.3595479880888957E-2</v>
      </c>
      <c r="Y46" s="370">
        <f t="shared" si="238"/>
        <v>2.7957577574576526</v>
      </c>
      <c r="Z46" s="370">
        <f t="shared" si="238"/>
        <v>1.2305331799002688</v>
      </c>
      <c r="AA46" s="335">
        <f t="shared" si="238"/>
        <v>1.0694243241436179</v>
      </c>
      <c r="AB46" s="377">
        <f t="shared" si="238"/>
        <v>0.49759026625582714</v>
      </c>
      <c r="AC46" s="370">
        <f t="shared" si="238"/>
        <v>-0.25395414963568519</v>
      </c>
      <c r="AD46" s="370">
        <f t="shared" si="238"/>
        <v>-0.18675838349097162</v>
      </c>
      <c r="AE46" s="335">
        <f t="shared" si="238"/>
        <v>-3.6347775516138436E-2</v>
      </c>
      <c r="AF46" s="377">
        <f t="shared" si="238"/>
        <v>0.3787654972302823</v>
      </c>
      <c r="AG46" s="370">
        <f t="shared" si="238"/>
        <v>0.46666401990365802</v>
      </c>
      <c r="AH46" s="370">
        <f t="shared" si="238"/>
        <v>0.3449678454591818</v>
      </c>
      <c r="AI46" s="335">
        <f t="shared" si="238"/>
        <v>0.22988891124075228</v>
      </c>
      <c r="AJ46" s="377">
        <f t="shared" si="238"/>
        <v>0.49905297595132847</v>
      </c>
      <c r="AK46" s="370">
        <f t="shared" si="238"/>
        <v>0.55288873649922854</v>
      </c>
      <c r="AL46" s="370">
        <f t="shared" si="238"/>
        <v>0.49492259031130326</v>
      </c>
      <c r="AM46" s="335">
        <f t="shared" si="238"/>
        <v>0.39557284094213419</v>
      </c>
      <c r="AN46" s="377">
        <f t="shared" si="238"/>
        <v>-9.7455139495111864E-2</v>
      </c>
      <c r="AO46" s="370">
        <f t="shared" si="238"/>
        <v>-0.1777434312210201</v>
      </c>
      <c r="AP46" s="370">
        <f t="shared" si="238"/>
        <v>-0.19209354120267252</v>
      </c>
      <c r="AQ46" s="335">
        <f t="shared" si="238"/>
        <v>-0.11420757911186341</v>
      </c>
      <c r="AR46" s="377">
        <f t="shared" si="238"/>
        <v>-6.5301620520942238E-2</v>
      </c>
      <c r="AS46" s="370">
        <f t="shared" si="238"/>
        <v>-2.7220306405110528E-2</v>
      </c>
      <c r="AT46" s="370">
        <f t="shared" si="238"/>
        <v>9.5642851673175544E-2</v>
      </c>
      <c r="AU46" s="335">
        <f t="shared" si="238"/>
        <v>5.5571890620405462E-2</v>
      </c>
      <c r="AV46" s="377">
        <f t="shared" si="238"/>
        <v>0.12227685325264726</v>
      </c>
      <c r="AW46" s="370">
        <f t="shared" si="238"/>
        <v>0.21075112596251633</v>
      </c>
      <c r="AX46" s="370">
        <f t="shared" si="238"/>
        <v>0.28159071847917239</v>
      </c>
      <c r="AY46" s="370">
        <f t="shared" si="238"/>
        <v>0.44434540389972166</v>
      </c>
      <c r="AZ46" s="377">
        <f t="shared" si="238"/>
        <v>0.42654938833282796</v>
      </c>
      <c r="BA46" s="370">
        <f t="shared" si="238"/>
        <v>0.26175962369204187</v>
      </c>
      <c r="BB46" s="370">
        <f t="shared" si="238"/>
        <v>0.1517696460707858</v>
      </c>
      <c r="BC46" s="335">
        <f t="shared" si="238"/>
        <v>-8.2002622849648987E-2</v>
      </c>
      <c r="BD46" s="377">
        <f t="shared" si="238"/>
        <v>-0.15946137491141033</v>
      </c>
      <c r="BE46" s="370">
        <f t="shared" si="238"/>
        <v>-4.602948169281984E-2</v>
      </c>
      <c r="BF46" s="370">
        <f t="shared" si="238"/>
        <v>1.5151515151516914E-3</v>
      </c>
      <c r="BG46" s="335">
        <f t="shared" si="238"/>
        <v>0.6024159663865547</v>
      </c>
      <c r="BH46" s="377">
        <f t="shared" si="238"/>
        <v>0.81618887015177077</v>
      </c>
      <c r="BI46" s="370">
        <f t="shared" ref="BI46" si="239">BI43/BE43-1</f>
        <v>0.74907785863822141</v>
      </c>
      <c r="BJ46" s="370">
        <f t="shared" ref="BJ46:BK46" si="240">BJ43/BF43-1</f>
        <v>0.66556354009077157</v>
      </c>
      <c r="BK46" s="335">
        <f t="shared" si="240"/>
        <v>0.17174696820714508</v>
      </c>
      <c r="BL46" s="377">
        <f t="shared" ref="BL46:BS46" si="241">BL43/BH43-1</f>
        <v>0.1064685855772205</v>
      </c>
      <c r="BM46" s="370">
        <f t="shared" si="241"/>
        <v>5.9561128526645968E-2</v>
      </c>
      <c r="BN46" s="370">
        <f t="shared" si="241"/>
        <v>5.5350553505534972E-2</v>
      </c>
      <c r="BO46" s="335">
        <f t="shared" si="241"/>
        <v>8.800000000000141E-3</v>
      </c>
      <c r="BP46" s="377">
        <f t="shared" si="241"/>
        <v>4.9152000000000085E-2</v>
      </c>
      <c r="BQ46" s="370">
        <f t="shared" si="241"/>
        <v>3.9063999999999988E-2</v>
      </c>
      <c r="BR46" s="370">
        <f t="shared" si="241"/>
        <v>3.9063999999999988E-2</v>
      </c>
      <c r="BS46" s="335">
        <f t="shared" si="241"/>
        <v>3.9063999999999988E-2</v>
      </c>
      <c r="BT46" s="377">
        <f t="shared" ref="BT46" si="242">BT43/BP43-1</f>
        <v>3.906400000000021E-2</v>
      </c>
      <c r="BU46" s="370">
        <f t="shared" ref="BU46" si="243">BU43/BQ43-1</f>
        <v>3.906400000000021E-2</v>
      </c>
      <c r="BV46" s="370">
        <f t="shared" ref="BV46" si="244">BV43/BR43-1</f>
        <v>3.906400000000021E-2</v>
      </c>
      <c r="BW46" s="335">
        <f t="shared" ref="BW46" si="245">BW43/BS43-1</f>
        <v>3.9063999999999988E-2</v>
      </c>
      <c r="BX46" s="346"/>
      <c r="BY46" s="377"/>
      <c r="BZ46" s="370"/>
      <c r="CA46" s="370"/>
      <c r="CB46" s="370"/>
      <c r="CC46" s="370"/>
      <c r="CD46" s="338"/>
      <c r="CE46" s="338"/>
      <c r="CF46" s="338"/>
      <c r="CG46" s="338"/>
      <c r="CH46" s="338">
        <f t="shared" ref="CH46:CP46" si="246">CH43/CG43-1</f>
        <v>-0.14665776438985767</v>
      </c>
      <c r="CI46" s="338">
        <f t="shared" si="246"/>
        <v>1.2667901553555794E-2</v>
      </c>
      <c r="CJ46" s="338">
        <f t="shared" si="246"/>
        <v>0.26821971466561245</v>
      </c>
      <c r="CK46" s="338">
        <f t="shared" si="246"/>
        <v>0.16680716618377334</v>
      </c>
      <c r="CL46" s="338">
        <f t="shared" si="246"/>
        <v>8.6928541072187393E-2</v>
      </c>
      <c r="CM46" s="338">
        <f t="shared" si="246"/>
        <v>0.54590343409969377</v>
      </c>
      <c r="CN46" s="338">
        <f t="shared" si="246"/>
        <v>5.6327503974562765E-2</v>
      </c>
      <c r="CO46" s="338">
        <f t="shared" si="246"/>
        <v>4.1531227548424976E-2</v>
      </c>
      <c r="CP46" s="337">
        <f t="shared" si="246"/>
        <v>3.906400000000021E-2</v>
      </c>
      <c r="CQ46" s="1041"/>
    </row>
    <row r="47" spans="1:95" ht="14.25" customHeight="1">
      <c r="A47" s="865"/>
      <c r="B47" s="32" t="s">
        <v>299</v>
      </c>
      <c r="C47" s="218"/>
      <c r="D47" s="78"/>
      <c r="E47" s="78">
        <f t="shared" ref="E47:AE47" si="247">E43/E76</f>
        <v>0.16</v>
      </c>
      <c r="F47" s="78">
        <f t="shared" si="247"/>
        <v>0.15</v>
      </c>
      <c r="G47" s="79">
        <f t="shared" si="247"/>
        <v>0.16</v>
      </c>
      <c r="H47" s="78">
        <f t="shared" si="247"/>
        <v>0.16999999999999996</v>
      </c>
      <c r="I47" s="78">
        <f t="shared" si="247"/>
        <v>0.17</v>
      </c>
      <c r="J47" s="78">
        <f t="shared" si="247"/>
        <v>0.14000000000000001</v>
      </c>
      <c r="K47" s="79">
        <f t="shared" si="247"/>
        <v>0.12999999999999998</v>
      </c>
      <c r="L47" s="78">
        <f t="shared" si="247"/>
        <v>0.15</v>
      </c>
      <c r="M47" s="78">
        <f t="shared" si="247"/>
        <v>0.14000000000000001</v>
      </c>
      <c r="N47" s="78">
        <f t="shared" si="247"/>
        <v>0.14000000000000001</v>
      </c>
      <c r="O47" s="79">
        <f t="shared" si="247"/>
        <v>0.12</v>
      </c>
      <c r="P47" s="78">
        <f t="shared" si="247"/>
        <v>0.12</v>
      </c>
      <c r="Q47" s="78">
        <f t="shared" si="247"/>
        <v>0.14000000000000001</v>
      </c>
      <c r="R47" s="78">
        <f t="shared" si="247"/>
        <v>0.12</v>
      </c>
      <c r="S47" s="79">
        <f t="shared" si="247"/>
        <v>0.13</v>
      </c>
      <c r="T47" s="78">
        <f t="shared" si="247"/>
        <v>0.13999999999999999</v>
      </c>
      <c r="U47" s="78">
        <f t="shared" si="247"/>
        <v>7.0000000000000007E-2</v>
      </c>
      <c r="V47" s="78">
        <f t="shared" si="247"/>
        <v>0.11</v>
      </c>
      <c r="W47" s="79">
        <f t="shared" si="247"/>
        <v>0.11</v>
      </c>
      <c r="X47" s="78">
        <f t="shared" si="247"/>
        <v>0.12</v>
      </c>
      <c r="Y47" s="78">
        <f t="shared" si="247"/>
        <v>0.17999999999999994</v>
      </c>
      <c r="Z47" s="78">
        <f t="shared" si="247"/>
        <v>0.17</v>
      </c>
      <c r="AA47" s="79">
        <f t="shared" si="247"/>
        <v>0.19</v>
      </c>
      <c r="AB47" s="78">
        <f t="shared" si="247"/>
        <v>0.20000000000000004</v>
      </c>
      <c r="AC47" s="78">
        <f t="shared" si="247"/>
        <v>0.17999999999999997</v>
      </c>
      <c r="AD47" s="78">
        <f t="shared" si="247"/>
        <v>0.17</v>
      </c>
      <c r="AE47" s="79">
        <f t="shared" si="247"/>
        <v>0.18</v>
      </c>
      <c r="AF47" s="78">
        <f t="shared" ref="AF47:AQ47" si="248">AF43/AF76</f>
        <v>0.19</v>
      </c>
      <c r="AG47" s="78">
        <f t="shared" si="248"/>
        <v>0.18999999999999997</v>
      </c>
      <c r="AH47" s="78">
        <f t="shared" si="248"/>
        <v>0.18</v>
      </c>
      <c r="AI47" s="79">
        <f t="shared" si="248"/>
        <v>0.19</v>
      </c>
      <c r="AJ47" s="78">
        <f t="shared" si="248"/>
        <v>0.18</v>
      </c>
      <c r="AK47" s="78">
        <f t="shared" si="248"/>
        <v>0.19</v>
      </c>
      <c r="AL47" s="78">
        <f t="shared" si="248"/>
        <v>0.17999999999999997</v>
      </c>
      <c r="AM47" s="79">
        <f t="shared" si="248"/>
        <v>0.2</v>
      </c>
      <c r="AN47" s="78">
        <f t="shared" si="248"/>
        <v>0.19</v>
      </c>
      <c r="AO47" s="78">
        <f t="shared" si="248"/>
        <v>0.19</v>
      </c>
      <c r="AP47" s="78">
        <f t="shared" si="248"/>
        <v>0.17999999999999997</v>
      </c>
      <c r="AQ47" s="79">
        <f t="shared" si="248"/>
        <v>0.2</v>
      </c>
      <c r="AR47" s="78">
        <f t="shared" ref="AR47:AW47" si="249">AR43/AR76</f>
        <v>0.20000000000000004</v>
      </c>
      <c r="AS47" s="78">
        <f t="shared" si="249"/>
        <v>0.19999999999999998</v>
      </c>
      <c r="AT47" s="78">
        <f t="shared" si="249"/>
        <v>0.19999999999999998</v>
      </c>
      <c r="AU47" s="79">
        <f t="shared" si="249"/>
        <v>0.19999999999999998</v>
      </c>
      <c r="AV47" s="78">
        <f t="shared" si="249"/>
        <v>0.20999999999999996</v>
      </c>
      <c r="AW47" s="78">
        <f t="shared" si="249"/>
        <v>0.22000000000000003</v>
      </c>
      <c r="AX47" s="78">
        <f t="shared" ref="AX47:BC47" si="250">AX43/AX76</f>
        <v>0.22</v>
      </c>
      <c r="AY47" s="78">
        <f t="shared" si="250"/>
        <v>0.23999999999999996</v>
      </c>
      <c r="AZ47" s="134">
        <f t="shared" si="250"/>
        <v>0.24305236564079011</v>
      </c>
      <c r="BA47" s="78">
        <f t="shared" si="250"/>
        <v>0.23884156729131176</v>
      </c>
      <c r="BB47" s="78">
        <f t="shared" si="250"/>
        <v>0.2335249889429456</v>
      </c>
      <c r="BC47" s="79">
        <f t="shared" si="250"/>
        <v>0.22658574318695707</v>
      </c>
      <c r="BD47" s="134">
        <f>BD43/BD76</f>
        <v>0.21769456681350957</v>
      </c>
      <c r="BE47" s="78">
        <f>BE43/BE76</f>
        <v>0.22854864433811803</v>
      </c>
      <c r="BF47" s="78">
        <f t="shared" ref="BF47:BG47" si="251">BF43/BF76</f>
        <v>0.22244189715006837</v>
      </c>
      <c r="BG47" s="79">
        <f t="shared" si="251"/>
        <v>0.24195083267248219</v>
      </c>
      <c r="BH47" s="134">
        <f>BH43/BH76</f>
        <v>0.2521067415730337</v>
      </c>
      <c r="BI47" s="78">
        <f t="shared" ref="BI47:BK47" si="252">BI43/BI76</f>
        <v>0.26225710014947684</v>
      </c>
      <c r="BJ47" s="78">
        <f t="shared" si="252"/>
        <v>0.25327102803738316</v>
      </c>
      <c r="BK47" s="79">
        <f t="shared" si="252"/>
        <v>0.25952813067150637</v>
      </c>
      <c r="BL47" s="78">
        <f t="shared" ref="BL47:BS47" si="253">BL43/(BL76)</f>
        <v>0.26097614568527955</v>
      </c>
      <c r="BM47" s="78">
        <f t="shared" si="253"/>
        <v>0.26029388271500692</v>
      </c>
      <c r="BN47" s="78">
        <f t="shared" si="253"/>
        <v>0.2542881329064593</v>
      </c>
      <c r="BO47" s="79">
        <f t="shared" si="253"/>
        <v>0.25110850761609832</v>
      </c>
      <c r="BP47" s="78">
        <f t="shared" si="253"/>
        <v>0.26260981285262563</v>
      </c>
      <c r="BQ47" s="78">
        <f t="shared" si="253"/>
        <v>0.26074341162897369</v>
      </c>
      <c r="BR47" s="78">
        <f t="shared" si="253"/>
        <v>0.25520154933286526</v>
      </c>
      <c r="BS47" s="79">
        <f t="shared" si="253"/>
        <v>0.2519218649078378</v>
      </c>
      <c r="BT47" s="78">
        <f t="shared" ref="BT47:BW47" si="254">BT43/(BT76)</f>
        <v>0.26307983378763083</v>
      </c>
      <c r="BU47" s="78">
        <f t="shared" si="254"/>
        <v>0.26123280554152928</v>
      </c>
      <c r="BV47" s="78">
        <f t="shared" si="254"/>
        <v>0.25592335040168862</v>
      </c>
      <c r="BW47" s="79">
        <f t="shared" si="254"/>
        <v>0.25254442928796639</v>
      </c>
      <c r="BX47" s="346"/>
      <c r="BY47" s="359">
        <f t="shared" ref="BY47:CJ47" si="255">BY43/(BY76)</f>
        <v>0.15663564908753808</v>
      </c>
      <c r="BZ47" s="338">
        <f t="shared" si="255"/>
        <v>0.15277369958165599</v>
      </c>
      <c r="CA47" s="338">
        <f t="shared" si="255"/>
        <v>0.13697604315405362</v>
      </c>
      <c r="CB47" s="338">
        <f t="shared" si="255"/>
        <v>0.12752186969578272</v>
      </c>
      <c r="CC47" s="338">
        <f t="shared" si="255"/>
        <v>0.10743200102158089</v>
      </c>
      <c r="CD47" s="338">
        <f t="shared" si="255"/>
        <v>0.16722892738952697</v>
      </c>
      <c r="CE47" s="338">
        <f t="shared" si="255"/>
        <v>0.18161286675334953</v>
      </c>
      <c r="CF47" s="338">
        <f t="shared" si="255"/>
        <v>0.18740338895132705</v>
      </c>
      <c r="CG47" s="338">
        <f t="shared" si="255"/>
        <v>0.18709293205124478</v>
      </c>
      <c r="CH47" s="338">
        <f t="shared" si="255"/>
        <v>0.18984351791080867</v>
      </c>
      <c r="CI47" s="338">
        <f t="shared" si="255"/>
        <v>0.2</v>
      </c>
      <c r="CJ47" s="338">
        <f t="shared" si="255"/>
        <v>0.22323201973559365</v>
      </c>
      <c r="CK47" s="338">
        <f t="shared" ref="CK47:CP47" si="256">CK43/(CK76)</f>
        <v>0.2355692219679634</v>
      </c>
      <c r="CL47" s="338">
        <f t="shared" si="256"/>
        <v>0.22911771481225524</v>
      </c>
      <c r="CM47" s="338">
        <f t="shared" si="256"/>
        <v>0.25682522596091384</v>
      </c>
      <c r="CN47" s="338">
        <f t="shared" si="256"/>
        <v>0.25660066442556839</v>
      </c>
      <c r="CO47" s="338">
        <f t="shared" si="256"/>
        <v>0.25755527118192817</v>
      </c>
      <c r="CP47" s="337">
        <f t="shared" si="256"/>
        <v>0.25813448811887824</v>
      </c>
      <c r="CQ47" s="1041"/>
    </row>
    <row r="48" spans="1:95" ht="14.25" customHeight="1">
      <c r="A48" s="865"/>
      <c r="B48" s="32"/>
      <c r="C48" s="218"/>
      <c r="D48" s="78"/>
      <c r="E48" s="78"/>
      <c r="F48" s="78"/>
      <c r="G48" s="79"/>
      <c r="H48" s="78"/>
      <c r="I48" s="78"/>
      <c r="J48" s="78"/>
      <c r="K48" s="79"/>
      <c r="L48" s="78"/>
      <c r="M48" s="78"/>
      <c r="N48" s="78"/>
      <c r="O48" s="79"/>
      <c r="P48" s="78"/>
      <c r="Q48" s="78"/>
      <c r="R48" s="78"/>
      <c r="S48" s="79"/>
      <c r="T48" s="78"/>
      <c r="U48" s="78"/>
      <c r="V48" s="78"/>
      <c r="W48" s="79"/>
      <c r="X48" s="78"/>
      <c r="Y48" s="78"/>
      <c r="Z48" s="78"/>
      <c r="AA48" s="79"/>
      <c r="AB48" s="78"/>
      <c r="AC48" s="78"/>
      <c r="AD48" s="78"/>
      <c r="AE48" s="79"/>
      <c r="AF48" s="78"/>
      <c r="AG48" s="78"/>
      <c r="AH48" s="78"/>
      <c r="AI48" s="79"/>
      <c r="AJ48" s="78"/>
      <c r="AK48" s="78"/>
      <c r="AL48" s="78"/>
      <c r="AM48" s="79"/>
      <c r="AN48" s="78"/>
      <c r="AO48" s="78"/>
      <c r="AP48" s="78"/>
      <c r="AQ48" s="79"/>
      <c r="AR48" s="78"/>
      <c r="AS48" s="78"/>
      <c r="AT48" s="78"/>
      <c r="AU48" s="79"/>
      <c r="AV48" s="78"/>
      <c r="AW48" s="78"/>
      <c r="AX48" s="78"/>
      <c r="AY48" s="78"/>
      <c r="AZ48" s="134"/>
      <c r="BA48" s="78"/>
      <c r="BB48" s="78"/>
      <c r="BC48" s="79"/>
      <c r="BD48" s="134"/>
      <c r="BE48" s="78"/>
      <c r="BF48" s="78"/>
      <c r="BG48" s="79"/>
      <c r="BH48" s="134"/>
      <c r="BI48" s="78"/>
      <c r="BJ48" s="78"/>
      <c r="BK48" s="79"/>
      <c r="BL48" s="57"/>
      <c r="BM48" s="57"/>
      <c r="BN48" s="57"/>
      <c r="BO48" s="24"/>
      <c r="BP48" s="57"/>
      <c r="BQ48" s="57"/>
      <c r="BR48" s="57"/>
      <c r="BS48" s="24"/>
      <c r="BT48" s="57"/>
      <c r="BU48" s="57"/>
      <c r="BV48" s="57"/>
      <c r="BW48" s="24"/>
      <c r="BX48" s="346"/>
      <c r="BY48" s="22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5"/>
      <c r="CM48" s="15"/>
      <c r="CN48" s="15"/>
      <c r="CO48" s="15"/>
      <c r="CP48" s="211"/>
      <c r="CQ48" s="1041"/>
    </row>
    <row r="49" spans="1:95" ht="14.25" customHeight="1">
      <c r="A49" s="865"/>
      <c r="B49" s="45" t="str">
        <f>$B$106&amp;" Gross Margin"</f>
        <v>Industrial/Medical/Mil-Aero Gross Margin</v>
      </c>
      <c r="C49" s="218"/>
      <c r="D49" s="374"/>
      <c r="E49" s="341">
        <f t="shared" ref="E49:AE49" si="257">E98*E47</f>
        <v>11.823999999999996</v>
      </c>
      <c r="F49" s="341">
        <f t="shared" si="257"/>
        <v>11.040000000000003</v>
      </c>
      <c r="G49" s="342">
        <f t="shared" si="257"/>
        <v>12.544000000000006</v>
      </c>
      <c r="H49" s="374">
        <f t="shared" si="257"/>
        <v>16.302999999999994</v>
      </c>
      <c r="I49" s="341">
        <f t="shared" si="257"/>
        <v>19.108000000000004</v>
      </c>
      <c r="J49" s="341">
        <f t="shared" si="257"/>
        <v>14.419999999999998</v>
      </c>
      <c r="K49" s="342">
        <f t="shared" si="257"/>
        <v>12.818000000000001</v>
      </c>
      <c r="L49" s="374">
        <f t="shared" si="257"/>
        <v>14.429999999999998</v>
      </c>
      <c r="M49" s="341">
        <f t="shared" si="257"/>
        <v>13.790000000000001</v>
      </c>
      <c r="N49" s="341">
        <f t="shared" si="257"/>
        <v>14.574000000000005</v>
      </c>
      <c r="O49" s="342">
        <f t="shared" si="257"/>
        <v>14.364000000000001</v>
      </c>
      <c r="P49" s="374">
        <f t="shared" si="257"/>
        <v>14.123999999999999</v>
      </c>
      <c r="Q49" s="341">
        <f t="shared" si="257"/>
        <v>21.448000000000004</v>
      </c>
      <c r="R49" s="341">
        <f t="shared" si="257"/>
        <v>19.247999999999998</v>
      </c>
      <c r="S49" s="342">
        <f t="shared" si="257"/>
        <v>20.501000000000001</v>
      </c>
      <c r="T49" s="374">
        <f t="shared" si="257"/>
        <v>19.123999999999999</v>
      </c>
      <c r="U49" s="341">
        <f t="shared" si="257"/>
        <v>10.220000000000001</v>
      </c>
      <c r="V49" s="341">
        <f t="shared" si="257"/>
        <v>17.115999999999996</v>
      </c>
      <c r="W49" s="342">
        <f t="shared" si="257"/>
        <v>16.752999999999997</v>
      </c>
      <c r="X49" s="374">
        <f t="shared" si="257"/>
        <v>17.591999999999995</v>
      </c>
      <c r="Y49" s="341">
        <f t="shared" si="257"/>
        <v>34.487999999999992</v>
      </c>
      <c r="Z49" s="341">
        <f t="shared" si="257"/>
        <v>37.672000000000004</v>
      </c>
      <c r="AA49" s="342">
        <f t="shared" si="257"/>
        <v>35.283000000000001</v>
      </c>
      <c r="AB49" s="374">
        <f t="shared" si="257"/>
        <v>22.420000000000009</v>
      </c>
      <c r="AC49" s="341">
        <f t="shared" si="257"/>
        <v>24.875999999999994</v>
      </c>
      <c r="AD49" s="341">
        <f t="shared" si="257"/>
        <v>29.885999999999996</v>
      </c>
      <c r="AE49" s="342">
        <f t="shared" si="257"/>
        <v>35.028000000000006</v>
      </c>
      <c r="AF49" s="374">
        <f t="shared" ref="AF49:AQ49" si="258">AF98*AF47</f>
        <v>43.339000000000006</v>
      </c>
      <c r="AG49" s="341">
        <f t="shared" si="258"/>
        <v>46.321999999999989</v>
      </c>
      <c r="AH49" s="341">
        <f t="shared" si="258"/>
        <v>44.370000000000012</v>
      </c>
      <c r="AI49" s="342">
        <f t="shared" si="258"/>
        <v>45.144000000000005</v>
      </c>
      <c r="AJ49" s="374">
        <f t="shared" si="258"/>
        <v>43.631999999999991</v>
      </c>
      <c r="AK49" s="341">
        <f t="shared" si="258"/>
        <v>50.558999999999983</v>
      </c>
      <c r="AL49" s="341">
        <f t="shared" si="258"/>
        <v>46.997999999999998</v>
      </c>
      <c r="AM49" s="342">
        <f t="shared" si="258"/>
        <v>47.839999999999989</v>
      </c>
      <c r="AN49" s="374">
        <f t="shared" si="258"/>
        <v>46.588000000000001</v>
      </c>
      <c r="AO49" s="341">
        <f t="shared" si="258"/>
        <v>49.076999999999991</v>
      </c>
      <c r="AP49" s="341">
        <f t="shared" si="258"/>
        <v>42.839999999999989</v>
      </c>
      <c r="AQ49" s="342">
        <f t="shared" si="258"/>
        <v>42.080000000000013</v>
      </c>
      <c r="AR49" s="374">
        <f t="shared" ref="AR49:AW49" si="259">AR98*AR47</f>
        <v>40.900000000000006</v>
      </c>
      <c r="AS49" s="341">
        <f t="shared" si="259"/>
        <v>46.359999999999985</v>
      </c>
      <c r="AT49" s="341">
        <f t="shared" si="259"/>
        <v>49.839999999999996</v>
      </c>
      <c r="AU49" s="342">
        <f t="shared" si="259"/>
        <v>50.579999999999991</v>
      </c>
      <c r="AV49" s="374">
        <f t="shared" si="259"/>
        <v>52.667999999999992</v>
      </c>
      <c r="AW49" s="341">
        <f t="shared" si="259"/>
        <v>60.060000000000009</v>
      </c>
      <c r="AX49" s="341">
        <f t="shared" ref="AX49:BC49" si="260">AX98*AX47</f>
        <v>62.502000000000002</v>
      </c>
      <c r="AY49" s="341">
        <f t="shared" si="260"/>
        <v>66.647999999999996</v>
      </c>
      <c r="AZ49" s="374">
        <f t="shared" si="260"/>
        <v>73.012930638493344</v>
      </c>
      <c r="BA49" s="341">
        <f t="shared" si="260"/>
        <v>72.703373083475299</v>
      </c>
      <c r="BB49" s="341">
        <f t="shared" si="260"/>
        <v>72.042459088898724</v>
      </c>
      <c r="BC49" s="342">
        <f t="shared" si="260"/>
        <v>63.421349518029281</v>
      </c>
      <c r="BD49" s="374">
        <f>BD98*BD47</f>
        <v>59.974853157121885</v>
      </c>
      <c r="BE49" s="341">
        <f>BE98*BE47</f>
        <v>70.370127591706535</v>
      </c>
      <c r="BF49" s="341">
        <f t="shared" ref="BF49:BG49" si="261">BF98*BF47</f>
        <v>73.183384162372491</v>
      </c>
      <c r="BG49" s="342">
        <f t="shared" si="261"/>
        <v>93.030095162569395</v>
      </c>
      <c r="BH49" s="374">
        <f>BH98*BH47</f>
        <v>126.88532303370788</v>
      </c>
      <c r="BI49" s="341">
        <f t="shared" ref="BI49:BK49" si="262">BI98*BI47</f>
        <v>129.05671898355757</v>
      </c>
      <c r="BJ49" s="341">
        <f t="shared" si="262"/>
        <v>132.76467289719628</v>
      </c>
      <c r="BK49" s="342">
        <f t="shared" si="262"/>
        <v>133.44936479128859</v>
      </c>
      <c r="BL49" s="341">
        <f t="shared" ref="BL49:BS49" si="263">BL52*BL43</f>
        <v>134.7775</v>
      </c>
      <c r="BM49" s="341">
        <f t="shared" si="263"/>
        <v>141.6558</v>
      </c>
      <c r="BN49" s="341">
        <f t="shared" si="263"/>
        <v>141.6558</v>
      </c>
      <c r="BO49" s="342">
        <f t="shared" si="263"/>
        <v>136.32418800000002</v>
      </c>
      <c r="BP49" s="341">
        <f t="shared" si="263"/>
        <v>141.77715552000001</v>
      </c>
      <c r="BQ49" s="341">
        <f t="shared" si="263"/>
        <v>147.5757661664</v>
      </c>
      <c r="BR49" s="341">
        <f t="shared" si="263"/>
        <v>149.89371013760001</v>
      </c>
      <c r="BS49" s="342">
        <f t="shared" si="263"/>
        <v>145.77163310881602</v>
      </c>
      <c r="BT49" s="341">
        <f t="shared" ref="BT49:BW49" si="264">BT52*BT43</f>
        <v>147.31553832323331</v>
      </c>
      <c r="BU49" s="341">
        <f t="shared" si="264"/>
        <v>153.34066589592427</v>
      </c>
      <c r="BV49" s="341">
        <f t="shared" si="264"/>
        <v>155.74915803041523</v>
      </c>
      <c r="BW49" s="342">
        <f t="shared" si="264"/>
        <v>151.4660561845788</v>
      </c>
      <c r="BX49" s="346"/>
      <c r="BY49" s="334">
        <f>SUM(D49:G49)</f>
        <v>35.408000000000001</v>
      </c>
      <c r="BZ49" s="325">
        <f>SUM(H49:K49)</f>
        <v>62.649000000000001</v>
      </c>
      <c r="CA49" s="325">
        <f>SUM(L49:O49)</f>
        <v>57.158000000000001</v>
      </c>
      <c r="CB49" s="325">
        <f>SUM(P49:S49)</f>
        <v>75.320999999999998</v>
      </c>
      <c r="CC49" s="325">
        <f>SUM(T49:W49)</f>
        <v>63.212999999999994</v>
      </c>
      <c r="CD49" s="325">
        <f>SUM(X49:AA49)</f>
        <v>125.03499999999998</v>
      </c>
      <c r="CE49" s="325">
        <f>SUM(AB49:AE49)</f>
        <v>112.21000000000001</v>
      </c>
      <c r="CF49" s="325">
        <f>SUM(AF49:AI49)</f>
        <v>179.17500000000001</v>
      </c>
      <c r="CG49" s="325">
        <f>SUM(AJ49:AM49)</f>
        <v>189.02899999999994</v>
      </c>
      <c r="CH49" s="325">
        <f>SUM(AN49:AQ49)</f>
        <v>180.58500000000001</v>
      </c>
      <c r="CI49" s="325">
        <f>SUM(AR49:AU49)</f>
        <v>187.67999999999998</v>
      </c>
      <c r="CJ49" s="325">
        <f>SUM(AV49:AY49)</f>
        <v>241.87800000000001</v>
      </c>
      <c r="CK49" s="325">
        <f>SUM(AZ49:BC49)</f>
        <v>281.18011232889666</v>
      </c>
      <c r="CL49" s="325">
        <f>SUM(BD49:BG49)</f>
        <v>296.55846007377033</v>
      </c>
      <c r="CM49" s="325">
        <f>SUM(BH49:BK49)</f>
        <v>522.15607970575024</v>
      </c>
      <c r="CN49" s="325">
        <f>SUM(BL49:BO49)</f>
        <v>554.41328800000008</v>
      </c>
      <c r="CO49" s="325">
        <f>SUM(BP49:BS49)</f>
        <v>585.01826493281601</v>
      </c>
      <c r="CP49" s="326">
        <f>SUM(BT49:BW49)</f>
        <v>607.87141843415156</v>
      </c>
      <c r="CQ49" s="1041"/>
    </row>
    <row r="50" spans="1:95" ht="14.25" customHeight="1">
      <c r="A50" s="865"/>
      <c r="B50" s="32" t="s">
        <v>297</v>
      </c>
      <c r="C50" s="218"/>
      <c r="D50" s="134"/>
      <c r="E50" s="78"/>
      <c r="F50" s="78">
        <f t="shared" ref="F50:BH50" si="265">F49/E49-1</f>
        <v>-6.6305818673883077E-2</v>
      </c>
      <c r="G50" s="79">
        <f t="shared" si="265"/>
        <v>0.13623188405797126</v>
      </c>
      <c r="H50" s="134">
        <f t="shared" si="265"/>
        <v>0.29966517857142749</v>
      </c>
      <c r="I50" s="78">
        <f t="shared" si="265"/>
        <v>0.17205422314911445</v>
      </c>
      <c r="J50" s="78">
        <f t="shared" si="265"/>
        <v>-0.24534226501988721</v>
      </c>
      <c r="K50" s="79">
        <f t="shared" si="265"/>
        <v>-0.11109570041608852</v>
      </c>
      <c r="L50" s="134">
        <f t="shared" si="265"/>
        <v>0.12576064908722073</v>
      </c>
      <c r="M50" s="78">
        <f t="shared" si="265"/>
        <v>-4.4352044352044206E-2</v>
      </c>
      <c r="N50" s="78">
        <f t="shared" si="265"/>
        <v>5.6852791878172937E-2</v>
      </c>
      <c r="O50" s="79">
        <f t="shared" si="265"/>
        <v>-1.4409221902017544E-2</v>
      </c>
      <c r="P50" s="134">
        <f t="shared" si="265"/>
        <v>-1.670843776106945E-2</v>
      </c>
      <c r="Q50" s="78">
        <f t="shared" si="265"/>
        <v>0.5185499858397058</v>
      </c>
      <c r="R50" s="78">
        <f t="shared" si="265"/>
        <v>-0.10257366654233524</v>
      </c>
      <c r="S50" s="79">
        <f t="shared" si="265"/>
        <v>6.5097672485453284E-2</v>
      </c>
      <c r="T50" s="134">
        <f t="shared" si="265"/>
        <v>-6.7167455246085694E-2</v>
      </c>
      <c r="U50" s="78">
        <f t="shared" si="265"/>
        <v>-0.46559297218155193</v>
      </c>
      <c r="V50" s="78">
        <f t="shared" si="265"/>
        <v>0.67475538160469628</v>
      </c>
      <c r="W50" s="79">
        <f t="shared" si="265"/>
        <v>-2.1208226221079651E-2</v>
      </c>
      <c r="X50" s="134">
        <f t="shared" si="265"/>
        <v>5.008058258222392E-2</v>
      </c>
      <c r="Y50" s="78">
        <f t="shared" si="265"/>
        <v>0.9604365620736699</v>
      </c>
      <c r="Z50" s="78">
        <f t="shared" si="265"/>
        <v>9.2321967061007149E-2</v>
      </c>
      <c r="AA50" s="79">
        <f t="shared" si="265"/>
        <v>-6.3415799532809625E-2</v>
      </c>
      <c r="AB50" s="134">
        <f t="shared" si="265"/>
        <v>-0.36456650511577793</v>
      </c>
      <c r="AC50" s="78">
        <f t="shared" si="265"/>
        <v>0.10954504906333562</v>
      </c>
      <c r="AD50" s="78">
        <f t="shared" si="265"/>
        <v>0.20139893873613124</v>
      </c>
      <c r="AE50" s="79">
        <f t="shared" si="265"/>
        <v>0.17205380445693663</v>
      </c>
      <c r="AF50" s="134">
        <f t="shared" si="265"/>
        <v>0.23726732899394776</v>
      </c>
      <c r="AG50" s="78">
        <f t="shared" si="265"/>
        <v>6.8829460762822814E-2</v>
      </c>
      <c r="AH50" s="78">
        <f t="shared" si="265"/>
        <v>-4.2139803980829393E-2</v>
      </c>
      <c r="AI50" s="79">
        <f t="shared" si="265"/>
        <v>1.744421906693705E-2</v>
      </c>
      <c r="AJ50" s="134">
        <f t="shared" si="265"/>
        <v>-3.3492822966507463E-2</v>
      </c>
      <c r="AK50" s="78">
        <f t="shared" si="265"/>
        <v>0.15875962596259607</v>
      </c>
      <c r="AL50" s="78">
        <f t="shared" si="265"/>
        <v>-7.043256393520414E-2</v>
      </c>
      <c r="AM50" s="79">
        <f t="shared" si="265"/>
        <v>1.7915655985360823E-2</v>
      </c>
      <c r="AN50" s="134">
        <f t="shared" si="265"/>
        <v>-2.617056856187272E-2</v>
      </c>
      <c r="AO50" s="78">
        <f t="shared" si="265"/>
        <v>5.3425774877650767E-2</v>
      </c>
      <c r="AP50" s="78">
        <f t="shared" si="265"/>
        <v>-0.12708600770218237</v>
      </c>
      <c r="AQ50" s="79">
        <f t="shared" si="265"/>
        <v>-1.774042950513488E-2</v>
      </c>
      <c r="AR50" s="134">
        <f t="shared" si="265"/>
        <v>-2.8041825095057149E-2</v>
      </c>
      <c r="AS50" s="78">
        <f t="shared" si="265"/>
        <v>0.13349633251833692</v>
      </c>
      <c r="AT50" s="78">
        <f t="shared" si="265"/>
        <v>7.5064710957722491E-2</v>
      </c>
      <c r="AU50" s="79">
        <f t="shared" si="265"/>
        <v>1.4847512038523192E-2</v>
      </c>
      <c r="AV50" s="134">
        <f t="shared" si="265"/>
        <v>4.1281138790035588E-2</v>
      </c>
      <c r="AW50" s="78">
        <f t="shared" si="265"/>
        <v>0.14035087719298289</v>
      </c>
      <c r="AX50" s="78">
        <f t="shared" si="265"/>
        <v>4.0659340659340515E-2</v>
      </c>
      <c r="AY50" s="78">
        <f t="shared" si="265"/>
        <v>6.6333877315925882E-2</v>
      </c>
      <c r="AZ50" s="134">
        <f t="shared" si="265"/>
        <v>9.550069977333675E-2</v>
      </c>
      <c r="BA50" s="78">
        <f t="shared" si="265"/>
        <v>-4.2397634543769325E-3</v>
      </c>
      <c r="BB50" s="78">
        <f t="shared" si="265"/>
        <v>-9.090554764463743E-3</v>
      </c>
      <c r="BC50" s="79">
        <f t="shared" si="265"/>
        <v>-0.11966706411605399</v>
      </c>
      <c r="BD50" s="134">
        <f t="shared" si="265"/>
        <v>-5.4342841757532012E-2</v>
      </c>
      <c r="BE50" s="78">
        <f t="shared" si="265"/>
        <v>0.17332721778161164</v>
      </c>
      <c r="BF50" s="78">
        <f t="shared" si="265"/>
        <v>3.9977994455100418E-2</v>
      </c>
      <c r="BG50" s="79">
        <f t="shared" si="265"/>
        <v>0.27119149008144894</v>
      </c>
      <c r="BH50" s="134">
        <f t="shared" si="265"/>
        <v>0.36391694335017855</v>
      </c>
      <c r="BI50" s="78">
        <f t="shared" ref="BI50" si="266">BI49/BH49-1</f>
        <v>1.7113058452574936E-2</v>
      </c>
      <c r="BJ50" s="78">
        <f t="shared" ref="BJ50:BK50" si="267">BJ49/BI49-1</f>
        <v>2.8731196196852826E-2</v>
      </c>
      <c r="BK50" s="79">
        <f t="shared" si="267"/>
        <v>5.1571843559805597E-3</v>
      </c>
      <c r="BL50" s="134">
        <f t="shared" ref="BL50:BS50" si="268">BL49/BK49-1</f>
        <v>9.9523531699725609E-3</v>
      </c>
      <c r="BM50" s="78">
        <f t="shared" si="268"/>
        <v>5.1034482758620658E-2</v>
      </c>
      <c r="BN50" s="78">
        <f t="shared" si="268"/>
        <v>0</v>
      </c>
      <c r="BO50" s="79">
        <f t="shared" si="268"/>
        <v>-3.7637795275590413E-2</v>
      </c>
      <c r="BP50" s="134">
        <f t="shared" si="268"/>
        <v>3.9999999999999813E-2</v>
      </c>
      <c r="BQ50" s="78">
        <f t="shared" si="268"/>
        <v>4.0899470899470769E-2</v>
      </c>
      <c r="BR50" s="78">
        <f t="shared" si="268"/>
        <v>1.5706806282722585E-2</v>
      </c>
      <c r="BS50" s="79">
        <f t="shared" si="268"/>
        <v>-2.7499999999999969E-2</v>
      </c>
      <c r="BT50" s="134">
        <f t="shared" ref="BT50" si="269">BT49/BS49-1</f>
        <v>1.059125964010299E-2</v>
      </c>
      <c r="BU50" s="78">
        <f t="shared" ref="BU50" si="270">BU49/BT49-1</f>
        <v>4.0899470899470769E-2</v>
      </c>
      <c r="BV50" s="78">
        <f t="shared" ref="BV50" si="271">BV49/BU49-1</f>
        <v>1.5706806282722585E-2</v>
      </c>
      <c r="BW50" s="79">
        <f t="shared" ref="BW50" si="272">BW49/BV49-1</f>
        <v>-2.750000000000008E-2</v>
      </c>
      <c r="BX50" s="346"/>
      <c r="BY50" s="219"/>
      <c r="BZ50" s="220"/>
      <c r="CA50" s="220"/>
      <c r="CB50" s="220"/>
      <c r="CC50" s="220"/>
      <c r="CD50" s="220"/>
      <c r="CE50" s="220"/>
      <c r="CF50" s="220"/>
      <c r="CG50" s="220"/>
      <c r="CH50" s="220"/>
      <c r="CI50" s="220"/>
      <c r="CJ50" s="220"/>
      <c r="CK50" s="220"/>
      <c r="CL50" s="220"/>
      <c r="CM50" s="220"/>
      <c r="CN50" s="220"/>
      <c r="CO50" s="220"/>
      <c r="CP50" s="258"/>
      <c r="CQ50" s="1041"/>
    </row>
    <row r="51" spans="1:95" ht="14.25" customHeight="1">
      <c r="A51" s="865"/>
      <c r="B51" s="32" t="s">
        <v>298</v>
      </c>
      <c r="C51" s="218"/>
      <c r="D51" s="134"/>
      <c r="E51" s="78"/>
      <c r="F51" s="78"/>
      <c r="G51" s="79"/>
      <c r="H51" s="134"/>
      <c r="I51" s="78">
        <f t="shared" ref="I51:BH51" si="273">I49/E49-1</f>
        <v>0.61603518267929713</v>
      </c>
      <c r="J51" s="78">
        <f t="shared" si="273"/>
        <v>0.30615942028985454</v>
      </c>
      <c r="K51" s="79">
        <f t="shared" si="273"/>
        <v>2.1843112244897656E-2</v>
      </c>
      <c r="L51" s="134">
        <f t="shared" si="273"/>
        <v>-0.11488683064466643</v>
      </c>
      <c r="M51" s="78">
        <f t="shared" si="273"/>
        <v>-0.27831274858697941</v>
      </c>
      <c r="N51" s="78">
        <f t="shared" si="273"/>
        <v>1.0679611650485921E-2</v>
      </c>
      <c r="O51" s="79">
        <f t="shared" si="273"/>
        <v>0.12061163988141677</v>
      </c>
      <c r="P51" s="134">
        <f t="shared" si="273"/>
        <v>-2.1205821205821151E-2</v>
      </c>
      <c r="Q51" s="78">
        <f t="shared" si="273"/>
        <v>0.55532994923857881</v>
      </c>
      <c r="R51" s="78">
        <f t="shared" si="273"/>
        <v>0.32070811033346991</v>
      </c>
      <c r="S51" s="79">
        <f t="shared" si="273"/>
        <v>0.42724867724867721</v>
      </c>
      <c r="T51" s="134">
        <f t="shared" si="273"/>
        <v>0.35400736335315774</v>
      </c>
      <c r="U51" s="78">
        <f t="shared" si="273"/>
        <v>-0.52349869451697129</v>
      </c>
      <c r="V51" s="78">
        <f t="shared" si="273"/>
        <v>-0.11076475477971748</v>
      </c>
      <c r="W51" s="79">
        <f t="shared" si="273"/>
        <v>-0.18282035022681842</v>
      </c>
      <c r="X51" s="134">
        <f t="shared" si="273"/>
        <v>-8.0108763856933884E-2</v>
      </c>
      <c r="Y51" s="78">
        <f t="shared" si="273"/>
        <v>2.3745596868884529</v>
      </c>
      <c r="Z51" s="78">
        <f t="shared" si="273"/>
        <v>1.200981537742464</v>
      </c>
      <c r="AA51" s="79">
        <f t="shared" si="273"/>
        <v>1.1060705545275478</v>
      </c>
      <c r="AB51" s="134">
        <f t="shared" si="273"/>
        <v>0.27444292860391162</v>
      </c>
      <c r="AC51" s="78">
        <f t="shared" si="273"/>
        <v>-0.27870563674321502</v>
      </c>
      <c r="AD51" s="78">
        <f t="shared" si="273"/>
        <v>-0.20667870036101099</v>
      </c>
      <c r="AE51" s="79">
        <f t="shared" si="273"/>
        <v>-7.2272765921264082E-3</v>
      </c>
      <c r="AF51" s="134">
        <f t="shared" si="273"/>
        <v>0.93305084745762668</v>
      </c>
      <c r="AG51" s="78">
        <f t="shared" si="273"/>
        <v>0.86211609583534332</v>
      </c>
      <c r="AH51" s="78">
        <f t="shared" si="273"/>
        <v>0.48464163822525652</v>
      </c>
      <c r="AI51" s="79">
        <f t="shared" si="273"/>
        <v>0.28879753340184999</v>
      </c>
      <c r="AJ51" s="134">
        <f t="shared" si="273"/>
        <v>6.7606543759659576E-3</v>
      </c>
      <c r="AK51" s="78">
        <f t="shared" si="273"/>
        <v>9.146841673502859E-2</v>
      </c>
      <c r="AL51" s="78">
        <f t="shared" si="273"/>
        <v>5.9229208924948873E-2</v>
      </c>
      <c r="AM51" s="79">
        <f t="shared" si="273"/>
        <v>5.972000708842784E-2</v>
      </c>
      <c r="AN51" s="134">
        <f t="shared" si="273"/>
        <v>6.7748441510818047E-2</v>
      </c>
      <c r="AO51" s="78">
        <f t="shared" si="273"/>
        <v>-2.931228861330315E-2</v>
      </c>
      <c r="AP51" s="78">
        <f t="shared" si="273"/>
        <v>-8.8471849865951913E-2</v>
      </c>
      <c r="AQ51" s="79">
        <f t="shared" si="273"/>
        <v>-0.12040133779264173</v>
      </c>
      <c r="AR51" s="134">
        <f t="shared" si="273"/>
        <v>-0.12209152571477622</v>
      </c>
      <c r="AS51" s="78">
        <f t="shared" si="273"/>
        <v>-5.5361982191250658E-2</v>
      </c>
      <c r="AT51" s="78">
        <f t="shared" si="273"/>
        <v>0.16339869281045782</v>
      </c>
      <c r="AU51" s="79">
        <f t="shared" si="273"/>
        <v>0.20199619771863064</v>
      </c>
      <c r="AV51" s="134">
        <f t="shared" si="273"/>
        <v>0.28772616136919282</v>
      </c>
      <c r="AW51" s="78">
        <f t="shared" si="273"/>
        <v>0.29551337359792984</v>
      </c>
      <c r="AX51" s="78">
        <f t="shared" si="273"/>
        <v>0.25405296950240785</v>
      </c>
      <c r="AY51" s="78">
        <f t="shared" si="273"/>
        <v>0.3176749703440096</v>
      </c>
      <c r="AZ51" s="134">
        <f t="shared" si="273"/>
        <v>0.38628637196197602</v>
      </c>
      <c r="BA51" s="78">
        <f t="shared" si="273"/>
        <v>0.21051237235223597</v>
      </c>
      <c r="BB51" s="78">
        <f t="shared" si="273"/>
        <v>0.15264246086363187</v>
      </c>
      <c r="BC51" s="79">
        <f t="shared" si="273"/>
        <v>-4.8413312957188759E-2</v>
      </c>
      <c r="BD51" s="134">
        <f t="shared" si="273"/>
        <v>-0.17857217026291528</v>
      </c>
      <c r="BE51" s="78">
        <f t="shared" si="273"/>
        <v>-3.2092671808910733E-2</v>
      </c>
      <c r="BF51" s="78">
        <f t="shared" si="273"/>
        <v>1.5836842438511134E-2</v>
      </c>
      <c r="BG51" s="79">
        <f t="shared" si="273"/>
        <v>0.46685770437797136</v>
      </c>
      <c r="BH51" s="134">
        <f t="shared" si="273"/>
        <v>1.115642079211002</v>
      </c>
      <c r="BI51" s="78">
        <f t="shared" ref="BI51" si="274">BI49/BE49-1</f>
        <v>0.83397022856567249</v>
      </c>
      <c r="BJ51" s="78">
        <f t="shared" ref="BJ51:BK51" si="275">BJ49/BF49-1</f>
        <v>0.81413683470322118</v>
      </c>
      <c r="BK51" s="79">
        <f t="shared" si="275"/>
        <v>0.43447520458929789</v>
      </c>
      <c r="BL51" s="134">
        <f t="shared" ref="BL51:BS51" si="276">BL49/BH49-1</f>
        <v>6.2199289701895033E-2</v>
      </c>
      <c r="BM51" s="78">
        <f t="shared" si="276"/>
        <v>9.7624371018200096E-2</v>
      </c>
      <c r="BN51" s="78">
        <f t="shared" si="276"/>
        <v>6.6969073238996257E-2</v>
      </c>
      <c r="BO51" s="79">
        <f t="shared" si="276"/>
        <v>2.1542427071178594E-2</v>
      </c>
      <c r="BP51" s="134">
        <f t="shared" si="276"/>
        <v>5.1934896551724119E-2</v>
      </c>
      <c r="BQ51" s="78">
        <f t="shared" si="276"/>
        <v>4.1791202099737523E-2</v>
      </c>
      <c r="BR51" s="78">
        <f t="shared" si="276"/>
        <v>5.8154414698162737E-2</v>
      </c>
      <c r="BS51" s="79">
        <f t="shared" si="276"/>
        <v>6.9301312169312235E-2</v>
      </c>
      <c r="BT51" s="134">
        <f t="shared" ref="BT51" si="277">BT49/BP49-1</f>
        <v>3.906400000000021E-2</v>
      </c>
      <c r="BU51" s="78">
        <f t="shared" ref="BU51" si="278">BU49/BQ49-1</f>
        <v>3.906400000000021E-2</v>
      </c>
      <c r="BV51" s="78">
        <f t="shared" ref="BV51" si="279">BV49/BR49-1</f>
        <v>3.9063999999999988E-2</v>
      </c>
      <c r="BW51" s="79">
        <f t="shared" ref="BW51" si="280">BW49/BS49-1</f>
        <v>3.9063999999999988E-2</v>
      </c>
      <c r="BX51" s="346"/>
      <c r="BY51" s="377"/>
      <c r="BZ51" s="370"/>
      <c r="CA51" s="370"/>
      <c r="CB51" s="370"/>
      <c r="CC51" s="370"/>
      <c r="CD51" s="338"/>
      <c r="CE51" s="338"/>
      <c r="CF51" s="338"/>
      <c r="CG51" s="338"/>
      <c r="CH51" s="338">
        <f t="shared" ref="CH51:CP51" si="281">CH49/CG49-1</f>
        <v>-4.4670394489733978E-2</v>
      </c>
      <c r="CI51" s="338">
        <f t="shared" si="281"/>
        <v>3.9288977489824628E-2</v>
      </c>
      <c r="CJ51" s="338">
        <f t="shared" si="281"/>
        <v>0.2887787723785169</v>
      </c>
      <c r="CK51" s="338">
        <f t="shared" si="281"/>
        <v>0.16248733795093662</v>
      </c>
      <c r="CL51" s="338">
        <f t="shared" si="281"/>
        <v>5.4692160186939676E-2</v>
      </c>
      <c r="CM51" s="338">
        <f t="shared" si="281"/>
        <v>0.76071888010162114</v>
      </c>
      <c r="CN51" s="338">
        <f t="shared" si="281"/>
        <v>6.1776946679291234E-2</v>
      </c>
      <c r="CO51" s="338">
        <f t="shared" si="281"/>
        <v>5.5202459239786394E-2</v>
      </c>
      <c r="CP51" s="337">
        <f t="shared" si="281"/>
        <v>3.9063999999999988E-2</v>
      </c>
      <c r="CQ51" s="1041"/>
    </row>
    <row r="52" spans="1:95" s="1360" customFormat="1" ht="14.25" customHeight="1">
      <c r="A52" s="865"/>
      <c r="B52" s="32" t="s">
        <v>549</v>
      </c>
      <c r="C52" s="218"/>
      <c r="D52" s="134"/>
      <c r="E52" s="78">
        <f t="shared" ref="E52:AQ52" si="282">E49/E43</f>
        <v>0.28844652615144412</v>
      </c>
      <c r="F52" s="78">
        <f t="shared" si="282"/>
        <v>0.2779456193353475</v>
      </c>
      <c r="G52" s="79">
        <f t="shared" si="282"/>
        <v>0.28140703517587951</v>
      </c>
      <c r="H52" s="134">
        <f t="shared" si="282"/>
        <v>0.31116158338741068</v>
      </c>
      <c r="I52" s="78">
        <f t="shared" si="282"/>
        <v>0.33703148425787111</v>
      </c>
      <c r="J52" s="78">
        <f t="shared" si="282"/>
        <v>0.32349246231155776</v>
      </c>
      <c r="K52" s="79">
        <f t="shared" si="282"/>
        <v>0.32138200782268583</v>
      </c>
      <c r="L52" s="134">
        <f t="shared" si="282"/>
        <v>0.31812169312169314</v>
      </c>
      <c r="M52" s="78">
        <f t="shared" si="282"/>
        <v>0.3252972258916777</v>
      </c>
      <c r="N52" s="78">
        <f t="shared" si="282"/>
        <v>0.33195153061224492</v>
      </c>
      <c r="O52" s="79">
        <f t="shared" si="282"/>
        <v>0.35020479812756</v>
      </c>
      <c r="P52" s="134">
        <f t="shared" si="282"/>
        <v>0.35239520958083831</v>
      </c>
      <c r="Q52" s="78">
        <f t="shared" si="282"/>
        <v>0.40820676791899813</v>
      </c>
      <c r="R52" s="78">
        <f t="shared" si="282"/>
        <v>0.38108814445236394</v>
      </c>
      <c r="S52" s="79">
        <f t="shared" si="282"/>
        <v>0.39267928286852588</v>
      </c>
      <c r="T52" s="134">
        <f t="shared" si="282"/>
        <v>0.36504543025120251</v>
      </c>
      <c r="U52" s="78">
        <f t="shared" si="282"/>
        <v>0.38300104931794332</v>
      </c>
      <c r="V52" s="78">
        <f t="shared" si="282"/>
        <v>0.38620004964010918</v>
      </c>
      <c r="W52" s="79">
        <f t="shared" si="282"/>
        <v>0.37337582740867853</v>
      </c>
      <c r="X52" s="134">
        <f t="shared" si="282"/>
        <v>0.34747570514339887</v>
      </c>
      <c r="Y52" s="78">
        <f t="shared" si="282"/>
        <v>0.34050115514483731</v>
      </c>
      <c r="Z52" s="78">
        <f t="shared" si="282"/>
        <v>0.38108340498710236</v>
      </c>
      <c r="AA52" s="79">
        <f t="shared" si="282"/>
        <v>0.37998772252915902</v>
      </c>
      <c r="AB52" s="134">
        <f t="shared" si="282"/>
        <v>0.29570034291743613</v>
      </c>
      <c r="AC52" s="78">
        <f t="shared" si="282"/>
        <v>0.32920438303954258</v>
      </c>
      <c r="AD52" s="78">
        <f t="shared" si="282"/>
        <v>0.37174878409811796</v>
      </c>
      <c r="AE52" s="79">
        <f t="shared" si="282"/>
        <v>0.39147052906859797</v>
      </c>
      <c r="AF52" s="134">
        <f t="shared" si="282"/>
        <v>0.41457651762995273</v>
      </c>
      <c r="AG52" s="78">
        <f t="shared" si="282"/>
        <v>0.417966740956626</v>
      </c>
      <c r="AH52" s="78">
        <f t="shared" si="282"/>
        <v>0.41035458631596478</v>
      </c>
      <c r="AI52" s="79">
        <f t="shared" si="282"/>
        <v>0.4102209944751381</v>
      </c>
      <c r="AJ52" s="134">
        <f t="shared" si="282"/>
        <v>0.27842866988283937</v>
      </c>
      <c r="AK52" s="78">
        <f t="shared" si="282"/>
        <v>0.29377345992492815</v>
      </c>
      <c r="AL52" s="78">
        <f t="shared" si="282"/>
        <v>0.29075723830734967</v>
      </c>
      <c r="AM52" s="79">
        <f t="shared" si="282"/>
        <v>0.31149889308503703</v>
      </c>
      <c r="AN52" s="134">
        <f t="shared" si="282"/>
        <v>0.32939279957012357</v>
      </c>
      <c r="AO52" s="78">
        <f t="shared" si="282"/>
        <v>0.34680451127819545</v>
      </c>
      <c r="AP52" s="78">
        <f t="shared" si="282"/>
        <v>0.32804962095106815</v>
      </c>
      <c r="AQ52" s="79">
        <f t="shared" si="282"/>
        <v>0.30932078800352841</v>
      </c>
      <c r="AR52" s="134">
        <f t="shared" ref="AR52:AW52" si="283">AR49/AR43</f>
        <v>0.30937972768532529</v>
      </c>
      <c r="AS52" s="78">
        <f t="shared" si="283"/>
        <v>0.33677175650152541</v>
      </c>
      <c r="AT52" s="78">
        <f t="shared" si="283"/>
        <v>0.3483365949119373</v>
      </c>
      <c r="AU52" s="79">
        <f t="shared" si="283"/>
        <v>0.35222841225626739</v>
      </c>
      <c r="AV52" s="134">
        <f t="shared" si="283"/>
        <v>0.35498938428874732</v>
      </c>
      <c r="AW52" s="78">
        <f t="shared" si="283"/>
        <v>0.36034846884899691</v>
      </c>
      <c r="AX52" s="78">
        <f t="shared" ref="AX52:BC52" si="284">AX49/AX43</f>
        <v>0.34085182963407318</v>
      </c>
      <c r="AY52" s="78">
        <f t="shared" si="284"/>
        <v>0.32133765332099046</v>
      </c>
      <c r="AZ52" s="134">
        <f t="shared" si="284"/>
        <v>0.34497014239779517</v>
      </c>
      <c r="BA52" s="78">
        <f t="shared" si="284"/>
        <v>0.34571266325951161</v>
      </c>
      <c r="BB52" s="78">
        <f t="shared" si="284"/>
        <v>0.34111012826183112</v>
      </c>
      <c r="BC52" s="79">
        <f t="shared" si="284"/>
        <v>0.33309532309889328</v>
      </c>
      <c r="BD52" s="134">
        <f>BD49/BD43</f>
        <v>0.33712677435144395</v>
      </c>
      <c r="BE52" s="78">
        <f>BE49/BE43</f>
        <v>0.35076327181590339</v>
      </c>
      <c r="BF52" s="78">
        <f t="shared" ref="BF52:BG52" si="285">BF49/BF43</f>
        <v>0.34598801135766116</v>
      </c>
      <c r="BG52" s="79">
        <f t="shared" si="285"/>
        <v>0.30491673275178427</v>
      </c>
      <c r="BH52" s="134">
        <f>BH49/BH43</f>
        <v>0.39271223470661676</v>
      </c>
      <c r="BI52" s="78">
        <f t="shared" ref="BI52:BK52" si="286">BI49/BI43</f>
        <v>0.36778774289985061</v>
      </c>
      <c r="BJ52" s="78">
        <f t="shared" si="286"/>
        <v>0.3768511861969806</v>
      </c>
      <c r="BK52" s="79">
        <f t="shared" si="286"/>
        <v>0.37328493647912891</v>
      </c>
      <c r="BL52" s="80">
        <v>0.377</v>
      </c>
      <c r="BM52" s="80">
        <f>BL52+0.4%</f>
        <v>0.38100000000000001</v>
      </c>
      <c r="BN52" s="80">
        <f>BM52</f>
        <v>0.38100000000000001</v>
      </c>
      <c r="BO52" s="81">
        <f>BN52-0.3%</f>
        <v>0.378</v>
      </c>
      <c r="BP52" s="82">
        <v>0.378</v>
      </c>
      <c r="BQ52" s="80">
        <f>BP52+0.4%</f>
        <v>0.38200000000000001</v>
      </c>
      <c r="BR52" s="80">
        <f>BQ52+0.6%</f>
        <v>0.38800000000000001</v>
      </c>
      <c r="BS52" s="81">
        <f>BR52+0.1%</f>
        <v>0.38900000000000001</v>
      </c>
      <c r="BT52" s="82">
        <v>0.378</v>
      </c>
      <c r="BU52" s="80">
        <f>BT52+0.4%</f>
        <v>0.38200000000000001</v>
      </c>
      <c r="BV52" s="80">
        <f>BU52+0.6%</f>
        <v>0.38800000000000001</v>
      </c>
      <c r="BW52" s="81">
        <f>BV52+0.1%</f>
        <v>0.38900000000000001</v>
      </c>
      <c r="BX52" s="1371"/>
      <c r="BY52" s="219"/>
      <c r="BZ52" s="220"/>
      <c r="CA52" s="220"/>
      <c r="CB52" s="220"/>
      <c r="CC52" s="220"/>
      <c r="CD52" s="220"/>
      <c r="CE52" s="220"/>
      <c r="CF52" s="220"/>
      <c r="CG52" s="220">
        <f t="shared" ref="CG52:CL52" si="287">CG49/CG43</f>
        <v>0.29350961911712181</v>
      </c>
      <c r="CH52" s="220">
        <f t="shared" si="287"/>
        <v>0.32858848061603635</v>
      </c>
      <c r="CI52" s="220">
        <f t="shared" si="287"/>
        <v>0.33722643475760944</v>
      </c>
      <c r="CJ52" s="220">
        <f t="shared" si="287"/>
        <v>0.34269319864270381</v>
      </c>
      <c r="CK52" s="220">
        <f t="shared" si="287"/>
        <v>0.34142445793078335</v>
      </c>
      <c r="CL52" s="220">
        <f t="shared" si="287"/>
        <v>0.33129841150408912</v>
      </c>
      <c r="CM52" s="220">
        <f>CM49/CM43</f>
        <v>0.37733493258111739</v>
      </c>
      <c r="CN52" s="220">
        <f>CN49/CN43</f>
        <v>0.37928154959890442</v>
      </c>
      <c r="CO52" s="220">
        <f>CO49/CO43</f>
        <v>0.38426003301224415</v>
      </c>
      <c r="CP52" s="258">
        <f>CP49/CP43</f>
        <v>0.38426003301224404</v>
      </c>
      <c r="CQ52" s="1041"/>
    </row>
    <row r="53" spans="1:95" ht="14.25" customHeight="1">
      <c r="A53" s="865"/>
      <c r="B53" s="840"/>
      <c r="C53" s="237"/>
      <c r="D53" s="221"/>
      <c r="E53" s="221"/>
      <c r="F53" s="221"/>
      <c r="G53" s="614"/>
      <c r="H53" s="221"/>
      <c r="I53" s="221"/>
      <c r="J53" s="221"/>
      <c r="K53" s="614"/>
      <c r="L53" s="221"/>
      <c r="M53" s="221"/>
      <c r="N53" s="221"/>
      <c r="O53" s="614"/>
      <c r="P53" s="221"/>
      <c r="Q53" s="221"/>
      <c r="R53" s="221"/>
      <c r="S53" s="614"/>
      <c r="T53" s="221"/>
      <c r="U53" s="221"/>
      <c r="V53" s="221"/>
      <c r="W53" s="614"/>
      <c r="X53" s="221"/>
      <c r="Y53" s="221"/>
      <c r="Z53" s="221"/>
      <c r="AA53" s="614"/>
      <c r="AB53" s="221"/>
      <c r="AC53" s="221"/>
      <c r="AD53" s="221"/>
      <c r="AE53" s="614"/>
      <c r="AF53" s="221"/>
      <c r="AG53" s="221"/>
      <c r="AH53" s="221"/>
      <c r="AI53" s="614"/>
      <c r="AJ53" s="221"/>
      <c r="AK53" s="221"/>
      <c r="AL53" s="221"/>
      <c r="AM53" s="614"/>
      <c r="AN53" s="221"/>
      <c r="AO53" s="221"/>
      <c r="AP53" s="221"/>
      <c r="AQ53" s="614"/>
      <c r="AR53" s="221"/>
      <c r="AS53" s="221"/>
      <c r="AT53" s="221"/>
      <c r="AU53" s="614"/>
      <c r="AV53" s="221"/>
      <c r="AW53" s="221"/>
      <c r="AX53" s="221"/>
      <c r="AY53" s="221"/>
      <c r="AZ53" s="54"/>
      <c r="BA53" s="60"/>
      <c r="BB53" s="221"/>
      <c r="BC53" s="614"/>
      <c r="BD53" s="54"/>
      <c r="BE53" s="60"/>
      <c r="BF53" s="221"/>
      <c r="BG53" s="614"/>
      <c r="BH53" s="54"/>
      <c r="BI53" s="60"/>
      <c r="BJ53" s="60"/>
      <c r="BK53" s="614"/>
      <c r="BL53" s="60"/>
      <c r="BM53" s="60"/>
      <c r="BN53" s="60"/>
      <c r="BO53" s="55"/>
      <c r="BP53" s="60"/>
      <c r="BQ53" s="60"/>
      <c r="BR53" s="60"/>
      <c r="BS53" s="55"/>
      <c r="BT53" s="60"/>
      <c r="BU53" s="60"/>
      <c r="BV53" s="60"/>
      <c r="BW53" s="55"/>
      <c r="BX53" s="346"/>
      <c r="BY53" s="16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  <c r="CK53" s="203"/>
      <c r="CL53" s="203"/>
      <c r="CM53" s="203"/>
      <c r="CN53" s="203"/>
      <c r="CO53" s="203"/>
      <c r="CP53" s="17"/>
      <c r="CQ53" s="1041"/>
    </row>
    <row r="54" spans="1:95" ht="14.25" customHeight="1">
      <c r="A54" s="864"/>
      <c r="B54" s="297" t="str">
        <f>$B$107&amp;" Revenue"</f>
        <v>Computing Revenue</v>
      </c>
      <c r="C54" s="882"/>
      <c r="D54" s="879">
        <f t="shared" ref="D54:BG54" si="288">D$107</f>
        <v>0</v>
      </c>
      <c r="E54" s="495">
        <f t="shared" si="288"/>
        <v>58.926000000000002</v>
      </c>
      <c r="F54" s="495">
        <f t="shared" si="288"/>
        <v>68.847999999999999</v>
      </c>
      <c r="G54" s="496">
        <f t="shared" si="288"/>
        <v>69.650000000000006</v>
      </c>
      <c r="H54" s="879">
        <f t="shared" si="288"/>
        <v>61.64</v>
      </c>
      <c r="I54" s="495">
        <f t="shared" si="288"/>
        <v>76.704999999999998</v>
      </c>
      <c r="J54" s="495">
        <f t="shared" si="288"/>
        <v>79.599999999999994</v>
      </c>
      <c r="K54" s="496">
        <f t="shared" si="288"/>
        <v>85.904000000000011</v>
      </c>
      <c r="L54" s="879">
        <f t="shared" si="288"/>
        <v>72.575999999999993</v>
      </c>
      <c r="M54" s="495">
        <f t="shared" si="288"/>
        <v>72.671999999999997</v>
      </c>
      <c r="N54" s="495">
        <f t="shared" si="288"/>
        <v>72.128000000000014</v>
      </c>
      <c r="O54" s="496">
        <f t="shared" si="288"/>
        <v>71.778000000000006</v>
      </c>
      <c r="P54" s="879">
        <f t="shared" si="288"/>
        <v>70.14</v>
      </c>
      <c r="Q54" s="495">
        <f t="shared" si="288"/>
        <v>78.813000000000002</v>
      </c>
      <c r="R54" s="495">
        <f t="shared" si="288"/>
        <v>96.807000000000002</v>
      </c>
      <c r="S54" s="496">
        <f t="shared" si="288"/>
        <v>96.384</v>
      </c>
      <c r="T54" s="879">
        <f t="shared" si="288"/>
        <v>82.323999999999998</v>
      </c>
      <c r="U54" s="495">
        <f t="shared" si="288"/>
        <v>91.488</v>
      </c>
      <c r="V54" s="495">
        <f t="shared" si="288"/>
        <v>100.72499999999999</v>
      </c>
      <c r="W54" s="496">
        <f t="shared" si="288"/>
        <v>110.133</v>
      </c>
      <c r="X54" s="879">
        <f t="shared" si="288"/>
        <v>122.35099999999998</v>
      </c>
      <c r="Y54" s="495">
        <f t="shared" si="288"/>
        <v>129.42100000000002</v>
      </c>
      <c r="Z54" s="495">
        <f t="shared" si="288"/>
        <v>133.745</v>
      </c>
      <c r="AA54" s="496">
        <f t="shared" si="288"/>
        <v>112.401</v>
      </c>
      <c r="AB54" s="879">
        <f t="shared" si="288"/>
        <v>90.984000000000009</v>
      </c>
      <c r="AC54" s="495">
        <f t="shared" si="288"/>
        <v>113.346</v>
      </c>
      <c r="AD54" s="495">
        <f t="shared" si="288"/>
        <v>127.68300000000001</v>
      </c>
      <c r="AE54" s="496">
        <f t="shared" si="288"/>
        <v>129.24600000000001</v>
      </c>
      <c r="AF54" s="879">
        <f t="shared" si="288"/>
        <v>143.05200000000002</v>
      </c>
      <c r="AG54" s="495">
        <f t="shared" si="288"/>
        <v>151.65799999999999</v>
      </c>
      <c r="AH54" s="495">
        <f t="shared" si="288"/>
        <v>150.17500000000001</v>
      </c>
      <c r="AI54" s="496">
        <f t="shared" si="288"/>
        <v>133.21600000000001</v>
      </c>
      <c r="AJ54" s="879">
        <f t="shared" si="288"/>
        <v>165.41400000000002</v>
      </c>
      <c r="AK54" s="495">
        <f t="shared" si="288"/>
        <v>172.102</v>
      </c>
      <c r="AL54" s="495">
        <f t="shared" si="288"/>
        <v>170.62</v>
      </c>
      <c r="AM54" s="496">
        <f t="shared" si="288"/>
        <v>138.22199999999998</v>
      </c>
      <c r="AN54" s="879">
        <f t="shared" si="288"/>
        <v>126.548</v>
      </c>
      <c r="AO54" s="495">
        <f t="shared" si="288"/>
        <v>126.616</v>
      </c>
      <c r="AP54" s="495">
        <f t="shared" si="288"/>
        <v>123.33500000000001</v>
      </c>
      <c r="AQ54" s="496">
        <f t="shared" si="288"/>
        <v>115.63400000000001</v>
      </c>
      <c r="AR54" s="879">
        <f t="shared" si="288"/>
        <v>105.76</v>
      </c>
      <c r="AS54" s="495">
        <f t="shared" si="288"/>
        <v>110.128</v>
      </c>
      <c r="AT54" s="495">
        <f t="shared" si="288"/>
        <v>114.464</v>
      </c>
      <c r="AU54" s="496">
        <f t="shared" si="288"/>
        <v>107.7</v>
      </c>
      <c r="AV54" s="879">
        <f t="shared" si="288"/>
        <v>105.97499999999999</v>
      </c>
      <c r="AW54" s="495">
        <f t="shared" si="288"/>
        <v>106.06400000000001</v>
      </c>
      <c r="AX54" s="495">
        <f t="shared" si="288"/>
        <v>116.69000000000001</v>
      </c>
      <c r="AY54" s="495">
        <f t="shared" si="288"/>
        <v>95.062000000000012</v>
      </c>
      <c r="AZ54" s="1161">
        <f>AZ$107</f>
        <v>124.8</v>
      </c>
      <c r="BA54" s="495">
        <f t="shared" si="288"/>
        <v>124.7</v>
      </c>
      <c r="BB54" s="495">
        <f t="shared" si="288"/>
        <v>134.9</v>
      </c>
      <c r="BC54" s="496">
        <f t="shared" si="288"/>
        <v>100.3</v>
      </c>
      <c r="BD54" s="1161">
        <f>BD$107</f>
        <v>89.6</v>
      </c>
      <c r="BE54" s="495">
        <f t="shared" si="288"/>
        <v>108.62</v>
      </c>
      <c r="BF54" s="495">
        <f t="shared" si="288"/>
        <v>115.62</v>
      </c>
      <c r="BG54" s="496">
        <f t="shared" si="288"/>
        <v>130.6</v>
      </c>
      <c r="BH54" s="1161">
        <f>BH$107</f>
        <v>126.2</v>
      </c>
      <c r="BI54" s="495">
        <f t="shared" ref="BI54:BK54" si="289">BI$107</f>
        <v>130.80000000000001</v>
      </c>
      <c r="BJ54" s="495">
        <f t="shared" si="289"/>
        <v>150.1</v>
      </c>
      <c r="BK54" s="496">
        <f t="shared" si="289"/>
        <v>138.80000000000001</v>
      </c>
      <c r="BL54" s="801">
        <f t="shared" ref="BL54:BS54" si="290">BK54*(1+BL55)</f>
        <v>129.084</v>
      </c>
      <c r="BM54" s="801">
        <f t="shared" si="290"/>
        <v>135.53820000000002</v>
      </c>
      <c r="BN54" s="801">
        <f t="shared" si="290"/>
        <v>142.31511000000003</v>
      </c>
      <c r="BO54" s="810">
        <f t="shared" si="290"/>
        <v>139.46880780000004</v>
      </c>
      <c r="BP54" s="801">
        <f t="shared" si="290"/>
        <v>131.10067933200003</v>
      </c>
      <c r="BQ54" s="801">
        <f t="shared" si="290"/>
        <v>136.34470650528004</v>
      </c>
      <c r="BR54" s="801">
        <f t="shared" si="290"/>
        <v>141.79849476549126</v>
      </c>
      <c r="BS54" s="810">
        <f t="shared" si="290"/>
        <v>138.96252487018143</v>
      </c>
      <c r="BT54" s="801">
        <f t="shared" ref="BT54" si="291">BS54*(1+BT55)</f>
        <v>130.62477337797054</v>
      </c>
      <c r="BU54" s="801">
        <f t="shared" ref="BU54" si="292">BT54*(1+BU55)</f>
        <v>135.84976431308937</v>
      </c>
      <c r="BV54" s="801">
        <f t="shared" ref="BV54" si="293">BU54*(1+BV55)</f>
        <v>141.28375488561295</v>
      </c>
      <c r="BW54" s="810">
        <f t="shared" ref="BW54" si="294">BV54*(1+BW55)</f>
        <v>138.45807978790069</v>
      </c>
      <c r="BX54" s="346"/>
      <c r="BY54" s="334">
        <f>SUM(D54:G54)</f>
        <v>197.42400000000001</v>
      </c>
      <c r="BZ54" s="325">
        <f>SUM(H54:K54)</f>
        <v>303.84899999999999</v>
      </c>
      <c r="CA54" s="325">
        <f>SUM(L54:O54)</f>
        <v>289.154</v>
      </c>
      <c r="CB54" s="325">
        <f>SUM(P54:S54)</f>
        <v>342.14400000000001</v>
      </c>
      <c r="CC54" s="325">
        <f>SUM(T54:W54)</f>
        <v>384.67</v>
      </c>
      <c r="CD54" s="325">
        <f>SUM(X54:AA54)</f>
        <v>497.91800000000001</v>
      </c>
      <c r="CE54" s="325">
        <f>SUM(AB54:AE54)</f>
        <v>461.25900000000001</v>
      </c>
      <c r="CF54" s="325">
        <f>SUM(AF54:AI54)</f>
        <v>578.10100000000011</v>
      </c>
      <c r="CG54" s="325">
        <f>SUM(AJ54:AM54)</f>
        <v>646.35799999999995</v>
      </c>
      <c r="CH54" s="325">
        <f>SUM(AN54:AQ54)</f>
        <v>492.13300000000004</v>
      </c>
      <c r="CI54" s="325">
        <f>SUM(AR54:AU54)</f>
        <v>438.05199999999996</v>
      </c>
      <c r="CJ54" s="325">
        <f>SUM(AV54:AY54)</f>
        <v>423.791</v>
      </c>
      <c r="CK54" s="325">
        <f>SUM(AZ54:BC54)</f>
        <v>484.7</v>
      </c>
      <c r="CL54" s="325">
        <f>SUM(BD54:BG54)</f>
        <v>444.44000000000005</v>
      </c>
      <c r="CM54" s="325">
        <f>SUM(BH54:BK54)</f>
        <v>545.90000000000009</v>
      </c>
      <c r="CN54" s="325">
        <f>SUM(BL54:BO54)</f>
        <v>546.40611780000006</v>
      </c>
      <c r="CO54" s="325">
        <f>SUM(BP54:BS54)</f>
        <v>548.20640547295284</v>
      </c>
      <c r="CP54" s="326">
        <f>SUM(BT54:BW54)</f>
        <v>546.21637236457354</v>
      </c>
      <c r="CQ54" s="1041"/>
    </row>
    <row r="55" spans="1:95" ht="14.25" customHeight="1">
      <c r="A55" s="865"/>
      <c r="B55" s="32" t="s">
        <v>297</v>
      </c>
      <c r="C55" s="218"/>
      <c r="D55" s="134"/>
      <c r="E55" s="78"/>
      <c r="F55" s="78">
        <f t="shared" ref="F55:BH55" si="295">F54/E54-1</f>
        <v>0.1683806808539523</v>
      </c>
      <c r="G55" s="79">
        <f t="shared" si="295"/>
        <v>1.1648849639786185E-2</v>
      </c>
      <c r="H55" s="134">
        <f t="shared" si="295"/>
        <v>-0.11500358937544874</v>
      </c>
      <c r="I55" s="78">
        <f t="shared" si="295"/>
        <v>0.24440298507462677</v>
      </c>
      <c r="J55" s="78">
        <f t="shared" si="295"/>
        <v>3.7741998565934409E-2</v>
      </c>
      <c r="K55" s="79">
        <f t="shared" si="295"/>
        <v>7.919597989949767E-2</v>
      </c>
      <c r="L55" s="134">
        <f t="shared" si="295"/>
        <v>-0.15514993481095196</v>
      </c>
      <c r="M55" s="78">
        <f t="shared" si="295"/>
        <v>1.3227513227513921E-3</v>
      </c>
      <c r="N55" s="78">
        <f t="shared" si="295"/>
        <v>-7.4856891237338186E-3</v>
      </c>
      <c r="O55" s="79">
        <f t="shared" si="295"/>
        <v>-4.8524844720497784E-3</v>
      </c>
      <c r="P55" s="134">
        <f t="shared" si="295"/>
        <v>-2.2820362785254567E-2</v>
      </c>
      <c r="Q55" s="78">
        <f t="shared" si="295"/>
        <v>0.12365269461077855</v>
      </c>
      <c r="R55" s="78">
        <f t="shared" si="295"/>
        <v>0.22831258802481824</v>
      </c>
      <c r="S55" s="79">
        <f t="shared" si="295"/>
        <v>-4.3695187331495022E-3</v>
      </c>
      <c r="T55" s="134">
        <f t="shared" si="295"/>
        <v>-0.14587483399734402</v>
      </c>
      <c r="U55" s="78">
        <f t="shared" si="295"/>
        <v>0.11131626257227545</v>
      </c>
      <c r="V55" s="78">
        <f t="shared" si="295"/>
        <v>0.10096406086044074</v>
      </c>
      <c r="W55" s="79">
        <f t="shared" si="295"/>
        <v>9.3402829486224803E-2</v>
      </c>
      <c r="X55" s="134">
        <f t="shared" si="295"/>
        <v>0.11093859242915372</v>
      </c>
      <c r="Y55" s="78">
        <f t="shared" si="295"/>
        <v>5.7784570620591946E-2</v>
      </c>
      <c r="Z55" s="78">
        <f t="shared" si="295"/>
        <v>3.3410342989159236E-2</v>
      </c>
      <c r="AA55" s="79">
        <f t="shared" si="295"/>
        <v>-0.15958727429062769</v>
      </c>
      <c r="AB55" s="134">
        <f t="shared" si="295"/>
        <v>-0.19054100942162422</v>
      </c>
      <c r="AC55" s="78">
        <f t="shared" si="295"/>
        <v>0.24577947771036657</v>
      </c>
      <c r="AD55" s="78">
        <f t="shared" si="295"/>
        <v>0.12648880419247255</v>
      </c>
      <c r="AE55" s="79">
        <f t="shared" si="295"/>
        <v>1.224125372994056E-2</v>
      </c>
      <c r="AF55" s="134">
        <f t="shared" si="295"/>
        <v>0.10681955340977689</v>
      </c>
      <c r="AG55" s="78">
        <f t="shared" si="295"/>
        <v>6.0159941839330822E-2</v>
      </c>
      <c r="AH55" s="78">
        <f t="shared" si="295"/>
        <v>-9.7785807540649028E-3</v>
      </c>
      <c r="AI55" s="79">
        <f t="shared" si="295"/>
        <v>-0.112928250374563</v>
      </c>
      <c r="AJ55" s="134">
        <f t="shared" si="295"/>
        <v>0.24169769397069429</v>
      </c>
      <c r="AK55" s="78">
        <f t="shared" si="295"/>
        <v>4.0431886055593669E-2</v>
      </c>
      <c r="AL55" s="78">
        <f t="shared" si="295"/>
        <v>-8.6111724442481385E-3</v>
      </c>
      <c r="AM55" s="79">
        <f t="shared" si="295"/>
        <v>-0.18988395264330105</v>
      </c>
      <c r="AN55" s="134">
        <f t="shared" si="295"/>
        <v>-8.4458335142017726E-2</v>
      </c>
      <c r="AO55" s="78">
        <f t="shared" si="295"/>
        <v>5.3734551316497736E-4</v>
      </c>
      <c r="AP55" s="78">
        <f t="shared" si="295"/>
        <v>-2.5912996777658348E-2</v>
      </c>
      <c r="AQ55" s="79">
        <f t="shared" si="295"/>
        <v>-6.243969676085448E-2</v>
      </c>
      <c r="AR55" s="134">
        <f t="shared" si="295"/>
        <v>-8.5390110175208034E-2</v>
      </c>
      <c r="AS55" s="78">
        <f t="shared" si="295"/>
        <v>4.1301059001512819E-2</v>
      </c>
      <c r="AT55" s="78">
        <f t="shared" si="295"/>
        <v>3.9372366700566541E-2</v>
      </c>
      <c r="AU55" s="79">
        <f t="shared" si="295"/>
        <v>-5.9092815208275029E-2</v>
      </c>
      <c r="AV55" s="134">
        <f t="shared" si="295"/>
        <v>-1.6016713091922097E-2</v>
      </c>
      <c r="AW55" s="78">
        <f t="shared" si="295"/>
        <v>8.3982071243227097E-4</v>
      </c>
      <c r="AX55" s="78">
        <f t="shared" si="295"/>
        <v>0.1001847940865892</v>
      </c>
      <c r="AY55" s="78">
        <f t="shared" si="295"/>
        <v>-0.18534578798526002</v>
      </c>
      <c r="AZ55" s="134">
        <f t="shared" si="295"/>
        <v>0.31282741789568891</v>
      </c>
      <c r="BA55" s="78">
        <f t="shared" si="295"/>
        <v>-8.0128205128204844E-4</v>
      </c>
      <c r="BB55" s="78">
        <f t="shared" si="295"/>
        <v>8.1796311146752121E-2</v>
      </c>
      <c r="BC55" s="79">
        <f t="shared" si="295"/>
        <v>-0.25648628613787994</v>
      </c>
      <c r="BD55" s="134">
        <f t="shared" si="295"/>
        <v>-0.10667996011964109</v>
      </c>
      <c r="BE55" s="78">
        <f t="shared" si="295"/>
        <v>0.21227678571428577</v>
      </c>
      <c r="BF55" s="78">
        <f t="shared" si="295"/>
        <v>6.4444853618118136E-2</v>
      </c>
      <c r="BG55" s="79">
        <f t="shared" si="295"/>
        <v>0.12956235945338168</v>
      </c>
      <c r="BH55" s="134">
        <f t="shared" si="295"/>
        <v>-3.3690658499234249E-2</v>
      </c>
      <c r="BI55" s="78">
        <f t="shared" ref="BI55" si="296">BI54/BH54-1</f>
        <v>3.6450079239302768E-2</v>
      </c>
      <c r="BJ55" s="78">
        <f t="shared" ref="BJ55:BK55" si="297">BJ54/BI54-1</f>
        <v>0.14755351681957163</v>
      </c>
      <c r="BK55" s="79">
        <f t="shared" si="297"/>
        <v>-7.5283144570286398E-2</v>
      </c>
      <c r="BL55" s="80">
        <v>-7.0000000000000007E-2</v>
      </c>
      <c r="BM55" s="80">
        <v>0.05</v>
      </c>
      <c r="BN55" s="80">
        <v>0.05</v>
      </c>
      <c r="BO55" s="81">
        <v>-0.02</v>
      </c>
      <c r="BP55" s="80">
        <v>-0.06</v>
      </c>
      <c r="BQ55" s="80">
        <v>0.04</v>
      </c>
      <c r="BR55" s="80">
        <v>0.04</v>
      </c>
      <c r="BS55" s="81">
        <v>-0.02</v>
      </c>
      <c r="BT55" s="80">
        <v>-0.06</v>
      </c>
      <c r="BU55" s="80">
        <v>0.04</v>
      </c>
      <c r="BV55" s="80">
        <v>0.04</v>
      </c>
      <c r="BW55" s="81">
        <v>-0.02</v>
      </c>
      <c r="BX55" s="346"/>
      <c r="BY55" s="219"/>
      <c r="BZ55" s="220"/>
      <c r="CA55" s="220"/>
      <c r="CB55" s="220"/>
      <c r="CC55" s="220"/>
      <c r="CD55" s="220"/>
      <c r="CE55" s="220"/>
      <c r="CF55" s="220"/>
      <c r="CG55" s="220"/>
      <c r="CH55" s="220"/>
      <c r="CI55" s="220"/>
      <c r="CJ55" s="220"/>
      <c r="CK55" s="220"/>
      <c r="CL55" s="220"/>
      <c r="CM55" s="220"/>
      <c r="CN55" s="220"/>
      <c r="CO55" s="220"/>
      <c r="CP55" s="258"/>
      <c r="CQ55" s="1041"/>
    </row>
    <row r="56" spans="1:95" ht="14.25" customHeight="1">
      <c r="A56" s="865"/>
      <c r="B56" s="32" t="s">
        <v>548</v>
      </c>
      <c r="C56" s="218"/>
      <c r="D56" s="134"/>
      <c r="E56" s="78"/>
      <c r="F56" s="78"/>
      <c r="G56" s="79"/>
      <c r="H56" s="134"/>
      <c r="I56" s="78"/>
      <c r="J56" s="78"/>
      <c r="K56" s="79"/>
      <c r="L56" s="134"/>
      <c r="M56" s="78"/>
      <c r="N56" s="78"/>
      <c r="O56" s="79"/>
      <c r="P56" s="134"/>
      <c r="Q56" s="78"/>
      <c r="R56" s="78"/>
      <c r="S56" s="79"/>
      <c r="T56" s="134"/>
      <c r="U56" s="78"/>
      <c r="V56" s="78"/>
      <c r="W56" s="79"/>
      <c r="X56" s="78">
        <f t="shared" ref="X56:BH56" si="298">AVERAGE(T55,P55,L55,H55,D55)</f>
        <v>-0.10971218024224982</v>
      </c>
      <c r="Y56" s="78">
        <f t="shared" si="298"/>
        <v>0.12017367339510804</v>
      </c>
      <c r="Z56" s="78">
        <f t="shared" si="298"/>
        <v>0.10558272783628238</v>
      </c>
      <c r="AA56" s="79">
        <f t="shared" si="298"/>
        <v>3.5005131164061877E-2</v>
      </c>
      <c r="AB56" s="134">
        <f t="shared" si="298"/>
        <v>-6.5582025707969116E-2</v>
      </c>
      <c r="AC56" s="78">
        <f t="shared" si="298"/>
        <v>0.10769585284020482</v>
      </c>
      <c r="AD56" s="78">
        <f t="shared" si="298"/>
        <v>7.8588660263323756E-2</v>
      </c>
      <c r="AE56" s="79">
        <f t="shared" si="298"/>
        <v>7.5790637797910063E-4</v>
      </c>
      <c r="AF56" s="134">
        <f t="shared" si="298"/>
        <v>-8.0689509717204205E-2</v>
      </c>
      <c r="AG56" s="78">
        <f t="shared" si="298"/>
        <v>0.10797115136735277</v>
      </c>
      <c r="AH56" s="78">
        <f t="shared" si="298"/>
        <v>9.6338021388631387E-2</v>
      </c>
      <c r="AI56" s="79">
        <f t="shared" si="298"/>
        <v>-1.2633038855932321E-2</v>
      </c>
      <c r="AJ56" s="134">
        <f t="shared" si="298"/>
        <v>-2.8295612073058439E-2</v>
      </c>
      <c r="AK56" s="78">
        <f t="shared" si="298"/>
        <v>0.11973858947066866</v>
      </c>
      <c r="AL56" s="78">
        <f t="shared" si="298"/>
        <v>9.587944306256517E-2</v>
      </c>
      <c r="AM56" s="79">
        <f t="shared" si="298"/>
        <v>-3.4248192036434963E-2</v>
      </c>
      <c r="AN56" s="134">
        <f t="shared" si="298"/>
        <v>2.4607999278131332E-2</v>
      </c>
      <c r="AO56" s="78">
        <f t="shared" si="298"/>
        <v>0.10309442775963169</v>
      </c>
      <c r="AP56" s="78">
        <f t="shared" si="298"/>
        <v>4.8494690968751898E-2</v>
      </c>
      <c r="AQ56" s="79">
        <f t="shared" si="298"/>
        <v>-7.135107881846528E-2</v>
      </c>
      <c r="AR56" s="134">
        <f t="shared" si="298"/>
        <v>3.6891299049196594E-2</v>
      </c>
      <c r="AS56" s="78">
        <f t="shared" si="298"/>
        <v>8.0938644347809591E-2</v>
      </c>
      <c r="AT56" s="78">
        <f t="shared" si="298"/>
        <v>2.3119279441132078E-2</v>
      </c>
      <c r="AU56" s="79">
        <f t="shared" si="298"/>
        <v>-0.10251958406788113</v>
      </c>
      <c r="AV56" s="134">
        <f t="shared" si="298"/>
        <v>-2.3744414716757589E-3</v>
      </c>
      <c r="AW56" s="78">
        <f t="shared" si="298"/>
        <v>7.7641942023993771E-2</v>
      </c>
      <c r="AX56" s="78">
        <f t="shared" si="298"/>
        <v>2.4311684183413541E-2</v>
      </c>
      <c r="AY56" s="78">
        <f t="shared" si="298"/>
        <v>-8.2420692251410604E-2</v>
      </c>
      <c r="AZ56" s="134">
        <f t="shared" si="298"/>
        <v>3.2530417794264667E-2</v>
      </c>
      <c r="BA56" s="78">
        <f t="shared" si="298"/>
        <v>2.8654010624406912E-2</v>
      </c>
      <c r="BB56" s="78">
        <f t="shared" si="298"/>
        <v>1.9050882162236871E-2</v>
      </c>
      <c r="BC56" s="79">
        <f t="shared" si="298"/>
        <v>-0.12193810059445072</v>
      </c>
      <c r="BD56" s="134">
        <f t="shared" si="298"/>
        <v>7.3731990691447064E-2</v>
      </c>
      <c r="BE56" s="78">
        <f t="shared" si="298"/>
        <v>1.6461765846284337E-2</v>
      </c>
      <c r="BF56" s="78">
        <f t="shared" si="298"/>
        <v>3.7365860542400278E-2</v>
      </c>
      <c r="BG56" s="79">
        <f t="shared" si="298"/>
        <v>-0.15064970774711411</v>
      </c>
      <c r="BH56" s="134">
        <f t="shared" si="298"/>
        <v>4.0564598733799917E-3</v>
      </c>
      <c r="BI56" s="78">
        <f t="shared" ref="BI56" si="299">AVERAGE(BE55,BA55,AW55,AS55,AO55)</f>
        <v>5.0830745778022754E-2</v>
      </c>
      <c r="BJ56" s="78">
        <f t="shared" ref="BJ56:BK56" si="300">AVERAGE(BF55,BB55,AX55,AT55,AP55)</f>
        <v>5.1977065754873528E-2</v>
      </c>
      <c r="BK56" s="79">
        <f t="shared" si="300"/>
        <v>-8.6760445327777561E-2</v>
      </c>
      <c r="BL56" s="78">
        <f t="shared" ref="BL56:BS56" si="301">AVERAGE(BH55,BD55,AZ55,AV55,AR55)</f>
        <v>1.4209995201936687E-2</v>
      </c>
      <c r="BM56" s="78">
        <f t="shared" si="301"/>
        <v>5.8013292523250312E-2</v>
      </c>
      <c r="BN56" s="78">
        <f t="shared" si="301"/>
        <v>8.6670368474319526E-2</v>
      </c>
      <c r="BO56" s="79">
        <f t="shared" si="301"/>
        <v>-8.9329134889663944E-2</v>
      </c>
      <c r="BP56" s="78">
        <f t="shared" si="301"/>
        <v>1.7288017236978294E-2</v>
      </c>
      <c r="BQ56" s="78">
        <f t="shared" si="301"/>
        <v>5.975308072294775E-2</v>
      </c>
      <c r="BR56" s="78">
        <f t="shared" si="301"/>
        <v>8.8795895134206215E-2</v>
      </c>
      <c r="BS56" s="79">
        <f t="shared" si="301"/>
        <v>-8.1510571848008945E-2</v>
      </c>
      <c r="BT56" s="78">
        <f t="shared" ref="BT56" si="302">AVERAGE(BP55,BL55,BH55,BD55,AZ55)</f>
        <v>8.4913598553627116E-3</v>
      </c>
      <c r="BU56" s="78">
        <f t="shared" ref="BU56" si="303">AVERAGE(BQ55,BM55,BI55,BE55,BA55)</f>
        <v>6.7585116580461291E-2</v>
      </c>
      <c r="BV56" s="78">
        <f t="shared" ref="BV56" si="304">AVERAGE(BR55,BN55,BJ55,BF55,BB55)</f>
        <v>7.6758936316888376E-2</v>
      </c>
      <c r="BW56" s="79">
        <f t="shared" ref="BW56" si="305">AVERAGE(BS55,BO55,BK55,BG55,BC55)</f>
        <v>-4.8441414250956931E-2</v>
      </c>
      <c r="BX56" s="346"/>
      <c r="BY56" s="219"/>
      <c r="BZ56" s="220"/>
      <c r="CA56" s="220"/>
      <c r="CB56" s="220"/>
      <c r="CC56" s="220"/>
      <c r="CD56" s="220"/>
      <c r="CE56" s="220"/>
      <c r="CF56" s="220"/>
      <c r="CG56" s="220"/>
      <c r="CH56" s="220"/>
      <c r="CI56" s="220"/>
      <c r="CJ56" s="220"/>
      <c r="CK56" s="220"/>
      <c r="CL56" s="220"/>
      <c r="CM56" s="220"/>
      <c r="CN56" s="220"/>
      <c r="CO56" s="220"/>
      <c r="CP56" s="258"/>
      <c r="CQ56" s="1041"/>
    </row>
    <row r="57" spans="1:95" ht="14.25" customHeight="1">
      <c r="A57" s="866"/>
      <c r="B57" s="867" t="s">
        <v>298</v>
      </c>
      <c r="C57" s="880"/>
      <c r="D57" s="377"/>
      <c r="E57" s="370"/>
      <c r="F57" s="370"/>
      <c r="G57" s="335"/>
      <c r="H57" s="377"/>
      <c r="I57" s="370">
        <f t="shared" ref="I57:BH57" si="306">I54/E54-1</f>
        <v>0.30171740827478533</v>
      </c>
      <c r="J57" s="370">
        <f t="shared" si="306"/>
        <v>0.15617011387404123</v>
      </c>
      <c r="K57" s="335">
        <f t="shared" si="306"/>
        <v>0.23336683417085435</v>
      </c>
      <c r="L57" s="377">
        <f t="shared" si="306"/>
        <v>0.17741726151849435</v>
      </c>
      <c r="M57" s="370">
        <f t="shared" si="306"/>
        <v>-5.2578058796688643E-2</v>
      </c>
      <c r="N57" s="370">
        <f t="shared" si="306"/>
        <v>-9.3869346733668091E-2</v>
      </c>
      <c r="O57" s="335">
        <f t="shared" si="306"/>
        <v>-0.16443937418513688</v>
      </c>
      <c r="P57" s="377">
        <f t="shared" si="306"/>
        <v>-3.356481481481477E-2</v>
      </c>
      <c r="Q57" s="370">
        <f t="shared" si="306"/>
        <v>8.4502972258916786E-2</v>
      </c>
      <c r="R57" s="370">
        <f t="shared" si="306"/>
        <v>0.34215561224489766</v>
      </c>
      <c r="S57" s="335">
        <f t="shared" si="306"/>
        <v>0.34280698821365863</v>
      </c>
      <c r="T57" s="377">
        <f t="shared" si="306"/>
        <v>0.1737097234103222</v>
      </c>
      <c r="U57" s="370">
        <f t="shared" si="306"/>
        <v>0.16082372197480099</v>
      </c>
      <c r="V57" s="370">
        <f t="shared" si="306"/>
        <v>4.0472279897114882E-2</v>
      </c>
      <c r="W57" s="335">
        <f t="shared" si="306"/>
        <v>0.14264815737051784</v>
      </c>
      <c r="X57" s="377">
        <f t="shared" si="306"/>
        <v>0.48621301200136036</v>
      </c>
      <c r="Y57" s="370">
        <f t="shared" si="306"/>
        <v>0.41462268275620873</v>
      </c>
      <c r="Z57" s="370">
        <f t="shared" si="306"/>
        <v>0.32782328121121873</v>
      </c>
      <c r="AA57" s="335">
        <f t="shared" si="306"/>
        <v>2.0593282667320523E-2</v>
      </c>
      <c r="AB57" s="377">
        <f t="shared" si="306"/>
        <v>-0.25636897123848579</v>
      </c>
      <c r="AC57" s="370">
        <f t="shared" si="306"/>
        <v>-0.12420704522449999</v>
      </c>
      <c r="AD57" s="370">
        <f t="shared" si="306"/>
        <v>-4.5325058880705815E-2</v>
      </c>
      <c r="AE57" s="335">
        <f t="shared" si="306"/>
        <v>0.14986521472228898</v>
      </c>
      <c r="AF57" s="377">
        <f t="shared" si="306"/>
        <v>0.57227644420997104</v>
      </c>
      <c r="AG57" s="370">
        <f t="shared" si="306"/>
        <v>0.33800928131561747</v>
      </c>
      <c r="AH57" s="370">
        <f t="shared" si="306"/>
        <v>0.1761550088892021</v>
      </c>
      <c r="AI57" s="335">
        <f t="shared" si="306"/>
        <v>3.0716617922411427E-2</v>
      </c>
      <c r="AJ57" s="377">
        <f t="shared" si="306"/>
        <v>0.15632077845818304</v>
      </c>
      <c r="AK57" s="370">
        <f t="shared" si="306"/>
        <v>0.13480330744174407</v>
      </c>
      <c r="AL57" s="370">
        <f t="shared" si="306"/>
        <v>0.13614116863659054</v>
      </c>
      <c r="AM57" s="335">
        <f t="shared" si="306"/>
        <v>3.7578068700456102E-2</v>
      </c>
      <c r="AN57" s="377">
        <f t="shared" si="306"/>
        <v>-0.23496197419807274</v>
      </c>
      <c r="AO57" s="370">
        <f t="shared" si="306"/>
        <v>-0.26429675425038646</v>
      </c>
      <c r="AP57" s="370">
        <f t="shared" si="306"/>
        <v>-0.27713632633923335</v>
      </c>
      <c r="AQ57" s="335">
        <f t="shared" si="306"/>
        <v>-0.16341826916120417</v>
      </c>
      <c r="AR57" s="377">
        <f t="shared" si="306"/>
        <v>-0.1642696842304896</v>
      </c>
      <c r="AS57" s="370">
        <f t="shared" si="306"/>
        <v>-0.1302205092563341</v>
      </c>
      <c r="AT57" s="370">
        <f t="shared" si="306"/>
        <v>-7.1926055053310178E-2</v>
      </c>
      <c r="AU57" s="335">
        <f t="shared" si="306"/>
        <v>-6.861303768787741E-2</v>
      </c>
      <c r="AV57" s="377">
        <f t="shared" si="306"/>
        <v>2.0329046898637237E-3</v>
      </c>
      <c r="AW57" s="370">
        <f t="shared" si="306"/>
        <v>-3.6902513438907381E-2</v>
      </c>
      <c r="AX57" s="370">
        <f t="shared" si="306"/>
        <v>1.9447162426614595E-2</v>
      </c>
      <c r="AY57" s="370">
        <f t="shared" si="306"/>
        <v>-0.11734447539461457</v>
      </c>
      <c r="AZ57" s="377">
        <f t="shared" si="306"/>
        <v>0.17763623496107583</v>
      </c>
      <c r="BA57" s="370">
        <f t="shared" si="306"/>
        <v>0.1757052345753507</v>
      </c>
      <c r="BB57" s="370">
        <f t="shared" si="306"/>
        <v>0.15605450338503712</v>
      </c>
      <c r="BC57" s="335">
        <f t="shared" si="306"/>
        <v>5.5100881529948742E-2</v>
      </c>
      <c r="BD57" s="377">
        <f t="shared" si="306"/>
        <v>-0.28205128205128205</v>
      </c>
      <c r="BE57" s="370">
        <f t="shared" si="306"/>
        <v>-0.12894947874899754</v>
      </c>
      <c r="BF57" s="370">
        <f t="shared" si="306"/>
        <v>-0.14292068198665675</v>
      </c>
      <c r="BG57" s="335">
        <f t="shared" si="306"/>
        <v>0.30209371884346958</v>
      </c>
      <c r="BH57" s="377">
        <f t="shared" si="306"/>
        <v>0.40848214285714302</v>
      </c>
      <c r="BI57" s="370">
        <f t="shared" ref="BI57" si="307">BI54/BE54-1</f>
        <v>0.20419812189283748</v>
      </c>
      <c r="BJ57" s="370">
        <f t="shared" ref="BJ57:BK57" si="308">BJ54/BF54-1</f>
        <v>0.29821830133194949</v>
      </c>
      <c r="BK57" s="335">
        <f t="shared" si="308"/>
        <v>6.2787136294027768E-2</v>
      </c>
      <c r="BL57" s="377">
        <f t="shared" ref="BL57:BS57" si="309">BL54/BH54-1</f>
        <v>2.2852614896988976E-2</v>
      </c>
      <c r="BM57" s="370">
        <f t="shared" si="309"/>
        <v>3.6224770642201864E-2</v>
      </c>
      <c r="BN57" s="370">
        <f t="shared" si="309"/>
        <v>-5.186469020652873E-2</v>
      </c>
      <c r="BO57" s="335">
        <f t="shared" si="309"/>
        <v>4.8185000000002809E-3</v>
      </c>
      <c r="BP57" s="377">
        <f t="shared" si="309"/>
        <v>1.5623000000000165E-2</v>
      </c>
      <c r="BQ57" s="370">
        <f t="shared" si="309"/>
        <v>5.9504000000001334E-3</v>
      </c>
      <c r="BR57" s="370">
        <f t="shared" si="309"/>
        <v>-3.630079999999869E-3</v>
      </c>
      <c r="BS57" s="335">
        <f t="shared" si="309"/>
        <v>-3.630079999999869E-3</v>
      </c>
      <c r="BT57" s="377">
        <f t="shared" ref="BT57" si="310">BT54/BP54-1</f>
        <v>-3.630079999999869E-3</v>
      </c>
      <c r="BU57" s="370">
        <f t="shared" ref="BU57" si="311">BU54/BQ54-1</f>
        <v>-3.63007999999998E-3</v>
      </c>
      <c r="BV57" s="370">
        <f t="shared" ref="BV57" si="312">BV54/BR54-1</f>
        <v>-3.63007999999998E-3</v>
      </c>
      <c r="BW57" s="335">
        <f t="shared" ref="BW57" si="313">BW54/BS54-1</f>
        <v>-3.63007999999998E-3</v>
      </c>
      <c r="BX57" s="346"/>
      <c r="BY57" s="377"/>
      <c r="BZ57" s="370"/>
      <c r="CA57" s="370"/>
      <c r="CB57" s="370"/>
      <c r="CC57" s="370"/>
      <c r="CD57" s="338"/>
      <c r="CE57" s="338"/>
      <c r="CF57" s="338"/>
      <c r="CG57" s="338"/>
      <c r="CH57" s="338">
        <f t="shared" ref="CH57:CP57" si="314">CH54/CG54-1</f>
        <v>-0.23860615943486418</v>
      </c>
      <c r="CI57" s="338">
        <f t="shared" si="314"/>
        <v>-0.10989102539354212</v>
      </c>
      <c r="CJ57" s="338">
        <f t="shared" si="314"/>
        <v>-3.2555495694575054E-2</v>
      </c>
      <c r="CK57" s="338">
        <f t="shared" si="314"/>
        <v>0.14372414704417968</v>
      </c>
      <c r="CL57" s="338">
        <f t="shared" si="314"/>
        <v>-8.3061687641840187E-2</v>
      </c>
      <c r="CM57" s="338">
        <f t="shared" si="314"/>
        <v>0.22828728287282885</v>
      </c>
      <c r="CN57" s="338">
        <f t="shared" si="314"/>
        <v>9.2712548085716051E-4</v>
      </c>
      <c r="CO57" s="338">
        <f t="shared" si="314"/>
        <v>3.2947794951514453E-3</v>
      </c>
      <c r="CP57" s="337">
        <f t="shared" si="314"/>
        <v>-3.630080000000091E-3</v>
      </c>
      <c r="CQ57" s="1041"/>
    </row>
    <row r="58" spans="1:95" ht="14.25" customHeight="1">
      <c r="A58" s="865"/>
      <c r="B58" s="32" t="s">
        <v>299</v>
      </c>
      <c r="C58" s="218"/>
      <c r="D58" s="78"/>
      <c r="E58" s="78">
        <f t="shared" ref="E58:AE58" si="315">E54/(E76)</f>
        <v>0.23</v>
      </c>
      <c r="F58" s="78">
        <f t="shared" si="315"/>
        <v>0.26</v>
      </c>
      <c r="G58" s="79">
        <f t="shared" si="315"/>
        <v>0.25</v>
      </c>
      <c r="H58" s="78">
        <f t="shared" si="315"/>
        <v>0.19999999999999998</v>
      </c>
      <c r="I58" s="78">
        <f t="shared" si="315"/>
        <v>0.22999999999999998</v>
      </c>
      <c r="J58" s="78">
        <f t="shared" si="315"/>
        <v>0.25</v>
      </c>
      <c r="K58" s="79">
        <f t="shared" si="315"/>
        <v>0.27999999999999997</v>
      </c>
      <c r="L58" s="78">
        <f t="shared" si="315"/>
        <v>0.24</v>
      </c>
      <c r="M58" s="78">
        <f t="shared" si="315"/>
        <v>0.24</v>
      </c>
      <c r="N58" s="78">
        <f t="shared" si="315"/>
        <v>0.23000000000000004</v>
      </c>
      <c r="O58" s="79">
        <f t="shared" si="315"/>
        <v>0.21000000000000002</v>
      </c>
      <c r="P58" s="78">
        <f t="shared" si="315"/>
        <v>0.21</v>
      </c>
      <c r="Q58" s="78">
        <f t="shared" si="315"/>
        <v>0.21</v>
      </c>
      <c r="R58" s="78">
        <f t="shared" si="315"/>
        <v>0.23</v>
      </c>
      <c r="S58" s="79">
        <f t="shared" si="315"/>
        <v>0.24</v>
      </c>
      <c r="T58" s="78">
        <f t="shared" si="315"/>
        <v>0.21999999999999997</v>
      </c>
      <c r="U58" s="78">
        <f t="shared" si="315"/>
        <v>0.24000000000000002</v>
      </c>
      <c r="V58" s="78">
        <f t="shared" si="315"/>
        <v>0.25</v>
      </c>
      <c r="W58" s="79">
        <f t="shared" si="315"/>
        <v>0.27</v>
      </c>
      <c r="X58" s="78">
        <f t="shared" si="315"/>
        <v>0.28999999999999998</v>
      </c>
      <c r="Y58" s="78">
        <f t="shared" si="315"/>
        <v>0.22999999999999998</v>
      </c>
      <c r="Z58" s="78">
        <f t="shared" si="315"/>
        <v>0.23</v>
      </c>
      <c r="AA58" s="79">
        <f t="shared" si="315"/>
        <v>0.23</v>
      </c>
      <c r="AB58" s="78">
        <f t="shared" si="315"/>
        <v>0.24000000000000005</v>
      </c>
      <c r="AC58" s="78">
        <f t="shared" si="315"/>
        <v>0.27</v>
      </c>
      <c r="AD58" s="78">
        <f t="shared" si="315"/>
        <v>0.27</v>
      </c>
      <c r="AE58" s="79">
        <f t="shared" si="315"/>
        <v>0.26</v>
      </c>
      <c r="AF58" s="78">
        <f t="shared" ref="AF58:AQ58" si="316">AF54/(AF76)</f>
        <v>0.26</v>
      </c>
      <c r="AG58" s="78">
        <f t="shared" si="316"/>
        <v>0.25999999999999995</v>
      </c>
      <c r="AH58" s="78">
        <f t="shared" si="316"/>
        <v>0.25</v>
      </c>
      <c r="AI58" s="79">
        <f t="shared" si="316"/>
        <v>0.22999999999999998</v>
      </c>
      <c r="AJ58" s="78">
        <f t="shared" si="316"/>
        <v>0.19</v>
      </c>
      <c r="AK58" s="78">
        <f t="shared" si="316"/>
        <v>0.19</v>
      </c>
      <c r="AL58" s="78">
        <f t="shared" si="316"/>
        <v>0.18999999999999997</v>
      </c>
      <c r="AM58" s="79">
        <f t="shared" si="316"/>
        <v>0.17999999999999997</v>
      </c>
      <c r="AN58" s="78">
        <f t="shared" si="316"/>
        <v>0.17</v>
      </c>
      <c r="AO58" s="78">
        <f t="shared" si="316"/>
        <v>0.17</v>
      </c>
      <c r="AP58" s="78">
        <f t="shared" si="316"/>
        <v>0.16999999999999998</v>
      </c>
      <c r="AQ58" s="79">
        <f t="shared" si="316"/>
        <v>0.17</v>
      </c>
      <c r="AR58" s="78">
        <f t="shared" ref="AR58:AW58" si="317">AR54/(AR76)</f>
        <v>0.16</v>
      </c>
      <c r="AS58" s="78">
        <f t="shared" si="317"/>
        <v>0.15999999999999998</v>
      </c>
      <c r="AT58" s="78">
        <f t="shared" si="317"/>
        <v>0.15999999999999998</v>
      </c>
      <c r="AU58" s="79">
        <f t="shared" si="317"/>
        <v>0.15</v>
      </c>
      <c r="AV58" s="78">
        <f t="shared" si="317"/>
        <v>0.15</v>
      </c>
      <c r="AW58" s="78">
        <f t="shared" si="317"/>
        <v>0.14000000000000001</v>
      </c>
      <c r="AX58" s="78">
        <f t="shared" ref="AX58:BB58" si="318">AX54/(AX76)</f>
        <v>0.14000000000000001</v>
      </c>
      <c r="AY58" s="78">
        <f t="shared" si="318"/>
        <v>0.10999999999999999</v>
      </c>
      <c r="AZ58" s="134">
        <f t="shared" si="318"/>
        <v>0.14331649058337162</v>
      </c>
      <c r="BA58" s="78">
        <f t="shared" si="318"/>
        <v>0.14162407722884726</v>
      </c>
      <c r="BB58" s="78">
        <f t="shared" si="318"/>
        <v>0.14915966386554622</v>
      </c>
      <c r="BC58" s="79">
        <f>BC54/(BC76)</f>
        <v>0.11936213257170059</v>
      </c>
      <c r="BD58" s="134">
        <f>BD54/(BD76)</f>
        <v>0.109642682329907</v>
      </c>
      <c r="BE58" s="78">
        <f>BE54/(BE76)</f>
        <v>0.12374117110959218</v>
      </c>
      <c r="BF58" s="78">
        <f t="shared" ref="BF58" si="319">BF54/(BF76)</f>
        <v>0.12159007256283522</v>
      </c>
      <c r="BG58" s="79">
        <f>BG54/(BG76)</f>
        <v>0.1035685963521015</v>
      </c>
      <c r="BH58" s="134">
        <f>BH54/(BH76)</f>
        <v>9.8470661672908855E-2</v>
      </c>
      <c r="BI58" s="78">
        <f t="shared" ref="BI58:BJ58" si="320">BI54/(BI76)</f>
        <v>9.7757847533632314E-2</v>
      </c>
      <c r="BJ58" s="78">
        <f t="shared" si="320"/>
        <v>0.10790797987059669</v>
      </c>
      <c r="BK58" s="79">
        <f>BK54/(BK76)</f>
        <v>0.10076225045372052</v>
      </c>
      <c r="BL58" s="78">
        <f t="shared" ref="BL58:BS58" si="321">BL54/(BL76)</f>
        <v>9.423173367731083E-2</v>
      </c>
      <c r="BM58" s="78">
        <f t="shared" si="321"/>
        <v>9.4889091807969755E-2</v>
      </c>
      <c r="BN58" s="78">
        <f t="shared" si="321"/>
        <v>9.7334705772666452E-2</v>
      </c>
      <c r="BO58" s="79">
        <f t="shared" si="321"/>
        <v>9.7108533536083744E-2</v>
      </c>
      <c r="BP58" s="78">
        <f t="shared" si="321"/>
        <v>9.179128154283353E-2</v>
      </c>
      <c r="BQ58" s="78">
        <f t="shared" si="321"/>
        <v>9.2023753050423623E-2</v>
      </c>
      <c r="BR58" s="78">
        <f t="shared" si="321"/>
        <v>9.3670587400317792E-2</v>
      </c>
      <c r="BS58" s="79">
        <f t="shared" si="321"/>
        <v>9.3420059815615741E-2</v>
      </c>
      <c r="BT58" s="78">
        <f t="shared" ref="BT58:BW58" si="322">BT54/(BT76)</f>
        <v>8.817720964582465E-2</v>
      </c>
      <c r="BU58" s="78">
        <f t="shared" si="322"/>
        <v>8.8408214970976742E-2</v>
      </c>
      <c r="BV58" s="78">
        <f t="shared" si="322"/>
        <v>9.0075806492843094E-2</v>
      </c>
      <c r="BW58" s="79">
        <f t="shared" si="322"/>
        <v>8.9802904060681102E-2</v>
      </c>
      <c r="BX58" s="346"/>
      <c r="BY58" s="359">
        <f t="shared" ref="BY58:CJ58" si="323">BY54/(BY76)</f>
        <v>0.24682041684325809</v>
      </c>
      <c r="BZ58" s="338">
        <f t="shared" si="323"/>
        <v>0.23983660904570209</v>
      </c>
      <c r="CA58" s="338">
        <f t="shared" si="323"/>
        <v>0.22937807393304777</v>
      </c>
      <c r="CB58" s="338">
        <f t="shared" si="323"/>
        <v>0.22336075205640421</v>
      </c>
      <c r="CC58" s="338">
        <f t="shared" si="323"/>
        <v>0.24560720214531989</v>
      </c>
      <c r="CD58" s="338">
        <f t="shared" si="323"/>
        <v>0.24231944714814091</v>
      </c>
      <c r="CE58" s="338">
        <f t="shared" si="323"/>
        <v>0.26076035954548021</v>
      </c>
      <c r="CF58" s="338">
        <f t="shared" si="323"/>
        <v>0.24989236621423017</v>
      </c>
      <c r="CG58" s="338">
        <f t="shared" si="323"/>
        <v>0.18776922406530513</v>
      </c>
      <c r="CH58" s="338">
        <f t="shared" si="323"/>
        <v>0.17000000000000004</v>
      </c>
      <c r="CI58" s="338">
        <f t="shared" si="323"/>
        <v>0.15741977216372585</v>
      </c>
      <c r="CJ58" s="338">
        <f t="shared" si="323"/>
        <v>0.13403472705420963</v>
      </c>
      <c r="CK58" s="338">
        <f t="shared" ref="CK58:CP58" si="324">CK54/(CK76)</f>
        <v>0.13864416475972541</v>
      </c>
      <c r="CL58" s="338">
        <f t="shared" si="324"/>
        <v>0.11375771071693672</v>
      </c>
      <c r="CM58" s="338">
        <f t="shared" si="324"/>
        <v>0.10131586273454465</v>
      </c>
      <c r="CN58" s="338">
        <f t="shared" si="324"/>
        <v>9.5918287358867704E-2</v>
      </c>
      <c r="CO58" s="338">
        <f t="shared" si="324"/>
        <v>9.2740693392696638E-2</v>
      </c>
      <c r="CP58" s="337">
        <f t="shared" si="324"/>
        <v>8.9130068036478174E-2</v>
      </c>
      <c r="CQ58" s="1041"/>
    </row>
    <row r="59" spans="1:95" ht="14.25" customHeight="1">
      <c r="A59" s="865"/>
      <c r="B59" s="32"/>
      <c r="C59" s="218"/>
      <c r="D59" s="78"/>
      <c r="E59" s="78"/>
      <c r="F59" s="78"/>
      <c r="G59" s="79"/>
      <c r="H59" s="78"/>
      <c r="I59" s="78"/>
      <c r="J59" s="78"/>
      <c r="K59" s="79"/>
      <c r="L59" s="78"/>
      <c r="M59" s="78"/>
      <c r="N59" s="78"/>
      <c r="O59" s="79"/>
      <c r="P59" s="78"/>
      <c r="Q59" s="78"/>
      <c r="R59" s="78"/>
      <c r="S59" s="79"/>
      <c r="T59" s="78"/>
      <c r="U59" s="78"/>
      <c r="V59" s="78"/>
      <c r="W59" s="79"/>
      <c r="X59" s="78"/>
      <c r="Y59" s="78"/>
      <c r="Z59" s="78"/>
      <c r="AA59" s="79"/>
      <c r="AB59" s="78"/>
      <c r="AC59" s="78"/>
      <c r="AD59" s="78"/>
      <c r="AE59" s="79"/>
      <c r="AF59" s="78"/>
      <c r="AG59" s="78"/>
      <c r="AH59" s="78"/>
      <c r="AI59" s="79"/>
      <c r="AJ59" s="78"/>
      <c r="AK59" s="78"/>
      <c r="AL59" s="78"/>
      <c r="AM59" s="79"/>
      <c r="AN59" s="78"/>
      <c r="AO59" s="78"/>
      <c r="AP59" s="78"/>
      <c r="AQ59" s="79"/>
      <c r="AR59" s="78"/>
      <c r="AS59" s="78"/>
      <c r="AT59" s="78"/>
      <c r="AU59" s="79"/>
      <c r="AV59" s="78"/>
      <c r="AW59" s="78"/>
      <c r="AX59" s="78"/>
      <c r="AY59" s="78"/>
      <c r="AZ59" s="134"/>
      <c r="BA59" s="78"/>
      <c r="BB59" s="78"/>
      <c r="BC59" s="79"/>
      <c r="BD59" s="134"/>
      <c r="BE59" s="78"/>
      <c r="BF59" s="78"/>
      <c r="BG59" s="79"/>
      <c r="BH59" s="134"/>
      <c r="BI59" s="78"/>
      <c r="BJ59" s="78"/>
      <c r="BK59" s="79"/>
      <c r="BL59" s="57"/>
      <c r="BM59" s="57"/>
      <c r="BN59" s="57"/>
      <c r="BO59" s="24"/>
      <c r="BP59" s="57"/>
      <c r="BQ59" s="57"/>
      <c r="BR59" s="57"/>
      <c r="BS59" s="24"/>
      <c r="BT59" s="57"/>
      <c r="BU59" s="57"/>
      <c r="BV59" s="57"/>
      <c r="BW59" s="24"/>
      <c r="BX59" s="346"/>
      <c r="BY59" s="22"/>
      <c r="BZ59" s="15"/>
      <c r="CA59" s="15"/>
      <c r="CB59" s="15"/>
      <c r="CC59" s="15"/>
      <c r="CD59" s="15"/>
      <c r="CE59" s="15"/>
      <c r="CF59" s="15"/>
      <c r="CG59" s="15"/>
      <c r="CH59" s="15"/>
      <c r="CI59" s="15"/>
      <c r="CJ59" s="15"/>
      <c r="CK59" s="15"/>
      <c r="CL59" s="15"/>
      <c r="CM59" s="15"/>
      <c r="CN59" s="15"/>
      <c r="CO59" s="15"/>
      <c r="CP59" s="211"/>
      <c r="CQ59" s="1041"/>
    </row>
    <row r="60" spans="1:95" ht="14.25" customHeight="1">
      <c r="A60" s="865"/>
      <c r="B60" s="45" t="str">
        <f>$B$107&amp;" Gross Margin"</f>
        <v>Computing Gross Margin</v>
      </c>
      <c r="C60" s="218"/>
      <c r="D60" s="374"/>
      <c r="E60" s="341">
        <f t="shared" ref="E60:AE60" si="325">E98*E58</f>
        <v>16.996999999999996</v>
      </c>
      <c r="F60" s="341">
        <f t="shared" si="325"/>
        <v>19.136000000000006</v>
      </c>
      <c r="G60" s="342">
        <f t="shared" si="325"/>
        <v>19.600000000000009</v>
      </c>
      <c r="H60" s="374">
        <f t="shared" si="325"/>
        <v>19.179999999999993</v>
      </c>
      <c r="I60" s="341">
        <f t="shared" si="325"/>
        <v>25.852</v>
      </c>
      <c r="J60" s="341">
        <f t="shared" si="325"/>
        <v>25.749999999999993</v>
      </c>
      <c r="K60" s="342">
        <f t="shared" si="325"/>
        <v>27.608000000000004</v>
      </c>
      <c r="L60" s="374">
        <f t="shared" si="325"/>
        <v>23.087999999999997</v>
      </c>
      <c r="M60" s="341">
        <f t="shared" si="325"/>
        <v>23.64</v>
      </c>
      <c r="N60" s="341">
        <f t="shared" si="325"/>
        <v>23.943000000000008</v>
      </c>
      <c r="O60" s="342">
        <f t="shared" si="325"/>
        <v>25.137000000000008</v>
      </c>
      <c r="P60" s="374">
        <f t="shared" si="325"/>
        <v>24.716999999999995</v>
      </c>
      <c r="Q60" s="341">
        <f t="shared" si="325"/>
        <v>32.172000000000004</v>
      </c>
      <c r="R60" s="341">
        <f t="shared" si="325"/>
        <v>36.891999999999996</v>
      </c>
      <c r="S60" s="342">
        <f t="shared" si="325"/>
        <v>37.848000000000006</v>
      </c>
      <c r="T60" s="374">
        <f t="shared" si="325"/>
        <v>30.051999999999996</v>
      </c>
      <c r="U60" s="341">
        <f t="shared" si="325"/>
        <v>35.040000000000006</v>
      </c>
      <c r="V60" s="341">
        <f t="shared" si="325"/>
        <v>38.899999999999991</v>
      </c>
      <c r="W60" s="342">
        <f t="shared" si="325"/>
        <v>41.120999999999995</v>
      </c>
      <c r="X60" s="374">
        <f t="shared" si="325"/>
        <v>42.513999999999989</v>
      </c>
      <c r="Y60" s="341">
        <f t="shared" si="325"/>
        <v>44.068000000000005</v>
      </c>
      <c r="Z60" s="341">
        <f t="shared" si="325"/>
        <v>50.968000000000011</v>
      </c>
      <c r="AA60" s="342">
        <f t="shared" si="325"/>
        <v>42.710999999999999</v>
      </c>
      <c r="AB60" s="374">
        <f t="shared" si="325"/>
        <v>26.904000000000011</v>
      </c>
      <c r="AC60" s="341">
        <f t="shared" si="325"/>
        <v>37.314</v>
      </c>
      <c r="AD60" s="341">
        <f t="shared" si="325"/>
        <v>47.465999999999994</v>
      </c>
      <c r="AE60" s="342">
        <f t="shared" si="325"/>
        <v>50.596000000000011</v>
      </c>
      <c r="AF60" s="374">
        <f t="shared" ref="AF60:AQ60" si="326">AF98*AF58</f>
        <v>59.306000000000004</v>
      </c>
      <c r="AG60" s="341">
        <f t="shared" si="326"/>
        <v>63.387999999999977</v>
      </c>
      <c r="AH60" s="341">
        <f t="shared" si="326"/>
        <v>61.625000000000014</v>
      </c>
      <c r="AI60" s="342">
        <f t="shared" si="326"/>
        <v>54.648000000000003</v>
      </c>
      <c r="AJ60" s="374">
        <f t="shared" si="326"/>
        <v>46.055999999999997</v>
      </c>
      <c r="AK60" s="341">
        <f t="shared" si="326"/>
        <v>50.558999999999983</v>
      </c>
      <c r="AL60" s="341">
        <f t="shared" si="326"/>
        <v>49.608999999999995</v>
      </c>
      <c r="AM60" s="342">
        <f t="shared" si="326"/>
        <v>43.055999999999976</v>
      </c>
      <c r="AN60" s="374">
        <f t="shared" si="326"/>
        <v>41.684000000000005</v>
      </c>
      <c r="AO60" s="341">
        <f t="shared" si="326"/>
        <v>43.910999999999994</v>
      </c>
      <c r="AP60" s="341">
        <f t="shared" si="326"/>
        <v>40.459999999999994</v>
      </c>
      <c r="AQ60" s="342">
        <f t="shared" si="326"/>
        <v>35.768000000000008</v>
      </c>
      <c r="AR60" s="374">
        <f t="shared" ref="AR60:AW60" si="327">AR98*AR58</f>
        <v>32.72</v>
      </c>
      <c r="AS60" s="341">
        <f t="shared" si="327"/>
        <v>37.087999999999987</v>
      </c>
      <c r="AT60" s="341">
        <f t="shared" si="327"/>
        <v>39.871999999999993</v>
      </c>
      <c r="AU60" s="342">
        <f t="shared" si="327"/>
        <v>37.934999999999995</v>
      </c>
      <c r="AV60" s="374">
        <f t="shared" si="327"/>
        <v>37.619999999999997</v>
      </c>
      <c r="AW60" s="341">
        <f t="shared" si="327"/>
        <v>38.220000000000006</v>
      </c>
      <c r="AX60" s="341">
        <f t="shared" ref="AX60:BC60" si="328">AX98*AX58</f>
        <v>39.774000000000008</v>
      </c>
      <c r="AY60" s="341">
        <f t="shared" si="328"/>
        <v>30.547000000000001</v>
      </c>
      <c r="AZ60" s="374">
        <f t="shared" si="328"/>
        <v>43.052273771244835</v>
      </c>
      <c r="BA60" s="341">
        <f t="shared" si="328"/>
        <v>43.1103691084611</v>
      </c>
      <c r="BB60" s="341">
        <f t="shared" si="328"/>
        <v>46.015756302521005</v>
      </c>
      <c r="BC60" s="342">
        <f t="shared" si="328"/>
        <v>33.409460906818992</v>
      </c>
      <c r="BD60" s="374">
        <f>BD98*BD58</f>
        <v>30.206558981889376</v>
      </c>
      <c r="BE60" s="341">
        <f>BE98*BE58</f>
        <v>38.099906584643428</v>
      </c>
      <c r="BF60" s="341">
        <f t="shared" ref="BF60:BG60" si="329">BF98*BF58</f>
        <v>40.003133873172786</v>
      </c>
      <c r="BG60" s="342">
        <f t="shared" si="329"/>
        <v>39.822125297383025</v>
      </c>
      <c r="BH60" s="374">
        <f>BH98*BH58</f>
        <v>49.560284019975036</v>
      </c>
      <c r="BI60" s="341">
        <f t="shared" ref="BI60:BK60" si="330">BI98*BI58</f>
        <v>48.106636771300465</v>
      </c>
      <c r="BJ60" s="341">
        <f t="shared" si="330"/>
        <v>56.565363048166795</v>
      </c>
      <c r="BK60" s="342">
        <f t="shared" si="330"/>
        <v>51.811949183303092</v>
      </c>
      <c r="BL60" s="341">
        <f t="shared" ref="BL60:BS60" si="331">BL63*BL54</f>
        <v>48.406500000000001</v>
      </c>
      <c r="BM60" s="341">
        <f t="shared" si="331"/>
        <v>51.097901400000005</v>
      </c>
      <c r="BN60" s="341">
        <f t="shared" si="331"/>
        <v>55.075947570000011</v>
      </c>
      <c r="BO60" s="342">
        <f t="shared" si="331"/>
        <v>53.695491003000015</v>
      </c>
      <c r="BP60" s="341">
        <f t="shared" si="331"/>
        <v>50.080459504824013</v>
      </c>
      <c r="BQ60" s="341">
        <f t="shared" si="331"/>
        <v>52.76540141754338</v>
      </c>
      <c r="BR60" s="341">
        <f t="shared" si="331"/>
        <v>56.294002421900032</v>
      </c>
      <c r="BS60" s="342">
        <f t="shared" si="331"/>
        <v>54.890197323721665</v>
      </c>
      <c r="BT60" s="341">
        <f t="shared" ref="BT60:BW60" si="332">BT63*BT54</f>
        <v>51.204911164164457</v>
      </c>
      <c r="BU60" s="341">
        <f t="shared" si="332"/>
        <v>53.93235643229648</v>
      </c>
      <c r="BV60" s="341">
        <f t="shared" si="332"/>
        <v>57.502488238444478</v>
      </c>
      <c r="BW60" s="342">
        <f t="shared" si="332"/>
        <v>56.075522314099778</v>
      </c>
      <c r="BX60" s="346"/>
      <c r="BY60" s="334">
        <f>SUM(D60:G60)</f>
        <v>55.733000000000011</v>
      </c>
      <c r="BZ60" s="325">
        <f>SUM(H60:K60)</f>
        <v>98.389999999999986</v>
      </c>
      <c r="CA60" s="325">
        <f>SUM(L60:O60)</f>
        <v>95.808000000000021</v>
      </c>
      <c r="CB60" s="325">
        <f>SUM(P60:S60)</f>
        <v>131.62899999999999</v>
      </c>
      <c r="CC60" s="325">
        <f>SUM(T60:W60)</f>
        <v>145.113</v>
      </c>
      <c r="CD60" s="325">
        <f>SUM(X60:AA60)</f>
        <v>180.26100000000002</v>
      </c>
      <c r="CE60" s="325">
        <f>SUM(AB60:AE60)</f>
        <v>162.28000000000003</v>
      </c>
      <c r="CF60" s="325">
        <f>SUM(AF60:AI60)</f>
        <v>238.96700000000001</v>
      </c>
      <c r="CG60" s="325">
        <f>SUM(AJ60:AM60)</f>
        <v>189.27999999999997</v>
      </c>
      <c r="CH60" s="325">
        <f>SUM(AN60:AQ60)</f>
        <v>161.82300000000001</v>
      </c>
      <c r="CI60" s="325">
        <f>SUM(AR60:AU60)</f>
        <v>147.61499999999998</v>
      </c>
      <c r="CJ60" s="325">
        <f>SUM(AV60:AY60)</f>
        <v>146.161</v>
      </c>
      <c r="CK60" s="325">
        <f>SUM(AZ60:BC60)</f>
        <v>165.58786008904593</v>
      </c>
      <c r="CL60" s="325">
        <f>SUM(BD60:BG60)</f>
        <v>148.13172473708863</v>
      </c>
      <c r="CM60" s="325">
        <f>SUM(BH60:BK60)</f>
        <v>206.04423302274537</v>
      </c>
      <c r="CN60" s="325">
        <f>SUM(BL60:BO60)</f>
        <v>208.27583997300002</v>
      </c>
      <c r="CO60" s="325">
        <f>SUM(BP60:BS60)</f>
        <v>214.03006066798912</v>
      </c>
      <c r="CP60" s="326">
        <f>SUM(BT60:BW60)</f>
        <v>218.71527814900517</v>
      </c>
      <c r="CQ60" s="1041"/>
    </row>
    <row r="61" spans="1:95" ht="14.25" customHeight="1">
      <c r="A61" s="865"/>
      <c r="B61" s="32" t="s">
        <v>297</v>
      </c>
      <c r="C61" s="218"/>
      <c r="D61" s="134"/>
      <c r="E61" s="78"/>
      <c r="F61" s="78">
        <f t="shared" ref="F61:BH61" si="333">F60/E60-1</f>
        <v>0.12584573748308592</v>
      </c>
      <c r="G61" s="79">
        <f t="shared" si="333"/>
        <v>2.4247491638796026E-2</v>
      </c>
      <c r="H61" s="134">
        <f t="shared" si="333"/>
        <v>-2.1428571428572241E-2</v>
      </c>
      <c r="I61" s="78">
        <f t="shared" si="333"/>
        <v>0.34786235662148135</v>
      </c>
      <c r="J61" s="78">
        <f t="shared" si="333"/>
        <v>-3.9455361287330515E-3</v>
      </c>
      <c r="K61" s="79">
        <f t="shared" si="333"/>
        <v>7.2155339805825669E-2</v>
      </c>
      <c r="L61" s="134">
        <f t="shared" si="333"/>
        <v>-0.16372066067806457</v>
      </c>
      <c r="M61" s="78">
        <f t="shared" si="333"/>
        <v>2.3908523908523938E-2</v>
      </c>
      <c r="N61" s="78">
        <f t="shared" si="333"/>
        <v>1.2817258883249139E-2</v>
      </c>
      <c r="O61" s="79">
        <f t="shared" si="333"/>
        <v>4.9868437539155375E-2</v>
      </c>
      <c r="P61" s="134">
        <f t="shared" si="333"/>
        <v>-1.6708437761069783E-2</v>
      </c>
      <c r="Q61" s="78">
        <f t="shared" si="333"/>
        <v>0.30161427357689075</v>
      </c>
      <c r="R61" s="78">
        <f t="shared" si="333"/>
        <v>0.14671142608479393</v>
      </c>
      <c r="S61" s="79">
        <f t="shared" si="333"/>
        <v>2.5913477176623845E-2</v>
      </c>
      <c r="T61" s="134">
        <f t="shared" si="333"/>
        <v>-0.20598182202494209</v>
      </c>
      <c r="U61" s="78">
        <f t="shared" si="333"/>
        <v>0.16597896978570503</v>
      </c>
      <c r="V61" s="78">
        <f t="shared" si="333"/>
        <v>0.11015981735159763</v>
      </c>
      <c r="W61" s="79">
        <f t="shared" si="333"/>
        <v>5.7095115681234043E-2</v>
      </c>
      <c r="X61" s="134">
        <f t="shared" si="333"/>
        <v>3.3875635320152586E-2</v>
      </c>
      <c r="Y61" s="78">
        <f t="shared" si="333"/>
        <v>3.6552665004469409E-2</v>
      </c>
      <c r="Z61" s="78">
        <f t="shared" si="333"/>
        <v>0.15657620041753662</v>
      </c>
      <c r="AA61" s="79">
        <f t="shared" si="333"/>
        <v>-0.16200361010830344</v>
      </c>
      <c r="AB61" s="134">
        <f t="shared" si="333"/>
        <v>-0.370092013766945</v>
      </c>
      <c r="AC61" s="78">
        <f t="shared" si="333"/>
        <v>0.38693131132916991</v>
      </c>
      <c r="AD61" s="78">
        <f t="shared" si="333"/>
        <v>0.27206946454413883</v>
      </c>
      <c r="AE61" s="79">
        <f t="shared" si="333"/>
        <v>6.5941937386761351E-2</v>
      </c>
      <c r="AF61" s="134">
        <f t="shared" si="333"/>
        <v>0.17214799588900287</v>
      </c>
      <c r="AG61" s="78">
        <f t="shared" si="333"/>
        <v>6.8829460762822814E-2</v>
      </c>
      <c r="AH61" s="78">
        <f t="shared" si="333"/>
        <v>-2.7812835236952771E-2</v>
      </c>
      <c r="AI61" s="79">
        <f t="shared" si="333"/>
        <v>-0.11321703853955389</v>
      </c>
      <c r="AJ61" s="134">
        <f t="shared" si="333"/>
        <v>-0.15722441809398346</v>
      </c>
      <c r="AK61" s="78">
        <f t="shared" si="333"/>
        <v>9.7772277227722526E-2</v>
      </c>
      <c r="AL61" s="78">
        <f t="shared" si="333"/>
        <v>-1.8789928598271111E-2</v>
      </c>
      <c r="AM61" s="79">
        <f t="shared" si="333"/>
        <v>-0.13209296700195572</v>
      </c>
      <c r="AN61" s="134">
        <f t="shared" si="333"/>
        <v>-3.1865477517650787E-2</v>
      </c>
      <c r="AO61" s="78">
        <f t="shared" si="333"/>
        <v>5.3425774877650545E-2</v>
      </c>
      <c r="AP61" s="78">
        <f t="shared" si="333"/>
        <v>-7.8590785907859062E-2</v>
      </c>
      <c r="AQ61" s="79">
        <f t="shared" si="333"/>
        <v>-0.11596638655462155</v>
      </c>
      <c r="AR61" s="134">
        <f t="shared" si="333"/>
        <v>-8.5215835383583349E-2</v>
      </c>
      <c r="AS61" s="78">
        <f t="shared" si="333"/>
        <v>0.13349633251833715</v>
      </c>
      <c r="AT61" s="78">
        <f t="shared" si="333"/>
        <v>7.5064710957722269E-2</v>
      </c>
      <c r="AU61" s="79">
        <f t="shared" si="333"/>
        <v>-4.8580457463884397E-2</v>
      </c>
      <c r="AV61" s="134">
        <f t="shared" si="333"/>
        <v>-8.3036773428232236E-3</v>
      </c>
      <c r="AW61" s="78">
        <f t="shared" si="333"/>
        <v>1.5948963317384601E-2</v>
      </c>
      <c r="AX61" s="78">
        <f t="shared" si="333"/>
        <v>4.0659340659340737E-2</v>
      </c>
      <c r="AY61" s="78">
        <f t="shared" si="333"/>
        <v>-0.23198571931412493</v>
      </c>
      <c r="AZ61" s="134">
        <f t="shared" si="333"/>
        <v>0.40937813111745291</v>
      </c>
      <c r="BA61" s="78">
        <f t="shared" si="333"/>
        <v>1.3494139130711957E-3</v>
      </c>
      <c r="BB61" s="78">
        <f t="shared" si="333"/>
        <v>6.7394161872060598E-2</v>
      </c>
      <c r="BC61" s="79">
        <f t="shared" si="333"/>
        <v>-0.27395606219801216</v>
      </c>
      <c r="BD61" s="134">
        <f t="shared" si="333"/>
        <v>-9.5868111546687396E-2</v>
      </c>
      <c r="BE61" s="78">
        <f t="shared" si="333"/>
        <v>0.26131237283553488</v>
      </c>
      <c r="BF61" s="78">
        <f t="shared" si="333"/>
        <v>4.9953594618430852E-2</v>
      </c>
      <c r="BG61" s="79">
        <f t="shared" si="333"/>
        <v>-4.5248598863187883E-3</v>
      </c>
      <c r="BH61" s="134">
        <f t="shared" si="333"/>
        <v>0.24454141133527019</v>
      </c>
      <c r="BI61" s="78">
        <f t="shared" ref="BI61" si="334">BI60/BH60-1</f>
        <v>-2.9330890196042514E-2</v>
      </c>
      <c r="BJ61" s="78">
        <f t="shared" ref="BJ61:BK61" si="335">BJ60/BI60-1</f>
        <v>0.17583283398253791</v>
      </c>
      <c r="BK61" s="79">
        <f t="shared" si="335"/>
        <v>-8.4034002589465473E-2</v>
      </c>
      <c r="BL61" s="134">
        <f t="shared" ref="BL61:BS61" si="336">BL60/BK60-1</f>
        <v>-6.5727100350058465E-2</v>
      </c>
      <c r="BM61" s="78">
        <f t="shared" si="336"/>
        <v>5.5600000000000094E-2</v>
      </c>
      <c r="BN61" s="78">
        <f t="shared" si="336"/>
        <v>7.7851458885941804E-2</v>
      </c>
      <c r="BO61" s="79">
        <f t="shared" si="336"/>
        <v>-2.5064599483204053E-2</v>
      </c>
      <c r="BP61" s="134">
        <f t="shared" si="336"/>
        <v>-6.7324675324675343E-2</v>
      </c>
      <c r="BQ61" s="78">
        <f t="shared" si="336"/>
        <v>5.361256544502635E-2</v>
      </c>
      <c r="BR61" s="78">
        <f t="shared" si="336"/>
        <v>6.687338501291995E-2</v>
      </c>
      <c r="BS61" s="79">
        <f t="shared" si="336"/>
        <v>-2.493702770780859E-2</v>
      </c>
      <c r="BT61" s="134">
        <f t="shared" ref="BT61" si="337">BT60/BS60-1</f>
        <v>-6.7139240506329023E-2</v>
      </c>
      <c r="BU61" s="78">
        <f t="shared" ref="BU61" si="338">BU60/BT60-1</f>
        <v>5.3265306122448841E-2</v>
      </c>
      <c r="BV61" s="78">
        <f t="shared" ref="BV61" si="339">BV60/BU60-1</f>
        <v>6.619647355163738E-2</v>
      </c>
      <c r="BW61" s="79">
        <f t="shared" ref="BW61" si="340">BW60/BV60-1</f>
        <v>-2.4815724815724916E-2</v>
      </c>
      <c r="BX61" s="346"/>
      <c r="BY61" s="219"/>
      <c r="BZ61" s="220"/>
      <c r="CA61" s="220"/>
      <c r="CB61" s="220"/>
      <c r="CC61" s="220"/>
      <c r="CD61" s="220"/>
      <c r="CE61" s="220"/>
      <c r="CF61" s="220"/>
      <c r="CG61" s="220"/>
      <c r="CH61" s="220"/>
      <c r="CI61" s="220"/>
      <c r="CJ61" s="220"/>
      <c r="CK61" s="220"/>
      <c r="CL61" s="220"/>
      <c r="CM61" s="220"/>
      <c r="CN61" s="220"/>
      <c r="CO61" s="220"/>
      <c r="CP61" s="258"/>
      <c r="CQ61" s="1041"/>
    </row>
    <row r="62" spans="1:95" ht="14.25" customHeight="1">
      <c r="A62" s="865"/>
      <c r="B62" s="32" t="s">
        <v>298</v>
      </c>
      <c r="C62" s="218"/>
      <c r="D62" s="134"/>
      <c r="E62" s="78"/>
      <c r="F62" s="78"/>
      <c r="G62" s="79"/>
      <c r="H62" s="134"/>
      <c r="I62" s="78">
        <f t="shared" ref="I62:BH62" si="341">I60/E60-1</f>
        <v>0.5209742895805145</v>
      </c>
      <c r="J62" s="78">
        <f t="shared" si="341"/>
        <v>0.34563127090300916</v>
      </c>
      <c r="K62" s="79">
        <f t="shared" si="341"/>
        <v>0.40857142857142814</v>
      </c>
      <c r="L62" s="134">
        <f t="shared" si="341"/>
        <v>0.20375391032325374</v>
      </c>
      <c r="M62" s="78">
        <f t="shared" si="341"/>
        <v>-8.5563979576048221E-2</v>
      </c>
      <c r="N62" s="78">
        <f t="shared" si="341"/>
        <v>-7.0174757281552758E-2</v>
      </c>
      <c r="O62" s="79">
        <f t="shared" si="341"/>
        <v>-8.9503042596348781E-2</v>
      </c>
      <c r="P62" s="134">
        <f t="shared" si="341"/>
        <v>7.0556133056133064E-2</v>
      </c>
      <c r="Q62" s="78">
        <f t="shared" si="341"/>
        <v>0.36091370558375657</v>
      </c>
      <c r="R62" s="78">
        <f t="shared" si="341"/>
        <v>0.54082612872238167</v>
      </c>
      <c r="S62" s="79">
        <f t="shared" si="341"/>
        <v>0.50566893424036263</v>
      </c>
      <c r="T62" s="134">
        <f t="shared" si="341"/>
        <v>0.21584334668446825</v>
      </c>
      <c r="U62" s="78">
        <f t="shared" si="341"/>
        <v>8.9145841104065759E-2</v>
      </c>
      <c r="V62" s="78">
        <f t="shared" si="341"/>
        <v>5.4429144529979379E-2</v>
      </c>
      <c r="W62" s="79">
        <f t="shared" si="341"/>
        <v>8.6477488902980015E-2</v>
      </c>
      <c r="X62" s="134">
        <f t="shared" si="341"/>
        <v>0.41468121922001844</v>
      </c>
      <c r="Y62" s="78">
        <f t="shared" si="341"/>
        <v>0.25764840182648396</v>
      </c>
      <c r="Z62" s="78">
        <f t="shared" si="341"/>
        <v>0.31023136246786698</v>
      </c>
      <c r="AA62" s="79">
        <f t="shared" si="341"/>
        <v>3.866637484496982E-2</v>
      </c>
      <c r="AB62" s="134">
        <f t="shared" si="341"/>
        <v>-0.36717316648633347</v>
      </c>
      <c r="AC62" s="78">
        <f t="shared" si="341"/>
        <v>-0.15326313878551334</v>
      </c>
      <c r="AD62" s="78">
        <f t="shared" si="341"/>
        <v>-6.8709778684665213E-2</v>
      </c>
      <c r="AE62" s="79">
        <f t="shared" si="341"/>
        <v>0.1846128631968349</v>
      </c>
      <c r="AF62" s="134">
        <f t="shared" si="341"/>
        <v>1.2043562295569425</v>
      </c>
      <c r="AG62" s="78">
        <f t="shared" si="341"/>
        <v>0.69877257865680376</v>
      </c>
      <c r="AH62" s="78">
        <f t="shared" si="341"/>
        <v>0.29829772890068718</v>
      </c>
      <c r="AI62" s="79">
        <f t="shared" si="341"/>
        <v>8.0085382243655356E-2</v>
      </c>
      <c r="AJ62" s="134">
        <f t="shared" si="341"/>
        <v>-0.22341752942366722</v>
      </c>
      <c r="AK62" s="78">
        <f t="shared" si="341"/>
        <v>-0.20238846469363281</v>
      </c>
      <c r="AL62" s="78">
        <f t="shared" si="341"/>
        <v>-0.19498580121703879</v>
      </c>
      <c r="AM62" s="79">
        <f t="shared" si="341"/>
        <v>-0.2121212121212126</v>
      </c>
      <c r="AN62" s="134">
        <f t="shared" si="341"/>
        <v>-9.4927913844015777E-2</v>
      </c>
      <c r="AO62" s="78">
        <f t="shared" si="341"/>
        <v>-0.13148994244348167</v>
      </c>
      <c r="AP62" s="78">
        <f t="shared" si="341"/>
        <v>-0.18442218145900946</v>
      </c>
      <c r="AQ62" s="79">
        <f t="shared" si="341"/>
        <v>-0.16926793013749475</v>
      </c>
      <c r="AR62" s="134">
        <f t="shared" si="341"/>
        <v>-0.21504654063909423</v>
      </c>
      <c r="AS62" s="78">
        <f t="shared" si="341"/>
        <v>-0.15538247819452999</v>
      </c>
      <c r="AT62" s="78">
        <f t="shared" si="341"/>
        <v>-1.453287197231834E-2</v>
      </c>
      <c r="AU62" s="79">
        <f t="shared" si="341"/>
        <v>6.0584880339968228E-2</v>
      </c>
      <c r="AV62" s="134">
        <f t="shared" si="341"/>
        <v>0.14975550122249381</v>
      </c>
      <c r="AW62" s="78">
        <f t="shared" si="341"/>
        <v>3.0522001725626025E-2</v>
      </c>
      <c r="AX62" s="78">
        <f t="shared" si="341"/>
        <v>-2.4578651685389641E-3</v>
      </c>
      <c r="AY62" s="78">
        <f t="shared" si="341"/>
        <v>-0.19475418478977191</v>
      </c>
      <c r="AZ62" s="134">
        <f t="shared" si="341"/>
        <v>0.14439855851262196</v>
      </c>
      <c r="BA62" s="78">
        <f t="shared" si="341"/>
        <v>0.12795314255523538</v>
      </c>
      <c r="BB62" s="78">
        <f t="shared" si="341"/>
        <v>0.15693056525672544</v>
      </c>
      <c r="BC62" s="79">
        <f t="shared" si="341"/>
        <v>9.3706776666087954E-2</v>
      </c>
      <c r="BD62" s="134">
        <f t="shared" si="341"/>
        <v>-0.29837482818236827</v>
      </c>
      <c r="BE62" s="78">
        <f t="shared" si="341"/>
        <v>-0.11622406923058071</v>
      </c>
      <c r="BF62" s="78">
        <f t="shared" si="341"/>
        <v>-0.13066442698060821</v>
      </c>
      <c r="BG62" s="79">
        <f t="shared" si="341"/>
        <v>0.19194157033689763</v>
      </c>
      <c r="BH62" s="134">
        <f t="shared" si="341"/>
        <v>0.64071266938049343</v>
      </c>
      <c r="BI62" s="78">
        <f t="shared" ref="BI62" si="342">BI60/BE60-1</f>
        <v>0.26264448088411729</v>
      </c>
      <c r="BJ62" s="78">
        <f t="shared" ref="BJ62:BK62" si="343">BJ60/BF60-1</f>
        <v>0.41402329196266052</v>
      </c>
      <c r="BK62" s="79">
        <f t="shared" si="343"/>
        <v>0.30108447995637233</v>
      </c>
      <c r="BL62" s="134">
        <f t="shared" ref="BL62:BS62" si="344">BL60/BH60-1</f>
        <v>-2.3280415816624656E-2</v>
      </c>
      <c r="BM62" s="78">
        <f t="shared" si="344"/>
        <v>6.2179874326281581E-2</v>
      </c>
      <c r="BN62" s="78">
        <f t="shared" si="344"/>
        <v>-2.6330874547706995E-2</v>
      </c>
      <c r="BO62" s="79">
        <f t="shared" si="344"/>
        <v>3.6353425211493651E-2</v>
      </c>
      <c r="BP62" s="134">
        <f t="shared" si="344"/>
        <v>3.4581296000000261E-2</v>
      </c>
      <c r="BQ62" s="78">
        <f t="shared" si="344"/>
        <v>3.2633434482759016E-2</v>
      </c>
      <c r="BR62" s="78">
        <f t="shared" si="344"/>
        <v>2.2115912764858248E-2</v>
      </c>
      <c r="BS62" s="79">
        <f t="shared" si="344"/>
        <v>2.2249658181818344E-2</v>
      </c>
      <c r="BT62" s="134">
        <f t="shared" ref="BT62" si="345">BT60/BP60-1</f>
        <v>2.2452902198953018E-2</v>
      </c>
      <c r="BU62" s="78">
        <f t="shared" ref="BU62" si="346">BU60/BQ60-1</f>
        <v>2.2115912764858026E-2</v>
      </c>
      <c r="BV62" s="78">
        <f t="shared" ref="BV62" si="347">BV60/BR60-1</f>
        <v>2.1467399093199058E-2</v>
      </c>
      <c r="BW62" s="79">
        <f t="shared" ref="BW62" si="348">BW60/BS60-1</f>
        <v>2.1594474936708963E-2</v>
      </c>
      <c r="BX62" s="346"/>
      <c r="BY62" s="377"/>
      <c r="BZ62" s="370"/>
      <c r="CA62" s="370"/>
      <c r="CB62" s="370"/>
      <c r="CC62" s="370"/>
      <c r="CD62" s="338"/>
      <c r="CE62" s="338"/>
      <c r="CF62" s="338"/>
      <c r="CG62" s="338"/>
      <c r="CH62" s="338">
        <f t="shared" ref="CH62:CP62" si="349">CH60/CG60-1</f>
        <v>-0.145060228233305</v>
      </c>
      <c r="CI62" s="338">
        <f t="shared" si="349"/>
        <v>-8.7799632932277993E-2</v>
      </c>
      <c r="CJ62" s="338">
        <f t="shared" si="349"/>
        <v>-9.8499474985602742E-3</v>
      </c>
      <c r="CK62" s="338">
        <f t="shared" si="349"/>
        <v>0.13291411586569568</v>
      </c>
      <c r="CL62" s="338">
        <f t="shared" si="349"/>
        <v>-0.10541917349840835</v>
      </c>
      <c r="CM62" s="338">
        <f t="shared" si="349"/>
        <v>0.39095277118012817</v>
      </c>
      <c r="CN62" s="338">
        <f t="shared" si="349"/>
        <v>1.0830717839156012E-2</v>
      </c>
      <c r="CO62" s="338">
        <f t="shared" si="349"/>
        <v>2.7627883751351279E-2</v>
      </c>
      <c r="CP62" s="337">
        <f t="shared" si="349"/>
        <v>2.1890464668343546E-2</v>
      </c>
      <c r="CQ62" s="1041"/>
    </row>
    <row r="63" spans="1:95" s="1360" customFormat="1" ht="14.25" customHeight="1">
      <c r="A63" s="865"/>
      <c r="B63" s="32" t="s">
        <v>549</v>
      </c>
      <c r="C63" s="218"/>
      <c r="D63" s="134"/>
      <c r="E63" s="78">
        <f t="shared" ref="E63:AQ63" si="350">E60/E54</f>
        <v>0.28844652615144412</v>
      </c>
      <c r="F63" s="78">
        <f t="shared" si="350"/>
        <v>0.2779456193353475</v>
      </c>
      <c r="G63" s="79">
        <f t="shared" si="350"/>
        <v>0.28140703517587951</v>
      </c>
      <c r="H63" s="134">
        <f t="shared" si="350"/>
        <v>0.31116158338741062</v>
      </c>
      <c r="I63" s="78">
        <f t="shared" si="350"/>
        <v>0.33703148425787105</v>
      </c>
      <c r="J63" s="78">
        <f t="shared" si="350"/>
        <v>0.3234924623115577</v>
      </c>
      <c r="K63" s="79">
        <f t="shared" si="350"/>
        <v>0.32138200782268578</v>
      </c>
      <c r="L63" s="134">
        <f t="shared" si="350"/>
        <v>0.31812169312169314</v>
      </c>
      <c r="M63" s="78">
        <f t="shared" si="350"/>
        <v>0.3252972258916777</v>
      </c>
      <c r="N63" s="78">
        <f t="shared" si="350"/>
        <v>0.33195153061224497</v>
      </c>
      <c r="O63" s="79">
        <f t="shared" si="350"/>
        <v>0.35020479812756006</v>
      </c>
      <c r="P63" s="134">
        <f t="shared" si="350"/>
        <v>0.35239520958083825</v>
      </c>
      <c r="Q63" s="78">
        <f t="shared" si="350"/>
        <v>0.40820676791899818</v>
      </c>
      <c r="R63" s="78">
        <f t="shared" si="350"/>
        <v>0.38108814445236394</v>
      </c>
      <c r="S63" s="79">
        <f t="shared" si="350"/>
        <v>0.39267928286852594</v>
      </c>
      <c r="T63" s="134">
        <f t="shared" si="350"/>
        <v>0.36504543025120251</v>
      </c>
      <c r="U63" s="78">
        <f t="shared" si="350"/>
        <v>0.38300104931794343</v>
      </c>
      <c r="V63" s="78">
        <f t="shared" si="350"/>
        <v>0.38620004964010912</v>
      </c>
      <c r="W63" s="79">
        <f t="shared" si="350"/>
        <v>0.37337582740867858</v>
      </c>
      <c r="X63" s="134">
        <f t="shared" si="350"/>
        <v>0.34747570514339887</v>
      </c>
      <c r="Y63" s="78">
        <f t="shared" si="350"/>
        <v>0.34050115514483736</v>
      </c>
      <c r="Z63" s="78">
        <f t="shared" si="350"/>
        <v>0.38108340498710241</v>
      </c>
      <c r="AA63" s="79">
        <f t="shared" si="350"/>
        <v>0.37998772252915897</v>
      </c>
      <c r="AB63" s="134">
        <f t="shared" si="350"/>
        <v>0.29570034291743613</v>
      </c>
      <c r="AC63" s="78">
        <f t="shared" si="350"/>
        <v>0.32920438303954264</v>
      </c>
      <c r="AD63" s="78">
        <f t="shared" si="350"/>
        <v>0.3717487840981179</v>
      </c>
      <c r="AE63" s="79">
        <f t="shared" si="350"/>
        <v>0.39147052906859792</v>
      </c>
      <c r="AF63" s="134">
        <f t="shared" si="350"/>
        <v>0.41457651762995273</v>
      </c>
      <c r="AG63" s="78">
        <f t="shared" si="350"/>
        <v>0.41796674095662595</v>
      </c>
      <c r="AH63" s="78">
        <f t="shared" si="350"/>
        <v>0.41035458631596478</v>
      </c>
      <c r="AI63" s="79">
        <f t="shared" si="350"/>
        <v>0.4102209944751381</v>
      </c>
      <c r="AJ63" s="134">
        <f t="shared" si="350"/>
        <v>0.27842866988283937</v>
      </c>
      <c r="AK63" s="78">
        <f t="shared" si="350"/>
        <v>0.29377345992492815</v>
      </c>
      <c r="AL63" s="78">
        <f t="shared" si="350"/>
        <v>0.29075723830734962</v>
      </c>
      <c r="AM63" s="79">
        <f t="shared" si="350"/>
        <v>0.31149889308503698</v>
      </c>
      <c r="AN63" s="134">
        <f t="shared" si="350"/>
        <v>0.32939279957012363</v>
      </c>
      <c r="AO63" s="78">
        <f t="shared" si="350"/>
        <v>0.34680451127819545</v>
      </c>
      <c r="AP63" s="78">
        <f t="shared" si="350"/>
        <v>0.32804962095106815</v>
      </c>
      <c r="AQ63" s="79">
        <f t="shared" si="350"/>
        <v>0.30932078800352841</v>
      </c>
      <c r="AR63" s="134">
        <f t="shared" ref="AR63:AW63" si="351">AR60/AR54</f>
        <v>0.30937972768532523</v>
      </c>
      <c r="AS63" s="78">
        <f t="shared" si="351"/>
        <v>0.33677175650152535</v>
      </c>
      <c r="AT63" s="78">
        <f t="shared" si="351"/>
        <v>0.3483365949119373</v>
      </c>
      <c r="AU63" s="79">
        <f t="shared" si="351"/>
        <v>0.35222841225626733</v>
      </c>
      <c r="AV63" s="134">
        <f t="shared" si="351"/>
        <v>0.35498938428874732</v>
      </c>
      <c r="AW63" s="78">
        <f t="shared" si="351"/>
        <v>0.36034846884899685</v>
      </c>
      <c r="AX63" s="78">
        <f t="shared" ref="AX63:BC63" si="352">AX60/AX54</f>
        <v>0.34085182963407323</v>
      </c>
      <c r="AY63" s="78">
        <f t="shared" si="352"/>
        <v>0.32133765332099046</v>
      </c>
      <c r="AZ63" s="134">
        <f t="shared" si="352"/>
        <v>0.34497014239779517</v>
      </c>
      <c r="BA63" s="78">
        <f t="shared" si="352"/>
        <v>0.34571266325951161</v>
      </c>
      <c r="BB63" s="78">
        <f t="shared" si="352"/>
        <v>0.34111012826183101</v>
      </c>
      <c r="BC63" s="79">
        <f t="shared" si="352"/>
        <v>0.33309532309889328</v>
      </c>
      <c r="BD63" s="134">
        <f>BD60/BD54</f>
        <v>0.33712677435144395</v>
      </c>
      <c r="BE63" s="78">
        <f>BE60/BE54</f>
        <v>0.35076327181590339</v>
      </c>
      <c r="BF63" s="78">
        <f t="shared" ref="BF63:BG63" si="353">BF60/BF54</f>
        <v>0.34598801135766116</v>
      </c>
      <c r="BG63" s="79">
        <f t="shared" si="353"/>
        <v>0.30491673275178427</v>
      </c>
      <c r="BH63" s="134">
        <f>BH60/BH54</f>
        <v>0.39271223470661676</v>
      </c>
      <c r="BI63" s="78">
        <f t="shared" ref="BI63:BK63" si="354">BI60/BI54</f>
        <v>0.36778774289985061</v>
      </c>
      <c r="BJ63" s="78">
        <f t="shared" si="354"/>
        <v>0.37685118619698066</v>
      </c>
      <c r="BK63" s="79">
        <f t="shared" si="354"/>
        <v>0.37328493647912886</v>
      </c>
      <c r="BL63" s="82">
        <v>0.375</v>
      </c>
      <c r="BM63" s="80">
        <f>BL63+0.002</f>
        <v>0.377</v>
      </c>
      <c r="BN63" s="80">
        <f>BM63+0.01</f>
        <v>0.38700000000000001</v>
      </c>
      <c r="BO63" s="81">
        <f>BN63-0.2%</f>
        <v>0.38500000000000001</v>
      </c>
      <c r="BP63" s="82">
        <f>BO63-0.003</f>
        <v>0.38200000000000001</v>
      </c>
      <c r="BQ63" s="80">
        <f>BP63+0.005</f>
        <v>0.38700000000000001</v>
      </c>
      <c r="BR63" s="80">
        <f>BQ63+0.01</f>
        <v>0.39700000000000002</v>
      </c>
      <c r="BS63" s="81">
        <f>BR63-0.2%</f>
        <v>0.39500000000000002</v>
      </c>
      <c r="BT63" s="82">
        <f>BS63-0.003</f>
        <v>0.39200000000000002</v>
      </c>
      <c r="BU63" s="80">
        <f>BT63+0.005</f>
        <v>0.39700000000000002</v>
      </c>
      <c r="BV63" s="80">
        <f>BU63+0.01</f>
        <v>0.40700000000000003</v>
      </c>
      <c r="BW63" s="81">
        <f>BV63-0.2%</f>
        <v>0.40500000000000003</v>
      </c>
      <c r="BX63" s="1371"/>
      <c r="BY63" s="219"/>
      <c r="BZ63" s="220"/>
      <c r="CA63" s="220"/>
      <c r="CB63" s="220"/>
      <c r="CC63" s="220"/>
      <c r="CD63" s="220"/>
      <c r="CE63" s="220"/>
      <c r="CF63" s="220"/>
      <c r="CG63" s="220">
        <f t="shared" ref="CG63:CL63" si="355">CG60/CG54</f>
        <v>0.29284080958230574</v>
      </c>
      <c r="CH63" s="220">
        <f t="shared" si="355"/>
        <v>0.32881964834709315</v>
      </c>
      <c r="CI63" s="220">
        <f t="shared" si="355"/>
        <v>0.33698054112297171</v>
      </c>
      <c r="CJ63" s="220">
        <f t="shared" si="355"/>
        <v>0.34488934403986871</v>
      </c>
      <c r="CK63" s="220">
        <f t="shared" si="355"/>
        <v>0.34162958549421485</v>
      </c>
      <c r="CL63" s="220">
        <f t="shared" si="355"/>
        <v>0.33329971365558592</v>
      </c>
      <c r="CM63" s="220">
        <f>CM60/CM54</f>
        <v>0.37743951826844724</v>
      </c>
      <c r="CN63" s="220">
        <f>CN60/CN54</f>
        <v>0.38117406300570522</v>
      </c>
      <c r="CO63" s="220">
        <f>CO60/CO54</f>
        <v>0.39041875200881582</v>
      </c>
      <c r="CP63" s="258">
        <f>CP60/CP54</f>
        <v>0.40041875200881583</v>
      </c>
      <c r="CQ63" s="1041"/>
    </row>
    <row r="64" spans="1:95" ht="14.25" customHeight="1">
      <c r="A64" s="865"/>
      <c r="B64" s="840"/>
      <c r="C64" s="237"/>
      <c r="D64" s="221"/>
      <c r="E64" s="221"/>
      <c r="F64" s="221"/>
      <c r="G64" s="614"/>
      <c r="H64" s="221"/>
      <c r="I64" s="221"/>
      <c r="J64" s="221"/>
      <c r="K64" s="614"/>
      <c r="L64" s="221"/>
      <c r="M64" s="221"/>
      <c r="N64" s="221"/>
      <c r="O64" s="614"/>
      <c r="P64" s="221"/>
      <c r="Q64" s="221"/>
      <c r="R64" s="221"/>
      <c r="S64" s="614"/>
      <c r="T64" s="221"/>
      <c r="U64" s="221"/>
      <c r="V64" s="221"/>
      <c r="W64" s="614"/>
      <c r="X64" s="221"/>
      <c r="Y64" s="221"/>
      <c r="Z64" s="221"/>
      <c r="AA64" s="614"/>
      <c r="AB64" s="221"/>
      <c r="AC64" s="221"/>
      <c r="AD64" s="221"/>
      <c r="AE64" s="614"/>
      <c r="AF64" s="221"/>
      <c r="AG64" s="221"/>
      <c r="AH64" s="221"/>
      <c r="AI64" s="614"/>
      <c r="AJ64" s="221"/>
      <c r="AK64" s="221"/>
      <c r="AL64" s="221"/>
      <c r="AM64" s="614"/>
      <c r="AN64" s="221"/>
      <c r="AO64" s="221"/>
      <c r="AP64" s="221"/>
      <c r="AQ64" s="614"/>
      <c r="AR64" s="221"/>
      <c r="AS64" s="221"/>
      <c r="AT64" s="221"/>
      <c r="AU64" s="614"/>
      <c r="AV64" s="221"/>
      <c r="AW64" s="221"/>
      <c r="AX64" s="221"/>
      <c r="AY64" s="221"/>
      <c r="AZ64" s="16"/>
      <c r="BA64" s="203"/>
      <c r="BB64" s="221"/>
      <c r="BC64" s="614"/>
      <c r="BD64" s="16"/>
      <c r="BE64" s="203"/>
      <c r="BF64" s="221"/>
      <c r="BG64" s="614"/>
      <c r="BH64" s="16"/>
      <c r="BI64" s="203"/>
      <c r="BJ64" s="203"/>
      <c r="BK64" s="614"/>
      <c r="BL64" s="203"/>
      <c r="BM64" s="203"/>
      <c r="BN64" s="203"/>
      <c r="BO64" s="17"/>
      <c r="BP64" s="203"/>
      <c r="BQ64" s="203"/>
      <c r="BR64" s="203"/>
      <c r="BS64" s="17"/>
      <c r="BT64" s="203"/>
      <c r="BU64" s="203"/>
      <c r="BV64" s="203"/>
      <c r="BW64" s="17"/>
      <c r="BX64" s="346"/>
      <c r="BY64" s="16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  <c r="CK64" s="203"/>
      <c r="CL64" s="203"/>
      <c r="CM64" s="203"/>
      <c r="CN64" s="203"/>
      <c r="CO64" s="203"/>
      <c r="CP64" s="17"/>
      <c r="CQ64" s="1041"/>
    </row>
    <row r="65" spans="1:95" ht="14.25" hidden="1" customHeight="1" outlineLevel="1">
      <c r="A65" s="864"/>
      <c r="B65" s="297" t="str">
        <f>$B$108&amp;" Revenue"</f>
        <v>Other Revenue</v>
      </c>
      <c r="C65" s="882"/>
      <c r="D65" s="879">
        <f t="shared" ref="D65:AY65" si="356">D$108</f>
        <v>0</v>
      </c>
      <c r="E65" s="495">
        <f t="shared" si="356"/>
        <v>46.116</v>
      </c>
      <c r="F65" s="495">
        <f t="shared" si="356"/>
        <v>55.608000000000011</v>
      </c>
      <c r="G65" s="496">
        <f t="shared" si="356"/>
        <v>58.506000000000007</v>
      </c>
      <c r="H65" s="879">
        <f t="shared" si="356"/>
        <v>70.885999999999996</v>
      </c>
      <c r="I65" s="495">
        <f t="shared" si="356"/>
        <v>73.37</v>
      </c>
      <c r="J65" s="495">
        <f t="shared" si="356"/>
        <v>73.231999999999999</v>
      </c>
      <c r="K65" s="496">
        <f t="shared" si="356"/>
        <v>67.496000000000009</v>
      </c>
      <c r="L65" s="879">
        <f t="shared" si="356"/>
        <v>63.503999999999998</v>
      </c>
      <c r="M65" s="495">
        <f t="shared" si="356"/>
        <v>75.7</v>
      </c>
      <c r="N65" s="495">
        <f t="shared" si="356"/>
        <v>81.536000000000016</v>
      </c>
      <c r="O65" s="496">
        <f t="shared" si="356"/>
        <v>88.868000000000009</v>
      </c>
      <c r="P65" s="879">
        <f t="shared" si="356"/>
        <v>86.84</v>
      </c>
      <c r="Q65" s="495">
        <f t="shared" si="356"/>
        <v>93.825000000000003</v>
      </c>
      <c r="R65" s="495">
        <f t="shared" si="356"/>
        <v>105.22499999999999</v>
      </c>
      <c r="S65" s="496">
        <f t="shared" si="356"/>
        <v>108.43200000000002</v>
      </c>
      <c r="T65" s="879">
        <f t="shared" si="356"/>
        <v>97.292000000000002</v>
      </c>
      <c r="U65" s="495">
        <f t="shared" si="356"/>
        <v>121.98399999999999</v>
      </c>
      <c r="V65" s="495">
        <f t="shared" si="356"/>
        <v>96.695999999999998</v>
      </c>
      <c r="W65" s="496">
        <f t="shared" si="356"/>
        <v>93.816999999999993</v>
      </c>
      <c r="X65" s="879">
        <f t="shared" si="356"/>
        <v>92.817999999999998</v>
      </c>
      <c r="Y65" s="495">
        <f t="shared" si="356"/>
        <v>22.508000000000003</v>
      </c>
      <c r="Z65" s="495">
        <f t="shared" si="356"/>
        <v>23.26</v>
      </c>
      <c r="AA65" s="496">
        <f t="shared" si="356"/>
        <v>29.321999999999999</v>
      </c>
      <c r="AB65" s="879">
        <f t="shared" si="356"/>
        <v>18.955000000000002</v>
      </c>
      <c r="AC65" s="495">
        <f t="shared" si="356"/>
        <v>12.593999999999999</v>
      </c>
      <c r="AD65" s="495">
        <f t="shared" si="356"/>
        <v>18.916</v>
      </c>
      <c r="AE65" s="496">
        <f t="shared" si="356"/>
        <v>19.884</v>
      </c>
      <c r="AF65" s="879">
        <f t="shared" si="356"/>
        <v>22.008000000000003</v>
      </c>
      <c r="AG65" s="495">
        <f t="shared" si="356"/>
        <v>17.498999999999999</v>
      </c>
      <c r="AH65" s="495">
        <f t="shared" si="356"/>
        <v>18.021000000000001</v>
      </c>
      <c r="AI65" s="496">
        <f t="shared" si="356"/>
        <v>23.168000000000003</v>
      </c>
      <c r="AJ65" s="879">
        <f t="shared" si="356"/>
        <v>0</v>
      </c>
      <c r="AK65" s="495">
        <f t="shared" si="356"/>
        <v>0</v>
      </c>
      <c r="AL65" s="495">
        <f t="shared" si="356"/>
        <v>0</v>
      </c>
      <c r="AM65" s="496">
        <f t="shared" si="356"/>
        <v>0</v>
      </c>
      <c r="AN65" s="879">
        <f t="shared" si="356"/>
        <v>0</v>
      </c>
      <c r="AO65" s="495">
        <f t="shared" si="356"/>
        <v>0</v>
      </c>
      <c r="AP65" s="495">
        <f t="shared" si="356"/>
        <v>0</v>
      </c>
      <c r="AQ65" s="496">
        <f t="shared" si="356"/>
        <v>0</v>
      </c>
      <c r="AR65" s="879">
        <f t="shared" si="356"/>
        <v>0</v>
      </c>
      <c r="AS65" s="495">
        <f t="shared" si="356"/>
        <v>0</v>
      </c>
      <c r="AT65" s="495">
        <f t="shared" si="356"/>
        <v>0</v>
      </c>
      <c r="AU65" s="496">
        <f t="shared" si="356"/>
        <v>0</v>
      </c>
      <c r="AV65" s="879">
        <f t="shared" si="356"/>
        <v>0</v>
      </c>
      <c r="AW65" s="495">
        <f t="shared" si="356"/>
        <v>0</v>
      </c>
      <c r="AX65" s="495">
        <f t="shared" si="356"/>
        <v>0</v>
      </c>
      <c r="AY65" s="495">
        <f t="shared" si="356"/>
        <v>0</v>
      </c>
      <c r="AZ65" s="809">
        <v>0</v>
      </c>
      <c r="BA65" s="801">
        <f t="shared" ref="BA65:BE65" si="357">AZ65*(1+BA66)</f>
        <v>0</v>
      </c>
      <c r="BB65" s="495">
        <f>BB$108</f>
        <v>0</v>
      </c>
      <c r="BC65" s="496">
        <f>BC$108</f>
        <v>0</v>
      </c>
      <c r="BD65" s="809">
        <v>0</v>
      </c>
      <c r="BE65" s="801">
        <f t="shared" si="357"/>
        <v>0</v>
      </c>
      <c r="BF65" s="495">
        <f>BF$108</f>
        <v>0</v>
      </c>
      <c r="BG65" s="496">
        <f>BG$108</f>
        <v>0</v>
      </c>
      <c r="BH65" s="809">
        <v>0</v>
      </c>
      <c r="BI65" s="801">
        <v>0</v>
      </c>
      <c r="BJ65" s="801">
        <v>0</v>
      </c>
      <c r="BK65" s="496">
        <f>BK$108</f>
        <v>0</v>
      </c>
      <c r="BL65" s="801">
        <f t="shared" ref="BL65:BO65" si="358">BK65*(1+BL66)</f>
        <v>0</v>
      </c>
      <c r="BM65" s="801">
        <f t="shared" si="358"/>
        <v>0</v>
      </c>
      <c r="BN65" s="801">
        <f t="shared" si="358"/>
        <v>0</v>
      </c>
      <c r="BO65" s="810">
        <f t="shared" si="358"/>
        <v>0</v>
      </c>
      <c r="BP65" s="801">
        <f t="shared" ref="BP65" si="359">BO65*(1+BP66)</f>
        <v>0</v>
      </c>
      <c r="BQ65" s="801">
        <f t="shared" ref="BQ65" si="360">BP65*(1+BQ66)</f>
        <v>0</v>
      </c>
      <c r="BR65" s="801">
        <f t="shared" ref="BR65:BS65" si="361">BQ65*(1+BR66)</f>
        <v>0</v>
      </c>
      <c r="BS65" s="810">
        <f t="shared" si="361"/>
        <v>0</v>
      </c>
      <c r="BT65" s="801">
        <f t="shared" ref="BT65" si="362">BS65*(1+BT66)</f>
        <v>0</v>
      </c>
      <c r="BU65" s="801">
        <f t="shared" ref="BU65" si="363">BT65*(1+BU66)</f>
        <v>0</v>
      </c>
      <c r="BV65" s="801">
        <f t="shared" ref="BV65" si="364">BU65*(1+BV66)</f>
        <v>0</v>
      </c>
      <c r="BW65" s="810">
        <f t="shared" ref="BW65" si="365">BV65*(1+BW66)</f>
        <v>0</v>
      </c>
      <c r="BX65" s="346"/>
      <c r="BY65" s="334">
        <f>SUM(D65:G65)</f>
        <v>160.23000000000002</v>
      </c>
      <c r="BZ65" s="325">
        <f>SUM(H65:K65)</f>
        <v>284.98400000000004</v>
      </c>
      <c r="CA65" s="325">
        <f>SUM(L65:O65)</f>
        <v>309.608</v>
      </c>
      <c r="CB65" s="325">
        <f>SUM(P65:S65)</f>
        <v>394.322</v>
      </c>
      <c r="CC65" s="325">
        <f>SUM(T65:W65)</f>
        <v>409.78899999999999</v>
      </c>
      <c r="CD65" s="325">
        <f>SUM(X65:AA65)</f>
        <v>167.90799999999999</v>
      </c>
      <c r="CE65" s="325">
        <f>SUM(AB65:AE65)</f>
        <v>70.349000000000004</v>
      </c>
      <c r="CF65" s="325">
        <f>SUM(AF65:AI65)</f>
        <v>80.696000000000012</v>
      </c>
      <c r="CG65" s="325">
        <f>SUM(AJ65:AM65)</f>
        <v>0</v>
      </c>
      <c r="CH65" s="325">
        <f>SUM(AN65:AQ65)</f>
        <v>0</v>
      </c>
      <c r="CI65" s="325">
        <f>SUM(AR65:AU65)</f>
        <v>0</v>
      </c>
      <c r="CJ65" s="325">
        <f>SUM(AV65:AY65)</f>
        <v>0</v>
      </c>
      <c r="CK65" s="325">
        <f>SUM(AZ65:BC65)</f>
        <v>0</v>
      </c>
      <c r="CL65" s="325">
        <f>SUM(BD65:BG65)</f>
        <v>0</v>
      </c>
      <c r="CM65" s="325">
        <f>SUM(BH65:BK65)</f>
        <v>0</v>
      </c>
      <c r="CN65" s="325">
        <f>SUM(BL65:BO65)</f>
        <v>0</v>
      </c>
      <c r="CO65" s="325">
        <f>SUM(BP65:BS65)</f>
        <v>0</v>
      </c>
      <c r="CP65" s="326">
        <f>SUM(BT65:BW65)</f>
        <v>0</v>
      </c>
      <c r="CQ65" s="1041"/>
    </row>
    <row r="66" spans="1:95" ht="14.25" hidden="1" customHeight="1" outlineLevel="1">
      <c r="A66" s="865"/>
      <c r="B66" s="32" t="s">
        <v>297</v>
      </c>
      <c r="C66" s="218"/>
      <c r="D66" s="134"/>
      <c r="E66" s="78"/>
      <c r="F66" s="78">
        <f t="shared" ref="F66:AJ66" si="366">F65/E65-1</f>
        <v>0.20582877959927171</v>
      </c>
      <c r="G66" s="79">
        <f t="shared" si="366"/>
        <v>5.211480362537757E-2</v>
      </c>
      <c r="H66" s="134">
        <f t="shared" si="366"/>
        <v>0.2116022288312307</v>
      </c>
      <c r="I66" s="78">
        <f t="shared" si="366"/>
        <v>3.5042180402336198E-2</v>
      </c>
      <c r="J66" s="78">
        <f t="shared" si="366"/>
        <v>-1.8808777429467627E-3</v>
      </c>
      <c r="K66" s="79">
        <f t="shared" si="366"/>
        <v>-7.8326414682105994E-2</v>
      </c>
      <c r="L66" s="134">
        <f t="shared" si="366"/>
        <v>-5.9144245584923705E-2</v>
      </c>
      <c r="M66" s="78">
        <f t="shared" si="366"/>
        <v>0.19205089443184686</v>
      </c>
      <c r="N66" s="78">
        <f t="shared" si="366"/>
        <v>7.7093791281374058E-2</v>
      </c>
      <c r="O66" s="79">
        <f t="shared" si="366"/>
        <v>8.9923469387755084E-2</v>
      </c>
      <c r="P66" s="134">
        <f t="shared" si="366"/>
        <v>-2.2820362785254567E-2</v>
      </c>
      <c r="Q66" s="78">
        <f t="shared" si="366"/>
        <v>8.0435283279594705E-2</v>
      </c>
      <c r="R66" s="78">
        <f t="shared" si="366"/>
        <v>0.1215027977617904</v>
      </c>
      <c r="S66" s="79">
        <f t="shared" si="366"/>
        <v>3.0477548111190522E-2</v>
      </c>
      <c r="T66" s="134">
        <f t="shared" si="366"/>
        <v>-0.10273719935074532</v>
      </c>
      <c r="U66" s="78">
        <f t="shared" si="366"/>
        <v>0.25379270649179775</v>
      </c>
      <c r="V66" s="78">
        <f t="shared" si="366"/>
        <v>-0.20730587618048268</v>
      </c>
      <c r="W66" s="79">
        <f t="shared" si="366"/>
        <v>-2.9773723835525789E-2</v>
      </c>
      <c r="X66" s="134">
        <f t="shared" si="366"/>
        <v>-1.064838995064854E-2</v>
      </c>
      <c r="Y66" s="78">
        <f t="shared" si="366"/>
        <v>-0.75750393242689995</v>
      </c>
      <c r="Z66" s="78">
        <f t="shared" si="366"/>
        <v>3.3410342989159458E-2</v>
      </c>
      <c r="AA66" s="79">
        <f t="shared" si="366"/>
        <v>0.26061908856405824</v>
      </c>
      <c r="AB66" s="134">
        <f t="shared" si="366"/>
        <v>-0.35355705613532495</v>
      </c>
      <c r="AC66" s="78">
        <f t="shared" si="366"/>
        <v>-0.33558427855447126</v>
      </c>
      <c r="AD66" s="78">
        <f t="shared" si="366"/>
        <v>0.50198507225663014</v>
      </c>
      <c r="AE66" s="79">
        <f t="shared" si="366"/>
        <v>5.1173609642630513E-2</v>
      </c>
      <c r="AF66" s="134">
        <f t="shared" si="366"/>
        <v>0.10681955340977689</v>
      </c>
      <c r="AG66" s="78">
        <f t="shared" si="366"/>
        <v>-0.20488004362050183</v>
      </c>
      <c r="AH66" s="78">
        <f t="shared" si="366"/>
        <v>2.9830276015772483E-2</v>
      </c>
      <c r="AI66" s="79">
        <f t="shared" si="366"/>
        <v>0.28561123134121313</v>
      </c>
      <c r="AJ66" s="134">
        <f t="shared" si="366"/>
        <v>-1</v>
      </c>
      <c r="AK66" s="78"/>
      <c r="AL66" s="78"/>
      <c r="AM66" s="79"/>
      <c r="AN66" s="134"/>
      <c r="AO66" s="78"/>
      <c r="AP66" s="78"/>
      <c r="AQ66" s="79"/>
      <c r="AR66" s="134"/>
      <c r="AS66" s="78"/>
      <c r="AT66" s="78"/>
      <c r="AU66" s="79"/>
      <c r="AV66" s="134"/>
      <c r="AW66" s="78"/>
      <c r="AX66" s="78"/>
      <c r="AY66" s="78"/>
      <c r="AZ66" s="82">
        <v>0</v>
      </c>
      <c r="BA66" s="80">
        <v>0</v>
      </c>
      <c r="BB66" s="78"/>
      <c r="BC66" s="79"/>
      <c r="BD66" s="82">
        <v>0</v>
      </c>
      <c r="BE66" s="80">
        <v>0</v>
      </c>
      <c r="BF66" s="78"/>
      <c r="BG66" s="79"/>
      <c r="BH66" s="82">
        <v>0</v>
      </c>
      <c r="BI66" s="80">
        <v>0</v>
      </c>
      <c r="BJ66" s="80">
        <v>0</v>
      </c>
      <c r="BK66" s="79"/>
      <c r="BL66" s="80">
        <v>0</v>
      </c>
      <c r="BM66" s="80">
        <v>0</v>
      </c>
      <c r="BN66" s="80">
        <v>0</v>
      </c>
      <c r="BO66" s="81">
        <v>0</v>
      </c>
      <c r="BP66" s="80">
        <v>0</v>
      </c>
      <c r="BQ66" s="80">
        <v>0</v>
      </c>
      <c r="BR66" s="80">
        <v>0</v>
      </c>
      <c r="BS66" s="81">
        <v>0</v>
      </c>
      <c r="BT66" s="80">
        <v>0</v>
      </c>
      <c r="BU66" s="80">
        <v>0</v>
      </c>
      <c r="BV66" s="80">
        <v>0</v>
      </c>
      <c r="BW66" s="81">
        <v>0</v>
      </c>
      <c r="BX66" s="346"/>
      <c r="BY66" s="219"/>
      <c r="BZ66" s="220"/>
      <c r="CA66" s="220"/>
      <c r="CB66" s="220"/>
      <c r="CC66" s="220"/>
      <c r="CD66" s="220"/>
      <c r="CE66" s="220"/>
      <c r="CF66" s="220"/>
      <c r="CG66" s="220"/>
      <c r="CH66" s="220"/>
      <c r="CI66" s="220"/>
      <c r="CJ66" s="220"/>
      <c r="CK66" s="220"/>
      <c r="CL66" s="220"/>
      <c r="CM66" s="220"/>
      <c r="CN66" s="220"/>
      <c r="CO66" s="220"/>
      <c r="CP66" s="258"/>
      <c r="CQ66" s="1041"/>
    </row>
    <row r="67" spans="1:95" ht="14.25" hidden="1" customHeight="1" outlineLevel="1">
      <c r="A67" s="865"/>
      <c r="B67" s="32" t="s">
        <v>548</v>
      </c>
      <c r="C67" s="218"/>
      <c r="D67" s="134"/>
      <c r="E67" s="78"/>
      <c r="F67" s="78"/>
      <c r="G67" s="79"/>
      <c r="H67" s="134"/>
      <c r="I67" s="78"/>
      <c r="J67" s="78"/>
      <c r="K67" s="79"/>
      <c r="L67" s="134"/>
      <c r="M67" s="78"/>
      <c r="N67" s="78"/>
      <c r="O67" s="79"/>
      <c r="P67" s="134"/>
      <c r="Q67" s="78"/>
      <c r="R67" s="78"/>
      <c r="S67" s="79"/>
      <c r="T67" s="134"/>
      <c r="U67" s="78"/>
      <c r="V67" s="78"/>
      <c r="W67" s="79"/>
      <c r="X67" s="134"/>
      <c r="Y67" s="78">
        <f t="shared" ref="Y67:AN67" si="367">AVERAGE(U66,Q66,M66,I66,E66)</f>
        <v>0.14033026615139388</v>
      </c>
      <c r="Z67" s="78">
        <f t="shared" si="367"/>
        <v>3.9047722943801343E-2</v>
      </c>
      <c r="AA67" s="79">
        <f t="shared" si="367"/>
        <v>1.2883136521338278E-2</v>
      </c>
      <c r="AB67" s="134">
        <f t="shared" si="367"/>
        <v>3.2504062319317129E-3</v>
      </c>
      <c r="AC67" s="78">
        <f t="shared" si="367"/>
        <v>-3.9236573564264889E-2</v>
      </c>
      <c r="AD67" s="78">
        <f t="shared" si="367"/>
        <v>4.564035621778895E-3</v>
      </c>
      <c r="AE67" s="79">
        <f t="shared" si="367"/>
        <v>5.4583993509074412E-2</v>
      </c>
      <c r="AF67" s="134">
        <f t="shared" si="367"/>
        <v>-0.10978145076137942</v>
      </c>
      <c r="AG67" s="78">
        <f t="shared" si="367"/>
        <v>-0.1133618653556264</v>
      </c>
      <c r="AH67" s="78">
        <f t="shared" si="367"/>
        <v>0.10533722562169427</v>
      </c>
      <c r="AI67" s="79">
        <f t="shared" si="367"/>
        <v>8.0483998374021717E-2</v>
      </c>
      <c r="AJ67" s="134">
        <f t="shared" si="367"/>
        <v>-7.6588690962439296E-2</v>
      </c>
      <c r="AK67" s="78">
        <f t="shared" si="367"/>
        <v>-0.1927480529660961</v>
      </c>
      <c r="AL67" s="78">
        <f t="shared" si="367"/>
        <v>9.5884522568573965E-2</v>
      </c>
      <c r="AM67" s="79">
        <f t="shared" si="367"/>
        <v>0.11962155076471333</v>
      </c>
      <c r="AN67" s="134">
        <f t="shared" si="367"/>
        <v>-0.27202461840538839</v>
      </c>
      <c r="AO67" s="78"/>
      <c r="AP67" s="78"/>
      <c r="AQ67" s="79"/>
      <c r="AR67" s="134"/>
      <c r="AS67" s="78"/>
      <c r="AT67" s="78"/>
      <c r="AU67" s="79"/>
      <c r="AV67" s="134"/>
      <c r="AW67" s="78"/>
      <c r="AX67" s="78"/>
      <c r="AY67" s="78"/>
      <c r="AZ67" s="134"/>
      <c r="BA67" s="78"/>
      <c r="BB67" s="78"/>
      <c r="BC67" s="79"/>
      <c r="BD67" s="134"/>
      <c r="BE67" s="78"/>
      <c r="BF67" s="78"/>
      <c r="BG67" s="79"/>
      <c r="BH67" s="134"/>
      <c r="BI67" s="78"/>
      <c r="BJ67" s="78"/>
      <c r="BK67" s="79"/>
      <c r="BL67" s="78"/>
      <c r="BM67" s="78"/>
      <c r="BN67" s="78"/>
      <c r="BO67" s="79"/>
      <c r="BP67" s="78"/>
      <c r="BQ67" s="78"/>
      <c r="BR67" s="78"/>
      <c r="BS67" s="79"/>
      <c r="BT67" s="78"/>
      <c r="BU67" s="78"/>
      <c r="BV67" s="78"/>
      <c r="BW67" s="79"/>
      <c r="BX67" s="346"/>
      <c r="BY67" s="219"/>
      <c r="BZ67" s="220"/>
      <c r="CA67" s="220"/>
      <c r="CB67" s="220"/>
      <c r="CC67" s="220"/>
      <c r="CD67" s="220"/>
      <c r="CE67" s="220"/>
      <c r="CF67" s="220"/>
      <c r="CG67" s="220"/>
      <c r="CH67" s="220"/>
      <c r="CI67" s="220"/>
      <c r="CJ67" s="220"/>
      <c r="CK67" s="220"/>
      <c r="CL67" s="220"/>
      <c r="CM67" s="220"/>
      <c r="CN67" s="220"/>
      <c r="CO67" s="220"/>
      <c r="CP67" s="258"/>
      <c r="CQ67" s="1041"/>
    </row>
    <row r="68" spans="1:95" ht="14.25" hidden="1" customHeight="1" outlineLevel="1">
      <c r="A68" s="866"/>
      <c r="B68" s="867" t="s">
        <v>298</v>
      </c>
      <c r="C68" s="880"/>
      <c r="D68" s="377"/>
      <c r="E68" s="370"/>
      <c r="F68" s="370"/>
      <c r="G68" s="335"/>
      <c r="H68" s="377"/>
      <c r="I68" s="370">
        <f t="shared" ref="I68:AM68" si="368">I65/E65-1</f>
        <v>0.59098794344696004</v>
      </c>
      <c r="J68" s="370">
        <f t="shared" si="368"/>
        <v>0.31693281542224105</v>
      </c>
      <c r="K68" s="335">
        <f t="shared" si="368"/>
        <v>0.15365945373124124</v>
      </c>
      <c r="L68" s="377">
        <f t="shared" si="368"/>
        <v>-0.10413904014897157</v>
      </c>
      <c r="M68" s="370">
        <f t="shared" si="368"/>
        <v>3.1756848848303099E-2</v>
      </c>
      <c r="N68" s="370">
        <f t="shared" si="368"/>
        <v>0.11339305221761009</v>
      </c>
      <c r="O68" s="335">
        <f t="shared" si="368"/>
        <v>0.31664098613251146</v>
      </c>
      <c r="P68" s="377">
        <f t="shared" si="368"/>
        <v>0.36747291509196289</v>
      </c>
      <c r="Q68" s="370">
        <f t="shared" si="368"/>
        <v>0.23943196829590496</v>
      </c>
      <c r="R68" s="370">
        <f t="shared" si="368"/>
        <v>0.29053424254317073</v>
      </c>
      <c r="S68" s="335">
        <f t="shared" si="368"/>
        <v>0.22014673448260358</v>
      </c>
      <c r="T68" s="377">
        <f t="shared" si="368"/>
        <v>0.12035928143712571</v>
      </c>
      <c r="U68" s="370">
        <f t="shared" si="368"/>
        <v>0.30012256861177722</v>
      </c>
      <c r="V68" s="370">
        <f t="shared" si="368"/>
        <v>-8.1054882394868133E-2</v>
      </c>
      <c r="W68" s="335">
        <f t="shared" si="368"/>
        <v>-0.13478493433672734</v>
      </c>
      <c r="X68" s="377">
        <f t="shared" si="368"/>
        <v>-4.5985281420877433E-2</v>
      </c>
      <c r="Y68" s="370">
        <f t="shared" si="368"/>
        <v>-0.81548399790136405</v>
      </c>
      <c r="Z68" s="370">
        <f t="shared" si="368"/>
        <v>-0.75945230412840237</v>
      </c>
      <c r="AA68" s="335">
        <f t="shared" si="368"/>
        <v>-0.68745536523231399</v>
      </c>
      <c r="AB68" s="377">
        <f t="shared" si="368"/>
        <v>-0.79578314551056906</v>
      </c>
      <c r="AC68" s="370">
        <f t="shared" si="368"/>
        <v>-0.44046561222676395</v>
      </c>
      <c r="AD68" s="370">
        <f t="shared" si="368"/>
        <v>-0.18675838349097162</v>
      </c>
      <c r="AE68" s="335">
        <f t="shared" si="368"/>
        <v>-0.32187436054839369</v>
      </c>
      <c r="AF68" s="377">
        <f t="shared" si="368"/>
        <v>0.16106568187813242</v>
      </c>
      <c r="AG68" s="370">
        <f t="shared" si="368"/>
        <v>0.38947117675083365</v>
      </c>
      <c r="AH68" s="370">
        <f t="shared" si="368"/>
        <v>-4.731444279974617E-2</v>
      </c>
      <c r="AI68" s="335">
        <f t="shared" si="368"/>
        <v>0.16515791591229134</v>
      </c>
      <c r="AJ68" s="377">
        <f t="shared" si="368"/>
        <v>-1</v>
      </c>
      <c r="AK68" s="370">
        <f t="shared" si="368"/>
        <v>-1</v>
      </c>
      <c r="AL68" s="370">
        <f t="shared" si="368"/>
        <v>-1</v>
      </c>
      <c r="AM68" s="335">
        <f t="shared" si="368"/>
        <v>-1</v>
      </c>
      <c r="AN68" s="377"/>
      <c r="AO68" s="370"/>
      <c r="AP68" s="370"/>
      <c r="AQ68" s="335"/>
      <c r="AR68" s="377"/>
      <c r="AS68" s="370"/>
      <c r="AT68" s="370"/>
      <c r="AU68" s="335"/>
      <c r="AV68" s="377"/>
      <c r="AW68" s="370"/>
      <c r="AX68" s="370"/>
      <c r="AY68" s="370"/>
      <c r="AZ68" s="377"/>
      <c r="BA68" s="370"/>
      <c r="BB68" s="370"/>
      <c r="BC68" s="335"/>
      <c r="BD68" s="377"/>
      <c r="BE68" s="370"/>
      <c r="BF68" s="370"/>
      <c r="BG68" s="335"/>
      <c r="BH68" s="377"/>
      <c r="BI68" s="370"/>
      <c r="BJ68" s="370"/>
      <c r="BK68" s="335"/>
      <c r="BL68" s="377"/>
      <c r="BM68" s="370"/>
      <c r="BN68" s="370"/>
      <c r="BO68" s="335"/>
      <c r="BP68" s="377"/>
      <c r="BQ68" s="370"/>
      <c r="BR68" s="370"/>
      <c r="BS68" s="335"/>
      <c r="BT68" s="377"/>
      <c r="BU68" s="370"/>
      <c r="BV68" s="370"/>
      <c r="BW68" s="335"/>
      <c r="BX68" s="346"/>
      <c r="BY68" s="377"/>
      <c r="BZ68" s="370"/>
      <c r="CA68" s="370"/>
      <c r="CB68" s="370"/>
      <c r="CC68" s="370"/>
      <c r="CD68" s="338"/>
      <c r="CE68" s="338"/>
      <c r="CF68" s="338"/>
      <c r="CG68" s="338"/>
      <c r="CH68" s="338"/>
      <c r="CI68" s="338"/>
      <c r="CJ68" s="338"/>
      <c r="CK68" s="338"/>
      <c r="CL68" s="338"/>
      <c r="CM68" s="338"/>
      <c r="CN68" s="338"/>
      <c r="CO68" s="338"/>
      <c r="CP68" s="337"/>
      <c r="CQ68" s="1041"/>
    </row>
    <row r="69" spans="1:95" ht="14.25" hidden="1" customHeight="1" outlineLevel="1">
      <c r="A69" s="865"/>
      <c r="B69" s="32" t="s">
        <v>299</v>
      </c>
      <c r="C69" s="218"/>
      <c r="D69" s="78"/>
      <c r="E69" s="78">
        <f>E65/(E76)</f>
        <v>0.18</v>
      </c>
      <c r="F69" s="78">
        <f t="shared" ref="F69:AQ69" si="369">F65/(F76)</f>
        <v>0.21000000000000002</v>
      </c>
      <c r="G69" s="79">
        <f t="shared" si="369"/>
        <v>0.21000000000000002</v>
      </c>
      <c r="H69" s="78">
        <f t="shared" si="369"/>
        <v>0.22999999999999995</v>
      </c>
      <c r="I69" s="78">
        <f t="shared" si="369"/>
        <v>0.22</v>
      </c>
      <c r="J69" s="78">
        <f t="shared" si="369"/>
        <v>0.23</v>
      </c>
      <c r="K69" s="79">
        <f t="shared" si="369"/>
        <v>0.21999999999999997</v>
      </c>
      <c r="L69" s="78">
        <f t="shared" si="369"/>
        <v>0.21000000000000002</v>
      </c>
      <c r="M69" s="78">
        <f t="shared" si="369"/>
        <v>0.25</v>
      </c>
      <c r="N69" s="78">
        <f t="shared" si="369"/>
        <v>0.26</v>
      </c>
      <c r="O69" s="79">
        <f t="shared" si="369"/>
        <v>0.26</v>
      </c>
      <c r="P69" s="78">
        <f t="shared" si="369"/>
        <v>0.26</v>
      </c>
      <c r="Q69" s="78">
        <f t="shared" si="369"/>
        <v>0.25</v>
      </c>
      <c r="R69" s="78">
        <f t="shared" si="369"/>
        <v>0.25</v>
      </c>
      <c r="S69" s="79">
        <f t="shared" si="369"/>
        <v>0.27</v>
      </c>
      <c r="T69" s="78">
        <f t="shared" si="369"/>
        <v>0.25999999999999995</v>
      </c>
      <c r="U69" s="78">
        <f t="shared" si="369"/>
        <v>0.32</v>
      </c>
      <c r="V69" s="78">
        <f t="shared" si="369"/>
        <v>0.24000000000000002</v>
      </c>
      <c r="W69" s="79">
        <f t="shared" si="369"/>
        <v>0.22999999999999998</v>
      </c>
      <c r="X69" s="78">
        <f t="shared" si="369"/>
        <v>0.22</v>
      </c>
      <c r="Y69" s="78">
        <f t="shared" si="369"/>
        <v>3.9999999999999994E-2</v>
      </c>
      <c r="Z69" s="78">
        <f t="shared" si="369"/>
        <v>0.04</v>
      </c>
      <c r="AA69" s="79">
        <f t="shared" si="369"/>
        <v>0.06</v>
      </c>
      <c r="AB69" s="78">
        <f t="shared" si="369"/>
        <v>5.000000000000001E-2</v>
      </c>
      <c r="AC69" s="78">
        <f t="shared" si="369"/>
        <v>0.03</v>
      </c>
      <c r="AD69" s="78">
        <f t="shared" si="369"/>
        <v>0.04</v>
      </c>
      <c r="AE69" s="79">
        <f t="shared" si="369"/>
        <v>0.04</v>
      </c>
      <c r="AF69" s="78">
        <f t="shared" si="369"/>
        <v>0.04</v>
      </c>
      <c r="AG69" s="78">
        <f t="shared" si="369"/>
        <v>2.9999999999999995E-2</v>
      </c>
      <c r="AH69" s="78">
        <f t="shared" si="369"/>
        <v>0.03</v>
      </c>
      <c r="AI69" s="79">
        <f t="shared" si="369"/>
        <v>0.04</v>
      </c>
      <c r="AJ69" s="78">
        <f t="shared" si="369"/>
        <v>0</v>
      </c>
      <c r="AK69" s="78">
        <f t="shared" si="369"/>
        <v>0</v>
      </c>
      <c r="AL69" s="78">
        <f t="shared" si="369"/>
        <v>0</v>
      </c>
      <c r="AM69" s="79">
        <f t="shared" si="369"/>
        <v>0</v>
      </c>
      <c r="AN69" s="78">
        <f t="shared" si="369"/>
        <v>0</v>
      </c>
      <c r="AO69" s="78">
        <f t="shared" si="369"/>
        <v>0</v>
      </c>
      <c r="AP69" s="78">
        <f t="shared" si="369"/>
        <v>0</v>
      </c>
      <c r="AQ69" s="79">
        <f t="shared" si="369"/>
        <v>0</v>
      </c>
      <c r="AR69" s="78">
        <f t="shared" ref="AR69:AW69" si="370">AR65/(AR76)</f>
        <v>0</v>
      </c>
      <c r="AS69" s="78">
        <f t="shared" si="370"/>
        <v>0</v>
      </c>
      <c r="AT69" s="78">
        <f t="shared" si="370"/>
        <v>0</v>
      </c>
      <c r="AU69" s="79">
        <f t="shared" si="370"/>
        <v>0</v>
      </c>
      <c r="AV69" s="78">
        <f t="shared" si="370"/>
        <v>0</v>
      </c>
      <c r="AW69" s="78">
        <f t="shared" si="370"/>
        <v>0</v>
      </c>
      <c r="AX69" s="78">
        <f>AX65/(AX76)</f>
        <v>0</v>
      </c>
      <c r="AY69" s="78">
        <f>AY65/(AY76)</f>
        <v>0</v>
      </c>
      <c r="AZ69" s="134">
        <f t="shared" ref="AZ69:BA69" si="371">AZ65/(AZ76)</f>
        <v>0</v>
      </c>
      <c r="BA69" s="78">
        <f t="shared" si="371"/>
        <v>0</v>
      </c>
      <c r="BB69" s="78">
        <f t="shared" ref="BB69:BG69" si="372">BB65/(BB76)</f>
        <v>0</v>
      </c>
      <c r="BC69" s="79">
        <f t="shared" si="372"/>
        <v>0</v>
      </c>
      <c r="BD69" s="134">
        <f t="shared" si="372"/>
        <v>0</v>
      </c>
      <c r="BE69" s="78">
        <f t="shared" si="372"/>
        <v>0</v>
      </c>
      <c r="BF69" s="78">
        <f t="shared" si="372"/>
        <v>0</v>
      </c>
      <c r="BG69" s="79">
        <f t="shared" si="372"/>
        <v>0</v>
      </c>
      <c r="BH69" s="134">
        <f t="shared" ref="BH69" si="373">BH65/(BH76)</f>
        <v>0</v>
      </c>
      <c r="BI69" s="78">
        <f t="shared" ref="BI69:BK69" si="374">BI65/(BI76)</f>
        <v>0</v>
      </c>
      <c r="BJ69" s="78">
        <f t="shared" si="374"/>
        <v>0</v>
      </c>
      <c r="BK69" s="79">
        <f t="shared" si="374"/>
        <v>0</v>
      </c>
      <c r="BL69" s="134">
        <f t="shared" ref="BL69:BO69" si="375">BL65/(BL76)</f>
        <v>0</v>
      </c>
      <c r="BM69" s="78">
        <f t="shared" si="375"/>
        <v>0</v>
      </c>
      <c r="BN69" s="78">
        <f t="shared" si="375"/>
        <v>0</v>
      </c>
      <c r="BO69" s="79">
        <f t="shared" si="375"/>
        <v>0</v>
      </c>
      <c r="BP69" s="134">
        <f t="shared" ref="BP69:BS69" si="376">BP65/(BP76)</f>
        <v>0</v>
      </c>
      <c r="BQ69" s="78">
        <f t="shared" si="376"/>
        <v>0</v>
      </c>
      <c r="BR69" s="78">
        <f t="shared" si="376"/>
        <v>0</v>
      </c>
      <c r="BS69" s="79">
        <f t="shared" si="376"/>
        <v>0</v>
      </c>
      <c r="BT69" s="134">
        <f t="shared" ref="BT69:BW69" si="377">BT65/(BT76)</f>
        <v>0</v>
      </c>
      <c r="BU69" s="78">
        <f t="shared" si="377"/>
        <v>0</v>
      </c>
      <c r="BV69" s="78">
        <f t="shared" si="377"/>
        <v>0</v>
      </c>
      <c r="BW69" s="79">
        <f t="shared" si="377"/>
        <v>0</v>
      </c>
      <c r="BX69" s="346"/>
      <c r="BY69" s="359">
        <f>BY65/(BY76)</f>
        <v>0.20032030244952612</v>
      </c>
      <c r="BZ69" s="338">
        <f t="shared" ref="BZ69:CJ69" si="378">BZ65/(BZ76)</f>
        <v>0.22494593101270821</v>
      </c>
      <c r="CA69" s="338">
        <f t="shared" si="378"/>
        <v>0.24560368078692688</v>
      </c>
      <c r="CB69" s="338">
        <f t="shared" si="378"/>
        <v>0.25742394568481525</v>
      </c>
      <c r="CC69" s="338">
        <f t="shared" si="378"/>
        <v>0.26164538373132423</v>
      </c>
      <c r="CD69" s="338">
        <f t="shared" si="378"/>
        <v>8.1715008759976629E-2</v>
      </c>
      <c r="CE69" s="338">
        <f t="shared" si="378"/>
        <v>3.9769913505568431E-2</v>
      </c>
      <c r="CF69" s="338">
        <f t="shared" si="378"/>
        <v>3.4881991873433049E-2</v>
      </c>
      <c r="CG69" s="338">
        <f t="shared" si="378"/>
        <v>0</v>
      </c>
      <c r="CH69" s="338">
        <f t="shared" si="378"/>
        <v>0</v>
      </c>
      <c r="CI69" s="338">
        <f t="shared" si="378"/>
        <v>0</v>
      </c>
      <c r="CJ69" s="338">
        <f t="shared" si="378"/>
        <v>0</v>
      </c>
      <c r="CK69" s="338">
        <f t="shared" ref="CK69:CP69" si="379">CK65/(CK76)</f>
        <v>0</v>
      </c>
      <c r="CL69" s="338">
        <f t="shared" si="379"/>
        <v>0</v>
      </c>
      <c r="CM69" s="338">
        <f t="shared" si="379"/>
        <v>0</v>
      </c>
      <c r="CN69" s="338">
        <f t="shared" si="379"/>
        <v>0</v>
      </c>
      <c r="CO69" s="338">
        <f t="shared" si="379"/>
        <v>0</v>
      </c>
      <c r="CP69" s="337">
        <f t="shared" si="379"/>
        <v>0</v>
      </c>
      <c r="CQ69" s="1041"/>
    </row>
    <row r="70" spans="1:95" ht="14.25" hidden="1" customHeight="1" outlineLevel="1">
      <c r="A70" s="865"/>
      <c r="B70" s="32"/>
      <c r="C70" s="218"/>
      <c r="D70" s="78"/>
      <c r="E70" s="78"/>
      <c r="F70" s="78"/>
      <c r="G70" s="79"/>
      <c r="H70" s="78"/>
      <c r="I70" s="78"/>
      <c r="J70" s="78"/>
      <c r="K70" s="79"/>
      <c r="L70" s="78"/>
      <c r="M70" s="78"/>
      <c r="N70" s="78"/>
      <c r="O70" s="79"/>
      <c r="P70" s="78"/>
      <c r="Q70" s="78"/>
      <c r="R70" s="78"/>
      <c r="S70" s="79"/>
      <c r="T70" s="78"/>
      <c r="U70" s="78"/>
      <c r="V70" s="78"/>
      <c r="W70" s="79"/>
      <c r="X70" s="78"/>
      <c r="Y70" s="78"/>
      <c r="Z70" s="78"/>
      <c r="AA70" s="79"/>
      <c r="AB70" s="78"/>
      <c r="AC70" s="78"/>
      <c r="AD70" s="78"/>
      <c r="AE70" s="79"/>
      <c r="AF70" s="78"/>
      <c r="AG70" s="78"/>
      <c r="AH70" s="78"/>
      <c r="AI70" s="79"/>
      <c r="AJ70" s="78"/>
      <c r="AK70" s="78"/>
      <c r="AL70" s="78"/>
      <c r="AM70" s="79"/>
      <c r="AN70" s="78"/>
      <c r="AO70" s="78"/>
      <c r="AP70" s="78"/>
      <c r="AQ70" s="79"/>
      <c r="AR70" s="78"/>
      <c r="AS70" s="78"/>
      <c r="AT70" s="78"/>
      <c r="AU70" s="79"/>
      <c r="AV70" s="78"/>
      <c r="AW70" s="78"/>
      <c r="AX70" s="78"/>
      <c r="AY70" s="78"/>
      <c r="AZ70" s="23"/>
      <c r="BA70" s="57"/>
      <c r="BB70" s="78"/>
      <c r="BC70" s="79"/>
      <c r="BD70" s="23"/>
      <c r="BE70" s="57"/>
      <c r="BF70" s="78"/>
      <c r="BG70" s="79"/>
      <c r="BH70" s="23"/>
      <c r="BI70" s="57"/>
      <c r="BJ70" s="57"/>
      <c r="BK70" s="79"/>
      <c r="BL70" s="23"/>
      <c r="BM70" s="57"/>
      <c r="BN70" s="57"/>
      <c r="BO70" s="24"/>
      <c r="BP70" s="23"/>
      <c r="BQ70" s="57"/>
      <c r="BR70" s="57"/>
      <c r="BS70" s="24"/>
      <c r="BT70" s="23"/>
      <c r="BU70" s="57"/>
      <c r="BV70" s="57"/>
      <c r="BW70" s="24"/>
      <c r="BX70" s="346"/>
      <c r="BY70" s="22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211"/>
      <c r="CQ70" s="1041"/>
    </row>
    <row r="71" spans="1:95" ht="14.25" hidden="1" customHeight="1" outlineLevel="1">
      <c r="A71" s="865"/>
      <c r="B71" s="45" t="str">
        <f>$B$108&amp;" Gross Margin"</f>
        <v>Other Gross Margin</v>
      </c>
      <c r="C71" s="218"/>
      <c r="D71" s="374"/>
      <c r="E71" s="341">
        <f>E98*E69</f>
        <v>13.301999999999996</v>
      </c>
      <c r="F71" s="341">
        <f t="shared" ref="F71:AQ71" si="380">F98*F69</f>
        <v>15.456000000000007</v>
      </c>
      <c r="G71" s="342">
        <f t="shared" si="380"/>
        <v>16.464000000000009</v>
      </c>
      <c r="H71" s="374">
        <f t="shared" si="380"/>
        <v>22.056999999999992</v>
      </c>
      <c r="I71" s="341">
        <f t="shared" si="380"/>
        <v>24.728000000000002</v>
      </c>
      <c r="J71" s="341">
        <f t="shared" si="380"/>
        <v>23.689999999999994</v>
      </c>
      <c r="K71" s="342">
        <f t="shared" si="380"/>
        <v>21.692000000000004</v>
      </c>
      <c r="L71" s="374">
        <f t="shared" si="380"/>
        <v>20.201999999999998</v>
      </c>
      <c r="M71" s="341">
        <f t="shared" si="380"/>
        <v>24.625</v>
      </c>
      <c r="N71" s="341">
        <f t="shared" si="380"/>
        <v>27.066000000000006</v>
      </c>
      <c r="O71" s="342">
        <f t="shared" si="380"/>
        <v>31.122000000000007</v>
      </c>
      <c r="P71" s="374">
        <f t="shared" si="380"/>
        <v>30.601999999999997</v>
      </c>
      <c r="Q71" s="341">
        <f t="shared" si="380"/>
        <v>38.300000000000004</v>
      </c>
      <c r="R71" s="341">
        <f t="shared" si="380"/>
        <v>40.099999999999994</v>
      </c>
      <c r="S71" s="342">
        <f t="shared" si="380"/>
        <v>42.579000000000008</v>
      </c>
      <c r="T71" s="374">
        <f t="shared" si="380"/>
        <v>35.515999999999991</v>
      </c>
      <c r="U71" s="341">
        <f t="shared" si="380"/>
        <v>46.72</v>
      </c>
      <c r="V71" s="341">
        <f t="shared" si="380"/>
        <v>37.343999999999994</v>
      </c>
      <c r="W71" s="342">
        <f t="shared" si="380"/>
        <v>35.028999999999996</v>
      </c>
      <c r="X71" s="374">
        <f t="shared" si="380"/>
        <v>32.251999999999995</v>
      </c>
      <c r="Y71" s="341">
        <f t="shared" si="380"/>
        <v>7.6639999999999997</v>
      </c>
      <c r="Z71" s="341">
        <f t="shared" si="380"/>
        <v>8.8640000000000008</v>
      </c>
      <c r="AA71" s="342">
        <f t="shared" si="380"/>
        <v>11.141999999999999</v>
      </c>
      <c r="AB71" s="374">
        <f t="shared" si="380"/>
        <v>5.6050000000000022</v>
      </c>
      <c r="AC71" s="341">
        <f t="shared" si="380"/>
        <v>4.1459999999999999</v>
      </c>
      <c r="AD71" s="341">
        <f t="shared" si="380"/>
        <v>7.0319999999999983</v>
      </c>
      <c r="AE71" s="342">
        <f t="shared" si="380"/>
        <v>7.7840000000000007</v>
      </c>
      <c r="AF71" s="374">
        <f t="shared" si="380"/>
        <v>9.1240000000000006</v>
      </c>
      <c r="AG71" s="341">
        <f t="shared" si="380"/>
        <v>7.3139999999999974</v>
      </c>
      <c r="AH71" s="341">
        <f t="shared" si="380"/>
        <v>7.3950000000000014</v>
      </c>
      <c r="AI71" s="342">
        <f t="shared" si="380"/>
        <v>9.5040000000000013</v>
      </c>
      <c r="AJ71" s="374">
        <f t="shared" si="380"/>
        <v>0</v>
      </c>
      <c r="AK71" s="341">
        <f t="shared" si="380"/>
        <v>0</v>
      </c>
      <c r="AL71" s="341">
        <f t="shared" si="380"/>
        <v>0</v>
      </c>
      <c r="AM71" s="342">
        <f t="shared" si="380"/>
        <v>0</v>
      </c>
      <c r="AN71" s="374">
        <f t="shared" si="380"/>
        <v>0</v>
      </c>
      <c r="AO71" s="341">
        <f t="shared" si="380"/>
        <v>0</v>
      </c>
      <c r="AP71" s="341">
        <f t="shared" si="380"/>
        <v>0</v>
      </c>
      <c r="AQ71" s="342">
        <f t="shared" si="380"/>
        <v>0</v>
      </c>
      <c r="AR71" s="374">
        <f t="shared" ref="AR71:AW71" si="381">AR98*AR69</f>
        <v>0</v>
      </c>
      <c r="AS71" s="341">
        <f t="shared" si="381"/>
        <v>0</v>
      </c>
      <c r="AT71" s="341">
        <f t="shared" si="381"/>
        <v>0</v>
      </c>
      <c r="AU71" s="342">
        <f t="shared" si="381"/>
        <v>0</v>
      </c>
      <c r="AV71" s="374">
        <f t="shared" si="381"/>
        <v>0</v>
      </c>
      <c r="AW71" s="341">
        <f t="shared" si="381"/>
        <v>0</v>
      </c>
      <c r="AX71" s="341">
        <f>AX98*AX69</f>
        <v>0</v>
      </c>
      <c r="AY71" s="341">
        <f>AY98*AY69</f>
        <v>0</v>
      </c>
      <c r="AZ71" s="374">
        <f t="shared" ref="AZ71:BA71" si="382">AZ74*AZ65</f>
        <v>0</v>
      </c>
      <c r="BA71" s="341">
        <f t="shared" si="382"/>
        <v>0</v>
      </c>
      <c r="BB71" s="341">
        <f>BB98*BB69</f>
        <v>0</v>
      </c>
      <c r="BC71" s="342">
        <f>BC98*BC69</f>
        <v>0</v>
      </c>
      <c r="BD71" s="374">
        <f>BD74*BD65</f>
        <v>0</v>
      </c>
      <c r="BE71" s="341">
        <f>BE74*BE65</f>
        <v>0</v>
      </c>
      <c r="BF71" s="341">
        <f>BF98*BF69</f>
        <v>0</v>
      </c>
      <c r="BG71" s="342">
        <f>BG98*BG69</f>
        <v>0</v>
      </c>
      <c r="BH71" s="374">
        <f>BH74*BH65</f>
        <v>0</v>
      </c>
      <c r="BI71" s="341">
        <f t="shared" ref="BI71:BJ71" si="383">BI74*BI65</f>
        <v>0</v>
      </c>
      <c r="BJ71" s="341">
        <f t="shared" si="383"/>
        <v>0</v>
      </c>
      <c r="BK71" s="342">
        <f>BK98*BK69</f>
        <v>0</v>
      </c>
      <c r="BL71" s="341">
        <f t="shared" ref="BL71:BO71" si="384">BL74*BL65</f>
        <v>0</v>
      </c>
      <c r="BM71" s="341">
        <f t="shared" si="384"/>
        <v>0</v>
      </c>
      <c r="BN71" s="341">
        <f t="shared" si="384"/>
        <v>0</v>
      </c>
      <c r="BO71" s="342">
        <f t="shared" si="384"/>
        <v>0</v>
      </c>
      <c r="BP71" s="341">
        <f t="shared" ref="BP71:BS71" si="385">BP74*BP65</f>
        <v>0</v>
      </c>
      <c r="BQ71" s="341">
        <f t="shared" si="385"/>
        <v>0</v>
      </c>
      <c r="BR71" s="341">
        <f t="shared" si="385"/>
        <v>0</v>
      </c>
      <c r="BS71" s="342">
        <f t="shared" si="385"/>
        <v>0</v>
      </c>
      <c r="BT71" s="341">
        <f t="shared" ref="BT71:BW71" si="386">BT74*BT65</f>
        <v>0</v>
      </c>
      <c r="BU71" s="341">
        <f t="shared" si="386"/>
        <v>0</v>
      </c>
      <c r="BV71" s="341">
        <f t="shared" si="386"/>
        <v>0</v>
      </c>
      <c r="BW71" s="342">
        <f t="shared" si="386"/>
        <v>0</v>
      </c>
      <c r="BX71" s="346"/>
      <c r="BY71" s="334">
        <f>SUM(D71:G71)</f>
        <v>45.222000000000008</v>
      </c>
      <c r="BZ71" s="325">
        <f>SUM(H71:K71)</f>
        <v>92.167000000000002</v>
      </c>
      <c r="CA71" s="325">
        <f>SUM(L71:O71)</f>
        <v>103.01500000000001</v>
      </c>
      <c r="CB71" s="325">
        <f>SUM(P71:S71)</f>
        <v>151.58100000000002</v>
      </c>
      <c r="CC71" s="325">
        <f>SUM(T71:W71)</f>
        <v>154.60899999999998</v>
      </c>
      <c r="CD71" s="325">
        <f>SUM(X71:AA71)</f>
        <v>59.921999999999997</v>
      </c>
      <c r="CE71" s="325">
        <f>SUM(AB71:AE71)</f>
        <v>24.567</v>
      </c>
      <c r="CF71" s="325">
        <f>SUM(AF71:AI71)</f>
        <v>33.337000000000003</v>
      </c>
      <c r="CG71" s="325">
        <f>SUM(AJ71:AM71)</f>
        <v>0</v>
      </c>
      <c r="CH71" s="325">
        <f>SUM(AN71:AQ71)</f>
        <v>0</v>
      </c>
      <c r="CI71" s="325">
        <f>SUM(AR71:AU71)</f>
        <v>0</v>
      </c>
      <c r="CJ71" s="325">
        <f>SUM(AV71:AY71)</f>
        <v>0</v>
      </c>
      <c r="CK71" s="325">
        <f>SUM(AZ71:BC71)</f>
        <v>0</v>
      </c>
      <c r="CL71" s="325">
        <f>SUM(BD71:BG71)</f>
        <v>0</v>
      </c>
      <c r="CM71" s="325">
        <f>SUM(BH71:BK71)</f>
        <v>0</v>
      </c>
      <c r="CN71" s="325">
        <f>SUM(BL71:BO71)</f>
        <v>0</v>
      </c>
      <c r="CO71" s="325">
        <f>SUM(BP71:BS71)</f>
        <v>0</v>
      </c>
      <c r="CP71" s="326">
        <f>SUM(BT71:BW71)</f>
        <v>0</v>
      </c>
      <c r="CQ71" s="1041"/>
    </row>
    <row r="72" spans="1:95" ht="14.25" hidden="1" customHeight="1" outlineLevel="1">
      <c r="A72" s="865"/>
      <c r="B72" s="32" t="s">
        <v>297</v>
      </c>
      <c r="C72" s="218"/>
      <c r="D72" s="134"/>
      <c r="E72" s="78"/>
      <c r="F72" s="78">
        <f t="shared" ref="F72:AJ72" si="387">F71/E71-1</f>
        <v>0.16193053676139013</v>
      </c>
      <c r="G72" s="79">
        <f t="shared" si="387"/>
        <v>6.5217391304347894E-2</v>
      </c>
      <c r="H72" s="134">
        <f t="shared" si="387"/>
        <v>0.33971088435374019</v>
      </c>
      <c r="I72" s="78">
        <f t="shared" si="387"/>
        <v>0.12109534388176146</v>
      </c>
      <c r="J72" s="78">
        <f t="shared" si="387"/>
        <v>-4.1976706567454225E-2</v>
      </c>
      <c r="K72" s="79">
        <f t="shared" si="387"/>
        <v>-8.4339383706204751E-2</v>
      </c>
      <c r="L72" s="134">
        <f t="shared" si="387"/>
        <v>-6.8688917573299202E-2</v>
      </c>
      <c r="M72" s="78">
        <f t="shared" si="387"/>
        <v>0.21893871893871908</v>
      </c>
      <c r="N72" s="78">
        <f t="shared" si="387"/>
        <v>9.9126903553299783E-2</v>
      </c>
      <c r="O72" s="79">
        <f t="shared" si="387"/>
        <v>0.14985590778097979</v>
      </c>
      <c r="P72" s="134">
        <f t="shared" si="387"/>
        <v>-1.6708437761069672E-2</v>
      </c>
      <c r="Q72" s="78">
        <f t="shared" si="387"/>
        <v>0.25155218613162567</v>
      </c>
      <c r="R72" s="78">
        <f t="shared" si="387"/>
        <v>4.6997389033942349E-2</v>
      </c>
      <c r="S72" s="79">
        <f t="shared" si="387"/>
        <v>6.18204488778058E-2</v>
      </c>
      <c r="T72" s="134">
        <f t="shared" si="387"/>
        <v>-0.16587989384438373</v>
      </c>
      <c r="U72" s="78">
        <f t="shared" si="387"/>
        <v>0.31546345309156476</v>
      </c>
      <c r="V72" s="78">
        <f t="shared" si="387"/>
        <v>-0.20068493150684941</v>
      </c>
      <c r="W72" s="79">
        <f t="shared" si="387"/>
        <v>-6.1991216795201365E-2</v>
      </c>
      <c r="X72" s="134">
        <f t="shared" si="387"/>
        <v>-7.9277170344571712E-2</v>
      </c>
      <c r="Y72" s="78">
        <f t="shared" si="387"/>
        <v>-0.76237132580925215</v>
      </c>
      <c r="Z72" s="78">
        <f t="shared" si="387"/>
        <v>0.15657620041753662</v>
      </c>
      <c r="AA72" s="79">
        <f t="shared" si="387"/>
        <v>0.256994584837545</v>
      </c>
      <c r="AB72" s="134">
        <f t="shared" si="387"/>
        <v>-0.49694848321665752</v>
      </c>
      <c r="AC72" s="78">
        <f t="shared" si="387"/>
        <v>-0.26030330062444273</v>
      </c>
      <c r="AD72" s="78">
        <f t="shared" si="387"/>
        <v>0.69609261939218481</v>
      </c>
      <c r="AE72" s="79">
        <f t="shared" si="387"/>
        <v>0.10693970420932919</v>
      </c>
      <c r="AF72" s="134">
        <f t="shared" si="387"/>
        <v>0.17214799588900309</v>
      </c>
      <c r="AG72" s="78">
        <f t="shared" si="387"/>
        <v>-0.19837790442788283</v>
      </c>
      <c r="AH72" s="78">
        <f t="shared" si="387"/>
        <v>1.1074651353569109E-2</v>
      </c>
      <c r="AI72" s="79">
        <f t="shared" si="387"/>
        <v>0.28519269776876266</v>
      </c>
      <c r="AJ72" s="134">
        <f t="shared" si="387"/>
        <v>-1</v>
      </c>
      <c r="AK72" s="78"/>
      <c r="AL72" s="78"/>
      <c r="AM72" s="79"/>
      <c r="AN72" s="134"/>
      <c r="AO72" s="78"/>
      <c r="AP72" s="78"/>
      <c r="AQ72" s="79"/>
      <c r="AR72" s="134"/>
      <c r="AS72" s="78"/>
      <c r="AT72" s="78"/>
      <c r="AU72" s="79"/>
      <c r="AV72" s="134"/>
      <c r="AW72" s="78"/>
      <c r="AX72" s="78"/>
      <c r="AY72" s="78"/>
      <c r="AZ72" s="134"/>
      <c r="BA72" s="78"/>
      <c r="BB72" s="78"/>
      <c r="BC72" s="79"/>
      <c r="BD72" s="134"/>
      <c r="BE72" s="78"/>
      <c r="BF72" s="78"/>
      <c r="BG72" s="79"/>
      <c r="BH72" s="134"/>
      <c r="BI72" s="78"/>
      <c r="BJ72" s="78"/>
      <c r="BK72" s="79"/>
      <c r="BL72" s="134"/>
      <c r="BM72" s="78"/>
      <c r="BN72" s="78"/>
      <c r="BO72" s="79"/>
      <c r="BP72" s="134"/>
      <c r="BQ72" s="78"/>
      <c r="BR72" s="78"/>
      <c r="BS72" s="79"/>
      <c r="BT72" s="134"/>
      <c r="BU72" s="78"/>
      <c r="BV72" s="78"/>
      <c r="BW72" s="79"/>
      <c r="BX72" s="346"/>
      <c r="BY72" s="219"/>
      <c r="BZ72" s="220"/>
      <c r="CA72" s="220"/>
      <c r="CB72" s="220"/>
      <c r="CC72" s="220"/>
      <c r="CD72" s="220"/>
      <c r="CE72" s="220"/>
      <c r="CF72" s="220"/>
      <c r="CG72" s="220"/>
      <c r="CH72" s="220"/>
      <c r="CI72" s="220"/>
      <c r="CJ72" s="220"/>
      <c r="CK72" s="220"/>
      <c r="CL72" s="220"/>
      <c r="CM72" s="220"/>
      <c r="CN72" s="220"/>
      <c r="CO72" s="220"/>
      <c r="CP72" s="258"/>
      <c r="CQ72" s="1041"/>
    </row>
    <row r="73" spans="1:95" ht="14.25" hidden="1" customHeight="1" outlineLevel="1">
      <c r="A73" s="865"/>
      <c r="B73" s="32" t="s">
        <v>298</v>
      </c>
      <c r="C73" s="218"/>
      <c r="D73" s="134"/>
      <c r="E73" s="78"/>
      <c r="F73" s="78"/>
      <c r="G73" s="79"/>
      <c r="H73" s="134"/>
      <c r="I73" s="78">
        <f t="shared" ref="I73:AM73" si="388">I71/E71-1</f>
        <v>0.85896857615396249</v>
      </c>
      <c r="J73" s="78">
        <f t="shared" si="388"/>
        <v>0.53273809523809423</v>
      </c>
      <c r="K73" s="79">
        <f t="shared" si="388"/>
        <v>0.31754130223517918</v>
      </c>
      <c r="L73" s="134">
        <f t="shared" si="388"/>
        <v>-8.4100285623611271E-2</v>
      </c>
      <c r="M73" s="78">
        <f t="shared" si="388"/>
        <v>-4.1653186670981279E-3</v>
      </c>
      <c r="N73" s="78">
        <f t="shared" si="388"/>
        <v>0.14250738708315791</v>
      </c>
      <c r="O73" s="79">
        <f t="shared" si="388"/>
        <v>0.43472247833302613</v>
      </c>
      <c r="P73" s="134">
        <f t="shared" si="388"/>
        <v>0.51480051480051481</v>
      </c>
      <c r="Q73" s="78">
        <f t="shared" si="388"/>
        <v>0.55532994923857881</v>
      </c>
      <c r="R73" s="78">
        <f t="shared" si="388"/>
        <v>0.48156358530998244</v>
      </c>
      <c r="S73" s="79">
        <f t="shared" si="388"/>
        <v>0.36813186813186816</v>
      </c>
      <c r="T73" s="134">
        <f t="shared" si="388"/>
        <v>0.1605777400169921</v>
      </c>
      <c r="U73" s="78">
        <f t="shared" si="388"/>
        <v>0.21984334203655331</v>
      </c>
      <c r="V73" s="78">
        <f t="shared" si="388"/>
        <v>-6.8728179551122204E-2</v>
      </c>
      <c r="W73" s="79">
        <f t="shared" si="388"/>
        <v>-0.17731745696235257</v>
      </c>
      <c r="X73" s="134">
        <f t="shared" si="388"/>
        <v>-9.1902241243383198E-2</v>
      </c>
      <c r="Y73" s="78">
        <f t="shared" si="388"/>
        <v>-0.83595890410958906</v>
      </c>
      <c r="Z73" s="78">
        <f t="shared" si="388"/>
        <v>-0.76263924592973431</v>
      </c>
      <c r="AA73" s="79">
        <f t="shared" si="388"/>
        <v>-0.68192069428188073</v>
      </c>
      <c r="AB73" s="134">
        <f t="shared" si="388"/>
        <v>-0.82621232791764843</v>
      </c>
      <c r="AC73" s="78">
        <f t="shared" si="388"/>
        <v>-0.45902922755741127</v>
      </c>
      <c r="AD73" s="78">
        <f t="shared" si="388"/>
        <v>-0.2066787003610111</v>
      </c>
      <c r="AE73" s="79">
        <f t="shared" si="388"/>
        <v>-0.30138215760186671</v>
      </c>
      <c r="AF73" s="134">
        <f t="shared" si="388"/>
        <v>0.6278322925958959</v>
      </c>
      <c r="AG73" s="78">
        <f t="shared" si="388"/>
        <v>0.7641099855282194</v>
      </c>
      <c r="AH73" s="78">
        <f t="shared" si="388"/>
        <v>5.1621160409556666E-2</v>
      </c>
      <c r="AI73" s="79">
        <f t="shared" si="388"/>
        <v>0.22096608427543685</v>
      </c>
      <c r="AJ73" s="134">
        <f t="shared" si="388"/>
        <v>-1</v>
      </c>
      <c r="AK73" s="78">
        <f t="shared" si="388"/>
        <v>-1</v>
      </c>
      <c r="AL73" s="78">
        <f t="shared" si="388"/>
        <v>-1</v>
      </c>
      <c r="AM73" s="79">
        <f t="shared" si="388"/>
        <v>-1</v>
      </c>
      <c r="AN73" s="134"/>
      <c r="AO73" s="78"/>
      <c r="AP73" s="78"/>
      <c r="AQ73" s="79"/>
      <c r="AR73" s="134"/>
      <c r="AS73" s="78"/>
      <c r="AT73" s="78"/>
      <c r="AU73" s="79"/>
      <c r="AV73" s="134"/>
      <c r="AW73" s="78"/>
      <c r="AX73" s="78"/>
      <c r="AY73" s="78"/>
      <c r="AZ73" s="134"/>
      <c r="BA73" s="78"/>
      <c r="BB73" s="78"/>
      <c r="BC73" s="79"/>
      <c r="BD73" s="134"/>
      <c r="BE73" s="78"/>
      <c r="BF73" s="78"/>
      <c r="BG73" s="79"/>
      <c r="BH73" s="134"/>
      <c r="BI73" s="78"/>
      <c r="BJ73" s="78"/>
      <c r="BK73" s="79"/>
      <c r="BL73" s="134"/>
      <c r="BM73" s="78"/>
      <c r="BN73" s="78"/>
      <c r="BO73" s="79"/>
      <c r="BP73" s="134"/>
      <c r="BQ73" s="78"/>
      <c r="BR73" s="78"/>
      <c r="BS73" s="79"/>
      <c r="BT73" s="134"/>
      <c r="BU73" s="78"/>
      <c r="BV73" s="78"/>
      <c r="BW73" s="79"/>
      <c r="BX73" s="346"/>
      <c r="BY73" s="377"/>
      <c r="BZ73" s="370"/>
      <c r="CA73" s="370"/>
      <c r="CB73" s="370"/>
      <c r="CC73" s="370"/>
      <c r="CD73" s="338"/>
      <c r="CE73" s="338"/>
      <c r="CF73" s="338"/>
      <c r="CG73" s="338"/>
      <c r="CH73" s="338"/>
      <c r="CI73" s="338"/>
      <c r="CJ73" s="338"/>
      <c r="CK73" s="338"/>
      <c r="CL73" s="338"/>
      <c r="CM73" s="338"/>
      <c r="CN73" s="338"/>
      <c r="CO73" s="338"/>
      <c r="CP73" s="337"/>
      <c r="CQ73" s="1041"/>
    </row>
    <row r="74" spans="1:95" ht="14.25" hidden="1" customHeight="1" outlineLevel="1">
      <c r="A74" s="865"/>
      <c r="B74" s="32" t="s">
        <v>549</v>
      </c>
      <c r="C74" s="218"/>
      <c r="D74" s="134"/>
      <c r="E74" s="78">
        <f t="shared" ref="E74:AI74" si="389">E71/E65</f>
        <v>0.28844652615144412</v>
      </c>
      <c r="F74" s="78">
        <f t="shared" si="389"/>
        <v>0.2779456193353475</v>
      </c>
      <c r="G74" s="79">
        <f t="shared" si="389"/>
        <v>0.28140703517587951</v>
      </c>
      <c r="H74" s="134">
        <f t="shared" si="389"/>
        <v>0.31116158338741068</v>
      </c>
      <c r="I74" s="78">
        <f t="shared" si="389"/>
        <v>0.33703148425787105</v>
      </c>
      <c r="J74" s="78">
        <f t="shared" si="389"/>
        <v>0.3234924623115577</v>
      </c>
      <c r="K74" s="79">
        <f t="shared" si="389"/>
        <v>0.32138200782268578</v>
      </c>
      <c r="L74" s="134">
        <f t="shared" si="389"/>
        <v>0.31812169312169308</v>
      </c>
      <c r="M74" s="78">
        <f t="shared" si="389"/>
        <v>0.32529722589167764</v>
      </c>
      <c r="N74" s="78">
        <f t="shared" si="389"/>
        <v>0.33195153061224492</v>
      </c>
      <c r="O74" s="79">
        <f t="shared" si="389"/>
        <v>0.35020479812756</v>
      </c>
      <c r="P74" s="134">
        <f t="shared" si="389"/>
        <v>0.35239520958083825</v>
      </c>
      <c r="Q74" s="78">
        <f t="shared" si="389"/>
        <v>0.40820676791899818</v>
      </c>
      <c r="R74" s="78">
        <f t="shared" si="389"/>
        <v>0.38108814445236394</v>
      </c>
      <c r="S74" s="79">
        <f t="shared" si="389"/>
        <v>0.39267928286852588</v>
      </c>
      <c r="T74" s="134">
        <f t="shared" si="389"/>
        <v>0.36504543025120245</v>
      </c>
      <c r="U74" s="78">
        <f t="shared" si="389"/>
        <v>0.38300104931794332</v>
      </c>
      <c r="V74" s="78">
        <f t="shared" si="389"/>
        <v>0.38620004964010918</v>
      </c>
      <c r="W74" s="79">
        <f t="shared" si="389"/>
        <v>0.37337582740867858</v>
      </c>
      <c r="X74" s="134">
        <f t="shared" si="389"/>
        <v>0.34747570514339887</v>
      </c>
      <c r="Y74" s="78">
        <f t="shared" si="389"/>
        <v>0.34050115514483736</v>
      </c>
      <c r="Z74" s="78">
        <f t="shared" si="389"/>
        <v>0.3810834049871023</v>
      </c>
      <c r="AA74" s="79">
        <f t="shared" si="389"/>
        <v>0.37998772252915897</v>
      </c>
      <c r="AB74" s="134">
        <f t="shared" si="389"/>
        <v>0.29570034291743613</v>
      </c>
      <c r="AC74" s="78">
        <f t="shared" si="389"/>
        <v>0.32920438303954264</v>
      </c>
      <c r="AD74" s="78">
        <f t="shared" si="389"/>
        <v>0.3717487840981179</v>
      </c>
      <c r="AE74" s="79">
        <f t="shared" si="389"/>
        <v>0.39147052906859792</v>
      </c>
      <c r="AF74" s="134">
        <f t="shared" si="389"/>
        <v>0.41457651762995273</v>
      </c>
      <c r="AG74" s="78">
        <f t="shared" si="389"/>
        <v>0.41796674095662595</v>
      </c>
      <c r="AH74" s="78">
        <f t="shared" si="389"/>
        <v>0.41035458631596478</v>
      </c>
      <c r="AI74" s="79">
        <f t="shared" si="389"/>
        <v>0.41022099447513816</v>
      </c>
      <c r="AJ74" s="134"/>
      <c r="AK74" s="78"/>
      <c r="AL74" s="78"/>
      <c r="AM74" s="79"/>
      <c r="AN74" s="134"/>
      <c r="AO74" s="78"/>
      <c r="AP74" s="78"/>
      <c r="AQ74" s="79"/>
      <c r="AR74" s="134"/>
      <c r="AS74" s="78"/>
      <c r="AT74" s="78"/>
      <c r="AU74" s="79"/>
      <c r="AV74" s="134"/>
      <c r="AW74" s="78"/>
      <c r="AX74" s="78"/>
      <c r="AY74" s="78"/>
      <c r="AZ74" s="82">
        <v>0</v>
      </c>
      <c r="BA74" s="80">
        <v>0</v>
      </c>
      <c r="BB74" s="78"/>
      <c r="BC74" s="79"/>
      <c r="BD74" s="82">
        <v>0</v>
      </c>
      <c r="BE74" s="80">
        <v>0</v>
      </c>
      <c r="BF74" s="78"/>
      <c r="BG74" s="79"/>
      <c r="BH74" s="82">
        <v>0</v>
      </c>
      <c r="BI74" s="80">
        <v>0</v>
      </c>
      <c r="BJ74" s="80">
        <v>0</v>
      </c>
      <c r="BK74" s="79"/>
      <c r="BL74" s="80">
        <v>0</v>
      </c>
      <c r="BM74" s="80">
        <v>0</v>
      </c>
      <c r="BN74" s="80">
        <v>0</v>
      </c>
      <c r="BO74" s="81">
        <v>0</v>
      </c>
      <c r="BP74" s="80">
        <v>0</v>
      </c>
      <c r="BQ74" s="80">
        <v>0</v>
      </c>
      <c r="BR74" s="80">
        <v>0</v>
      </c>
      <c r="BS74" s="81">
        <v>0</v>
      </c>
      <c r="BT74" s="80">
        <v>0</v>
      </c>
      <c r="BU74" s="80">
        <v>0</v>
      </c>
      <c r="BV74" s="80">
        <v>0</v>
      </c>
      <c r="BW74" s="81">
        <v>0</v>
      </c>
      <c r="BX74" s="346"/>
      <c r="BY74" s="359"/>
      <c r="BZ74" s="338"/>
      <c r="CA74" s="338"/>
      <c r="CB74" s="338"/>
      <c r="CC74" s="338"/>
      <c r="CD74" s="338"/>
      <c r="CE74" s="338"/>
      <c r="CF74" s="338"/>
      <c r="CG74" s="338"/>
      <c r="CH74" s="338"/>
      <c r="CI74" s="338"/>
      <c r="CJ74" s="338"/>
      <c r="CK74" s="338"/>
      <c r="CL74" s="338"/>
      <c r="CM74" s="338"/>
      <c r="CN74" s="338"/>
      <c r="CO74" s="338"/>
      <c r="CP74" s="337"/>
      <c r="CQ74" s="1041"/>
    </row>
    <row r="75" spans="1:95" ht="14.25" hidden="1" customHeight="1" outlineLevel="1">
      <c r="A75" s="865"/>
      <c r="B75" s="840"/>
      <c r="C75" s="237"/>
      <c r="D75" s="221"/>
      <c r="E75" s="221"/>
      <c r="F75" s="221"/>
      <c r="G75" s="614"/>
      <c r="H75" s="221"/>
      <c r="I75" s="221"/>
      <c r="J75" s="221"/>
      <c r="K75" s="614"/>
      <c r="L75" s="221"/>
      <c r="M75" s="221"/>
      <c r="N75" s="221"/>
      <c r="O75" s="614"/>
      <c r="P75" s="221"/>
      <c r="Q75" s="221"/>
      <c r="R75" s="221"/>
      <c r="S75" s="614"/>
      <c r="T75" s="221"/>
      <c r="U75" s="221"/>
      <c r="V75" s="221"/>
      <c r="W75" s="614"/>
      <c r="X75" s="221"/>
      <c r="Y75" s="221"/>
      <c r="Z75" s="221"/>
      <c r="AA75" s="614"/>
      <c r="AB75" s="221"/>
      <c r="AC75" s="221"/>
      <c r="AD75" s="221"/>
      <c r="AE75" s="614"/>
      <c r="AF75" s="221"/>
      <c r="AG75" s="221"/>
      <c r="AH75" s="221"/>
      <c r="AI75" s="614"/>
      <c r="AJ75" s="221"/>
      <c r="AK75" s="221"/>
      <c r="AL75" s="221"/>
      <c r="AM75" s="614"/>
      <c r="AN75" s="221"/>
      <c r="AO75" s="221"/>
      <c r="AP75" s="221"/>
      <c r="AQ75" s="614"/>
      <c r="AR75" s="221"/>
      <c r="AS75" s="221"/>
      <c r="AT75" s="203"/>
      <c r="AU75" s="614"/>
      <c r="AV75" s="221"/>
      <c r="AW75" s="221"/>
      <c r="AX75" s="203"/>
      <c r="AY75" s="203"/>
      <c r="AZ75" s="16"/>
      <c r="BA75" s="203"/>
      <c r="BB75" s="203"/>
      <c r="BC75" s="17"/>
      <c r="BD75" s="16"/>
      <c r="BE75" s="203"/>
      <c r="BF75" s="203"/>
      <c r="BG75" s="17"/>
      <c r="BH75" s="16"/>
      <c r="BI75" s="203"/>
      <c r="BJ75" s="203"/>
      <c r="BK75" s="17"/>
      <c r="BL75" s="203"/>
      <c r="BM75" s="203"/>
      <c r="BN75" s="203"/>
      <c r="BO75" s="17"/>
      <c r="BP75" s="203"/>
      <c r="BQ75" s="203"/>
      <c r="BR75" s="203"/>
      <c r="BS75" s="17"/>
      <c r="BT75" s="203"/>
      <c r="BU75" s="203"/>
      <c r="BV75" s="203"/>
      <c r="BW75" s="17"/>
      <c r="BX75" s="346"/>
      <c r="BY75" s="16"/>
      <c r="BZ75" s="203"/>
      <c r="CA75" s="203"/>
      <c r="CB75" s="203"/>
      <c r="CC75" s="203"/>
      <c r="CD75" s="203"/>
      <c r="CE75" s="203"/>
      <c r="CF75" s="203"/>
      <c r="CG75" s="203"/>
      <c r="CH75" s="203"/>
      <c r="CI75" s="203"/>
      <c r="CJ75" s="203"/>
      <c r="CK75" s="203"/>
      <c r="CL75" s="203"/>
      <c r="CM75" s="203"/>
      <c r="CN75" s="203"/>
      <c r="CO75" s="203"/>
      <c r="CP75" s="17"/>
      <c r="CQ75" s="1041"/>
    </row>
    <row r="76" spans="1:95" ht="14.25" customHeight="1" collapsed="1">
      <c r="A76" s="864"/>
      <c r="B76" s="297" t="s">
        <v>550</v>
      </c>
      <c r="C76" s="414"/>
      <c r="D76" s="809">
        <f>D43+D32+D21+D10+D54+D65</f>
        <v>0</v>
      </c>
      <c r="E76" s="801">
        <f t="shared" ref="E76:AT76" si="390">E43+E32+E21+E10+E54+E65</f>
        <v>256.2</v>
      </c>
      <c r="F76" s="801">
        <f t="shared" si="390"/>
        <v>264.8</v>
      </c>
      <c r="G76" s="810">
        <f t="shared" si="390"/>
        <v>278.60000000000002</v>
      </c>
      <c r="H76" s="809">
        <f t="shared" si="390"/>
        <v>308.20000000000005</v>
      </c>
      <c r="I76" s="801">
        <f t="shared" si="390"/>
        <v>333.5</v>
      </c>
      <c r="J76" s="801">
        <f t="shared" si="390"/>
        <v>318.39999999999998</v>
      </c>
      <c r="K76" s="810">
        <f t="shared" si="390"/>
        <v>306.80000000000007</v>
      </c>
      <c r="L76" s="809">
        <f t="shared" si="390"/>
        <v>302.39999999999998</v>
      </c>
      <c r="M76" s="801">
        <f t="shared" si="390"/>
        <v>302.8</v>
      </c>
      <c r="N76" s="801">
        <f t="shared" si="390"/>
        <v>313.60000000000002</v>
      </c>
      <c r="O76" s="810">
        <f t="shared" si="390"/>
        <v>341.8</v>
      </c>
      <c r="P76" s="809">
        <f t="shared" si="390"/>
        <v>334</v>
      </c>
      <c r="Q76" s="801">
        <f t="shared" si="390"/>
        <v>375.3</v>
      </c>
      <c r="R76" s="801">
        <f t="shared" si="390"/>
        <v>420.9</v>
      </c>
      <c r="S76" s="810">
        <f t="shared" si="390"/>
        <v>401.6</v>
      </c>
      <c r="T76" s="809">
        <f t="shared" si="390"/>
        <v>374.20000000000005</v>
      </c>
      <c r="U76" s="801">
        <f t="shared" si="390"/>
        <v>381.2</v>
      </c>
      <c r="V76" s="801">
        <f t="shared" si="390"/>
        <v>402.9</v>
      </c>
      <c r="W76" s="810">
        <f t="shared" si="390"/>
        <v>407.9</v>
      </c>
      <c r="X76" s="809">
        <f t="shared" si="390"/>
        <v>421.9</v>
      </c>
      <c r="Y76" s="801">
        <f t="shared" si="390"/>
        <v>562.70000000000016</v>
      </c>
      <c r="Z76" s="801">
        <f t="shared" si="390"/>
        <v>581.5</v>
      </c>
      <c r="AA76" s="810">
        <f t="shared" si="390"/>
        <v>488.7</v>
      </c>
      <c r="AB76" s="809">
        <f t="shared" si="390"/>
        <v>379.09999999999997</v>
      </c>
      <c r="AC76" s="801">
        <f t="shared" si="390"/>
        <v>419.8</v>
      </c>
      <c r="AD76" s="801">
        <f t="shared" si="390"/>
        <v>472.9</v>
      </c>
      <c r="AE76" s="810">
        <f t="shared" si="390"/>
        <v>497.1</v>
      </c>
      <c r="AF76" s="809">
        <f t="shared" si="390"/>
        <v>550.20000000000005</v>
      </c>
      <c r="AG76" s="801">
        <f t="shared" si="390"/>
        <v>583.30000000000007</v>
      </c>
      <c r="AH76" s="801">
        <f t="shared" si="390"/>
        <v>600.70000000000005</v>
      </c>
      <c r="AI76" s="810">
        <f t="shared" si="390"/>
        <v>579.20000000000005</v>
      </c>
      <c r="AJ76" s="809">
        <f t="shared" si="390"/>
        <v>870.6</v>
      </c>
      <c r="AK76" s="801">
        <f t="shared" si="390"/>
        <v>905.8</v>
      </c>
      <c r="AL76" s="801">
        <f t="shared" si="390"/>
        <v>898.00000000000011</v>
      </c>
      <c r="AM76" s="810">
        <f t="shared" si="390"/>
        <v>767.9</v>
      </c>
      <c r="AN76" s="809">
        <f t="shared" si="390"/>
        <v>744.4</v>
      </c>
      <c r="AO76" s="801">
        <f t="shared" si="390"/>
        <v>744.8</v>
      </c>
      <c r="AP76" s="801">
        <f t="shared" si="390"/>
        <v>725.50000000000011</v>
      </c>
      <c r="AQ76" s="810">
        <f t="shared" si="390"/>
        <v>680.2</v>
      </c>
      <c r="AR76" s="809">
        <f>AR43+AR32+AR21+AR10+AR54+AR65</f>
        <v>661</v>
      </c>
      <c r="AS76" s="801">
        <f>AS43+AS32+AS21+AS10+AS54+AS65</f>
        <v>688.30000000000007</v>
      </c>
      <c r="AT76" s="325">
        <f t="shared" si="390"/>
        <v>715.40000000000009</v>
      </c>
      <c r="AU76" s="810">
        <f t="shared" ref="AU76:AZ76" si="391">AU43+AU32+AU21+AU10+AU54+AU65</f>
        <v>718</v>
      </c>
      <c r="AV76" s="809">
        <f t="shared" si="391"/>
        <v>706.5</v>
      </c>
      <c r="AW76" s="801">
        <f t="shared" si="391"/>
        <v>757.59999999999991</v>
      </c>
      <c r="AX76" s="325">
        <f t="shared" si="391"/>
        <v>833.5</v>
      </c>
      <c r="AY76" s="325">
        <f t="shared" si="391"/>
        <v>864.20000000000016</v>
      </c>
      <c r="AZ76" s="334">
        <f t="shared" si="391"/>
        <v>870.8</v>
      </c>
      <c r="BA76" s="325">
        <f t="shared" ref="BA76" si="392">BA43+BA32+BA21+BA10+BA54+BA65</f>
        <v>880.5</v>
      </c>
      <c r="BB76" s="325">
        <f t="shared" ref="BB76:BG76" si="393">BB43+BB32+BB21+BB10+BB54+BB65</f>
        <v>904.4</v>
      </c>
      <c r="BC76" s="326">
        <f t="shared" si="393"/>
        <v>840.3</v>
      </c>
      <c r="BD76" s="334">
        <f t="shared" si="393"/>
        <v>817.19999999999993</v>
      </c>
      <c r="BE76" s="325">
        <f t="shared" si="393"/>
        <v>877.8</v>
      </c>
      <c r="BF76" s="325">
        <f t="shared" si="393"/>
        <v>950.9</v>
      </c>
      <c r="BG76" s="326">
        <f t="shared" si="393"/>
        <v>1261</v>
      </c>
      <c r="BH76" s="334">
        <f t="shared" ref="BH76" si="394">BH43+BH32+BH21+BH10+BH54+BH65</f>
        <v>1281.6000000000001</v>
      </c>
      <c r="BI76" s="325">
        <f t="shared" ref="BI76:BK76" si="395">BI43+BI32+BI21+BI10+BI54+BI65</f>
        <v>1337.9999999999998</v>
      </c>
      <c r="BJ76" s="325">
        <f t="shared" si="395"/>
        <v>1391</v>
      </c>
      <c r="BK76" s="326">
        <f t="shared" si="395"/>
        <v>1377.5</v>
      </c>
      <c r="BL76" s="334">
        <f t="shared" ref="BL76:BO76" si="396">BL43+BL32+BL21+BL10+BL54+BL65</f>
        <v>1369.8570000000002</v>
      </c>
      <c r="BM76" s="325">
        <f t="shared" si="396"/>
        <v>1428.3854699999999</v>
      </c>
      <c r="BN76" s="325">
        <f t="shared" si="396"/>
        <v>1462.1209246000001</v>
      </c>
      <c r="BO76" s="326">
        <f t="shared" si="396"/>
        <v>1436.2157754979999</v>
      </c>
      <c r="BP76" s="334">
        <f t="shared" ref="BP76:BS76" si="397">BP43+BP32+BP21+BP10+BP54+BP65</f>
        <v>1428.2476192559</v>
      </c>
      <c r="BQ76" s="325">
        <f t="shared" si="397"/>
        <v>1481.625145527059</v>
      </c>
      <c r="BR76" s="325">
        <f t="shared" si="397"/>
        <v>1513.799568262451</v>
      </c>
      <c r="BS76" s="326">
        <f t="shared" si="397"/>
        <v>1487.5019898772639</v>
      </c>
      <c r="BT76" s="334">
        <f t="shared" ref="BT76:BW76" si="398">BT43+BT32+BT21+BT10+BT54+BT65</f>
        <v>1481.3892830431141</v>
      </c>
      <c r="BU76" s="325">
        <f t="shared" si="398"/>
        <v>1536.6192424277208</v>
      </c>
      <c r="BV76" s="325">
        <f t="shared" si="398"/>
        <v>1568.4983613978361</v>
      </c>
      <c r="BW76" s="326">
        <f t="shared" si="398"/>
        <v>1541.799580271286</v>
      </c>
      <c r="BX76" s="346"/>
      <c r="BY76" s="940">
        <f>BY43+BY32+BY21+BY10+BY54+BY65+0.269</f>
        <v>799.86900000000003</v>
      </c>
      <c r="BZ76" s="800">
        <f t="shared" ref="BZ76:CK76" si="399">BZ43+BZ32+BZ21+BZ10+BZ54+BZ65</f>
        <v>1266.9000000000001</v>
      </c>
      <c r="CA76" s="800">
        <f t="shared" si="399"/>
        <v>1260.5999999999999</v>
      </c>
      <c r="CB76" s="800">
        <f t="shared" si="399"/>
        <v>1531.8000000000002</v>
      </c>
      <c r="CC76" s="800">
        <f t="shared" si="399"/>
        <v>1566.2</v>
      </c>
      <c r="CD76" s="800">
        <f t="shared" si="399"/>
        <v>2054.8000000000002</v>
      </c>
      <c r="CE76" s="387">
        <f t="shared" si="399"/>
        <v>1768.9</v>
      </c>
      <c r="CF76" s="387">
        <f t="shared" si="399"/>
        <v>2313.4</v>
      </c>
      <c r="CG76" s="387">
        <f t="shared" si="399"/>
        <v>3442.3</v>
      </c>
      <c r="CH76" s="387">
        <f t="shared" si="399"/>
        <v>2894.8999999999996</v>
      </c>
      <c r="CI76" s="387">
        <f t="shared" si="399"/>
        <v>2782.7000000000003</v>
      </c>
      <c r="CJ76" s="387">
        <f t="shared" si="399"/>
        <v>3161.8</v>
      </c>
      <c r="CK76" s="387">
        <f t="shared" si="399"/>
        <v>3496</v>
      </c>
      <c r="CL76" s="387">
        <f>CL43+CL32+CL21+CL10+CL54+CL65</f>
        <v>3906.9</v>
      </c>
      <c r="CM76" s="387">
        <f>CM43+CM32+CM21+CM10+CM54+CM65</f>
        <v>5388.1</v>
      </c>
      <c r="CN76" s="387">
        <f>CN43+CN32+CN21+CN10+CN54+CN65</f>
        <v>5696.5791700979998</v>
      </c>
      <c r="CO76" s="387">
        <f>CO43+CO32+CO21+CO10+CO54+CO65</f>
        <v>5911.174322922674</v>
      </c>
      <c r="CP76" s="915">
        <f>CP43+CP32+CP21+CP10+CP54+CP65</f>
        <v>6128.306467139957</v>
      </c>
      <c r="CQ76" s="1041"/>
    </row>
    <row r="77" spans="1:95" ht="14.25" customHeight="1">
      <c r="A77" s="865"/>
      <c r="B77" s="217" t="s">
        <v>297</v>
      </c>
      <c r="C77" s="218"/>
      <c r="D77" s="78"/>
      <c r="E77" s="78"/>
      <c r="F77" s="78">
        <f t="shared" ref="F77:S77" si="400">F76/E76-1</f>
        <v>3.3567525370804097E-2</v>
      </c>
      <c r="G77" s="79">
        <f t="shared" si="400"/>
        <v>5.2114803625377792E-2</v>
      </c>
      <c r="H77" s="78">
        <f t="shared" si="400"/>
        <v>0.10624551328068921</v>
      </c>
      <c r="I77" s="78">
        <f t="shared" si="400"/>
        <v>8.2089552238805874E-2</v>
      </c>
      <c r="J77" s="78">
        <f t="shared" si="400"/>
        <v>-4.5277361319340348E-2</v>
      </c>
      <c r="K77" s="79">
        <f t="shared" si="400"/>
        <v>-3.6432160804019786E-2</v>
      </c>
      <c r="L77" s="78">
        <f t="shared" si="400"/>
        <v>-1.43415906127774E-2</v>
      </c>
      <c r="M77" s="78">
        <f t="shared" si="400"/>
        <v>1.3227513227513921E-3</v>
      </c>
      <c r="N77" s="78">
        <f t="shared" si="400"/>
        <v>3.566710700132103E-2</v>
      </c>
      <c r="O77" s="79">
        <f t="shared" si="400"/>
        <v>8.9923469387755084E-2</v>
      </c>
      <c r="P77" s="78">
        <f t="shared" si="400"/>
        <v>-2.2820362785254567E-2</v>
      </c>
      <c r="Q77" s="78">
        <f t="shared" si="400"/>
        <v>0.12365269461077855</v>
      </c>
      <c r="R77" s="78">
        <f t="shared" si="400"/>
        <v>0.1215027977617904</v>
      </c>
      <c r="S77" s="79">
        <f t="shared" si="400"/>
        <v>-4.5854122119268093E-2</v>
      </c>
      <c r="T77" s="78">
        <f>T76/S76-1</f>
        <v>-6.8227091633466075E-2</v>
      </c>
      <c r="U77" s="78">
        <f>U76/T76-1</f>
        <v>1.8706574024585532E-2</v>
      </c>
      <c r="V77" s="78">
        <f>V76/U76-1</f>
        <v>5.6925498426023013E-2</v>
      </c>
      <c r="W77" s="79">
        <f>W76/V76-1</f>
        <v>1.2410027302059978E-2</v>
      </c>
      <c r="X77" s="78">
        <f t="shared" ref="X77:AE77" si="401">X76/W76-1</f>
        <v>3.432213777886739E-2</v>
      </c>
      <c r="Y77" s="78">
        <f t="shared" si="401"/>
        <v>0.33372837165205071</v>
      </c>
      <c r="Z77" s="78">
        <f t="shared" si="401"/>
        <v>3.3410342989159014E-2</v>
      </c>
      <c r="AA77" s="79">
        <f t="shared" si="401"/>
        <v>-0.15958727429062769</v>
      </c>
      <c r="AB77" s="78">
        <f t="shared" si="401"/>
        <v>-0.22426846736239003</v>
      </c>
      <c r="AC77" s="78">
        <f t="shared" si="401"/>
        <v>0.10735953574254831</v>
      </c>
      <c r="AD77" s="78">
        <f t="shared" si="401"/>
        <v>0.12648880419247255</v>
      </c>
      <c r="AE77" s="79">
        <f t="shared" si="401"/>
        <v>5.1173609642630735E-2</v>
      </c>
      <c r="AF77" s="78">
        <f t="shared" ref="AF77:AS77" si="402">AF76/AE76-1</f>
        <v>0.10681955340977667</v>
      </c>
      <c r="AG77" s="78">
        <f t="shared" si="402"/>
        <v>6.0159941839331266E-2</v>
      </c>
      <c r="AH77" s="78">
        <f t="shared" si="402"/>
        <v>2.9830276015772261E-2</v>
      </c>
      <c r="AI77" s="79">
        <f t="shared" si="402"/>
        <v>-3.579157649409026E-2</v>
      </c>
      <c r="AJ77" s="78">
        <f t="shared" si="402"/>
        <v>0.50310773480662974</v>
      </c>
      <c r="AK77" s="78">
        <f t="shared" si="402"/>
        <v>4.0431886055593669E-2</v>
      </c>
      <c r="AL77" s="78">
        <f t="shared" si="402"/>
        <v>-8.6111724442480275E-3</v>
      </c>
      <c r="AM77" s="79">
        <f t="shared" si="402"/>
        <v>-0.14487750556792889</v>
      </c>
      <c r="AN77" s="78">
        <f t="shared" si="402"/>
        <v>-3.0602943091548429E-2</v>
      </c>
      <c r="AO77" s="78">
        <f t="shared" si="402"/>
        <v>5.3734551316497736E-4</v>
      </c>
      <c r="AP77" s="78">
        <f t="shared" si="402"/>
        <v>-2.5912996777658237E-2</v>
      </c>
      <c r="AQ77" s="79">
        <f t="shared" ref="AQ77:AY77" si="403">AQ76/AP76-1</f>
        <v>-6.2439696760854702E-2</v>
      </c>
      <c r="AR77" s="78">
        <f t="shared" si="402"/>
        <v>-2.8226992061158529E-2</v>
      </c>
      <c r="AS77" s="78">
        <f t="shared" si="402"/>
        <v>4.1301059001513041E-2</v>
      </c>
      <c r="AT77" s="220">
        <f t="shared" si="403"/>
        <v>3.9372366700566541E-2</v>
      </c>
      <c r="AU77" s="79">
        <f t="shared" si="403"/>
        <v>3.6343304445063396E-3</v>
      </c>
      <c r="AV77" s="78">
        <f t="shared" si="403"/>
        <v>-1.6016713091921986E-2</v>
      </c>
      <c r="AW77" s="78">
        <f t="shared" si="403"/>
        <v>7.2328379334748671E-2</v>
      </c>
      <c r="AX77" s="220">
        <f t="shared" si="403"/>
        <v>0.10018479408658942</v>
      </c>
      <c r="AY77" s="220">
        <f t="shared" si="403"/>
        <v>3.6832633473305565E-2</v>
      </c>
      <c r="AZ77" s="219">
        <f t="shared" ref="AZ77:BH77" si="404">AZ76/AY76-1</f>
        <v>7.6371210367967013E-3</v>
      </c>
      <c r="BA77" s="220">
        <f t="shared" si="404"/>
        <v>1.1139182361047384E-2</v>
      </c>
      <c r="BB77" s="220">
        <f t="shared" si="404"/>
        <v>2.7143668370244178E-2</v>
      </c>
      <c r="BC77" s="258">
        <f t="shared" si="404"/>
        <v>-7.087571870853604E-2</v>
      </c>
      <c r="BD77" s="219">
        <f t="shared" si="404"/>
        <v>-2.7490182077829384E-2</v>
      </c>
      <c r="BE77" s="220">
        <f t="shared" si="404"/>
        <v>7.4155653450807657E-2</v>
      </c>
      <c r="BF77" s="220">
        <f t="shared" si="404"/>
        <v>8.3276372750056948E-2</v>
      </c>
      <c r="BG77" s="258">
        <f t="shared" si="404"/>
        <v>0.32611210432222104</v>
      </c>
      <c r="BH77" s="219">
        <f t="shared" si="404"/>
        <v>1.6336241078509284E-2</v>
      </c>
      <c r="BI77" s="220">
        <f t="shared" ref="BI77" si="405">BI76/BH76-1</f>
        <v>4.4007490636703839E-2</v>
      </c>
      <c r="BJ77" s="220">
        <f t="shared" ref="BJ77:BK77" si="406">BJ76/BI76-1</f>
        <v>3.9611360239163007E-2</v>
      </c>
      <c r="BK77" s="258">
        <f t="shared" si="406"/>
        <v>-9.7052480230049865E-3</v>
      </c>
      <c r="BL77" s="220">
        <f t="shared" ref="BL77:BO77" si="407">BL76/BK76-1</f>
        <v>-5.5484573502720957E-3</v>
      </c>
      <c r="BM77" s="220">
        <f t="shared" si="407"/>
        <v>4.2725970667011115E-2</v>
      </c>
      <c r="BN77" s="220">
        <f t="shared" si="407"/>
        <v>2.361789258469571E-2</v>
      </c>
      <c r="BO77" s="258">
        <f t="shared" si="407"/>
        <v>-1.7717514787012001E-2</v>
      </c>
      <c r="BP77" s="220">
        <f t="shared" ref="BP77" si="408">BP76/BO76-1</f>
        <v>-5.5480216678005512E-3</v>
      </c>
      <c r="BQ77" s="220">
        <f t="shared" ref="BQ77" si="409">BQ76/BP76-1</f>
        <v>3.7372739538657829E-2</v>
      </c>
      <c r="BR77" s="220">
        <f t="shared" ref="BR77:BS77" si="410">BR76/BQ76-1</f>
        <v>2.1715629511637857E-2</v>
      </c>
      <c r="BS77" s="258">
        <f t="shared" si="410"/>
        <v>-1.7371902421250973E-2</v>
      </c>
      <c r="BT77" s="220">
        <f t="shared" ref="BT77" si="411">BT76/BS76-1</f>
        <v>-4.1093772483989932E-3</v>
      </c>
      <c r="BU77" s="220">
        <f t="shared" ref="BU77" si="412">BU76/BT76-1</f>
        <v>3.7282542824362608E-2</v>
      </c>
      <c r="BV77" s="220">
        <f t="shared" ref="BV77" si="413">BV76/BU76-1</f>
        <v>2.0746270832681546E-2</v>
      </c>
      <c r="BW77" s="258">
        <f t="shared" ref="BW77" si="414">BW76/BV76-1</f>
        <v>-1.7021873776620566E-2</v>
      </c>
      <c r="BX77" s="346"/>
      <c r="BY77" s="22"/>
      <c r="BZ77" s="15"/>
      <c r="CA77" s="15"/>
      <c r="CB77" s="15"/>
      <c r="CC77" s="15"/>
      <c r="CD77" s="15"/>
      <c r="CE77" s="15"/>
      <c r="CF77" s="220"/>
      <c r="CG77" s="220"/>
      <c r="CH77" s="220"/>
      <c r="CJ77" s="220"/>
      <c r="CK77" s="220"/>
      <c r="CL77" s="220"/>
      <c r="CM77" s="220"/>
      <c r="CN77" s="220"/>
      <c r="CO77" s="220"/>
      <c r="CP77" s="258"/>
      <c r="CQ77" s="1041"/>
    </row>
    <row r="78" spans="1:95" ht="14.25" customHeight="1">
      <c r="A78" s="865"/>
      <c r="B78" s="32" t="s">
        <v>548</v>
      </c>
      <c r="C78" s="218"/>
      <c r="D78" s="134"/>
      <c r="E78" s="78"/>
      <c r="F78" s="78"/>
      <c r="G78" s="79"/>
      <c r="H78" s="134"/>
      <c r="I78" s="78"/>
      <c r="J78" s="78"/>
      <c r="K78" s="79"/>
      <c r="L78" s="134"/>
      <c r="M78" s="78"/>
      <c r="N78" s="78"/>
      <c r="O78" s="79"/>
      <c r="P78" s="134"/>
      <c r="Q78" s="78"/>
      <c r="R78" s="78"/>
      <c r="S78" s="79"/>
      <c r="T78" s="134"/>
      <c r="U78" s="78"/>
      <c r="V78" s="78"/>
      <c r="W78" s="79"/>
      <c r="X78" s="134">
        <f t="shared" ref="X78:AW78" si="415">AVERAGE(T77,P77,L77,H77,D77)</f>
        <v>2.141170622977917E-4</v>
      </c>
      <c r="Y78" s="78">
        <f t="shared" si="415"/>
        <v>5.6442893049230336E-2</v>
      </c>
      <c r="Z78" s="78">
        <f t="shared" si="415"/>
        <v>4.0477113448119641E-2</v>
      </c>
      <c r="AA78" s="79">
        <f t="shared" si="415"/>
        <v>1.4432403478380994E-2</v>
      </c>
      <c r="AB78" s="134">
        <f t="shared" si="415"/>
        <v>7.0357212056117117E-3</v>
      </c>
      <c r="AC78" s="78">
        <f t="shared" si="415"/>
        <v>0.11189998876979441</v>
      </c>
      <c r="AD78" s="78">
        <f t="shared" si="415"/>
        <v>4.044567697179062E-2</v>
      </c>
      <c r="AE78" s="79">
        <f t="shared" si="415"/>
        <v>-2.79080121048201E-2</v>
      </c>
      <c r="AF78" s="134">
        <f t="shared" si="415"/>
        <v>-5.9067074923004136E-2</v>
      </c>
      <c r="AG78" s="78">
        <f t="shared" si="415"/>
        <v>0.11695398547054289</v>
      </c>
      <c r="AH78" s="78">
        <f t="shared" si="415"/>
        <v>7.4798910074153208E-2</v>
      </c>
      <c r="AI78" s="79">
        <f t="shared" si="415"/>
        <v>-1.0386858015489997E-2</v>
      </c>
      <c r="AJ78" s="134">
        <f t="shared" si="415"/>
        <v>-3.4834846118493322E-2</v>
      </c>
      <c r="AK78" s="78">
        <f t="shared" si="415"/>
        <v>0.12872142357385888</v>
      </c>
      <c r="AL78" s="78">
        <f t="shared" si="415"/>
        <v>7.3631543877043446E-2</v>
      </c>
      <c r="AM78" s="79">
        <f t="shared" si="415"/>
        <v>-3.5529867191859063E-2</v>
      </c>
      <c r="AN78" s="134">
        <f t="shared" si="415"/>
        <v>7.0350773399883534E-2</v>
      </c>
      <c r="AO78" s="78">
        <f t="shared" si="415"/>
        <v>0.11207726186282189</v>
      </c>
      <c r="AP78" s="78">
        <f t="shared" si="415"/>
        <v>4.7608749835835761E-2</v>
      </c>
      <c r="AQ78" s="79">
        <f t="shared" si="415"/>
        <v>-5.5334543881591224E-2</v>
      </c>
      <c r="AR78" s="134">
        <f t="shared" si="415"/>
        <v>7.7875603108267064E-2</v>
      </c>
      <c r="AS78" s="78">
        <f t="shared" si="415"/>
        <v>0.10844341616053779</v>
      </c>
      <c r="AT78" s="220">
        <f t="shared" ref="AT78:AY78" si="416">AP78</f>
        <v>4.7608749835835761E-2</v>
      </c>
      <c r="AU78" s="79">
        <f t="shared" si="415"/>
        <v>-7.0304488694174161E-2</v>
      </c>
      <c r="AV78" s="134">
        <f t="shared" si="415"/>
        <v>6.5365777140261885E-2</v>
      </c>
      <c r="AW78" s="78">
        <f t="shared" si="415"/>
        <v>4.9957953630430249E-2</v>
      </c>
      <c r="AX78" s="220">
        <f t="shared" si="416"/>
        <v>4.7608749835835761E-2</v>
      </c>
      <c r="AY78" s="220">
        <f t="shared" si="416"/>
        <v>-7.0304488694174161E-2</v>
      </c>
      <c r="AZ78" s="219">
        <f t="shared" ref="AZ78:BH78" si="417">AV78</f>
        <v>6.5365777140261885E-2</v>
      </c>
      <c r="BA78" s="220">
        <f t="shared" si="417"/>
        <v>4.9957953630430249E-2</v>
      </c>
      <c r="BB78" s="220">
        <f t="shared" si="417"/>
        <v>4.7608749835835761E-2</v>
      </c>
      <c r="BC78" s="258">
        <f t="shared" si="417"/>
        <v>-7.0304488694174161E-2</v>
      </c>
      <c r="BD78" s="219">
        <f t="shared" si="417"/>
        <v>6.5365777140261885E-2</v>
      </c>
      <c r="BE78" s="220">
        <f t="shared" si="417"/>
        <v>4.9957953630430249E-2</v>
      </c>
      <c r="BF78" s="220">
        <f t="shared" si="417"/>
        <v>4.7608749835835761E-2</v>
      </c>
      <c r="BG78" s="258">
        <f t="shared" si="417"/>
        <v>-7.0304488694174161E-2</v>
      </c>
      <c r="BH78" s="219">
        <f t="shared" si="417"/>
        <v>6.5365777140261885E-2</v>
      </c>
      <c r="BI78" s="220">
        <f t="shared" ref="BI78" si="418">BE78</f>
        <v>4.9957953630430249E-2</v>
      </c>
      <c r="BJ78" s="220">
        <f t="shared" ref="BJ78:BK78" si="419">BF78</f>
        <v>4.7608749835835761E-2</v>
      </c>
      <c r="BK78" s="258">
        <f t="shared" si="419"/>
        <v>-7.0304488694174161E-2</v>
      </c>
      <c r="BL78" s="220">
        <f t="shared" ref="BL78:BO78" si="420">BH78</f>
        <v>6.5365777140261885E-2</v>
      </c>
      <c r="BM78" s="220">
        <f t="shared" si="420"/>
        <v>4.9957953630430249E-2</v>
      </c>
      <c r="BN78" s="220">
        <f t="shared" si="420"/>
        <v>4.7608749835835761E-2</v>
      </c>
      <c r="BO78" s="258">
        <f t="shared" si="420"/>
        <v>-7.0304488694174161E-2</v>
      </c>
      <c r="BP78" s="220">
        <f t="shared" ref="BP78" si="421">BL78</f>
        <v>6.5365777140261885E-2</v>
      </c>
      <c r="BQ78" s="220">
        <f t="shared" ref="BQ78" si="422">BM78</f>
        <v>4.9957953630430249E-2</v>
      </c>
      <c r="BR78" s="220">
        <f t="shared" ref="BR78:BS78" si="423">BN78</f>
        <v>4.7608749835835761E-2</v>
      </c>
      <c r="BS78" s="258">
        <f t="shared" si="423"/>
        <v>-7.0304488694174161E-2</v>
      </c>
      <c r="BT78" s="220">
        <f t="shared" ref="BT78" si="424">BP78</f>
        <v>6.5365777140261885E-2</v>
      </c>
      <c r="BU78" s="220">
        <f t="shared" ref="BU78" si="425">BQ78</f>
        <v>4.9957953630430249E-2</v>
      </c>
      <c r="BV78" s="220">
        <f t="shared" ref="BV78" si="426">BR78</f>
        <v>4.7608749835835761E-2</v>
      </c>
      <c r="BW78" s="258">
        <f t="shared" ref="BW78" si="427">BS78</f>
        <v>-7.0304488694174161E-2</v>
      </c>
      <c r="BX78" s="346"/>
      <c r="BY78" s="22"/>
      <c r="BZ78" s="15"/>
      <c r="CA78" s="15"/>
      <c r="CB78" s="15"/>
      <c r="CC78" s="15"/>
      <c r="CD78" s="15"/>
      <c r="CE78" s="15"/>
      <c r="CF78" s="220"/>
      <c r="CG78" s="220"/>
      <c r="CH78" s="220"/>
      <c r="CI78" s="220"/>
      <c r="CJ78" s="220"/>
      <c r="CK78" s="220"/>
      <c r="CL78" s="220"/>
      <c r="CM78" s="220"/>
      <c r="CN78" s="220"/>
      <c r="CO78" s="220"/>
      <c r="CP78" s="258"/>
      <c r="CQ78" s="1041"/>
    </row>
    <row r="79" spans="1:95" ht="14.25" customHeight="1">
      <c r="A79" s="865"/>
      <c r="B79" s="32" t="s">
        <v>298</v>
      </c>
      <c r="C79" s="33"/>
      <c r="D79" s="78"/>
      <c r="E79" s="78"/>
      <c r="F79" s="78"/>
      <c r="G79" s="79"/>
      <c r="H79" s="78"/>
      <c r="I79" s="78">
        <f t="shared" ref="I79:AE79" si="428">I76/E76-1</f>
        <v>0.30171740827478533</v>
      </c>
      <c r="J79" s="78">
        <f t="shared" si="428"/>
        <v>0.20241691842900278</v>
      </c>
      <c r="K79" s="79">
        <f t="shared" si="428"/>
        <v>0.10122038765254859</v>
      </c>
      <c r="L79" s="78">
        <f t="shared" si="428"/>
        <v>-1.8818948734588115E-2</v>
      </c>
      <c r="M79" s="78">
        <f t="shared" si="428"/>
        <v>-9.2053973013493273E-2</v>
      </c>
      <c r="N79" s="78">
        <f t="shared" si="428"/>
        <v>-1.5075376884421954E-2</v>
      </c>
      <c r="O79" s="79">
        <f t="shared" si="428"/>
        <v>0.1140808344198172</v>
      </c>
      <c r="P79" s="78">
        <f t="shared" si="428"/>
        <v>0.10449735449735464</v>
      </c>
      <c r="Q79" s="78">
        <f t="shared" si="428"/>
        <v>0.23943196829590496</v>
      </c>
      <c r="R79" s="78">
        <f t="shared" si="428"/>
        <v>0.34215561224489788</v>
      </c>
      <c r="S79" s="79">
        <f t="shared" si="428"/>
        <v>0.17495611468695138</v>
      </c>
      <c r="T79" s="78">
        <f t="shared" si="428"/>
        <v>0.12035928143712593</v>
      </c>
      <c r="U79" s="78">
        <f t="shared" si="428"/>
        <v>1.5720756727950924E-2</v>
      </c>
      <c r="V79" s="78">
        <f t="shared" si="428"/>
        <v>-4.2765502494654273E-2</v>
      </c>
      <c r="W79" s="79">
        <f t="shared" si="428"/>
        <v>1.5687250996015756E-2</v>
      </c>
      <c r="X79" s="78">
        <f t="shared" si="428"/>
        <v>0.12747194013896301</v>
      </c>
      <c r="Y79" s="78">
        <f t="shared" si="428"/>
        <v>0.47612801678908756</v>
      </c>
      <c r="Z79" s="78">
        <f t="shared" si="428"/>
        <v>0.44328617522958558</v>
      </c>
      <c r="AA79" s="79">
        <f t="shared" si="428"/>
        <v>0.19808776660946315</v>
      </c>
      <c r="AB79" s="78">
        <f t="shared" si="428"/>
        <v>-0.10144584024650394</v>
      </c>
      <c r="AC79" s="78">
        <f t="shared" si="428"/>
        <v>-0.2539541496356853</v>
      </c>
      <c r="AD79" s="78">
        <f t="shared" si="428"/>
        <v>-0.18675838349097162</v>
      </c>
      <c r="AE79" s="79">
        <f t="shared" si="428"/>
        <v>1.7188459177409632E-2</v>
      </c>
      <c r="AF79" s="78">
        <f t="shared" ref="AF79:AS79" si="429">AF76/AB76-1</f>
        <v>0.45133210234766574</v>
      </c>
      <c r="AG79" s="78">
        <f t="shared" si="429"/>
        <v>0.38947117675083387</v>
      </c>
      <c r="AH79" s="78">
        <f t="shared" si="429"/>
        <v>0.27024740960033844</v>
      </c>
      <c r="AI79" s="79">
        <f t="shared" si="429"/>
        <v>0.16515791591229134</v>
      </c>
      <c r="AJ79" s="78">
        <f t="shared" si="429"/>
        <v>0.58233369683751346</v>
      </c>
      <c r="AK79" s="78">
        <f t="shared" si="429"/>
        <v>0.55288873649922832</v>
      </c>
      <c r="AL79" s="78">
        <f t="shared" si="429"/>
        <v>0.49492259031130348</v>
      </c>
      <c r="AM79" s="79">
        <f t="shared" si="429"/>
        <v>0.32579419889502748</v>
      </c>
      <c r="AN79" s="78">
        <f t="shared" si="429"/>
        <v>-0.14495750057431667</v>
      </c>
      <c r="AO79" s="78">
        <f t="shared" si="429"/>
        <v>-0.1777434312210201</v>
      </c>
      <c r="AP79" s="78">
        <f t="shared" si="429"/>
        <v>-0.19209354120267264</v>
      </c>
      <c r="AQ79" s="79">
        <f t="shared" ref="AQ79:AY79" si="430">AQ76/AM76-1</f>
        <v>-0.11420757911186341</v>
      </c>
      <c r="AR79" s="78">
        <f t="shared" si="429"/>
        <v>-0.11203653949489523</v>
      </c>
      <c r="AS79" s="78">
        <f t="shared" si="429"/>
        <v>-7.5859291084854896E-2</v>
      </c>
      <c r="AT79" s="220">
        <f t="shared" si="430"/>
        <v>-1.3921433494141988E-2</v>
      </c>
      <c r="AU79" s="79">
        <f t="shared" si="430"/>
        <v>5.5571890620405684E-2</v>
      </c>
      <c r="AV79" s="78">
        <f t="shared" si="430"/>
        <v>6.8835098335854772E-2</v>
      </c>
      <c r="AW79" s="78">
        <f t="shared" si="430"/>
        <v>0.10068284178410547</v>
      </c>
      <c r="AX79" s="220">
        <f t="shared" si="430"/>
        <v>0.16508247134470211</v>
      </c>
      <c r="AY79" s="220">
        <f t="shared" si="430"/>
        <v>0.20362116991643475</v>
      </c>
      <c r="AZ79" s="219">
        <f t="shared" ref="AZ79:BH79" si="431">AZ76/AV76-1</f>
        <v>0.23255484784147207</v>
      </c>
      <c r="BA79" s="220">
        <f t="shared" si="431"/>
        <v>0.16222280887011631</v>
      </c>
      <c r="BB79" s="220">
        <f t="shared" si="431"/>
        <v>8.5062987402519497E-2</v>
      </c>
      <c r="BC79" s="258">
        <f t="shared" si="431"/>
        <v>-2.7655635269613787E-2</v>
      </c>
      <c r="BD79" s="219">
        <f t="shared" si="431"/>
        <v>-6.155259531465318E-2</v>
      </c>
      <c r="BE79" s="220">
        <f t="shared" si="431"/>
        <v>-3.0664395229983432E-3</v>
      </c>
      <c r="BF79" s="220">
        <f t="shared" si="431"/>
        <v>5.1415302963290666E-2</v>
      </c>
      <c r="BG79" s="258">
        <f t="shared" si="431"/>
        <v>0.50065452814471034</v>
      </c>
      <c r="BH79" s="219">
        <f t="shared" si="431"/>
        <v>0.56828193832599139</v>
      </c>
      <c r="BI79" s="220">
        <f t="shared" ref="BI79" si="432">BI76/BE76-1</f>
        <v>0.52426520847573466</v>
      </c>
      <c r="BJ79" s="220">
        <f t="shared" ref="BJ79:BK79" si="433">BJ76/BF76-1</f>
        <v>0.46282469239667678</v>
      </c>
      <c r="BK79" s="258">
        <f t="shared" si="433"/>
        <v>9.2386994448850013E-2</v>
      </c>
      <c r="BL79" s="220">
        <f t="shared" ref="BL79:BO79" si="434">BL76/BH76-1</f>
        <v>6.8864700374531962E-2</v>
      </c>
      <c r="BM79" s="220">
        <f t="shared" si="434"/>
        <v>6.7552668161435125E-2</v>
      </c>
      <c r="BN79" s="220">
        <f t="shared" si="434"/>
        <v>5.1129349101366017E-2</v>
      </c>
      <c r="BO79" s="258">
        <f t="shared" si="434"/>
        <v>4.2624882394192376E-2</v>
      </c>
      <c r="BP79" s="220">
        <f t="shared" ref="BP79" si="435">BP76/BL76-1</f>
        <v>4.2625339182045918E-2</v>
      </c>
      <c r="BQ79" s="220">
        <f t="shared" ref="BQ79" si="436">BQ76/BM76-1</f>
        <v>3.7272624683769129E-2</v>
      </c>
      <c r="BR79" s="220">
        <f t="shared" ref="BR79:BS79" si="437">BR76/BN76-1</f>
        <v>3.5344986035672044E-2</v>
      </c>
      <c r="BS79" s="258">
        <f t="shared" si="437"/>
        <v>3.570926824103493E-2</v>
      </c>
      <c r="BT79" s="220">
        <f t="shared" ref="BT79" si="438">BT76/BP76-1</f>
        <v>3.7207598367921868E-2</v>
      </c>
      <c r="BU79" s="220">
        <f t="shared" ref="BU79" si="439">BU76/BQ76-1</f>
        <v>3.7117416012198312E-2</v>
      </c>
      <c r="BV79" s="220">
        <f t="shared" ref="BV79" si="440">BV76/BR76-1</f>
        <v>3.6133444798223113E-2</v>
      </c>
      <c r="BW79" s="258">
        <f t="shared" ref="BW79" si="441">BW76/BS76-1</f>
        <v>3.6502532946865118E-2</v>
      </c>
      <c r="BX79" s="346"/>
      <c r="BY79" s="359"/>
      <c r="BZ79" s="338">
        <f>BZ76/BY76-1</f>
        <v>0.58388436106412422</v>
      </c>
      <c r="CA79" s="338">
        <f>CA76/BZ76-1</f>
        <v>-4.9727681742838259E-3</v>
      </c>
      <c r="CB79" s="338">
        <f>CB76/CA76-1</f>
        <v>0.21513564969062382</v>
      </c>
      <c r="CC79" s="338">
        <f>CC76/CB76-1</f>
        <v>2.2457239848544086E-2</v>
      </c>
      <c r="CD79" s="338">
        <f t="shared" ref="CD79:CP79" si="442">CD76/CC76-1</f>
        <v>0.31196526624952114</v>
      </c>
      <c r="CE79" s="338">
        <f t="shared" si="442"/>
        <v>-0.13913762896632276</v>
      </c>
      <c r="CF79" s="338">
        <f t="shared" si="442"/>
        <v>0.30781841822601619</v>
      </c>
      <c r="CG79" s="338">
        <f t="shared" si="442"/>
        <v>0.48798305524336483</v>
      </c>
      <c r="CH79" s="338">
        <f t="shared" si="442"/>
        <v>-0.15902158440577541</v>
      </c>
      <c r="CI79" s="338">
        <f t="shared" si="442"/>
        <v>-3.8757815468582479E-2</v>
      </c>
      <c r="CJ79" s="338">
        <f t="shared" si="442"/>
        <v>0.13623459230243995</v>
      </c>
      <c r="CK79" s="338">
        <f t="shared" si="442"/>
        <v>0.10569928521728134</v>
      </c>
      <c r="CL79" s="338">
        <f t="shared" si="442"/>
        <v>0.11753432494279181</v>
      </c>
      <c r="CM79" s="338">
        <f t="shared" si="442"/>
        <v>0.37912411374747257</v>
      </c>
      <c r="CN79" s="338">
        <f t="shared" si="442"/>
        <v>5.7251938549395698E-2</v>
      </c>
      <c r="CO79" s="338">
        <f t="shared" si="442"/>
        <v>3.7670880438405607E-2</v>
      </c>
      <c r="CP79" s="337">
        <f t="shared" si="442"/>
        <v>3.6732488733292046E-2</v>
      </c>
      <c r="CQ79" s="1041"/>
    </row>
    <row r="80" spans="1:95" ht="14.25" customHeight="1">
      <c r="A80" s="865"/>
      <c r="B80" s="22"/>
      <c r="C80" s="211"/>
      <c r="D80" s="78"/>
      <c r="E80" s="78"/>
      <c r="F80" s="78"/>
      <c r="G80" s="79"/>
      <c r="H80" s="78"/>
      <c r="I80" s="78"/>
      <c r="J80" s="78"/>
      <c r="K80" s="79"/>
      <c r="L80" s="78"/>
      <c r="M80" s="78"/>
      <c r="N80" s="78"/>
      <c r="O80" s="79"/>
      <c r="P80" s="78"/>
      <c r="Q80" s="78"/>
      <c r="R80" s="78"/>
      <c r="S80" s="79"/>
      <c r="T80" s="78"/>
      <c r="U80" s="78"/>
      <c r="V80" s="78"/>
      <c r="W80" s="79"/>
      <c r="X80" s="78"/>
      <c r="Y80" s="78"/>
      <c r="Z80" s="78"/>
      <c r="AA80" s="79"/>
      <c r="AB80" s="78"/>
      <c r="AC80" s="78"/>
      <c r="AD80" s="78"/>
      <c r="AE80" s="79"/>
      <c r="AF80" s="78"/>
      <c r="AG80" s="78"/>
      <c r="AH80" s="78"/>
      <c r="AI80" s="79"/>
      <c r="AJ80" s="78"/>
      <c r="AK80" s="78"/>
      <c r="AL80" s="78"/>
      <c r="AM80" s="79"/>
      <c r="AN80" s="78"/>
      <c r="AO80" s="78"/>
      <c r="AP80" s="78"/>
      <c r="AQ80" s="79"/>
      <c r="AR80" s="78"/>
      <c r="AS80" s="78"/>
      <c r="AT80" s="220"/>
      <c r="AU80" s="79"/>
      <c r="AV80" s="78"/>
      <c r="AW80" s="78"/>
      <c r="AX80" s="220"/>
      <c r="AY80" s="220"/>
      <c r="AZ80" s="219"/>
      <c r="BA80" s="220"/>
      <c r="BB80" s="220"/>
      <c r="BC80" s="258"/>
      <c r="BD80" s="219"/>
      <c r="BE80" s="220"/>
      <c r="BF80" s="220"/>
      <c r="BG80" s="258"/>
      <c r="BH80" s="219"/>
      <c r="BI80" s="220"/>
      <c r="BJ80" s="220"/>
      <c r="BK80" s="258"/>
      <c r="BL80" s="220"/>
      <c r="BM80" s="220"/>
      <c r="BN80" s="220"/>
      <c r="BO80" s="258"/>
      <c r="BP80" s="220"/>
      <c r="BQ80" s="220"/>
      <c r="BR80" s="220"/>
      <c r="BS80" s="258"/>
      <c r="BT80" s="220"/>
      <c r="BU80" s="220"/>
      <c r="BV80" s="220"/>
      <c r="BW80" s="258"/>
      <c r="BX80" s="346"/>
      <c r="BY80" s="22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211"/>
      <c r="CQ80" s="1041"/>
    </row>
    <row r="81" spans="1:96" ht="14.25" customHeight="1">
      <c r="A81" s="865"/>
      <c r="B81" s="235" t="s">
        <v>300</v>
      </c>
      <c r="C81" s="251"/>
      <c r="D81" s="883">
        <f>IS!D8</f>
        <v>269.5</v>
      </c>
      <c r="E81" s="883">
        <f>IS!E8</f>
        <v>256.2</v>
      </c>
      <c r="F81" s="883">
        <f>IS!F8</f>
        <v>264.8</v>
      </c>
      <c r="G81" s="884">
        <f>IS!G8</f>
        <v>278.60000000000002</v>
      </c>
      <c r="H81" s="883">
        <f>IS!H8</f>
        <v>308.2</v>
      </c>
      <c r="I81" s="883">
        <f>IS!I8</f>
        <v>333.5</v>
      </c>
      <c r="J81" s="883">
        <f>IS!J8</f>
        <v>318.39999999999998</v>
      </c>
      <c r="K81" s="884">
        <f>IS!K8</f>
        <v>306.8</v>
      </c>
      <c r="L81" s="883">
        <f>IS!L8</f>
        <v>302.39999999999998</v>
      </c>
      <c r="M81" s="883">
        <f>IS!M8</f>
        <v>302.8</v>
      </c>
      <c r="N81" s="883">
        <f>IS!N8</f>
        <v>313.60000000000002</v>
      </c>
      <c r="O81" s="884">
        <f>IS!O8</f>
        <v>341.8</v>
      </c>
      <c r="P81" s="883">
        <f>IS!P8</f>
        <v>334</v>
      </c>
      <c r="Q81" s="883">
        <f>IS!Q8</f>
        <v>375.3</v>
      </c>
      <c r="R81" s="883">
        <f>IS!R8</f>
        <v>420.9</v>
      </c>
      <c r="S81" s="884">
        <f>IS!S8</f>
        <v>401.6</v>
      </c>
      <c r="T81" s="883">
        <f>IS!T8</f>
        <v>374.2</v>
      </c>
      <c r="U81" s="883">
        <f>IS!U8</f>
        <v>381.2</v>
      </c>
      <c r="V81" s="883">
        <f>IS!V8</f>
        <v>402.9</v>
      </c>
      <c r="W81" s="884">
        <f>IS!W8</f>
        <v>407.9</v>
      </c>
      <c r="X81" s="883">
        <f>IS!X8</f>
        <v>421.9</v>
      </c>
      <c r="Y81" s="883">
        <f>IS!Y8</f>
        <v>562.70000000000005</v>
      </c>
      <c r="Z81" s="883">
        <f>IS!Z8</f>
        <v>581.5</v>
      </c>
      <c r="AA81" s="884">
        <f>IS!AA8</f>
        <v>488.7</v>
      </c>
      <c r="AB81" s="883">
        <f>IS!AB8</f>
        <v>379.1</v>
      </c>
      <c r="AC81" s="883">
        <f>IS!AC8</f>
        <v>419.8</v>
      </c>
      <c r="AD81" s="883">
        <f>IS!AD8</f>
        <v>472.9</v>
      </c>
      <c r="AE81" s="884">
        <f>IS!AE8</f>
        <v>497.1</v>
      </c>
      <c r="AF81" s="883">
        <f>IS!AF8</f>
        <v>550.20000000000005</v>
      </c>
      <c r="AG81" s="883">
        <f>IS!AG8</f>
        <v>583.29999999999995</v>
      </c>
      <c r="AH81" s="883">
        <f>IS!AH8</f>
        <v>600.70000000000005</v>
      </c>
      <c r="AI81" s="884">
        <f>IS!AI8</f>
        <v>579.20000000000005</v>
      </c>
      <c r="AJ81" s="883">
        <f>IS!AJ8</f>
        <v>870.6</v>
      </c>
      <c r="AK81" s="883">
        <f>IS!AK8</f>
        <v>905.8</v>
      </c>
      <c r="AL81" s="883">
        <f>IS!AL8</f>
        <v>898</v>
      </c>
      <c r="AM81" s="884">
        <f>IS!AM8</f>
        <v>767.9</v>
      </c>
      <c r="AN81" s="883">
        <f>IS!AN8</f>
        <v>744.4</v>
      </c>
      <c r="AO81" s="883">
        <f>IS!AO8</f>
        <v>744.8</v>
      </c>
      <c r="AP81" s="883">
        <f>IS!AP8</f>
        <v>725.5</v>
      </c>
      <c r="AQ81" s="884">
        <f>IS!AQ8</f>
        <v>680.2</v>
      </c>
      <c r="AR81" s="883">
        <f>IS!AR8</f>
        <v>661</v>
      </c>
      <c r="AS81" s="883">
        <f>IS!AS8</f>
        <v>688.3</v>
      </c>
      <c r="AT81" s="898">
        <f>IS!AT8</f>
        <v>715.4</v>
      </c>
      <c r="AU81" s="884">
        <f>IS!AU8</f>
        <v>718</v>
      </c>
      <c r="AV81" s="883">
        <f>IS!AV8</f>
        <v>706.5</v>
      </c>
      <c r="AW81" s="883">
        <f>IS!AW8</f>
        <v>757.6</v>
      </c>
      <c r="AX81" s="898">
        <f>IS!AX8</f>
        <v>833.5</v>
      </c>
      <c r="AY81" s="898">
        <f>IS!AY8</f>
        <v>864.2</v>
      </c>
      <c r="AZ81" s="1090">
        <f>IS!AZ8</f>
        <v>870.8</v>
      </c>
      <c r="BA81" s="898">
        <f>IS!BA8</f>
        <v>880.5</v>
      </c>
      <c r="BB81" s="898">
        <f>IS!BB8</f>
        <v>904.2</v>
      </c>
      <c r="BC81" s="899">
        <f>IS!BC8</f>
        <v>840.3</v>
      </c>
      <c r="BD81" s="1090">
        <f>IS!BD8</f>
        <v>817.2</v>
      </c>
      <c r="BE81" s="898">
        <f>IS!BE8</f>
        <v>877.8</v>
      </c>
      <c r="BF81" s="898">
        <f>IS!BF8</f>
        <v>950.9</v>
      </c>
      <c r="BG81" s="899">
        <f>IS!BG8</f>
        <v>1261</v>
      </c>
      <c r="BH81" s="898">
        <f>IS!BH8-155.1</f>
        <v>1281.6000000000001</v>
      </c>
      <c r="BI81" s="898">
        <f>IS!BI8</f>
        <v>1338</v>
      </c>
      <c r="BJ81" s="898">
        <f>IS!BJ8</f>
        <v>1390.9</v>
      </c>
      <c r="BK81" s="899">
        <f>IS!BK8</f>
        <v>1377.5</v>
      </c>
      <c r="BL81" s="898">
        <f>IS!BL8</f>
        <v>1369.8570000000002</v>
      </c>
      <c r="BM81" s="898">
        <f>IS!BM8</f>
        <v>1428.3854699999999</v>
      </c>
      <c r="BN81" s="898">
        <f>IS!BN8</f>
        <v>1462.1209246000001</v>
      </c>
      <c r="BO81" s="899">
        <f>IS!BO8</f>
        <v>1436.2157754979999</v>
      </c>
      <c r="BP81" s="898">
        <f>IS!BP8</f>
        <v>1428.2476192559</v>
      </c>
      <c r="BQ81" s="898">
        <f>IS!BQ8</f>
        <v>1481.625145527059</v>
      </c>
      <c r="BR81" s="898">
        <f>IS!BR8</f>
        <v>1513.799568262451</v>
      </c>
      <c r="BS81" s="899">
        <f>IS!BS8</f>
        <v>1487.5019898772639</v>
      </c>
      <c r="BT81" s="898">
        <f>IS!BT8</f>
        <v>1481.3892830431141</v>
      </c>
      <c r="BU81" s="898">
        <f>IS!BU8</f>
        <v>1536.6192424277208</v>
      </c>
      <c r="BV81" s="898">
        <f>IS!BV8</f>
        <v>1568.4983613978361</v>
      </c>
      <c r="BW81" s="899">
        <f>IS!BW8</f>
        <v>1541.799580271286</v>
      </c>
      <c r="BX81" s="346"/>
      <c r="BY81" s="334">
        <f>IS!BY8</f>
        <v>1069.0999999999999</v>
      </c>
      <c r="BZ81" s="325">
        <f>IS!BZ8</f>
        <v>1266.9000000000001</v>
      </c>
      <c r="CA81" s="325">
        <f>IS!CA8</f>
        <v>1260.6000000000001</v>
      </c>
      <c r="CB81" s="325">
        <f>IS!CB8</f>
        <v>1531.7999999999997</v>
      </c>
      <c r="CC81" s="325">
        <f>IS!CC8</f>
        <v>1566.1999999999998</v>
      </c>
      <c r="CD81" s="325">
        <f>IS!CD8</f>
        <v>2054.7999999999997</v>
      </c>
      <c r="CE81" s="325">
        <f>IS!CE8</f>
        <v>1768.9</v>
      </c>
      <c r="CF81" s="325">
        <f>IS!CF8</f>
        <v>2313.4</v>
      </c>
      <c r="CG81" s="325">
        <f>IS!CG8</f>
        <v>3442.3</v>
      </c>
      <c r="CH81" s="325">
        <f>IS!CH8</f>
        <v>2894.8999999999996</v>
      </c>
      <c r="CI81" s="325">
        <f>IS!CI8</f>
        <v>2782.7</v>
      </c>
      <c r="CJ81" s="325">
        <f>IS!CJ8</f>
        <v>3161.8</v>
      </c>
      <c r="CK81" s="325">
        <f>IS!CK8</f>
        <v>3495.8</v>
      </c>
      <c r="CL81" s="325">
        <f>IS!CL8</f>
        <v>3906.9</v>
      </c>
      <c r="CM81" s="325">
        <f>IS!CM8</f>
        <v>5543.1</v>
      </c>
      <c r="CN81" s="325">
        <f>IS!CN8</f>
        <v>5696.5791700979998</v>
      </c>
      <c r="CO81" s="325">
        <f>IS!CO8</f>
        <v>5911.174322922674</v>
      </c>
      <c r="CP81" s="326">
        <f>IS!CP8</f>
        <v>6128.3064671399561</v>
      </c>
      <c r="CQ81" s="1041"/>
    </row>
    <row r="82" spans="1:96" ht="14.25" customHeight="1">
      <c r="A82" s="865"/>
      <c r="B82" s="22"/>
      <c r="C82" s="211"/>
      <c r="D82" s="78"/>
      <c r="E82" s="78"/>
      <c r="F82" s="78"/>
      <c r="G82" s="79"/>
      <c r="H82" s="78"/>
      <c r="I82" s="78"/>
      <c r="J82" s="78"/>
      <c r="K82" s="79"/>
      <c r="L82" s="78"/>
      <c r="M82" s="78"/>
      <c r="N82" s="78"/>
      <c r="O82" s="79"/>
      <c r="P82" s="78"/>
      <c r="Q82" s="78"/>
      <c r="R82" s="78"/>
      <c r="S82" s="79"/>
      <c r="T82" s="78"/>
      <c r="U82" s="78"/>
      <c r="V82" s="78"/>
      <c r="W82" s="79"/>
      <c r="X82" s="78"/>
      <c r="Y82" s="78"/>
      <c r="Z82" s="78"/>
      <c r="AA82" s="79"/>
      <c r="AB82" s="78"/>
      <c r="AC82" s="78"/>
      <c r="AD82" s="78"/>
      <c r="AE82" s="79"/>
      <c r="AF82" s="78"/>
      <c r="AG82" s="78"/>
      <c r="AH82" s="78"/>
      <c r="AI82" s="79"/>
      <c r="AJ82" s="78"/>
      <c r="AK82" s="78"/>
      <c r="AL82" s="78"/>
      <c r="AM82" s="79"/>
      <c r="AN82" s="78"/>
      <c r="AO82" s="78"/>
      <c r="AP82" s="78"/>
      <c r="AQ82" s="79"/>
      <c r="AR82" s="220"/>
      <c r="AS82" s="220"/>
      <c r="AT82" s="220"/>
      <c r="AU82" s="258"/>
      <c r="AV82" s="220"/>
      <c r="AW82" s="220"/>
      <c r="AX82" s="220"/>
      <c r="AY82" s="220"/>
      <c r="AZ82" s="219"/>
      <c r="BA82" s="220"/>
      <c r="BB82" s="220"/>
      <c r="BC82" s="258"/>
      <c r="BD82" s="219"/>
      <c r="BE82" s="220"/>
      <c r="BF82" s="220"/>
      <c r="BG82" s="258"/>
      <c r="BH82" s="219"/>
      <c r="BI82" s="220"/>
      <c r="BJ82" s="220"/>
      <c r="BK82" s="258"/>
      <c r="BL82" s="220"/>
      <c r="BM82" s="220"/>
      <c r="BN82" s="220"/>
      <c r="BO82" s="258"/>
      <c r="BP82" s="220"/>
      <c r="BQ82" s="220"/>
      <c r="BR82" s="220"/>
      <c r="BS82" s="258"/>
      <c r="BT82" s="220"/>
      <c r="BU82" s="220"/>
      <c r="BV82" s="220"/>
      <c r="BW82" s="258"/>
      <c r="BX82" s="346"/>
      <c r="BY82" s="22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211"/>
      <c r="CQ82" s="1041"/>
    </row>
    <row r="83" spans="1:96" ht="14.25" customHeight="1">
      <c r="A83" s="865"/>
      <c r="B83" s="22"/>
      <c r="C83" s="211"/>
      <c r="D83" s="78"/>
      <c r="E83" s="78"/>
      <c r="F83" s="78"/>
      <c r="G83" s="79"/>
      <c r="H83" s="78"/>
      <c r="I83" s="78"/>
      <c r="J83" s="78"/>
      <c r="K83" s="79"/>
      <c r="L83" s="78"/>
      <c r="M83" s="78"/>
      <c r="N83" s="78"/>
      <c r="O83" s="79"/>
      <c r="P83" s="78"/>
      <c r="Q83" s="78"/>
      <c r="R83" s="78"/>
      <c r="S83" s="79"/>
      <c r="T83" s="78"/>
      <c r="U83" s="78"/>
      <c r="V83" s="78"/>
      <c r="W83" s="79"/>
      <c r="X83" s="78"/>
      <c r="Y83" s="78"/>
      <c r="Z83" s="78"/>
      <c r="AA83" s="79"/>
      <c r="AB83" s="78"/>
      <c r="AC83" s="78"/>
      <c r="AD83" s="78"/>
      <c r="AE83" s="79"/>
      <c r="AF83" s="78"/>
      <c r="AG83" s="78"/>
      <c r="AH83" s="78"/>
      <c r="AI83" s="79"/>
      <c r="AJ83" s="78"/>
      <c r="AK83" s="78"/>
      <c r="AL83" s="78"/>
      <c r="AM83" s="79"/>
      <c r="AN83" s="78"/>
      <c r="AO83" s="78"/>
      <c r="AP83" s="78"/>
      <c r="AQ83" s="79"/>
      <c r="AR83" s="220"/>
      <c r="AS83" s="220"/>
      <c r="AT83" s="220"/>
      <c r="AU83" s="258"/>
      <c r="AV83" s="220"/>
      <c r="AW83" s="220"/>
      <c r="AX83" s="220"/>
      <c r="AY83" s="220"/>
      <c r="AZ83" s="939"/>
      <c r="BA83" s="238"/>
      <c r="BB83" s="238"/>
      <c r="BC83" s="914"/>
      <c r="BD83" s="939"/>
      <c r="BE83" s="238"/>
      <c r="BF83" s="238"/>
      <c r="BG83" s="914"/>
      <c r="BH83" s="939"/>
      <c r="BI83" s="238"/>
      <c r="BJ83" s="220"/>
      <c r="BK83" s="914"/>
      <c r="BL83" s="220"/>
      <c r="BM83" s="220"/>
      <c r="BN83" s="220"/>
      <c r="BO83" s="258"/>
      <c r="BP83" s="220"/>
      <c r="BQ83" s="220"/>
      <c r="BR83" s="220"/>
      <c r="BS83" s="258"/>
      <c r="BT83" s="220"/>
      <c r="BU83" s="220"/>
      <c r="BV83" s="220"/>
      <c r="BW83" s="258"/>
      <c r="BX83" s="346"/>
      <c r="BY83" s="22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211"/>
      <c r="CQ83" s="1041"/>
    </row>
    <row r="84" spans="1:96" ht="14.25" customHeight="1">
      <c r="A84" s="865"/>
      <c r="B84" s="868" t="s">
        <v>551</v>
      </c>
      <c r="C84" s="885"/>
      <c r="D84" s="886"/>
      <c r="E84" s="886"/>
      <c r="F84" s="886"/>
      <c r="G84" s="887"/>
      <c r="H84" s="886"/>
      <c r="I84" s="886"/>
      <c r="J84" s="886"/>
      <c r="K84" s="887"/>
      <c r="L84" s="886"/>
      <c r="M84" s="886"/>
      <c r="N84" s="886"/>
      <c r="O84" s="887"/>
      <c r="P84" s="886"/>
      <c r="Q84" s="886"/>
      <c r="R84" s="886"/>
      <c r="S84" s="887"/>
      <c r="T84" s="886"/>
      <c r="U84" s="886"/>
      <c r="V84" s="886"/>
      <c r="W84" s="887"/>
      <c r="X84" s="886"/>
      <c r="Y84" s="886"/>
      <c r="Z84" s="886"/>
      <c r="AA84" s="887"/>
      <c r="AB84" s="886"/>
      <c r="AC84" s="886"/>
      <c r="AD84" s="886"/>
      <c r="AE84" s="887"/>
      <c r="AF84" s="886"/>
      <c r="AG84" s="886"/>
      <c r="AH84" s="886"/>
      <c r="AI84" s="887"/>
      <c r="AJ84" s="886"/>
      <c r="AK84" s="886"/>
      <c r="AL84" s="886"/>
      <c r="AM84" s="887"/>
      <c r="AN84" s="886"/>
      <c r="AO84" s="886"/>
      <c r="AP84" s="886"/>
      <c r="AQ84" s="887"/>
      <c r="AR84" s="886"/>
      <c r="AS84" s="886"/>
      <c r="AT84" s="886"/>
      <c r="AU84" s="887"/>
      <c r="AV84" s="886"/>
      <c r="AW84" s="886"/>
      <c r="AX84" s="886"/>
      <c r="AY84" s="886"/>
      <c r="AZ84" s="886"/>
      <c r="BA84" s="886"/>
      <c r="BB84" s="886"/>
      <c r="BC84" s="887"/>
      <c r="BD84" s="886"/>
      <c r="BE84" s="886"/>
      <c r="BF84" s="886"/>
      <c r="BG84" s="887"/>
      <c r="BH84" s="886"/>
      <c r="BI84" s="886"/>
      <c r="BJ84" s="886"/>
      <c r="BK84" s="887"/>
      <c r="BL84" s="886"/>
      <c r="BM84" s="886"/>
      <c r="BN84" s="886"/>
      <c r="BO84" s="887"/>
      <c r="BP84" s="886"/>
      <c r="BQ84" s="886"/>
      <c r="BR84" s="886"/>
      <c r="BS84" s="887"/>
      <c r="BT84" s="886"/>
      <c r="BU84" s="886"/>
      <c r="BV84" s="886"/>
      <c r="BW84" s="887"/>
      <c r="BX84" s="346"/>
      <c r="BY84" s="917"/>
      <c r="BZ84" s="916"/>
      <c r="CA84" s="916"/>
      <c r="CB84" s="916"/>
      <c r="CC84" s="916"/>
      <c r="CD84" s="916"/>
      <c r="CE84" s="916"/>
      <c r="CF84" s="916"/>
      <c r="CG84" s="916"/>
      <c r="CH84" s="916"/>
      <c r="CI84" s="916"/>
      <c r="CJ84" s="916"/>
      <c r="CK84" s="916"/>
      <c r="CL84" s="916"/>
      <c r="CM84" s="916"/>
      <c r="CN84" s="916"/>
      <c r="CO84" s="916"/>
      <c r="CP84" s="885"/>
      <c r="CQ84" s="1041"/>
      <c r="CR84" s="1079"/>
    </row>
    <row r="85" spans="1:96" ht="14.25" customHeight="1">
      <c r="A85" s="865"/>
      <c r="B85" s="22"/>
      <c r="C85" s="211"/>
      <c r="D85" s="78"/>
      <c r="E85" s="78"/>
      <c r="F85" s="78"/>
      <c r="G85" s="79"/>
      <c r="H85" s="78"/>
      <c r="I85" s="78"/>
      <c r="J85" s="78"/>
      <c r="K85" s="79"/>
      <c r="L85" s="78"/>
      <c r="M85" s="78"/>
      <c r="N85" s="78"/>
      <c r="O85" s="79"/>
      <c r="P85" s="78"/>
      <c r="Q85" s="78"/>
      <c r="R85" s="78"/>
      <c r="S85" s="79"/>
      <c r="T85" s="78"/>
      <c r="U85" s="78"/>
      <c r="V85" s="78"/>
      <c r="W85" s="79"/>
      <c r="X85" s="78"/>
      <c r="Y85" s="78"/>
      <c r="Z85" s="78"/>
      <c r="AA85" s="79"/>
      <c r="AB85" s="78"/>
      <c r="AC85" s="78"/>
      <c r="AD85" s="78"/>
      <c r="AE85" s="79"/>
      <c r="AF85" s="78"/>
      <c r="AG85" s="78"/>
      <c r="AH85" s="78"/>
      <c r="AI85" s="79"/>
      <c r="AJ85" s="78"/>
      <c r="AK85" s="78"/>
      <c r="AL85" s="78"/>
      <c r="AM85" s="79"/>
      <c r="AN85" s="78"/>
      <c r="AO85" s="78"/>
      <c r="AP85" s="78"/>
      <c r="AQ85" s="79"/>
      <c r="AR85" s="220"/>
      <c r="AS85" s="220"/>
      <c r="AT85" s="220"/>
      <c r="AU85" s="258"/>
      <c r="AV85" s="220"/>
      <c r="AW85" s="220"/>
      <c r="AX85" s="220"/>
      <c r="AY85" s="220"/>
      <c r="AZ85" s="1091"/>
      <c r="BA85" s="1092"/>
      <c r="BB85" s="1092"/>
      <c r="BC85" s="1093"/>
      <c r="BD85" s="1091"/>
      <c r="BE85" s="1092"/>
      <c r="BF85" s="1092"/>
      <c r="BG85" s="1093"/>
      <c r="BH85" s="1091"/>
      <c r="BI85" s="1092"/>
      <c r="BJ85" s="220"/>
      <c r="BK85" s="1093"/>
      <c r="BL85" s="220"/>
      <c r="BM85" s="220"/>
      <c r="BN85" s="220"/>
      <c r="BO85" s="258"/>
      <c r="BP85" s="220"/>
      <c r="BQ85" s="220"/>
      <c r="BR85" s="220"/>
      <c r="BS85" s="258"/>
      <c r="BT85" s="220"/>
      <c r="BU85" s="220"/>
      <c r="BV85" s="220"/>
      <c r="BW85" s="258"/>
      <c r="BX85" s="346"/>
      <c r="BY85" s="22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211"/>
      <c r="CQ85" s="1041"/>
    </row>
    <row r="86" spans="1:96" ht="14.25" customHeight="1">
      <c r="A86" s="865"/>
      <c r="B86" s="297" t="s">
        <v>552</v>
      </c>
      <c r="C86" s="287"/>
      <c r="D86" s="888">
        <f>IS!D14</f>
        <v>194.7</v>
      </c>
      <c r="E86" s="888">
        <f>IS!E14</f>
        <v>182.3</v>
      </c>
      <c r="F86" s="888">
        <f>IS!F14</f>
        <v>191.2</v>
      </c>
      <c r="G86" s="889">
        <f>IS!G14</f>
        <v>200.2</v>
      </c>
      <c r="H86" s="888">
        <f>IS!H14</f>
        <v>212.3</v>
      </c>
      <c r="I86" s="888">
        <f>IS!I14</f>
        <v>221.1</v>
      </c>
      <c r="J86" s="888">
        <f>IS!J14</f>
        <v>215.4</v>
      </c>
      <c r="K86" s="889">
        <f>IS!K14</f>
        <v>208.2</v>
      </c>
      <c r="L86" s="888">
        <f>IS!L14</f>
        <v>206.2</v>
      </c>
      <c r="M86" s="888">
        <f>IS!M14</f>
        <v>204.3</v>
      </c>
      <c r="N86" s="888">
        <f>IS!N14</f>
        <v>209.5</v>
      </c>
      <c r="O86" s="889">
        <f>IS!O14</f>
        <v>222.1</v>
      </c>
      <c r="P86" s="888">
        <f>IS!P14</f>
        <v>216.3</v>
      </c>
      <c r="Q86" s="888">
        <f>IS!Q14</f>
        <v>222.1</v>
      </c>
      <c r="R86" s="888">
        <f>IS!R14</f>
        <v>260.5</v>
      </c>
      <c r="S86" s="889">
        <f>IS!S14</f>
        <v>243.9</v>
      </c>
      <c r="T86" s="888">
        <f>IS!T14</f>
        <v>237.6</v>
      </c>
      <c r="U86" s="888">
        <f>IS!U14</f>
        <v>235.2</v>
      </c>
      <c r="V86" s="888">
        <f>IS!V14</f>
        <v>247.3</v>
      </c>
      <c r="W86" s="889">
        <f>IS!W14</f>
        <v>255.6</v>
      </c>
      <c r="X86" s="888">
        <f>IS!X14</f>
        <v>275.3</v>
      </c>
      <c r="Y86" s="888">
        <f>IS!Y14</f>
        <v>371.1</v>
      </c>
      <c r="Z86" s="888">
        <f>IS!Z14</f>
        <v>359.9</v>
      </c>
      <c r="AA86" s="889">
        <f>IS!AA14</f>
        <v>303</v>
      </c>
      <c r="AB86" s="888">
        <f>IS!AB14</f>
        <v>267</v>
      </c>
      <c r="AC86" s="888">
        <f>IS!AC14</f>
        <v>281.60000000000002</v>
      </c>
      <c r="AD86" s="888">
        <f>IS!AD14</f>
        <v>297.10000000000002</v>
      </c>
      <c r="AE86" s="889">
        <f>IS!AE14</f>
        <v>302.5</v>
      </c>
      <c r="AF86" s="888">
        <f>IS!AF14</f>
        <v>322.10000000000002</v>
      </c>
      <c r="AG86" s="888">
        <f>IS!AG14</f>
        <v>339.5</v>
      </c>
      <c r="AH86" s="888">
        <f>IS!AH14</f>
        <v>354.2</v>
      </c>
      <c r="AI86" s="889">
        <f>IS!AI14</f>
        <v>341.6</v>
      </c>
      <c r="AJ86" s="888">
        <f>IS!AJ14</f>
        <v>628.20000000000005</v>
      </c>
      <c r="AK86" s="888">
        <f>IS!AK14</f>
        <v>639.70000000000005</v>
      </c>
      <c r="AL86" s="888">
        <f>IS!AL14</f>
        <v>636.9</v>
      </c>
      <c r="AM86" s="889">
        <f>IS!AM14</f>
        <v>528.70000000000005</v>
      </c>
      <c r="AN86" s="888">
        <f>IS!AN14</f>
        <v>499.2</v>
      </c>
      <c r="AO86" s="888">
        <f>IS!AO14</f>
        <v>486.5</v>
      </c>
      <c r="AP86" s="888">
        <f>IS!AP14</f>
        <v>487.5</v>
      </c>
      <c r="AQ86" s="889">
        <f>IS!AQ14</f>
        <v>469.8</v>
      </c>
      <c r="AR86" s="888">
        <f>IS!AR14</f>
        <v>456.5</v>
      </c>
      <c r="AS86" s="888">
        <f>IS!AS14</f>
        <v>456.5</v>
      </c>
      <c r="AT86" s="888">
        <f>IS!AT14</f>
        <v>466.2</v>
      </c>
      <c r="AU86" s="889">
        <f>IS!AU14</f>
        <v>465.1</v>
      </c>
      <c r="AV86" s="888">
        <f>IS!AV14</f>
        <v>455.7</v>
      </c>
      <c r="AW86" s="888">
        <f>IS!AW14</f>
        <v>484.6</v>
      </c>
      <c r="AX86" s="888">
        <f>IS!AX14</f>
        <v>549.4</v>
      </c>
      <c r="AY86" s="888">
        <f>IS!AY14</f>
        <v>586.5</v>
      </c>
      <c r="AZ86" s="1170">
        <f>IS!AZ14</f>
        <v>570.4</v>
      </c>
      <c r="BA86" s="888">
        <f>IS!BA14</f>
        <v>576.1</v>
      </c>
      <c r="BB86" s="888">
        <f>IS!BB14</f>
        <v>595.70000000000005</v>
      </c>
      <c r="BC86" s="889">
        <f>IS!BC14</f>
        <v>560.4</v>
      </c>
      <c r="BD86" s="1170">
        <f>IS!BD14</f>
        <v>541.70000000000005</v>
      </c>
      <c r="BE86" s="888">
        <f>IS!BE14</f>
        <v>569.9</v>
      </c>
      <c r="BF86" s="888">
        <f>IS!BF14</f>
        <v>621.9</v>
      </c>
      <c r="BG86" s="889">
        <f>IS!BG14</f>
        <v>876.5</v>
      </c>
      <c r="BH86" s="1170">
        <f>IS!BH14</f>
        <v>933.4</v>
      </c>
      <c r="BI86" s="888">
        <f>IS!BI14</f>
        <v>845.9</v>
      </c>
      <c r="BJ86" s="888">
        <f>IS!BJ14</f>
        <v>866.7</v>
      </c>
      <c r="BK86" s="889">
        <f>IS!BK14</f>
        <v>863.3</v>
      </c>
      <c r="BL86" s="900">
        <f t="shared" ref="BL86:BS86" si="443">BL81-BL95</f>
        <v>854.05501100000015</v>
      </c>
      <c r="BM86" s="900">
        <f t="shared" si="443"/>
        <v>886.21207798</v>
      </c>
      <c r="BN86" s="900">
        <f t="shared" si="443"/>
        <v>906.33433184329999</v>
      </c>
      <c r="BO86" s="901">
        <f t="shared" si="443"/>
        <v>892.60167987972875</v>
      </c>
      <c r="BP86" s="900">
        <f t="shared" si="443"/>
        <v>887.83270051552313</v>
      </c>
      <c r="BQ86" s="900">
        <f t="shared" si="443"/>
        <v>914.84951923961444</v>
      </c>
      <c r="BR86" s="900">
        <f t="shared" si="443"/>
        <v>925.19986990018765</v>
      </c>
      <c r="BS86" s="901">
        <f t="shared" si="443"/>
        <v>909.1806040982741</v>
      </c>
      <c r="BT86" s="900">
        <f t="shared" ref="BT86:BW86" si="444">BT81-BT95</f>
        <v>914.23229271773744</v>
      </c>
      <c r="BU86" s="900">
        <f t="shared" si="444"/>
        <v>941.91118517144128</v>
      </c>
      <c r="BV86" s="900">
        <f t="shared" si="444"/>
        <v>951.31719363715649</v>
      </c>
      <c r="BW86" s="901">
        <f t="shared" si="444"/>
        <v>935.23963868441865</v>
      </c>
      <c r="BX86" s="346"/>
      <c r="BY86" s="334">
        <f>SUM(D86:G86)</f>
        <v>768.40000000000009</v>
      </c>
      <c r="BZ86" s="325">
        <f>SUM(H86:K86)</f>
        <v>857</v>
      </c>
      <c r="CA86" s="325">
        <f>SUM(L86:O86)</f>
        <v>842.1</v>
      </c>
      <c r="CB86" s="325">
        <f>SUM(P86:S86)</f>
        <v>942.8</v>
      </c>
      <c r="CC86" s="325">
        <f>SUM(T86:W86)</f>
        <v>975.69999999999993</v>
      </c>
      <c r="CD86" s="325">
        <f>SUM(X86:AA86)</f>
        <v>1309.3000000000002</v>
      </c>
      <c r="CE86" s="325">
        <f>SUM(AB86:AE86)</f>
        <v>1148.2</v>
      </c>
      <c r="CF86" s="325">
        <f>SUM(AF86:AI86)</f>
        <v>1357.4</v>
      </c>
      <c r="CG86" s="325">
        <f>SUM(AJ86:AM86)</f>
        <v>2433.5</v>
      </c>
      <c r="CH86" s="325">
        <f>SUM(AN86:AQ86)</f>
        <v>1943</v>
      </c>
      <c r="CI86" s="325">
        <f>SUM(AR86:AU86)</f>
        <v>1844.3000000000002</v>
      </c>
      <c r="CJ86" s="325">
        <f>SUM(AV86:AY86)</f>
        <v>2076.1999999999998</v>
      </c>
      <c r="CK86" s="325">
        <f>SUM(AZ86:BC86)</f>
        <v>2302.6</v>
      </c>
      <c r="CL86" s="325">
        <f>SUM(BD86:BG86)</f>
        <v>2610</v>
      </c>
      <c r="CM86" s="325">
        <f>SUM(BH86:BK86)</f>
        <v>3509.3</v>
      </c>
      <c r="CN86" s="325">
        <f>SUM(BL86:BO86)</f>
        <v>3539.2031007030287</v>
      </c>
      <c r="CO86" s="325">
        <f>SUM(BP86:BS86)</f>
        <v>3637.0626937535994</v>
      </c>
      <c r="CP86" s="326">
        <f>SUM(BT86:BW86)</f>
        <v>3742.7003102107537</v>
      </c>
      <c r="CQ86" s="1041"/>
    </row>
    <row r="87" spans="1:96" ht="14.25" customHeight="1">
      <c r="A87" s="865"/>
      <c r="B87" s="32"/>
      <c r="C87" s="211"/>
      <c r="D87" s="78"/>
      <c r="E87" s="78"/>
      <c r="F87" s="78"/>
      <c r="G87" s="79"/>
      <c r="H87" s="78"/>
      <c r="I87" s="78"/>
      <c r="J87" s="78"/>
      <c r="K87" s="79"/>
      <c r="L87" s="78"/>
      <c r="M87" s="78"/>
      <c r="N87" s="78"/>
      <c r="O87" s="79"/>
      <c r="P87" s="78"/>
      <c r="Q87" s="78"/>
      <c r="R87" s="78"/>
      <c r="S87" s="79"/>
      <c r="T87" s="78"/>
      <c r="U87" s="78"/>
      <c r="V87" s="78"/>
      <c r="W87" s="79"/>
      <c r="X87" s="78"/>
      <c r="Y87" s="78"/>
      <c r="Z87" s="78"/>
      <c r="AA87" s="79"/>
      <c r="AB87" s="78"/>
      <c r="AC87" s="78"/>
      <c r="AD87" s="78"/>
      <c r="AE87" s="79"/>
      <c r="AF87" s="78"/>
      <c r="AG87" s="78"/>
      <c r="AH87" s="78"/>
      <c r="AI87" s="79"/>
      <c r="AJ87" s="78"/>
      <c r="AK87" s="78"/>
      <c r="AL87" s="78"/>
      <c r="AM87" s="79"/>
      <c r="AN87" s="78"/>
      <c r="AO87" s="78"/>
      <c r="AP87" s="78"/>
      <c r="AQ87" s="79"/>
      <c r="AR87" s="220"/>
      <c r="AS87" s="78"/>
      <c r="AT87" s="78"/>
      <c r="AU87" s="79"/>
      <c r="AV87" s="220"/>
      <c r="AW87" s="78"/>
      <c r="AX87" s="220"/>
      <c r="AY87" s="220"/>
      <c r="AZ87" s="219"/>
      <c r="BA87" s="220"/>
      <c r="BB87" s="220"/>
      <c r="BC87" s="258"/>
      <c r="BD87" s="219"/>
      <c r="BE87" s="220"/>
      <c r="BF87" s="220"/>
      <c r="BG87" s="258"/>
      <c r="BH87" s="219"/>
      <c r="BI87" s="220"/>
      <c r="BJ87" s="220"/>
      <c r="BK87" s="258"/>
      <c r="BL87" s="220"/>
      <c r="BM87" s="220"/>
      <c r="BN87" s="220"/>
      <c r="BO87" s="258"/>
      <c r="BP87" s="220"/>
      <c r="BQ87" s="220"/>
      <c r="BR87" s="220"/>
      <c r="BS87" s="258"/>
      <c r="BT87" s="220"/>
      <c r="BU87" s="220"/>
      <c r="BV87" s="220"/>
      <c r="BW87" s="258"/>
      <c r="BX87" s="346"/>
      <c r="BY87" s="22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211"/>
      <c r="CQ87" s="1041"/>
    </row>
    <row r="88" spans="1:96" ht="14.25" customHeight="1">
      <c r="A88" s="865"/>
      <c r="B88" s="869" t="s">
        <v>553</v>
      </c>
      <c r="C88" s="211"/>
      <c r="D88" s="78"/>
      <c r="E88" s="78"/>
      <c r="F88" s="78"/>
      <c r="G88" s="79"/>
      <c r="H88" s="78"/>
      <c r="I88" s="78"/>
      <c r="J88" s="78"/>
      <c r="K88" s="79"/>
      <c r="L88" s="78"/>
      <c r="M88" s="78"/>
      <c r="N88" s="78"/>
      <c r="O88" s="79"/>
      <c r="P88" s="78"/>
      <c r="Q88" s="78"/>
      <c r="R88" s="78"/>
      <c r="S88" s="79"/>
      <c r="T88" s="78"/>
      <c r="U88" s="78"/>
      <c r="V88" s="78"/>
      <c r="W88" s="79"/>
      <c r="X88" s="78"/>
      <c r="Y88" s="78"/>
      <c r="Z88" s="78"/>
      <c r="AA88" s="79"/>
      <c r="AB88" s="78"/>
      <c r="AC88" s="78"/>
      <c r="AD88" s="78"/>
      <c r="AE88" s="79"/>
      <c r="AF88" s="78"/>
      <c r="AG88" s="78"/>
      <c r="AH88" s="78"/>
      <c r="AI88" s="79"/>
      <c r="AJ88" s="78"/>
      <c r="AK88" s="78"/>
      <c r="AL88" s="78"/>
      <c r="AM88" s="79"/>
      <c r="AN88" s="78"/>
      <c r="AO88" s="78"/>
      <c r="AP88" s="78"/>
      <c r="AQ88" s="79"/>
      <c r="AR88" s="220"/>
      <c r="AS88" s="78"/>
      <c r="AT88" s="78"/>
      <c r="AU88" s="79"/>
      <c r="AV88" s="220"/>
      <c r="AW88" s="78"/>
      <c r="AX88" s="220"/>
      <c r="AY88" s="220"/>
      <c r="AZ88" s="219"/>
      <c r="BA88" s="220"/>
      <c r="BB88" s="220"/>
      <c r="BC88" s="258"/>
      <c r="BD88" s="219"/>
      <c r="BE88" s="220"/>
      <c r="BF88" s="220"/>
      <c r="BG88" s="258"/>
      <c r="BH88" s="219"/>
      <c r="BI88" s="220"/>
      <c r="BJ88" s="220"/>
      <c r="BK88" s="258"/>
      <c r="BL88" s="220"/>
      <c r="BM88" s="220"/>
      <c r="BN88" s="220"/>
      <c r="BO88" s="258"/>
      <c r="BP88" s="220"/>
      <c r="BQ88" s="220"/>
      <c r="BR88" s="220"/>
      <c r="BS88" s="258"/>
      <c r="BT88" s="220"/>
      <c r="BU88" s="220"/>
      <c r="BV88" s="220"/>
      <c r="BW88" s="258"/>
      <c r="BX88" s="346"/>
      <c r="BY88" s="22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5"/>
      <c r="CM88" s="15"/>
      <c r="CN88" s="15"/>
      <c r="CO88" s="15"/>
      <c r="CP88" s="211"/>
      <c r="CQ88" s="1041"/>
    </row>
    <row r="89" spans="1:96" ht="14.25" customHeight="1">
      <c r="A89" s="865"/>
      <c r="B89" s="870" t="s">
        <v>554</v>
      </c>
      <c r="C89" s="211"/>
      <c r="D89" s="78"/>
      <c r="E89" s="78"/>
      <c r="F89" s="78"/>
      <c r="G89" s="79"/>
      <c r="H89" s="78"/>
      <c r="I89" s="78"/>
      <c r="J89" s="78"/>
      <c r="K89" s="79"/>
      <c r="L89" s="78"/>
      <c r="M89" s="78"/>
      <c r="N89" s="78"/>
      <c r="O89" s="79"/>
      <c r="P89" s="78"/>
      <c r="Q89" s="78"/>
      <c r="R89" s="78"/>
      <c r="S89" s="79"/>
      <c r="T89" s="78"/>
      <c r="U89" s="78"/>
      <c r="V89" s="78"/>
      <c r="W89" s="79"/>
      <c r="X89" s="78"/>
      <c r="Y89" s="78"/>
      <c r="Z89" s="78"/>
      <c r="AA89" s="79"/>
      <c r="AB89" s="890"/>
      <c r="AC89" s="890"/>
      <c r="AD89" s="890"/>
      <c r="AE89" s="891"/>
      <c r="AF89" s="890"/>
      <c r="AG89" s="890"/>
      <c r="AH89" s="890"/>
      <c r="AI89" s="891"/>
      <c r="AJ89" s="890">
        <f t="shared" ref="AJ89:AR89" si="445">+AJ90*AJ76</f>
        <v>87.06</v>
      </c>
      <c r="AK89" s="890">
        <f t="shared" si="445"/>
        <v>90.58</v>
      </c>
      <c r="AL89" s="890">
        <f t="shared" si="445"/>
        <v>89.800000000000011</v>
      </c>
      <c r="AM89" s="891">
        <f t="shared" si="445"/>
        <v>76.790000000000006</v>
      </c>
      <c r="AN89" s="890">
        <f t="shared" si="445"/>
        <v>74.44</v>
      </c>
      <c r="AO89" s="890">
        <f t="shared" si="445"/>
        <v>74.48</v>
      </c>
      <c r="AP89" s="890">
        <f t="shared" si="445"/>
        <v>72.550000000000011</v>
      </c>
      <c r="AQ89" s="903">
        <f t="shared" si="445"/>
        <v>68.02000000000001</v>
      </c>
      <c r="AR89" s="902">
        <f t="shared" si="445"/>
        <v>66.100000000000009</v>
      </c>
      <c r="AS89" s="890">
        <f t="shared" ref="AS89:BC89" si="446">+AS90*AS76</f>
        <v>68.830000000000013</v>
      </c>
      <c r="AT89" s="890">
        <f t="shared" si="446"/>
        <v>71.540000000000006</v>
      </c>
      <c r="AU89" s="903">
        <f t="shared" si="446"/>
        <v>71.8</v>
      </c>
      <c r="AV89" s="902">
        <f t="shared" si="446"/>
        <v>70.650000000000006</v>
      </c>
      <c r="AW89" s="890">
        <f t="shared" si="446"/>
        <v>75.759999999999991</v>
      </c>
      <c r="AX89" s="890">
        <f t="shared" si="446"/>
        <v>83.350000000000009</v>
      </c>
      <c r="AY89" s="902">
        <f t="shared" si="446"/>
        <v>86.420000000000016</v>
      </c>
      <c r="AZ89" s="1094">
        <f t="shared" si="446"/>
        <v>87.08</v>
      </c>
      <c r="BA89" s="902">
        <f t="shared" si="446"/>
        <v>88.050000000000011</v>
      </c>
      <c r="BB89" s="890">
        <f>+BB90*BB76</f>
        <v>90.44</v>
      </c>
      <c r="BC89" s="903">
        <f t="shared" si="446"/>
        <v>84.03</v>
      </c>
      <c r="BD89" s="1094">
        <f>+BD90*BD76</f>
        <v>81.72</v>
      </c>
      <c r="BE89" s="902">
        <f>+BE90*BE76</f>
        <v>87.78</v>
      </c>
      <c r="BF89" s="890">
        <f>+BF90*BF76</f>
        <v>95.09</v>
      </c>
      <c r="BG89" s="903">
        <f t="shared" ref="BG89" si="447">+BG90*BG76</f>
        <v>126.10000000000001</v>
      </c>
      <c r="BH89" s="1094">
        <f>+BH90*BH76</f>
        <v>128.16000000000003</v>
      </c>
      <c r="BI89" s="902">
        <f>+BI90*BI76</f>
        <v>133.79999999999998</v>
      </c>
      <c r="BJ89" s="890">
        <f>+BJ90*BJ76</f>
        <v>139.1</v>
      </c>
      <c r="BK89" s="903">
        <f t="shared" ref="BK89" si="448">+BK90*BK76</f>
        <v>137.75</v>
      </c>
      <c r="BL89" s="902">
        <f t="shared" ref="BL89:BO89" si="449">+BL90*BL76</f>
        <v>136.98570000000004</v>
      </c>
      <c r="BM89" s="902">
        <f t="shared" si="449"/>
        <v>142.83854700000001</v>
      </c>
      <c r="BN89" s="902">
        <f t="shared" si="449"/>
        <v>146.21209246000001</v>
      </c>
      <c r="BO89" s="903">
        <f t="shared" si="449"/>
        <v>143.62157754979998</v>
      </c>
      <c r="BP89" s="902">
        <f t="shared" ref="BP89:BS89" si="450">+BP90*BP76</f>
        <v>142.82476192559</v>
      </c>
      <c r="BQ89" s="902">
        <f t="shared" si="450"/>
        <v>148.16251455270591</v>
      </c>
      <c r="BR89" s="902">
        <f t="shared" si="450"/>
        <v>151.37995682624509</v>
      </c>
      <c r="BS89" s="903">
        <f t="shared" si="450"/>
        <v>148.75019898772641</v>
      </c>
      <c r="BT89" s="902">
        <f t="shared" ref="BT89:BW89" si="451">+BT90*BT76</f>
        <v>148.13892830431141</v>
      </c>
      <c r="BU89" s="902">
        <f t="shared" si="451"/>
        <v>153.6619242427721</v>
      </c>
      <c r="BV89" s="902">
        <f t="shared" si="451"/>
        <v>156.84983613978363</v>
      </c>
      <c r="BW89" s="903">
        <f t="shared" si="451"/>
        <v>154.17995802712861</v>
      </c>
      <c r="BX89" s="346"/>
      <c r="BY89" s="383">
        <f>SUM(D89:G89)</f>
        <v>0</v>
      </c>
      <c r="BZ89" s="384">
        <f>SUM(H89:K89)</f>
        <v>0</v>
      </c>
      <c r="CA89" s="384">
        <f>SUM(L89:O89)</f>
        <v>0</v>
      </c>
      <c r="CB89" s="384">
        <f>SUM(P89:S89)</f>
        <v>0</v>
      </c>
      <c r="CC89" s="384">
        <f>SUM(T89:W89)</f>
        <v>0</v>
      </c>
      <c r="CD89" s="384">
        <f>SUM(X89:AA89)</f>
        <v>0</v>
      </c>
      <c r="CE89" s="384">
        <f>SUM(AB89:AE89)</f>
        <v>0</v>
      </c>
      <c r="CF89" s="384">
        <f>SUM(AF89:AI89)</f>
        <v>0</v>
      </c>
      <c r="CG89" s="384">
        <f>SUM(AJ89:AM89)</f>
        <v>344.23</v>
      </c>
      <c r="CH89" s="384">
        <f>SUM(AN89:AQ89)</f>
        <v>289.49</v>
      </c>
      <c r="CI89" s="384">
        <f>SUM(AR89:AU89)</f>
        <v>278.27000000000004</v>
      </c>
      <c r="CJ89" s="384">
        <f>SUM(AV89:AY89)</f>
        <v>316.18</v>
      </c>
      <c r="CK89" s="384">
        <f>SUM(AZ89:BC89)</f>
        <v>349.6</v>
      </c>
      <c r="CL89" s="384">
        <f>SUM(BD89:BG89)</f>
        <v>390.69000000000005</v>
      </c>
      <c r="CM89" s="384">
        <f>SUM(BH89:BK89)</f>
        <v>538.81000000000006</v>
      </c>
      <c r="CN89" s="384">
        <f>SUM(BL89:BO89)</f>
        <v>569.65791700980003</v>
      </c>
      <c r="CO89" s="384">
        <f>SUM(BP89:BS89)</f>
        <v>591.11743229226749</v>
      </c>
      <c r="CP89" s="385">
        <f>SUM(BT89:BW89)</f>
        <v>612.83064671399575</v>
      </c>
      <c r="CQ89" s="1041"/>
    </row>
    <row r="90" spans="1:96" ht="14.25" customHeight="1">
      <c r="A90" s="865"/>
      <c r="B90" s="872" t="s">
        <v>555</v>
      </c>
      <c r="C90" s="24"/>
      <c r="D90" s="78"/>
      <c r="E90" s="78"/>
      <c r="F90" s="78"/>
      <c r="G90" s="79"/>
      <c r="H90" s="78"/>
      <c r="I90" s="78"/>
      <c r="J90" s="78"/>
      <c r="K90" s="79"/>
      <c r="L90" s="78"/>
      <c r="M90" s="78"/>
      <c r="N90" s="78"/>
      <c r="O90" s="79"/>
      <c r="P90" s="78"/>
      <c r="Q90" s="78"/>
      <c r="R90" s="78"/>
      <c r="S90" s="79"/>
      <c r="T90" s="78"/>
      <c r="U90" s="78"/>
      <c r="V90" s="78"/>
      <c r="W90" s="79"/>
      <c r="X90" s="78"/>
      <c r="Y90" s="78"/>
      <c r="Z90" s="78"/>
      <c r="AA90" s="79"/>
      <c r="AB90" s="890"/>
      <c r="AC90" s="890"/>
      <c r="AD90" s="890"/>
      <c r="AE90" s="891"/>
      <c r="AF90" s="890"/>
      <c r="AG90" s="890"/>
      <c r="AH90" s="890"/>
      <c r="AI90" s="891"/>
      <c r="AJ90" s="1341">
        <v>0.1</v>
      </c>
      <c r="AK90" s="904">
        <f>AJ90</f>
        <v>0.1</v>
      </c>
      <c r="AL90" s="904">
        <f t="shared" ref="AL90:AR90" si="452">AK90</f>
        <v>0.1</v>
      </c>
      <c r="AM90" s="905">
        <f t="shared" si="452"/>
        <v>0.1</v>
      </c>
      <c r="AN90" s="904">
        <f t="shared" si="452"/>
        <v>0.1</v>
      </c>
      <c r="AO90" s="904">
        <f t="shared" si="452"/>
        <v>0.1</v>
      </c>
      <c r="AP90" s="904">
        <f t="shared" si="452"/>
        <v>0.1</v>
      </c>
      <c r="AQ90" s="905">
        <f t="shared" si="452"/>
        <v>0.1</v>
      </c>
      <c r="AR90" s="904">
        <f t="shared" si="452"/>
        <v>0.1</v>
      </c>
      <c r="AS90" s="904">
        <f t="shared" ref="AS90:BK90" si="453">AR90</f>
        <v>0.1</v>
      </c>
      <c r="AT90" s="904">
        <f t="shared" si="453"/>
        <v>0.1</v>
      </c>
      <c r="AU90" s="905">
        <f t="shared" si="453"/>
        <v>0.1</v>
      </c>
      <c r="AV90" s="904">
        <f t="shared" si="453"/>
        <v>0.1</v>
      </c>
      <c r="AW90" s="904">
        <f t="shared" si="453"/>
        <v>0.1</v>
      </c>
      <c r="AX90" s="904">
        <f t="shared" si="453"/>
        <v>0.1</v>
      </c>
      <c r="AY90" s="904">
        <f t="shared" si="453"/>
        <v>0.1</v>
      </c>
      <c r="AZ90" s="1095">
        <f t="shared" si="453"/>
        <v>0.1</v>
      </c>
      <c r="BA90" s="904">
        <f t="shared" si="453"/>
        <v>0.1</v>
      </c>
      <c r="BB90" s="904">
        <f t="shared" si="453"/>
        <v>0.1</v>
      </c>
      <c r="BC90" s="905">
        <f t="shared" si="453"/>
        <v>0.1</v>
      </c>
      <c r="BD90" s="1095">
        <f t="shared" si="453"/>
        <v>0.1</v>
      </c>
      <c r="BE90" s="904">
        <f t="shared" si="453"/>
        <v>0.1</v>
      </c>
      <c r="BF90" s="904">
        <f t="shared" si="453"/>
        <v>0.1</v>
      </c>
      <c r="BG90" s="905">
        <f t="shared" si="453"/>
        <v>0.1</v>
      </c>
      <c r="BH90" s="1095">
        <f t="shared" si="453"/>
        <v>0.1</v>
      </c>
      <c r="BI90" s="904">
        <f t="shared" si="453"/>
        <v>0.1</v>
      </c>
      <c r="BJ90" s="904">
        <f t="shared" si="453"/>
        <v>0.1</v>
      </c>
      <c r="BK90" s="905">
        <f t="shared" si="453"/>
        <v>0.1</v>
      </c>
      <c r="BL90" s="904">
        <f t="shared" ref="BL90:BO91" si="454">BK90</f>
        <v>0.1</v>
      </c>
      <c r="BM90" s="904">
        <f t="shared" si="454"/>
        <v>0.1</v>
      </c>
      <c r="BN90" s="904">
        <f t="shared" si="454"/>
        <v>0.1</v>
      </c>
      <c r="BO90" s="905">
        <f t="shared" si="454"/>
        <v>0.1</v>
      </c>
      <c r="BP90" s="904">
        <f t="shared" ref="BP90:BP91" si="455">BO90</f>
        <v>0.1</v>
      </c>
      <c r="BQ90" s="904">
        <f t="shared" ref="BQ90:BQ91" si="456">BP90</f>
        <v>0.1</v>
      </c>
      <c r="BR90" s="904">
        <f t="shared" ref="BR90:BS91" si="457">BQ90</f>
        <v>0.1</v>
      </c>
      <c r="BS90" s="905">
        <f t="shared" si="457"/>
        <v>0.1</v>
      </c>
      <c r="BT90" s="904">
        <f t="shared" ref="BT90:BT91" si="458">BS90</f>
        <v>0.1</v>
      </c>
      <c r="BU90" s="904">
        <f t="shared" ref="BU90:BU91" si="459">BT90</f>
        <v>0.1</v>
      </c>
      <c r="BV90" s="904">
        <f t="shared" ref="BV90:BV91" si="460">BU90</f>
        <v>0.1</v>
      </c>
      <c r="BW90" s="905">
        <f t="shared" ref="BW90:BW91" si="461">BV90</f>
        <v>0.1</v>
      </c>
      <c r="BX90" s="1342"/>
      <c r="BY90" s="300"/>
      <c r="BZ90" s="843"/>
      <c r="CA90" s="843"/>
      <c r="CB90" s="843"/>
      <c r="CC90" s="843"/>
      <c r="CD90" s="843"/>
      <c r="CE90" s="843"/>
      <c r="CF90" s="843"/>
      <c r="CG90" s="843"/>
      <c r="CH90" s="843"/>
      <c r="CI90" s="843"/>
      <c r="CJ90" s="843"/>
      <c r="CK90" s="843"/>
      <c r="CL90" s="843"/>
      <c r="CM90" s="843">
        <f>SUM(BH90:BK90)</f>
        <v>0.4</v>
      </c>
      <c r="CN90" s="843">
        <f>SUM(BL90:BO90)</f>
        <v>0.4</v>
      </c>
      <c r="CO90" s="843">
        <f>SUM(BP90:BS90)</f>
        <v>0.4</v>
      </c>
      <c r="CP90" s="1343">
        <f>SUM(BT90:BW90)</f>
        <v>0.4</v>
      </c>
      <c r="CQ90" s="1041"/>
    </row>
    <row r="91" spans="1:96" ht="14.25" customHeight="1">
      <c r="A91" s="871"/>
      <c r="B91" s="870" t="s">
        <v>556</v>
      </c>
      <c r="C91" s="208"/>
      <c r="D91" s="892"/>
      <c r="E91" s="892"/>
      <c r="F91" s="892"/>
      <c r="G91" s="893"/>
      <c r="H91" s="892"/>
      <c r="I91" s="892"/>
      <c r="J91" s="892"/>
      <c r="K91" s="893"/>
      <c r="L91" s="892"/>
      <c r="M91" s="892"/>
      <c r="N91" s="892"/>
      <c r="O91" s="893"/>
      <c r="P91" s="892"/>
      <c r="Q91" s="892"/>
      <c r="R91" s="892"/>
      <c r="S91" s="893"/>
      <c r="T91" s="892"/>
      <c r="U91" s="892"/>
      <c r="V91" s="892"/>
      <c r="W91" s="893"/>
      <c r="X91" s="892"/>
      <c r="Y91" s="892"/>
      <c r="Z91" s="892"/>
      <c r="AA91" s="893"/>
      <c r="AB91" s="890"/>
      <c r="AC91" s="890"/>
      <c r="AD91" s="890"/>
      <c r="AE91" s="891"/>
      <c r="AF91" s="890"/>
      <c r="AG91" s="890"/>
      <c r="AH91" s="890"/>
      <c r="AI91" s="891"/>
      <c r="AJ91" s="934">
        <f>0.01*IS!AJ68</f>
        <v>0.3269999999999999</v>
      </c>
      <c r="AK91" s="934">
        <f>0.01*IS!AK68</f>
        <v>0.56899999999999917</v>
      </c>
      <c r="AL91" s="934">
        <f>0.01*IS!AL68</f>
        <v>-6.6999999999999893E-2</v>
      </c>
      <c r="AM91" s="947">
        <f>0.01*IS!AM68</f>
        <v>0.30499999999999916</v>
      </c>
      <c r="AN91" s="934">
        <f>0.01*IS!AN68</f>
        <v>0.43599999999999994</v>
      </c>
      <c r="AO91" s="934">
        <f>0.01*IS!AO68</f>
        <v>0.26899999999999918</v>
      </c>
      <c r="AP91" s="934">
        <f>0.01*IS!AP68</f>
        <v>0.44599999999999967</v>
      </c>
      <c r="AQ91" s="935">
        <f>0.01*IS!AQ68</f>
        <v>-1.3139999999999998</v>
      </c>
      <c r="AR91" s="934">
        <f>0.01*IS!AR68</f>
        <v>0.37700000000000017</v>
      </c>
      <c r="AS91" s="934">
        <f>0.01*IS!AS68</f>
        <v>0.50899999999999945</v>
      </c>
      <c r="AT91" s="934">
        <f>0.01*IS!AT68</f>
        <v>0.67300000000000015</v>
      </c>
      <c r="AU91" s="935">
        <f>0.01*IS!AU68</f>
        <v>0.62299999999999989</v>
      </c>
      <c r="AV91" s="934">
        <f>0.01*IS!AV68</f>
        <v>0.7330000000000001</v>
      </c>
      <c r="AW91" s="934">
        <f>0.01*IS!AW68</f>
        <v>0.81699999999999995</v>
      </c>
      <c r="AX91" s="934">
        <f>0.01*IS!AX68</f>
        <v>0.57600000000000029</v>
      </c>
      <c r="AY91" s="890">
        <f>AX91</f>
        <v>0.57600000000000029</v>
      </c>
      <c r="AZ91" s="1097">
        <f>AY91</f>
        <v>0.57600000000000029</v>
      </c>
      <c r="BA91" s="890">
        <f>AZ91</f>
        <v>0.57600000000000029</v>
      </c>
      <c r="BB91" s="890">
        <f>0.01*IS!BB68</f>
        <v>0.69400000000000006</v>
      </c>
      <c r="BC91" s="891">
        <f>BB91</f>
        <v>0.69400000000000006</v>
      </c>
      <c r="BD91" s="1097">
        <f>BC91</f>
        <v>0.69400000000000006</v>
      </c>
      <c r="BE91" s="890">
        <f>BD91</f>
        <v>0.69400000000000006</v>
      </c>
      <c r="BF91" s="890">
        <f>0.01*IS!BF68</f>
        <v>0.46700000000000047</v>
      </c>
      <c r="BG91" s="891">
        <f>BF91</f>
        <v>0.46700000000000047</v>
      </c>
      <c r="BH91" s="1097">
        <f>BG91</f>
        <v>0.46700000000000047</v>
      </c>
      <c r="BI91" s="890">
        <f>BH91</f>
        <v>0.46700000000000047</v>
      </c>
      <c r="BJ91" s="890">
        <f>0.01*IS!BJ68</f>
        <v>1.7730000000000008</v>
      </c>
      <c r="BK91" s="891">
        <f>BJ91</f>
        <v>1.7730000000000008</v>
      </c>
      <c r="BL91" s="890">
        <f t="shared" si="454"/>
        <v>1.7730000000000008</v>
      </c>
      <c r="BM91" s="890">
        <f t="shared" si="454"/>
        <v>1.7730000000000008</v>
      </c>
      <c r="BN91" s="890">
        <f t="shared" si="454"/>
        <v>1.7730000000000008</v>
      </c>
      <c r="BO91" s="891">
        <f t="shared" si="454"/>
        <v>1.7730000000000008</v>
      </c>
      <c r="BP91" s="890">
        <f t="shared" si="455"/>
        <v>1.7730000000000008</v>
      </c>
      <c r="BQ91" s="890">
        <f t="shared" si="456"/>
        <v>1.7730000000000008</v>
      </c>
      <c r="BR91" s="890">
        <f t="shared" si="457"/>
        <v>1.7730000000000008</v>
      </c>
      <c r="BS91" s="891">
        <f t="shared" si="457"/>
        <v>1.7730000000000008</v>
      </c>
      <c r="BT91" s="890">
        <f t="shared" si="458"/>
        <v>1.7730000000000008</v>
      </c>
      <c r="BU91" s="890">
        <f t="shared" si="459"/>
        <v>1.7730000000000008</v>
      </c>
      <c r="BV91" s="890">
        <f t="shared" si="460"/>
        <v>1.7730000000000008</v>
      </c>
      <c r="BW91" s="891">
        <f t="shared" si="461"/>
        <v>1.7730000000000008</v>
      </c>
      <c r="BX91" s="1342"/>
      <c r="BY91" s="803">
        <f>SUM(D91:G91)</f>
        <v>0</v>
      </c>
      <c r="BZ91" s="804">
        <f>SUM(H91:K91)</f>
        <v>0</v>
      </c>
      <c r="CA91" s="804">
        <f>SUM(L91:O91)</f>
        <v>0</v>
      </c>
      <c r="CB91" s="804">
        <f>SUM(P91:S91)</f>
        <v>0</v>
      </c>
      <c r="CC91" s="804">
        <f>SUM(T91:W91)</f>
        <v>0</v>
      </c>
      <c r="CD91" s="804">
        <f>SUM(X91:AA91)</f>
        <v>0</v>
      </c>
      <c r="CE91" s="804">
        <f>SUM(AB91:AE91)</f>
        <v>0</v>
      </c>
      <c r="CF91" s="804">
        <f>SUM(AF91:AI91)</f>
        <v>0</v>
      </c>
      <c r="CG91" s="804">
        <f>SUM(AJ91:AM91)</f>
        <v>1.1339999999999981</v>
      </c>
      <c r="CH91" s="804">
        <f>SUM(AN91:AQ91)</f>
        <v>-0.16300000000000092</v>
      </c>
      <c r="CI91" s="804">
        <f>SUM(AR91:AU91)</f>
        <v>2.1819999999999995</v>
      </c>
      <c r="CJ91" s="804">
        <f>SUM(AV91:AY91)</f>
        <v>2.7020000000000008</v>
      </c>
      <c r="CK91" s="804">
        <f>SUM(AZ91:BC91)</f>
        <v>2.5400000000000005</v>
      </c>
      <c r="CL91" s="804">
        <f>SUM(BD91:BG91)</f>
        <v>2.322000000000001</v>
      </c>
      <c r="CM91" s="804">
        <f>SUM(BH91:BK91)</f>
        <v>4.4800000000000022</v>
      </c>
      <c r="CN91" s="804">
        <f>SUM(BL91:BO91)</f>
        <v>7.0920000000000032</v>
      </c>
      <c r="CO91" s="804">
        <f>SUM(BP91:BS91)</f>
        <v>7.0920000000000032</v>
      </c>
      <c r="CP91" s="805">
        <f>SUM(BT91:BW91)</f>
        <v>7.0920000000000032</v>
      </c>
      <c r="CQ91" s="1041"/>
    </row>
    <row r="92" spans="1:96" ht="14.25" customHeight="1">
      <c r="A92" s="865"/>
      <c r="B92" s="870" t="s">
        <v>557</v>
      </c>
      <c r="C92" s="211"/>
      <c r="D92" s="78"/>
      <c r="E92" s="78"/>
      <c r="F92" s="78"/>
      <c r="G92" s="79"/>
      <c r="H92" s="78"/>
      <c r="I92" s="78"/>
      <c r="J92" s="78"/>
      <c r="K92" s="79"/>
      <c r="L92" s="78"/>
      <c r="M92" s="78"/>
      <c r="N92" s="78"/>
      <c r="O92" s="79"/>
      <c r="P92" s="78"/>
      <c r="Q92" s="78"/>
      <c r="R92" s="78"/>
      <c r="S92" s="79"/>
      <c r="T92" s="78"/>
      <c r="U92" s="78"/>
      <c r="V92" s="78"/>
      <c r="W92" s="79"/>
      <c r="X92" s="78"/>
      <c r="Y92" s="78"/>
      <c r="Z92" s="78"/>
      <c r="AA92" s="79"/>
      <c r="AB92" s="890"/>
      <c r="AC92" s="890"/>
      <c r="AD92" s="890"/>
      <c r="AE92" s="891"/>
      <c r="AF92" s="890"/>
      <c r="AG92" s="890"/>
      <c r="AH92" s="890"/>
      <c r="AI92" s="891"/>
      <c r="AJ92" s="934">
        <f>CFS!AJ11</f>
        <v>42.5</v>
      </c>
      <c r="AK92" s="934">
        <f>CFS!AK11</f>
        <v>45.2</v>
      </c>
      <c r="AL92" s="934">
        <f>CFS!AL11</f>
        <v>46.3</v>
      </c>
      <c r="AM92" s="947">
        <f>CFS!AM11</f>
        <v>51.600000000000023</v>
      </c>
      <c r="AN92" s="934">
        <f>CFS!AN11</f>
        <v>50</v>
      </c>
      <c r="AO92" s="934">
        <f>CFS!AO11</f>
        <v>49.2</v>
      </c>
      <c r="AP92" s="934">
        <f>CFS!AP11</f>
        <v>50.199999999999974</v>
      </c>
      <c r="AQ92" s="907">
        <f>CFS!AQ11</f>
        <v>49.800000000000011</v>
      </c>
      <c r="AR92" s="906">
        <f>CFS!AR11</f>
        <v>40.199999999999996</v>
      </c>
      <c r="AS92" s="934">
        <f>CFS!AS11</f>
        <v>46.800000000000004</v>
      </c>
      <c r="AT92" s="934">
        <f>CFS!AT11</f>
        <v>44.699999999999996</v>
      </c>
      <c r="AU92" s="907">
        <f>CFS!AU11</f>
        <v>47.000000000000021</v>
      </c>
      <c r="AV92" s="906">
        <f>CFS!AV11</f>
        <v>52.4</v>
      </c>
      <c r="AW92" s="934">
        <f>CFS!AW11</f>
        <v>41.29999999999999</v>
      </c>
      <c r="AX92" s="934">
        <f>CFS!AX11</f>
        <v>49.100000000000016</v>
      </c>
      <c r="AY92" s="906">
        <f>CFS!AY11</f>
        <v>57.6</v>
      </c>
      <c r="AZ92" s="1096">
        <f>CFS!AZ11</f>
        <v>90.2</v>
      </c>
      <c r="BA92" s="906">
        <f>CFS!BA11</f>
        <v>88.399999999999991</v>
      </c>
      <c r="BB92" s="934">
        <f>CFS!BB11</f>
        <v>89.200000000000031</v>
      </c>
      <c r="BC92" s="907">
        <f>CFS!BC11</f>
        <v>89.800000000000026</v>
      </c>
      <c r="BD92" s="1096">
        <f>CFS!BD11</f>
        <v>80.7</v>
      </c>
      <c r="BE92" s="906">
        <f>CFS!BE11</f>
        <v>79.600000000000009</v>
      </c>
      <c r="BF92" s="934">
        <f>CFS!BF11</f>
        <v>83.799999999999969</v>
      </c>
      <c r="BG92" s="907">
        <f>CFS!BG11</f>
        <v>120.00000000000004</v>
      </c>
      <c r="BH92" s="1096">
        <f>CFS!BH11</f>
        <v>114.3</v>
      </c>
      <c r="BI92" s="906">
        <f>CFS!BI11</f>
        <v>116.50000000000001</v>
      </c>
      <c r="BJ92" s="934">
        <f>CFS!BJ11</f>
        <v>127.69999999999997</v>
      </c>
      <c r="BK92" s="907">
        <f>CFS!BK11</f>
        <v>123.39999999999999</v>
      </c>
      <c r="BL92" s="906">
        <f>CFS!BL11</f>
        <v>125.88960506570898</v>
      </c>
      <c r="BM92" s="906">
        <f>CFS!BM11</f>
        <v>128.48558092442789</v>
      </c>
      <c r="BN92" s="906">
        <f>CFS!BN11</f>
        <v>131.14286826213046</v>
      </c>
      <c r="BO92" s="907">
        <f>CFS!BO11</f>
        <v>133.75307507213395</v>
      </c>
      <c r="BP92" s="906">
        <f>CFS!BX11</f>
        <v>0</v>
      </c>
      <c r="BQ92" s="906">
        <f>CFS!BY11</f>
        <v>121.89999999999999</v>
      </c>
      <c r="BR92" s="906">
        <f>CFS!BZ11</f>
        <v>102.1</v>
      </c>
      <c r="BS92" s="907">
        <f>CFS!CA11</f>
        <v>99</v>
      </c>
      <c r="BT92" s="906">
        <f>CFS!CB11</f>
        <v>79.900000000000006</v>
      </c>
      <c r="BU92" s="906">
        <f>CFS!CC11</f>
        <v>90.399999999999991</v>
      </c>
      <c r="BV92" s="906">
        <f>CFS!CD11</f>
        <v>117.19999999999999</v>
      </c>
      <c r="BW92" s="907">
        <f>CFS!CE11</f>
        <v>124.3</v>
      </c>
      <c r="BX92" s="346"/>
      <c r="BY92" s="383">
        <f>SUM(D92:G92)</f>
        <v>0</v>
      </c>
      <c r="BZ92" s="384">
        <f>SUM(H92:K92)</f>
        <v>0</v>
      </c>
      <c r="CA92" s="384">
        <f>SUM(L92:O92)</f>
        <v>0</v>
      </c>
      <c r="CB92" s="384">
        <f>SUM(P92:S92)</f>
        <v>0</v>
      </c>
      <c r="CC92" s="384">
        <f>SUM(T92:W92)</f>
        <v>0</v>
      </c>
      <c r="CD92" s="384">
        <f>SUM(X92:AA92)</f>
        <v>0</v>
      </c>
      <c r="CE92" s="384">
        <f>SUM(AB92:AE92)</f>
        <v>0</v>
      </c>
      <c r="CF92" s="384">
        <f>SUM(AF92:AI92)</f>
        <v>0</v>
      </c>
      <c r="CG92" s="384">
        <f>SUM(AJ92:AM92)</f>
        <v>185.60000000000002</v>
      </c>
      <c r="CH92" s="384">
        <f>SUM(AN92:AQ92)</f>
        <v>199.2</v>
      </c>
      <c r="CI92" s="384">
        <f>SUM(AR92:AU92)</f>
        <v>178.70000000000002</v>
      </c>
      <c r="CJ92" s="384">
        <f>SUM(AV92:AY92)</f>
        <v>200.4</v>
      </c>
      <c r="CK92" s="384">
        <f>SUM(AZ92:BC92)</f>
        <v>357.6</v>
      </c>
      <c r="CL92" s="384">
        <f>SUM(BD92:BG92)</f>
        <v>364.1</v>
      </c>
      <c r="CM92" s="384">
        <f>SUM(BH92:BK92)</f>
        <v>481.9</v>
      </c>
      <c r="CN92" s="384">
        <f>SUM(BL92:BO92)</f>
        <v>519.27112932440127</v>
      </c>
      <c r="CO92" s="384">
        <f>SUM(BP92:BS92)</f>
        <v>323</v>
      </c>
      <c r="CP92" s="385">
        <f>SUM(BT92:BW92)</f>
        <v>411.8</v>
      </c>
      <c r="CQ92" s="1041"/>
    </row>
    <row r="93" spans="1:96" ht="14.25" customHeight="1">
      <c r="A93" s="865"/>
      <c r="B93" s="870" t="s">
        <v>558</v>
      </c>
      <c r="C93" s="211"/>
      <c r="D93" s="78"/>
      <c r="E93" s="78"/>
      <c r="F93" s="78"/>
      <c r="G93" s="79"/>
      <c r="H93" s="78"/>
      <c r="I93" s="78"/>
      <c r="J93" s="78"/>
      <c r="K93" s="79"/>
      <c r="L93" s="78"/>
      <c r="M93" s="78"/>
      <c r="N93" s="78"/>
      <c r="O93" s="79"/>
      <c r="P93" s="78"/>
      <c r="Q93" s="78"/>
      <c r="R93" s="78"/>
      <c r="S93" s="79"/>
      <c r="T93" s="78"/>
      <c r="U93" s="78"/>
      <c r="V93" s="78"/>
      <c r="W93" s="79"/>
      <c r="X93" s="78"/>
      <c r="Y93" s="78"/>
      <c r="Z93" s="78"/>
      <c r="AA93" s="79"/>
      <c r="AB93" s="890"/>
      <c r="AC93" s="890"/>
      <c r="AD93" s="890"/>
      <c r="AE93" s="891"/>
      <c r="AF93" s="890"/>
      <c r="AG93" s="890"/>
      <c r="AH93" s="890"/>
      <c r="AI93" s="891"/>
      <c r="AJ93" s="890">
        <f t="shared" ref="AJ93:AU93" si="462">+AJ86-AJ89-AJ91-AJ92</f>
        <v>498.3130000000001</v>
      </c>
      <c r="AK93" s="890">
        <f t="shared" si="462"/>
        <v>503.35100000000006</v>
      </c>
      <c r="AL93" s="890">
        <f t="shared" si="462"/>
        <v>500.8669999999999</v>
      </c>
      <c r="AM93" s="891">
        <f t="shared" si="462"/>
        <v>400.005</v>
      </c>
      <c r="AN93" s="890">
        <f t="shared" si="462"/>
        <v>374.32400000000001</v>
      </c>
      <c r="AO93" s="890">
        <f t="shared" si="462"/>
        <v>362.55099999999999</v>
      </c>
      <c r="AP93" s="890">
        <f t="shared" si="462"/>
        <v>364.30399999999997</v>
      </c>
      <c r="AQ93" s="891">
        <f t="shared" si="462"/>
        <v>353.29399999999998</v>
      </c>
      <c r="AR93" s="890">
        <f t="shared" si="462"/>
        <v>349.82299999999998</v>
      </c>
      <c r="AS93" s="890">
        <f t="shared" si="462"/>
        <v>340.36099999999993</v>
      </c>
      <c r="AT93" s="890">
        <f t="shared" si="462"/>
        <v>349.28699999999998</v>
      </c>
      <c r="AU93" s="891">
        <f t="shared" si="462"/>
        <v>345.67700000000002</v>
      </c>
      <c r="AV93" s="890">
        <f>+AV86-AV89-AV91-AV92</f>
        <v>331.91699999999997</v>
      </c>
      <c r="AW93" s="890">
        <f>+AW86-AW89-AW91-AW92</f>
        <v>366.72300000000001</v>
      </c>
      <c r="AX93" s="890">
        <f>+AX86-AX89-AX91-AX92</f>
        <v>416.37399999999991</v>
      </c>
      <c r="AY93" s="890">
        <f t="shared" ref="AY93:BK93" si="463">AX93</f>
        <v>416.37399999999991</v>
      </c>
      <c r="AZ93" s="1097">
        <f t="shared" si="463"/>
        <v>416.37399999999991</v>
      </c>
      <c r="BA93" s="890">
        <f t="shared" si="463"/>
        <v>416.37399999999991</v>
      </c>
      <c r="BB93" s="890">
        <f>+BB86-BB89-BB91-BB92</f>
        <v>415.36599999999999</v>
      </c>
      <c r="BC93" s="891">
        <f t="shared" si="463"/>
        <v>415.36599999999999</v>
      </c>
      <c r="BD93" s="1097">
        <f t="shared" si="463"/>
        <v>415.36599999999999</v>
      </c>
      <c r="BE93" s="890">
        <f t="shared" si="463"/>
        <v>415.36599999999999</v>
      </c>
      <c r="BF93" s="890">
        <f>+BF86-BF89-BF91-BF92</f>
        <v>442.54300000000001</v>
      </c>
      <c r="BG93" s="891">
        <f t="shared" si="463"/>
        <v>442.54300000000001</v>
      </c>
      <c r="BH93" s="1097">
        <f t="shared" si="463"/>
        <v>442.54300000000001</v>
      </c>
      <c r="BI93" s="890">
        <f t="shared" si="463"/>
        <v>442.54300000000001</v>
      </c>
      <c r="BJ93" s="890">
        <f>+BJ86-BJ89-BJ91-BJ92</f>
        <v>598.12700000000007</v>
      </c>
      <c r="BK93" s="891">
        <f t="shared" si="463"/>
        <v>598.12700000000007</v>
      </c>
      <c r="BL93" s="890">
        <f t="shared" ref="BL93:BO93" si="464">BK93</f>
        <v>598.12700000000007</v>
      </c>
      <c r="BM93" s="890">
        <f t="shared" si="464"/>
        <v>598.12700000000007</v>
      </c>
      <c r="BN93" s="890">
        <f t="shared" si="464"/>
        <v>598.12700000000007</v>
      </c>
      <c r="BO93" s="891">
        <f t="shared" si="464"/>
        <v>598.12700000000007</v>
      </c>
      <c r="BP93" s="890">
        <f t="shared" ref="BP93" si="465">BO93</f>
        <v>598.12700000000007</v>
      </c>
      <c r="BQ93" s="890">
        <f t="shared" ref="BQ93" si="466">BP93</f>
        <v>598.12700000000007</v>
      </c>
      <c r="BR93" s="890">
        <f t="shared" ref="BR93:BS93" si="467">BQ93</f>
        <v>598.12700000000007</v>
      </c>
      <c r="BS93" s="891">
        <f t="shared" si="467"/>
        <v>598.12700000000007</v>
      </c>
      <c r="BT93" s="890">
        <f t="shared" ref="BT93" si="468">BS93</f>
        <v>598.12700000000007</v>
      </c>
      <c r="BU93" s="890">
        <f t="shared" ref="BU93" si="469">BT93</f>
        <v>598.12700000000007</v>
      </c>
      <c r="BV93" s="890">
        <f t="shared" ref="BV93" si="470">BU93</f>
        <v>598.12700000000007</v>
      </c>
      <c r="BW93" s="891">
        <f t="shared" ref="BW93" si="471">BV93</f>
        <v>598.12700000000007</v>
      </c>
      <c r="BX93" s="346"/>
      <c r="BY93" s="383">
        <f>SUM(D93:G93)</f>
        <v>0</v>
      </c>
      <c r="BZ93" s="384">
        <f>SUM(H93:K93)</f>
        <v>0</v>
      </c>
      <c r="CA93" s="384">
        <f>SUM(L93:O93)</f>
        <v>0</v>
      </c>
      <c r="CB93" s="384">
        <f>SUM(P93:S93)</f>
        <v>0</v>
      </c>
      <c r="CC93" s="384">
        <f>SUM(T93:W93)</f>
        <v>0</v>
      </c>
      <c r="CD93" s="384">
        <f>SUM(X93:AA93)</f>
        <v>0</v>
      </c>
      <c r="CE93" s="384">
        <f>SUM(AB93:AE93)</f>
        <v>0</v>
      </c>
      <c r="CF93" s="384">
        <f>SUM(AF93:AI93)</f>
        <v>0</v>
      </c>
      <c r="CG93" s="384">
        <f>SUM(AJ93:AM93)</f>
        <v>1902.5360000000001</v>
      </c>
      <c r="CH93" s="384">
        <f>SUM(AN93:AQ93)</f>
        <v>1454.473</v>
      </c>
      <c r="CI93" s="384">
        <f>SUM(AR93:AU93)</f>
        <v>1385.1480000000001</v>
      </c>
      <c r="CJ93" s="384">
        <f>SUM(AV93:AY93)</f>
        <v>1531.3879999999999</v>
      </c>
      <c r="CK93" s="384">
        <f>SUM(AZ93:BC93)</f>
        <v>1663.4799999999998</v>
      </c>
      <c r="CL93" s="384">
        <f>SUM(BD93:BG93)</f>
        <v>1715.8180000000002</v>
      </c>
      <c r="CM93" s="384">
        <f>SUM(BH93:BK93)</f>
        <v>2081.34</v>
      </c>
      <c r="CN93" s="384">
        <f>SUM(BL93:BO93)</f>
        <v>2392.5080000000003</v>
      </c>
      <c r="CO93" s="384">
        <f>SUM(BP93:BS93)</f>
        <v>2392.5080000000003</v>
      </c>
      <c r="CP93" s="385">
        <f>SUM(BT93:BW93)</f>
        <v>2392.5080000000003</v>
      </c>
      <c r="CQ93" s="1041"/>
    </row>
    <row r="94" spans="1:96" ht="14.25" customHeight="1">
      <c r="A94" s="865"/>
      <c r="B94" s="872"/>
      <c r="C94" s="211"/>
      <c r="D94" s="78"/>
      <c r="E94" s="78"/>
      <c r="F94" s="78"/>
      <c r="G94" s="79"/>
      <c r="H94" s="78"/>
      <c r="I94" s="78"/>
      <c r="J94" s="78"/>
      <c r="K94" s="79"/>
      <c r="L94" s="78"/>
      <c r="M94" s="78"/>
      <c r="N94" s="78"/>
      <c r="O94" s="79"/>
      <c r="P94" s="78"/>
      <c r="Q94" s="78"/>
      <c r="R94" s="78"/>
      <c r="S94" s="79"/>
      <c r="T94" s="78"/>
      <c r="U94" s="78"/>
      <c r="V94" s="78"/>
      <c r="W94" s="79"/>
      <c r="X94" s="78"/>
      <c r="Y94" s="78"/>
      <c r="Z94" s="78"/>
      <c r="AA94" s="79"/>
      <c r="AB94" s="890"/>
      <c r="AC94" s="890"/>
      <c r="AD94" s="890"/>
      <c r="AE94" s="891"/>
      <c r="AF94" s="890"/>
      <c r="AG94" s="890"/>
      <c r="AH94" s="890"/>
      <c r="AI94" s="891"/>
      <c r="AJ94" s="890"/>
      <c r="AK94" s="890"/>
      <c r="AL94" s="890"/>
      <c r="AM94" s="891"/>
      <c r="AN94" s="890"/>
      <c r="AO94" s="890"/>
      <c r="AP94" s="890"/>
      <c r="AQ94" s="891"/>
      <c r="AR94" s="902"/>
      <c r="AS94" s="890"/>
      <c r="AT94" s="890"/>
      <c r="AU94" s="891"/>
      <c r="AV94" s="902"/>
      <c r="AW94" s="890"/>
      <c r="AX94" s="890"/>
      <c r="AY94" s="902"/>
      <c r="AZ94" s="1094"/>
      <c r="BA94" s="902"/>
      <c r="BB94" s="890"/>
      <c r="BC94" s="903"/>
      <c r="BD94" s="1094"/>
      <c r="BE94" s="902"/>
      <c r="BF94" s="890"/>
      <c r="BG94" s="903"/>
      <c r="BH94" s="1094"/>
      <c r="BI94" s="902"/>
      <c r="BJ94" s="890"/>
      <c r="BK94" s="903"/>
      <c r="BL94" s="902"/>
      <c r="BM94" s="902"/>
      <c r="BN94" s="902"/>
      <c r="BO94" s="903"/>
      <c r="BP94" s="902"/>
      <c r="BQ94" s="902"/>
      <c r="BR94" s="902"/>
      <c r="BS94" s="903"/>
      <c r="BT94" s="902"/>
      <c r="BU94" s="902"/>
      <c r="BV94" s="902"/>
      <c r="BW94" s="903"/>
      <c r="BX94" s="346"/>
      <c r="BY94" s="22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211"/>
      <c r="CQ94" s="1041"/>
    </row>
    <row r="95" spans="1:96" ht="14.25" customHeight="1">
      <c r="A95" s="865"/>
      <c r="B95" s="45" t="s">
        <v>559</v>
      </c>
      <c r="C95" s="277"/>
      <c r="D95" s="374">
        <f t="shared" ref="D95:AR95" si="472">D16+D27+D38+D49+D60+D71</f>
        <v>0</v>
      </c>
      <c r="E95" s="341">
        <f t="shared" si="472"/>
        <v>73.899999999999977</v>
      </c>
      <c r="F95" s="341">
        <f t="shared" si="472"/>
        <v>73.600000000000023</v>
      </c>
      <c r="G95" s="342">
        <f t="shared" si="472"/>
        <v>78.400000000000034</v>
      </c>
      <c r="H95" s="374">
        <f t="shared" si="472"/>
        <v>95.899999999999963</v>
      </c>
      <c r="I95" s="341">
        <f t="shared" si="472"/>
        <v>112.4</v>
      </c>
      <c r="J95" s="341">
        <f t="shared" si="472"/>
        <v>102.99999999999997</v>
      </c>
      <c r="K95" s="342">
        <f t="shared" si="472"/>
        <v>98.600000000000009</v>
      </c>
      <c r="L95" s="374">
        <f t="shared" si="472"/>
        <v>96.199999999999989</v>
      </c>
      <c r="M95" s="341">
        <f t="shared" si="472"/>
        <v>98.5</v>
      </c>
      <c r="N95" s="341">
        <f t="shared" si="472"/>
        <v>104.10000000000002</v>
      </c>
      <c r="O95" s="342">
        <f t="shared" si="472"/>
        <v>119.70000000000002</v>
      </c>
      <c r="P95" s="374">
        <f t="shared" si="472"/>
        <v>117.69999999999999</v>
      </c>
      <c r="Q95" s="341">
        <f t="shared" si="472"/>
        <v>153.20000000000002</v>
      </c>
      <c r="R95" s="341">
        <f t="shared" si="472"/>
        <v>160.39999999999998</v>
      </c>
      <c r="S95" s="342">
        <f t="shared" si="472"/>
        <v>157.70000000000002</v>
      </c>
      <c r="T95" s="374">
        <f t="shared" si="472"/>
        <v>136.59999999999997</v>
      </c>
      <c r="U95" s="341">
        <f t="shared" si="472"/>
        <v>146</v>
      </c>
      <c r="V95" s="341">
        <f t="shared" si="472"/>
        <v>155.59999999999997</v>
      </c>
      <c r="W95" s="342">
        <f t="shared" si="472"/>
        <v>152.29999999999998</v>
      </c>
      <c r="X95" s="374">
        <f t="shared" si="472"/>
        <v>146.59999999999997</v>
      </c>
      <c r="Y95" s="341">
        <f t="shared" si="472"/>
        <v>191.59999999999997</v>
      </c>
      <c r="Z95" s="341">
        <f t="shared" si="472"/>
        <v>221.60000000000002</v>
      </c>
      <c r="AA95" s="342">
        <f t="shared" si="472"/>
        <v>185.7</v>
      </c>
      <c r="AB95" s="374">
        <f t="shared" si="472"/>
        <v>112.10000000000005</v>
      </c>
      <c r="AC95" s="341">
        <f t="shared" si="472"/>
        <v>138.19999999999999</v>
      </c>
      <c r="AD95" s="341">
        <f t="shared" si="472"/>
        <v>175.79999999999998</v>
      </c>
      <c r="AE95" s="342">
        <f t="shared" si="472"/>
        <v>194.60000000000002</v>
      </c>
      <c r="AF95" s="374">
        <f t="shared" si="472"/>
        <v>228.10000000000002</v>
      </c>
      <c r="AG95" s="341">
        <f t="shared" si="472"/>
        <v>243.79999999999993</v>
      </c>
      <c r="AH95" s="341">
        <f t="shared" si="472"/>
        <v>246.50000000000009</v>
      </c>
      <c r="AI95" s="342">
        <f t="shared" si="472"/>
        <v>237.60000000000002</v>
      </c>
      <c r="AJ95" s="374">
        <f t="shared" si="472"/>
        <v>242.39999999999998</v>
      </c>
      <c r="AK95" s="341">
        <f t="shared" si="472"/>
        <v>266.09999999999991</v>
      </c>
      <c r="AL95" s="341">
        <f t="shared" si="472"/>
        <v>261.09999999999997</v>
      </c>
      <c r="AM95" s="342">
        <f t="shared" si="472"/>
        <v>239.19999999999993</v>
      </c>
      <c r="AN95" s="374">
        <f t="shared" si="472"/>
        <v>245.2</v>
      </c>
      <c r="AO95" s="341">
        <f t="shared" si="472"/>
        <v>258.29999999999995</v>
      </c>
      <c r="AP95" s="341">
        <f t="shared" si="472"/>
        <v>237.99999999999994</v>
      </c>
      <c r="AQ95" s="342">
        <f t="shared" si="472"/>
        <v>210.40000000000003</v>
      </c>
      <c r="AR95" s="809">
        <f t="shared" si="472"/>
        <v>204.5</v>
      </c>
      <c r="AS95" s="341">
        <f t="shared" ref="AS95:BC95" si="473">AS16+AS27+AS38+AS49+AS60+AS71</f>
        <v>231.79999999999995</v>
      </c>
      <c r="AT95" s="341">
        <f t="shared" si="473"/>
        <v>249.19999999999996</v>
      </c>
      <c r="AU95" s="342">
        <f t="shared" si="473"/>
        <v>252.89999999999998</v>
      </c>
      <c r="AV95" s="809">
        <f t="shared" si="473"/>
        <v>250.8</v>
      </c>
      <c r="AW95" s="341">
        <f t="shared" si="473"/>
        <v>273</v>
      </c>
      <c r="AX95" s="341">
        <f t="shared" si="473"/>
        <v>284.10000000000002</v>
      </c>
      <c r="AY95" s="801">
        <f t="shared" si="473"/>
        <v>277.70000000000005</v>
      </c>
      <c r="AZ95" s="809">
        <f t="shared" si="473"/>
        <v>300.39999999999998</v>
      </c>
      <c r="BA95" s="801">
        <f t="shared" si="473"/>
        <v>304.39999999999998</v>
      </c>
      <c r="BB95" s="341">
        <f>BB16+BB27+BB38+BB49+BB60+BB71</f>
        <v>308.5</v>
      </c>
      <c r="BC95" s="810">
        <f t="shared" si="473"/>
        <v>279.89999999999998</v>
      </c>
      <c r="BD95" s="809">
        <f>BD16+BD27+BD38+BD49+BD60+BD71</f>
        <v>275.50000000000006</v>
      </c>
      <c r="BE95" s="801">
        <f>BE16+BE27+BE38+BE49+BE60+BE71</f>
        <v>307.89999999999998</v>
      </c>
      <c r="BF95" s="341">
        <f>BF16+BF27+BF38+BF49+BF60+BF71</f>
        <v>329</v>
      </c>
      <c r="BG95" s="810">
        <f t="shared" ref="BG95" si="474">BG16+BG27+BG38+BG49+BG60+BG71</f>
        <v>384.5</v>
      </c>
      <c r="BH95" s="809">
        <f>BH16+BH27+BH38+BH49+BH60+BH71</f>
        <v>503.30000000000007</v>
      </c>
      <c r="BI95" s="801">
        <f>BI16+BI27+BI38+BI49+BI60+BI71</f>
        <v>492.10000000000014</v>
      </c>
      <c r="BJ95" s="341">
        <f>BJ16+BJ27+BJ38+BJ49+BJ60+BJ71</f>
        <v>524.20000000000005</v>
      </c>
      <c r="BK95" s="810">
        <f t="shared" ref="BK95" si="475">BK16+BK27+BK38+BK49+BK60+BK71</f>
        <v>514.20000000000005</v>
      </c>
      <c r="BL95" s="809">
        <f t="shared" ref="BL95:BO95" si="476">BL16+BL27+BL38+BL49+BL60+BL71</f>
        <v>515.80198900000005</v>
      </c>
      <c r="BM95" s="801">
        <f t="shared" si="476"/>
        <v>542.17339201999994</v>
      </c>
      <c r="BN95" s="801">
        <f t="shared" si="476"/>
        <v>555.78659275670009</v>
      </c>
      <c r="BO95" s="810">
        <f t="shared" si="476"/>
        <v>543.61409561827111</v>
      </c>
      <c r="BP95" s="809">
        <f t="shared" ref="BP95:BS95" si="477">BP16+BP27+BP38+BP49+BP60+BP71</f>
        <v>540.41491874037683</v>
      </c>
      <c r="BQ95" s="801">
        <f t="shared" si="477"/>
        <v>566.77562628744454</v>
      </c>
      <c r="BR95" s="801">
        <f t="shared" si="477"/>
        <v>588.59969836226333</v>
      </c>
      <c r="BS95" s="810">
        <f t="shared" si="477"/>
        <v>578.32138577898979</v>
      </c>
      <c r="BT95" s="809">
        <f t="shared" ref="BT95:BW95" si="478">BT16+BT27+BT38+BT49+BT60+BT71</f>
        <v>567.15699032537668</v>
      </c>
      <c r="BU95" s="801">
        <f t="shared" si="478"/>
        <v>594.70805725627952</v>
      </c>
      <c r="BV95" s="801">
        <f t="shared" si="478"/>
        <v>617.18116776067961</v>
      </c>
      <c r="BW95" s="810">
        <f t="shared" si="478"/>
        <v>606.55994158686735</v>
      </c>
      <c r="BX95" s="346"/>
      <c r="BY95" s="334">
        <f t="shared" ref="BY95:CJ95" si="479">BY16+BY27+BY38+BY49+BY60+BY71</f>
        <v>225.90000000000003</v>
      </c>
      <c r="BZ95" s="325">
        <f t="shared" si="479"/>
        <v>409.9</v>
      </c>
      <c r="CA95" s="325">
        <f t="shared" si="479"/>
        <v>418.5</v>
      </c>
      <c r="CB95" s="325">
        <f t="shared" si="479"/>
        <v>589</v>
      </c>
      <c r="CC95" s="325">
        <f t="shared" si="479"/>
        <v>590.5</v>
      </c>
      <c r="CD95" s="325">
        <f t="shared" si="479"/>
        <v>745.5</v>
      </c>
      <c r="CE95" s="325">
        <f t="shared" si="479"/>
        <v>620.70000000000005</v>
      </c>
      <c r="CF95" s="325">
        <f t="shared" si="479"/>
        <v>956.00000000000011</v>
      </c>
      <c r="CG95" s="325">
        <f t="shared" si="479"/>
        <v>1008.7999999999997</v>
      </c>
      <c r="CH95" s="325">
        <f t="shared" si="479"/>
        <v>951.90000000000009</v>
      </c>
      <c r="CI95" s="325">
        <f t="shared" si="479"/>
        <v>938.39999999999986</v>
      </c>
      <c r="CJ95" s="325">
        <f t="shared" si="479"/>
        <v>1085.6000000000001</v>
      </c>
      <c r="CK95" s="325">
        <f t="shared" ref="CK95:CP95" si="480">CK16+CK27+CK38+CK49+CK60+CK71</f>
        <v>1193.2</v>
      </c>
      <c r="CL95" s="325">
        <f t="shared" si="480"/>
        <v>1296.9000000000003</v>
      </c>
      <c r="CM95" s="325">
        <f t="shared" si="480"/>
        <v>2033.8000000000002</v>
      </c>
      <c r="CN95" s="325">
        <f t="shared" si="480"/>
        <v>2157.3760693949712</v>
      </c>
      <c r="CO95" s="325">
        <f t="shared" si="480"/>
        <v>2274.1116291690751</v>
      </c>
      <c r="CP95" s="326">
        <f t="shared" si="480"/>
        <v>2385.6061569292033</v>
      </c>
      <c r="CQ95" s="1041"/>
    </row>
    <row r="96" spans="1:96" ht="14.25" customHeight="1">
      <c r="A96" s="865"/>
      <c r="B96" s="873" t="s">
        <v>373</v>
      </c>
      <c r="C96" s="251"/>
      <c r="D96" s="370">
        <f t="shared" ref="D96:AE96" si="481">+D95/D81</f>
        <v>0</v>
      </c>
      <c r="E96" s="370">
        <f t="shared" si="481"/>
        <v>0.28844652615144412</v>
      </c>
      <c r="F96" s="370">
        <f t="shared" si="481"/>
        <v>0.2779456193353475</v>
      </c>
      <c r="G96" s="335">
        <f t="shared" si="481"/>
        <v>0.28140703517587951</v>
      </c>
      <c r="H96" s="370">
        <f t="shared" si="481"/>
        <v>0.31116158338741068</v>
      </c>
      <c r="I96" s="370">
        <f t="shared" si="481"/>
        <v>0.33703148425787111</v>
      </c>
      <c r="J96" s="370">
        <f t="shared" si="481"/>
        <v>0.3234924623115577</v>
      </c>
      <c r="K96" s="335">
        <f t="shared" si="481"/>
        <v>0.32138200782268578</v>
      </c>
      <c r="L96" s="370">
        <f t="shared" si="481"/>
        <v>0.31812169312169308</v>
      </c>
      <c r="M96" s="370">
        <f t="shared" si="481"/>
        <v>0.32529722589167764</v>
      </c>
      <c r="N96" s="370">
        <f t="shared" si="481"/>
        <v>0.33195153061224497</v>
      </c>
      <c r="O96" s="335">
        <f t="shared" si="481"/>
        <v>0.35020479812756</v>
      </c>
      <c r="P96" s="370">
        <f t="shared" si="481"/>
        <v>0.35239520958083831</v>
      </c>
      <c r="Q96" s="370">
        <f t="shared" si="481"/>
        <v>0.40820676791899818</v>
      </c>
      <c r="R96" s="370">
        <f t="shared" si="481"/>
        <v>0.38108814445236394</v>
      </c>
      <c r="S96" s="335">
        <f t="shared" si="481"/>
        <v>0.39267928286852594</v>
      </c>
      <c r="T96" s="370">
        <f t="shared" si="481"/>
        <v>0.36504543025120251</v>
      </c>
      <c r="U96" s="370">
        <f t="shared" si="481"/>
        <v>0.38300104931794332</v>
      </c>
      <c r="V96" s="370">
        <f t="shared" si="481"/>
        <v>0.38620004964010912</v>
      </c>
      <c r="W96" s="335">
        <f t="shared" si="481"/>
        <v>0.37337582740867858</v>
      </c>
      <c r="X96" s="370">
        <f t="shared" si="481"/>
        <v>0.34747570514339887</v>
      </c>
      <c r="Y96" s="370">
        <f t="shared" si="481"/>
        <v>0.34050115514483731</v>
      </c>
      <c r="Z96" s="370">
        <f t="shared" si="481"/>
        <v>0.38108340498710236</v>
      </c>
      <c r="AA96" s="335">
        <f t="shared" si="481"/>
        <v>0.37998772252915897</v>
      </c>
      <c r="AB96" s="370">
        <f t="shared" si="481"/>
        <v>0.29570034291743613</v>
      </c>
      <c r="AC96" s="370">
        <f t="shared" si="481"/>
        <v>0.32920438303954258</v>
      </c>
      <c r="AD96" s="370">
        <f t="shared" si="481"/>
        <v>0.37174878409811796</v>
      </c>
      <c r="AE96" s="335">
        <f t="shared" si="481"/>
        <v>0.39147052906859792</v>
      </c>
      <c r="AF96" s="370">
        <f t="shared" ref="AF96:AP96" si="482">+AF95/AF81</f>
        <v>0.41457651762995273</v>
      </c>
      <c r="AG96" s="370">
        <f t="shared" si="482"/>
        <v>0.417966740956626</v>
      </c>
      <c r="AH96" s="370">
        <f t="shared" si="482"/>
        <v>0.41035458631596483</v>
      </c>
      <c r="AI96" s="335">
        <f t="shared" si="482"/>
        <v>0.4102209944751381</v>
      </c>
      <c r="AJ96" s="370">
        <f t="shared" si="482"/>
        <v>0.27842866988283937</v>
      </c>
      <c r="AK96" s="370">
        <f t="shared" si="482"/>
        <v>0.29377345992492815</v>
      </c>
      <c r="AL96" s="370">
        <f t="shared" si="482"/>
        <v>0.29075723830734962</v>
      </c>
      <c r="AM96" s="335">
        <f t="shared" si="482"/>
        <v>0.31149889308503703</v>
      </c>
      <c r="AN96" s="370">
        <f t="shared" si="482"/>
        <v>0.32939279957012357</v>
      </c>
      <c r="AO96" s="370">
        <f t="shared" si="482"/>
        <v>0.34680451127819545</v>
      </c>
      <c r="AP96" s="370">
        <f t="shared" si="482"/>
        <v>0.32804962095106815</v>
      </c>
      <c r="AQ96" s="335">
        <f t="shared" ref="AQ96:BC96" si="483">+AQ95/AQ81</f>
        <v>0.30932078800352841</v>
      </c>
      <c r="AR96" s="338">
        <f t="shared" si="483"/>
        <v>0.30937972768532529</v>
      </c>
      <c r="AS96" s="370">
        <f t="shared" si="483"/>
        <v>0.33677175650152547</v>
      </c>
      <c r="AT96" s="370">
        <f t="shared" si="483"/>
        <v>0.34833659491193736</v>
      </c>
      <c r="AU96" s="335">
        <f t="shared" si="483"/>
        <v>0.35222841225626739</v>
      </c>
      <c r="AV96" s="338">
        <f>+AV95/AV81</f>
        <v>0.35498938428874738</v>
      </c>
      <c r="AW96" s="370">
        <f>+AW95/AW81</f>
        <v>0.36034846884899679</v>
      </c>
      <c r="AX96" s="370">
        <f>+AX95/AX81</f>
        <v>0.34085182963407323</v>
      </c>
      <c r="AY96" s="338">
        <f t="shared" si="483"/>
        <v>0.32133765332099057</v>
      </c>
      <c r="AZ96" s="359">
        <f t="shared" si="483"/>
        <v>0.34497014239779511</v>
      </c>
      <c r="BA96" s="338">
        <f t="shared" si="483"/>
        <v>0.34571266325951161</v>
      </c>
      <c r="BB96" s="370">
        <f>+BB95/BB81</f>
        <v>0.34118557841185576</v>
      </c>
      <c r="BC96" s="337">
        <f t="shared" si="483"/>
        <v>0.33309532309889323</v>
      </c>
      <c r="BD96" s="359">
        <f>+BD95/BD81</f>
        <v>0.337126774351444</v>
      </c>
      <c r="BE96" s="338">
        <f>+BE95/BE81</f>
        <v>0.35076327181590339</v>
      </c>
      <c r="BF96" s="370">
        <f>+BF95/BF81</f>
        <v>0.34598801135766116</v>
      </c>
      <c r="BG96" s="337">
        <f t="shared" ref="BG96" si="484">+BG95/BG81</f>
        <v>0.30491673275178433</v>
      </c>
      <c r="BH96" s="359">
        <f>+BH95/BH81</f>
        <v>0.39271223470661676</v>
      </c>
      <c r="BI96" s="338">
        <f>+BI95/BI81</f>
        <v>0.36778774289985061</v>
      </c>
      <c r="BJ96" s="370">
        <f>+BJ95/BJ81</f>
        <v>0.37687828025019771</v>
      </c>
      <c r="BK96" s="337">
        <f t="shared" ref="BK96" si="485">+BK95/BK81</f>
        <v>0.37328493647912891</v>
      </c>
      <c r="BL96" s="338">
        <f t="shared" ref="BL96:BS96" si="486">+BL95/BL81</f>
        <v>0.37653710496789078</v>
      </c>
      <c r="BM96" s="338">
        <f t="shared" si="486"/>
        <v>0.37957078352246187</v>
      </c>
      <c r="BN96" s="338">
        <f t="shared" si="486"/>
        <v>0.38012354751625588</v>
      </c>
      <c r="BO96" s="337">
        <f t="shared" si="486"/>
        <v>0.37850447327789305</v>
      </c>
      <c r="BP96" s="338">
        <f t="shared" si="486"/>
        <v>0.37837620833698754</v>
      </c>
      <c r="BQ96" s="338">
        <f t="shared" si="486"/>
        <v>0.38253645194839431</v>
      </c>
      <c r="BR96" s="338">
        <f t="shared" si="486"/>
        <v>0.3888227415983887</v>
      </c>
      <c r="BS96" s="337">
        <f t="shared" si="486"/>
        <v>0.38878696614497166</v>
      </c>
      <c r="BT96" s="338">
        <f t="shared" ref="BT96:BW96" si="487">+BT95/BT81</f>
        <v>0.3828547950342302</v>
      </c>
      <c r="BU96" s="338">
        <f t="shared" si="487"/>
        <v>0.38702369515866147</v>
      </c>
      <c r="BV96" s="338">
        <f t="shared" si="487"/>
        <v>0.39348537617256518</v>
      </c>
      <c r="BW96" s="337">
        <f t="shared" si="487"/>
        <v>0.3934103688626901</v>
      </c>
      <c r="BX96" s="346"/>
      <c r="BY96" s="359">
        <f t="shared" ref="BY96:CL96" si="488">+BY95/BY81</f>
        <v>0.21129922364605749</v>
      </c>
      <c r="BZ96" s="338">
        <f t="shared" si="488"/>
        <v>0.32354566264109241</v>
      </c>
      <c r="CA96" s="338">
        <f t="shared" si="488"/>
        <v>0.33198476915754399</v>
      </c>
      <c r="CB96" s="338">
        <f t="shared" si="488"/>
        <v>0.38451494973234113</v>
      </c>
      <c r="CC96" s="338">
        <f t="shared" si="488"/>
        <v>0.37702719959136771</v>
      </c>
      <c r="CD96" s="338">
        <f t="shared" si="488"/>
        <v>0.36280903250924668</v>
      </c>
      <c r="CE96" s="338">
        <f t="shared" si="488"/>
        <v>0.35089603708519418</v>
      </c>
      <c r="CF96" s="338">
        <f t="shared" si="488"/>
        <v>0.41324457508429158</v>
      </c>
      <c r="CG96" s="338">
        <f t="shared" si="488"/>
        <v>0.29305987275949208</v>
      </c>
      <c r="CH96" s="338">
        <f t="shared" si="488"/>
        <v>0.32881964834709326</v>
      </c>
      <c r="CI96" s="338">
        <f t="shared" si="488"/>
        <v>0.33722643475760949</v>
      </c>
      <c r="CJ96" s="338">
        <f t="shared" si="488"/>
        <v>0.34334872540957684</v>
      </c>
      <c r="CK96" s="338">
        <f t="shared" si="488"/>
        <v>0.34132387436352196</v>
      </c>
      <c r="CL96" s="338">
        <f t="shared" si="488"/>
        <v>0.33195116332642255</v>
      </c>
      <c r="CM96" s="338">
        <f>+CM95/CM81</f>
        <v>0.36690660460753011</v>
      </c>
      <c r="CN96" s="338">
        <f>+CN95/CN81</f>
        <v>0.37871431344609174</v>
      </c>
      <c r="CO96" s="338">
        <f>+CO95/CO81</f>
        <v>0.3847140187272774</v>
      </c>
      <c r="CP96" s="337">
        <f>+CP95/CP81</f>
        <v>0.38927657579150921</v>
      </c>
      <c r="CQ96" s="1041"/>
    </row>
    <row r="97" spans="1:95" ht="14.25" customHeight="1">
      <c r="A97" s="865"/>
      <c r="B97" s="235"/>
      <c r="C97" s="251"/>
      <c r="D97" s="341"/>
      <c r="E97" s="341"/>
      <c r="F97" s="341"/>
      <c r="G97" s="342"/>
      <c r="H97" s="341"/>
      <c r="I97" s="341"/>
      <c r="J97" s="341"/>
      <c r="K97" s="342"/>
      <c r="L97" s="341"/>
      <c r="M97" s="341"/>
      <c r="N97" s="341"/>
      <c r="O97" s="342"/>
      <c r="P97" s="341"/>
      <c r="Q97" s="341"/>
      <c r="R97" s="341"/>
      <c r="S97" s="342"/>
      <c r="T97" s="341"/>
      <c r="U97" s="341"/>
      <c r="V97" s="341"/>
      <c r="W97" s="342"/>
      <c r="X97" s="341"/>
      <c r="Y97" s="341"/>
      <c r="Z97" s="341"/>
      <c r="AA97" s="342"/>
      <c r="AB97" s="341"/>
      <c r="AC97" s="341"/>
      <c r="AD97" s="341"/>
      <c r="AE97" s="342"/>
      <c r="AF97" s="341"/>
      <c r="AG97" s="341"/>
      <c r="AH97" s="341"/>
      <c r="AI97" s="342"/>
      <c r="AJ97" s="341"/>
      <c r="AK97" s="341"/>
      <c r="AL97" s="341"/>
      <c r="AM97" s="342"/>
      <c r="AN97" s="341"/>
      <c r="AO97" s="341"/>
      <c r="AP97" s="341"/>
      <c r="AQ97" s="342"/>
      <c r="AR97" s="325"/>
      <c r="AS97" s="341"/>
      <c r="AT97" s="341"/>
      <c r="AU97" s="342"/>
      <c r="AV97" s="325"/>
      <c r="AW97" s="341"/>
      <c r="AX97" s="341"/>
      <c r="AY97" s="325"/>
      <c r="AZ97" s="334"/>
      <c r="BA97" s="325"/>
      <c r="BB97" s="341"/>
      <c r="BC97" s="326"/>
      <c r="BD97" s="334"/>
      <c r="BE97" s="325"/>
      <c r="BF97" s="341"/>
      <c r="BG97" s="326"/>
      <c r="BH97" s="334"/>
      <c r="BI97" s="325"/>
      <c r="BJ97" s="341"/>
      <c r="BK97" s="326"/>
      <c r="BL97" s="325"/>
      <c r="BM97" s="325"/>
      <c r="BN97" s="325"/>
      <c r="BO97" s="326"/>
      <c r="BP97" s="325"/>
      <c r="BQ97" s="325"/>
      <c r="BR97" s="325"/>
      <c r="BS97" s="326"/>
      <c r="BT97" s="325"/>
      <c r="BU97" s="325"/>
      <c r="BV97" s="325"/>
      <c r="BW97" s="326"/>
      <c r="BX97" s="346"/>
      <c r="BY97" s="809"/>
      <c r="BZ97" s="801"/>
      <c r="CA97" s="801"/>
      <c r="CB97" s="801"/>
      <c r="CC97" s="801"/>
      <c r="CD97" s="801"/>
      <c r="CE97" s="325"/>
      <c r="CF97" s="325"/>
      <c r="CG97" s="325"/>
      <c r="CH97" s="325"/>
      <c r="CI97" s="325"/>
      <c r="CJ97" s="325"/>
      <c r="CK97" s="325"/>
      <c r="CL97" s="325"/>
      <c r="CM97" s="325"/>
      <c r="CN97" s="325"/>
      <c r="CO97" s="325"/>
      <c r="CP97" s="326"/>
      <c r="CQ97" s="1041"/>
    </row>
    <row r="98" spans="1:95" ht="14.25" customHeight="1">
      <c r="A98" s="865"/>
      <c r="B98" s="235" t="s">
        <v>560</v>
      </c>
      <c r="C98" s="251"/>
      <c r="D98" s="883">
        <f>IS!D22</f>
        <v>74.800000000000011</v>
      </c>
      <c r="E98" s="883">
        <f>IS!E22</f>
        <v>73.899999999999977</v>
      </c>
      <c r="F98" s="883">
        <f>IS!F22</f>
        <v>73.600000000000023</v>
      </c>
      <c r="G98" s="884">
        <f>IS!G22</f>
        <v>78.400000000000034</v>
      </c>
      <c r="H98" s="883">
        <f>IS!H22</f>
        <v>95.899999999999977</v>
      </c>
      <c r="I98" s="883">
        <f>IS!I22</f>
        <v>112.4</v>
      </c>
      <c r="J98" s="883">
        <f>IS!J22</f>
        <v>102.99999999999997</v>
      </c>
      <c r="K98" s="884">
        <f>IS!K22</f>
        <v>98.600000000000023</v>
      </c>
      <c r="L98" s="883">
        <f>IS!L22</f>
        <v>96.199999999999989</v>
      </c>
      <c r="M98" s="883">
        <f>IS!M22</f>
        <v>98.5</v>
      </c>
      <c r="N98" s="883">
        <f>IS!N22</f>
        <v>104.10000000000002</v>
      </c>
      <c r="O98" s="884">
        <f>IS!O22</f>
        <v>119.70000000000002</v>
      </c>
      <c r="P98" s="883">
        <f>IS!P22</f>
        <v>117.69999999999999</v>
      </c>
      <c r="Q98" s="883">
        <f>IS!Q22</f>
        <v>153.20000000000002</v>
      </c>
      <c r="R98" s="883">
        <f>IS!R22</f>
        <v>160.39999999999998</v>
      </c>
      <c r="S98" s="884">
        <f>IS!S22</f>
        <v>157.70000000000002</v>
      </c>
      <c r="T98" s="883">
        <f>IS!T22</f>
        <v>136.6</v>
      </c>
      <c r="U98" s="883">
        <f>IS!U22</f>
        <v>146</v>
      </c>
      <c r="V98" s="883">
        <f>IS!V22</f>
        <v>155.59999999999997</v>
      </c>
      <c r="W98" s="884">
        <f>IS!W22</f>
        <v>152.29999999999998</v>
      </c>
      <c r="X98" s="883">
        <f>IS!X22</f>
        <v>146.59999999999997</v>
      </c>
      <c r="Y98" s="883">
        <f>IS!Y22</f>
        <v>191.60000000000002</v>
      </c>
      <c r="Z98" s="883">
        <f>IS!Z22</f>
        <v>221.60000000000002</v>
      </c>
      <c r="AA98" s="884">
        <f>IS!AA22</f>
        <v>185.7</v>
      </c>
      <c r="AB98" s="883">
        <f>IS!AB22</f>
        <v>112.10000000000002</v>
      </c>
      <c r="AC98" s="883">
        <f>IS!AC22</f>
        <v>138.19999999999999</v>
      </c>
      <c r="AD98" s="883">
        <f>IS!AD22</f>
        <v>175.79999999999995</v>
      </c>
      <c r="AE98" s="884">
        <f>IS!AE22</f>
        <v>194.60000000000002</v>
      </c>
      <c r="AF98" s="883">
        <f>IS!AF22</f>
        <v>228.10000000000002</v>
      </c>
      <c r="AG98" s="883">
        <f>IS!AG22</f>
        <v>243.79999999999995</v>
      </c>
      <c r="AH98" s="883">
        <f>IS!AH22</f>
        <v>246.50000000000006</v>
      </c>
      <c r="AI98" s="884">
        <f>IS!AI22</f>
        <v>237.60000000000002</v>
      </c>
      <c r="AJ98" s="883">
        <f>IS!AJ22</f>
        <v>242.39999999999998</v>
      </c>
      <c r="AK98" s="883">
        <f>IS!AK22</f>
        <v>266.09999999999991</v>
      </c>
      <c r="AL98" s="883">
        <f>IS!AL22</f>
        <v>261.10000000000002</v>
      </c>
      <c r="AM98" s="884">
        <f>IS!AM22</f>
        <v>239.19999999999993</v>
      </c>
      <c r="AN98" s="883">
        <f>IS!AN22</f>
        <v>245.2</v>
      </c>
      <c r="AO98" s="883">
        <f>IS!AO22</f>
        <v>258.29999999999995</v>
      </c>
      <c r="AP98" s="883">
        <f>IS!AP22</f>
        <v>238</v>
      </c>
      <c r="AQ98" s="884">
        <f>IS!AQ22</f>
        <v>210.40000000000003</v>
      </c>
      <c r="AR98" s="898">
        <f>IS!AR22</f>
        <v>204.5</v>
      </c>
      <c r="AS98" s="883">
        <f>IS!AS22</f>
        <v>231.79999999999995</v>
      </c>
      <c r="AT98" s="883">
        <f>IS!AT22</f>
        <v>249.2</v>
      </c>
      <c r="AU98" s="884">
        <f>IS!AU22</f>
        <v>252.89999999999998</v>
      </c>
      <c r="AV98" s="898">
        <f>IS!AV22</f>
        <v>250.8</v>
      </c>
      <c r="AW98" s="883">
        <f>IS!AW22</f>
        <v>273</v>
      </c>
      <c r="AX98" s="883">
        <f>IS!AX22</f>
        <v>284.10000000000002</v>
      </c>
      <c r="AY98" s="898">
        <f>IS!AY22</f>
        <v>277.70000000000005</v>
      </c>
      <c r="AZ98" s="1090">
        <f>IS!AZ22</f>
        <v>300.39999999999998</v>
      </c>
      <c r="BA98" s="898">
        <f>IS!BA22</f>
        <v>304.39999999999998</v>
      </c>
      <c r="BB98" s="883">
        <f>IS!BB22</f>
        <v>308.5</v>
      </c>
      <c r="BC98" s="899">
        <f>IS!BC22</f>
        <v>279.89999999999998</v>
      </c>
      <c r="BD98" s="1090">
        <f>IS!BD22</f>
        <v>275.5</v>
      </c>
      <c r="BE98" s="898">
        <f>IS!BE22</f>
        <v>307.89999999999998</v>
      </c>
      <c r="BF98" s="883">
        <f>IS!BF22</f>
        <v>329</v>
      </c>
      <c r="BG98" s="899">
        <f>IS!BG22</f>
        <v>384.5</v>
      </c>
      <c r="BH98" s="1090">
        <f>IS!BH22</f>
        <v>503.30000000000007</v>
      </c>
      <c r="BI98" s="898">
        <f>IS!BI22</f>
        <v>492.1</v>
      </c>
      <c r="BJ98" s="883">
        <f>IS!BJ22</f>
        <v>524.20000000000005</v>
      </c>
      <c r="BK98" s="899">
        <f>IS!BK22</f>
        <v>514.20000000000005</v>
      </c>
      <c r="BL98" s="898">
        <f>IS!BL22</f>
        <v>515.80198900000005</v>
      </c>
      <c r="BM98" s="898">
        <f>IS!BM22</f>
        <v>542.17339201999994</v>
      </c>
      <c r="BN98" s="898">
        <f>IS!BN22</f>
        <v>555.78659275670009</v>
      </c>
      <c r="BO98" s="899">
        <f>IS!BO22</f>
        <v>543.61409561827111</v>
      </c>
      <c r="BP98" s="898">
        <f>IS!BP22</f>
        <v>540.41491874037683</v>
      </c>
      <c r="BQ98" s="898">
        <f>IS!BQ22</f>
        <v>566.77562628744454</v>
      </c>
      <c r="BR98" s="898">
        <f>IS!BR22</f>
        <v>588.59969836226333</v>
      </c>
      <c r="BS98" s="899">
        <f>IS!BS22</f>
        <v>578.32138577898979</v>
      </c>
      <c r="BT98" s="898">
        <f>IS!BT22</f>
        <v>567.15699032537668</v>
      </c>
      <c r="BU98" s="898">
        <f>IS!BU22</f>
        <v>594.70805725627952</v>
      </c>
      <c r="BV98" s="898">
        <f>IS!BV22</f>
        <v>617.18116776067961</v>
      </c>
      <c r="BW98" s="899">
        <f>IS!BW22</f>
        <v>606.55994158686735</v>
      </c>
      <c r="BX98" s="346"/>
      <c r="BY98" s="334">
        <f>IS!BY22</f>
        <v>300.69999999999982</v>
      </c>
      <c r="BZ98" s="325">
        <f>IS!BZ22</f>
        <v>409.90000000000009</v>
      </c>
      <c r="CA98" s="325">
        <f>IS!CA22</f>
        <v>418.50000000000011</v>
      </c>
      <c r="CB98" s="325">
        <f>IS!CB22</f>
        <v>588.99999999999977</v>
      </c>
      <c r="CC98" s="325">
        <f>IS!CC22</f>
        <v>590.49999999999989</v>
      </c>
      <c r="CD98" s="325">
        <f>IS!CD22</f>
        <v>745.49999999999955</v>
      </c>
      <c r="CE98" s="325">
        <f>IS!CE22</f>
        <v>620.70000000000005</v>
      </c>
      <c r="CF98" s="325">
        <f>IS!CF22</f>
        <v>956</v>
      </c>
      <c r="CG98" s="325">
        <f>IS!CG22</f>
        <v>1008.8000000000002</v>
      </c>
      <c r="CH98" s="325">
        <f>IS!CH22</f>
        <v>951.89999999999964</v>
      </c>
      <c r="CI98" s="325">
        <f>IS!CI22</f>
        <v>938.39999999999964</v>
      </c>
      <c r="CJ98" s="325">
        <f>IS!CJ22</f>
        <v>1085.6000000000004</v>
      </c>
      <c r="CK98" s="325">
        <f>IS!CK22</f>
        <v>1193.2000000000003</v>
      </c>
      <c r="CL98" s="325">
        <f>IS!CL22</f>
        <v>1296.9000000000001</v>
      </c>
      <c r="CM98" s="325">
        <f>IS!CM22</f>
        <v>2033.8000000000002</v>
      </c>
      <c r="CN98" s="325">
        <f>IS!CN22</f>
        <v>2157.3760693949712</v>
      </c>
      <c r="CO98" s="325">
        <f>IS!CO22</f>
        <v>2274.1116291690746</v>
      </c>
      <c r="CP98" s="326">
        <f>IS!CP22</f>
        <v>2385.6061569292024</v>
      </c>
      <c r="CQ98" s="1041"/>
    </row>
    <row r="99" spans="1:95" ht="14.25" customHeight="1">
      <c r="A99" s="865"/>
      <c r="B99" s="45" t="s">
        <v>561</v>
      </c>
      <c r="C99" s="251"/>
      <c r="D99" s="883">
        <f>IS!D68</f>
        <v>15.000000000000007</v>
      </c>
      <c r="E99" s="883">
        <f>IS!E68</f>
        <v>-18.300000000000026</v>
      </c>
      <c r="F99" s="883">
        <f>IS!F68</f>
        <v>26.500000000000021</v>
      </c>
      <c r="G99" s="884">
        <f>IS!G68</f>
        <v>-7.2999999999999545</v>
      </c>
      <c r="H99" s="883">
        <f>IS!H68</f>
        <v>23.699999999999989</v>
      </c>
      <c r="I99" s="883">
        <f>IS!I68</f>
        <v>48.100000000000009</v>
      </c>
      <c r="J99" s="883">
        <f>IS!J68</f>
        <v>43.499999999999972</v>
      </c>
      <c r="K99" s="884">
        <f>IS!K68</f>
        <v>34.600000000000023</v>
      </c>
      <c r="L99" s="883">
        <f>IS!L68</f>
        <v>32.299999999999983</v>
      </c>
      <c r="M99" s="883">
        <f>IS!M68</f>
        <v>36.300000000000004</v>
      </c>
      <c r="N99" s="883">
        <f>IS!N68</f>
        <v>42.200000000000017</v>
      </c>
      <c r="O99" s="884">
        <f>IS!O68</f>
        <v>56.800000000000018</v>
      </c>
      <c r="P99" s="883">
        <f>IS!P68</f>
        <v>52.899999999999991</v>
      </c>
      <c r="Q99" s="883">
        <f>IS!Q68</f>
        <v>80.700000000000017</v>
      </c>
      <c r="R99" s="883">
        <f>IS!R68</f>
        <v>88.199999999999989</v>
      </c>
      <c r="S99" s="884">
        <f>IS!S68</f>
        <v>95.200000000000017</v>
      </c>
      <c r="T99" s="883">
        <f>IS!T68</f>
        <v>62.699999999999989</v>
      </c>
      <c r="U99" s="883">
        <f>IS!U68</f>
        <v>71.5</v>
      </c>
      <c r="V99" s="883">
        <f>IS!V68</f>
        <v>73.19999999999996</v>
      </c>
      <c r="W99" s="884">
        <f>IS!W68</f>
        <v>69.799999999999983</v>
      </c>
      <c r="X99" s="883">
        <f>IS!X68</f>
        <v>30.799999999999969</v>
      </c>
      <c r="Y99" s="883">
        <f>IS!Y68</f>
        <v>33.400000000000006</v>
      </c>
      <c r="Z99" s="883">
        <f>IS!Z68</f>
        <v>73.600000000000023</v>
      </c>
      <c r="AA99" s="884">
        <f>IS!AA68</f>
        <v>-503.7000000000001</v>
      </c>
      <c r="AB99" s="883">
        <f>IS!AB68</f>
        <v>-4.5999999999999659</v>
      </c>
      <c r="AC99" s="883">
        <f>IS!AC68</f>
        <v>13.699999999999989</v>
      </c>
      <c r="AD99" s="883">
        <f>IS!AD68</f>
        <v>49.699999999999946</v>
      </c>
      <c r="AE99" s="884">
        <f>IS!AE68</f>
        <v>83.800000000000011</v>
      </c>
      <c r="AF99" s="883">
        <f>IS!AF68</f>
        <v>84.200000000000017</v>
      </c>
      <c r="AG99" s="883">
        <f>IS!AG68</f>
        <v>101.49999999999997</v>
      </c>
      <c r="AH99" s="883">
        <f>IS!AH68</f>
        <v>107.70000000000005</v>
      </c>
      <c r="AI99" s="884">
        <f>IS!AI68</f>
        <v>80.800000000000011</v>
      </c>
      <c r="AJ99" s="883">
        <f>IS!AJ68</f>
        <v>32.699999999999989</v>
      </c>
      <c r="AK99" s="883">
        <f>IS!AK68</f>
        <v>56.89999999999992</v>
      </c>
      <c r="AL99" s="883">
        <f>IS!AL68</f>
        <v>-6.6999999999999886</v>
      </c>
      <c r="AM99" s="884">
        <f>IS!AM68</f>
        <v>30.499999999999915</v>
      </c>
      <c r="AN99" s="883">
        <f>IS!AN68</f>
        <v>43.599999999999994</v>
      </c>
      <c r="AO99" s="883">
        <f>IS!AO68</f>
        <v>26.89999999999992</v>
      </c>
      <c r="AP99" s="883">
        <f>IS!AP68</f>
        <v>44.599999999999966</v>
      </c>
      <c r="AQ99" s="884">
        <f>IS!AQ68</f>
        <v>-131.39999999999998</v>
      </c>
      <c r="AR99" s="898">
        <f>IS!AR68</f>
        <v>37.700000000000017</v>
      </c>
      <c r="AS99" s="883">
        <f>IS!AS68</f>
        <v>50.899999999999949</v>
      </c>
      <c r="AT99" s="883">
        <f>IS!AT68</f>
        <v>67.300000000000011</v>
      </c>
      <c r="AU99" s="884">
        <f>IS!AU68</f>
        <v>62.299999999999983</v>
      </c>
      <c r="AV99" s="898">
        <f>IS!AV68</f>
        <v>73.300000000000011</v>
      </c>
      <c r="AW99" s="883">
        <f>IS!AW68</f>
        <v>81.699999999999989</v>
      </c>
      <c r="AX99" s="883">
        <f>IS!AX68</f>
        <v>57.600000000000023</v>
      </c>
      <c r="AY99" s="898">
        <f>IS!AY68</f>
        <v>20.10000000000008</v>
      </c>
      <c r="AZ99" s="1090">
        <f>IS!AZ68</f>
        <v>68.400000000000006</v>
      </c>
      <c r="BA99" s="898">
        <f>IS!BA68</f>
        <v>67.799999999999955</v>
      </c>
      <c r="BB99" s="883">
        <f>IS!BB68</f>
        <v>69.400000000000006</v>
      </c>
      <c r="BC99" s="899">
        <f>IS!BC68</f>
        <v>55.499999999999972</v>
      </c>
      <c r="BD99" s="1090">
        <f>IS!BD68</f>
        <v>58.400000000000006</v>
      </c>
      <c r="BE99" s="898">
        <f>IS!BE68</f>
        <v>75.299999999999983</v>
      </c>
      <c r="BF99" s="883">
        <f>IS!BF68</f>
        <v>46.700000000000045</v>
      </c>
      <c r="BG99" s="899">
        <f>IS!BG68</f>
        <v>55.699999999999989</v>
      </c>
      <c r="BH99" s="1090">
        <f>IS!BH68</f>
        <v>183.40000000000009</v>
      </c>
      <c r="BI99" s="898">
        <f>IS!BI68</f>
        <v>154.19999999999999</v>
      </c>
      <c r="BJ99" s="883">
        <f>IS!BJ68</f>
        <v>177.30000000000007</v>
      </c>
      <c r="BK99" s="899">
        <f>IS!BK68</f>
        <v>166.00000000000006</v>
      </c>
      <c r="BL99" s="898">
        <f>IS!BL68</f>
        <v>186.18210511615223</v>
      </c>
      <c r="BM99" s="898">
        <f>IS!BM68</f>
        <v>236.20913112368061</v>
      </c>
      <c r="BN99" s="898">
        <f>IS!BN68</f>
        <v>246.57535071078769</v>
      </c>
      <c r="BO99" s="899">
        <f>IS!BO68</f>
        <v>236.31030375307745</v>
      </c>
      <c r="BP99" s="898">
        <f>IS!BP68</f>
        <v>233.11112687518317</v>
      </c>
      <c r="BQ99" s="898">
        <f>IS!BQ68</f>
        <v>254.58653623642681</v>
      </c>
      <c r="BR99" s="898">
        <f>IS!BR68</f>
        <v>273.52669741313429</v>
      </c>
      <c r="BS99" s="899">
        <f>IS!BS68</f>
        <v>265.57681913520321</v>
      </c>
      <c r="BT99" s="898">
        <f>IS!BT68</f>
        <v>254.4124236815901</v>
      </c>
      <c r="BU99" s="898">
        <f>IS!BU68</f>
        <v>277.00340065184201</v>
      </c>
      <c r="BV99" s="898">
        <f>IS!BV68</f>
        <v>296.67248998062723</v>
      </c>
      <c r="BW99" s="899">
        <f>IS!BW68</f>
        <v>288.37227877434469</v>
      </c>
      <c r="BX99" s="346"/>
      <c r="BY99" s="334">
        <f>IS!BY68</f>
        <v>15.899999999999807</v>
      </c>
      <c r="BZ99" s="325">
        <f>IS!BZ68</f>
        <v>149.90000000000009</v>
      </c>
      <c r="CA99" s="325">
        <f>IS!CA68</f>
        <v>167.60000000000011</v>
      </c>
      <c r="CB99" s="325">
        <f>IS!CB68</f>
        <v>316.99999999999977</v>
      </c>
      <c r="CC99" s="325">
        <f>IS!CC68</f>
        <v>277.19999999999987</v>
      </c>
      <c r="CD99" s="325">
        <f>IS!CD68</f>
        <v>-365.90000000000055</v>
      </c>
      <c r="CE99" s="325">
        <f>IS!CE68</f>
        <v>142.60000000000002</v>
      </c>
      <c r="CF99" s="325">
        <f>IS!CF68</f>
        <v>374.20000000000005</v>
      </c>
      <c r="CG99" s="325">
        <f>IS!CG68</f>
        <v>113.4000000000002</v>
      </c>
      <c r="CH99" s="325">
        <f>IS!CH68</f>
        <v>-16.300000000000409</v>
      </c>
      <c r="CI99" s="325">
        <f>IS!CI68</f>
        <v>218.19999999999959</v>
      </c>
      <c r="CJ99" s="325">
        <f>IS!CJ68</f>
        <v>232.70000000000039</v>
      </c>
      <c r="CK99" s="325">
        <f>IS!CK68</f>
        <v>261.10000000000036</v>
      </c>
      <c r="CL99" s="325">
        <f>IS!CL68</f>
        <v>236.09999999999991</v>
      </c>
      <c r="CM99" s="325">
        <f>IS!CM68</f>
        <v>680.90000000000032</v>
      </c>
      <c r="CN99" s="325">
        <f>IS!CN68</f>
        <v>905.27689070369797</v>
      </c>
      <c r="CO99" s="325">
        <f>IS!CO68</f>
        <v>1026.8011796599476</v>
      </c>
      <c r="CP99" s="326">
        <f>IS!CP68</f>
        <v>1116.4605930884031</v>
      </c>
      <c r="CQ99" s="1041"/>
    </row>
    <row r="100" spans="1:95" ht="14.25" customHeight="1">
      <c r="A100" s="865"/>
      <c r="B100" s="874"/>
      <c r="C100" s="255"/>
      <c r="D100" s="894"/>
      <c r="E100" s="894"/>
      <c r="F100" s="894"/>
      <c r="G100" s="895"/>
      <c r="H100" s="894"/>
      <c r="I100" s="894"/>
      <c r="J100" s="894"/>
      <c r="K100" s="895"/>
      <c r="L100" s="894"/>
      <c r="M100" s="894"/>
      <c r="N100" s="894"/>
      <c r="O100" s="895"/>
      <c r="P100" s="894"/>
      <c r="Q100" s="894"/>
      <c r="R100" s="894"/>
      <c r="S100" s="895"/>
      <c r="T100" s="894"/>
      <c r="U100" s="894"/>
      <c r="V100" s="894"/>
      <c r="W100" s="895"/>
      <c r="X100" s="894"/>
      <c r="Y100" s="894"/>
      <c r="Z100" s="894"/>
      <c r="AA100" s="895"/>
      <c r="AB100" s="894"/>
      <c r="AC100" s="894"/>
      <c r="AD100" s="894"/>
      <c r="AE100" s="895"/>
      <c r="AF100" s="894"/>
      <c r="AG100" s="894"/>
      <c r="AH100" s="894"/>
      <c r="AI100" s="895"/>
      <c r="AJ100" s="894"/>
      <c r="AK100" s="894"/>
      <c r="AL100" s="894"/>
      <c r="AM100" s="895"/>
      <c r="AN100" s="894"/>
      <c r="AO100" s="894"/>
      <c r="AP100" s="894"/>
      <c r="AQ100" s="895"/>
      <c r="AR100" s="264"/>
      <c r="AS100" s="264"/>
      <c r="AT100" s="264"/>
      <c r="AU100" s="265"/>
      <c r="AV100" s="264"/>
      <c r="AW100" s="264"/>
      <c r="AX100" s="264"/>
      <c r="AY100" s="264"/>
      <c r="AZ100" s="1098"/>
      <c r="BA100" s="264"/>
      <c r="BB100" s="264"/>
      <c r="BC100" s="265"/>
      <c r="BD100" s="1098"/>
      <c r="BE100" s="264"/>
      <c r="BF100" s="264"/>
      <c r="BG100" s="265"/>
      <c r="BH100" s="1098"/>
      <c r="BI100" s="264"/>
      <c r="BJ100" s="264"/>
      <c r="BK100" s="265"/>
      <c r="BL100" s="264"/>
      <c r="BM100" s="264"/>
      <c r="BN100" s="264"/>
      <c r="BO100" s="265"/>
      <c r="BP100" s="264"/>
      <c r="BQ100" s="264"/>
      <c r="BR100" s="264"/>
      <c r="BS100" s="265"/>
      <c r="BT100" s="264"/>
      <c r="BU100" s="264"/>
      <c r="BV100" s="264"/>
      <c r="BW100" s="265"/>
      <c r="BX100" s="346"/>
      <c r="BY100" s="941"/>
      <c r="BZ100" s="918"/>
      <c r="CA100" s="918"/>
      <c r="CB100" s="918"/>
      <c r="CC100" s="918"/>
      <c r="CD100" s="918"/>
      <c r="CE100" s="918"/>
      <c r="CF100" s="918"/>
      <c r="CG100" s="918"/>
      <c r="CH100" s="918"/>
      <c r="CI100" s="918"/>
      <c r="CJ100" s="918"/>
      <c r="CK100" s="918"/>
      <c r="CL100" s="918"/>
      <c r="CM100" s="918"/>
      <c r="CN100" s="918"/>
      <c r="CO100" s="918"/>
      <c r="CP100" s="919"/>
      <c r="CQ100" s="1041"/>
    </row>
    <row r="101" spans="1:95" ht="14.25" customHeight="1">
      <c r="BG101" s="1369"/>
      <c r="CJ101" s="302"/>
      <c r="CK101" s="302"/>
      <c r="CL101" s="302"/>
      <c r="CM101" s="302"/>
      <c r="CN101" s="302"/>
      <c r="CO101" s="302"/>
      <c r="CP101" s="302"/>
    </row>
    <row r="102" spans="1:95" ht="14.25" customHeight="1">
      <c r="B102" s="131" t="s">
        <v>541</v>
      </c>
      <c r="C102" s="132"/>
      <c r="D102" s="768" t="str">
        <f t="shared" ref="D102:AI102" si="489">D7</f>
        <v>F1Q03A</v>
      </c>
      <c r="E102" s="768" t="str">
        <f t="shared" si="489"/>
        <v>F2Q03A</v>
      </c>
      <c r="F102" s="768" t="str">
        <f t="shared" si="489"/>
        <v>F3Q03A</v>
      </c>
      <c r="G102" s="860" t="str">
        <f t="shared" si="489"/>
        <v>F4Q03A</v>
      </c>
      <c r="H102" s="768" t="str">
        <f t="shared" si="489"/>
        <v>F1Q04A</v>
      </c>
      <c r="I102" s="768" t="str">
        <f t="shared" si="489"/>
        <v>F2Q04A</v>
      </c>
      <c r="J102" s="768" t="str">
        <f t="shared" si="489"/>
        <v>F3Q04A</v>
      </c>
      <c r="K102" s="768" t="str">
        <f t="shared" si="489"/>
        <v>F4Q04A</v>
      </c>
      <c r="L102" s="18" t="str">
        <f t="shared" si="489"/>
        <v>F1Q05A</v>
      </c>
      <c r="M102" s="19" t="str">
        <f t="shared" si="489"/>
        <v>F2Q05A</v>
      </c>
      <c r="N102" s="19" t="str">
        <f t="shared" si="489"/>
        <v>F3Q05A</v>
      </c>
      <c r="O102" s="20" t="str">
        <f t="shared" si="489"/>
        <v>F4Q05A</v>
      </c>
      <c r="P102" s="18" t="str">
        <f t="shared" si="489"/>
        <v>F1Q06A</v>
      </c>
      <c r="Q102" s="19" t="str">
        <f t="shared" si="489"/>
        <v>F2Q06A</v>
      </c>
      <c r="R102" s="19" t="str">
        <f t="shared" si="489"/>
        <v>F3Q06A</v>
      </c>
      <c r="S102" s="20" t="str">
        <f t="shared" si="489"/>
        <v>F4Q06A</v>
      </c>
      <c r="T102" s="18" t="str">
        <f t="shared" si="489"/>
        <v>F1Q07A</v>
      </c>
      <c r="U102" s="19" t="str">
        <f t="shared" si="489"/>
        <v>F2Q07A</v>
      </c>
      <c r="V102" s="19" t="str">
        <f t="shared" si="489"/>
        <v>F3Q07A</v>
      </c>
      <c r="W102" s="20" t="str">
        <f t="shared" si="489"/>
        <v>F4Q07A</v>
      </c>
      <c r="X102" s="18" t="str">
        <f t="shared" si="489"/>
        <v>F1Q08A</v>
      </c>
      <c r="Y102" s="19" t="str">
        <f t="shared" si="489"/>
        <v>F2Q08A</v>
      </c>
      <c r="Z102" s="19" t="str">
        <f t="shared" si="489"/>
        <v>F3Q08A</v>
      </c>
      <c r="AA102" s="20" t="str">
        <f t="shared" si="489"/>
        <v>F4Q08A</v>
      </c>
      <c r="AB102" s="18" t="str">
        <f t="shared" si="489"/>
        <v>F1Q09A</v>
      </c>
      <c r="AC102" s="19" t="str">
        <f t="shared" si="489"/>
        <v>F2Q09A</v>
      </c>
      <c r="AD102" s="19" t="str">
        <f t="shared" si="489"/>
        <v>F3Q09A</v>
      </c>
      <c r="AE102" s="20" t="str">
        <f t="shared" si="489"/>
        <v>F4Q09A</v>
      </c>
      <c r="AF102" s="18" t="str">
        <f t="shared" si="489"/>
        <v>F1Q10A</v>
      </c>
      <c r="AG102" s="449" t="str">
        <f t="shared" si="489"/>
        <v>F2Q10A</v>
      </c>
      <c r="AH102" s="19" t="str">
        <f t="shared" si="489"/>
        <v>F3Q10A</v>
      </c>
      <c r="AI102" s="20" t="str">
        <f t="shared" si="489"/>
        <v>F4Q10A</v>
      </c>
      <c r="AJ102" s="18" t="str">
        <f t="shared" ref="AJ102:BO102" si="490">AJ7</f>
        <v>F1Q11A</v>
      </c>
      <c r="AK102" s="19" t="str">
        <f t="shared" si="490"/>
        <v>F2Q11A</v>
      </c>
      <c r="AL102" s="19" t="str">
        <f t="shared" si="490"/>
        <v>F3Q11A</v>
      </c>
      <c r="AM102" s="20" t="str">
        <f t="shared" si="490"/>
        <v>F4Q11A</v>
      </c>
      <c r="AN102" s="18" t="str">
        <f t="shared" si="490"/>
        <v>F1Q12A</v>
      </c>
      <c r="AO102" s="19" t="str">
        <f t="shared" si="490"/>
        <v>F2Q12A</v>
      </c>
      <c r="AP102" s="19" t="str">
        <f t="shared" si="490"/>
        <v>F3Q12A</v>
      </c>
      <c r="AQ102" s="20" t="str">
        <f t="shared" si="490"/>
        <v>F4Q12A</v>
      </c>
      <c r="AR102" s="18" t="str">
        <f t="shared" si="490"/>
        <v>F1Q13A</v>
      </c>
      <c r="AS102" s="19" t="str">
        <f t="shared" si="490"/>
        <v>F2Q13A</v>
      </c>
      <c r="AT102" s="19" t="str">
        <f t="shared" si="490"/>
        <v>F3Q13A</v>
      </c>
      <c r="AU102" s="20" t="str">
        <f t="shared" si="490"/>
        <v>F4Q13A</v>
      </c>
      <c r="AV102" s="18" t="str">
        <f t="shared" si="490"/>
        <v>F1Q14A</v>
      </c>
      <c r="AW102" s="19" t="str">
        <f t="shared" si="490"/>
        <v>F2Q14A</v>
      </c>
      <c r="AX102" s="19" t="str">
        <f t="shared" si="490"/>
        <v>F3Q14A</v>
      </c>
      <c r="AY102" s="20" t="str">
        <f t="shared" si="490"/>
        <v>F4Q14A</v>
      </c>
      <c r="AZ102" s="18" t="str">
        <f t="shared" si="490"/>
        <v>F1Q15A</v>
      </c>
      <c r="BA102" s="19" t="str">
        <f t="shared" si="490"/>
        <v>F2Q15A</v>
      </c>
      <c r="BB102" s="19" t="str">
        <f t="shared" si="490"/>
        <v>F3Q15A</v>
      </c>
      <c r="BC102" s="20" t="str">
        <f t="shared" si="490"/>
        <v>F4Q15A</v>
      </c>
      <c r="BD102" s="18" t="str">
        <f t="shared" si="490"/>
        <v>F1Q16A</v>
      </c>
      <c r="BE102" s="19" t="str">
        <f t="shared" si="490"/>
        <v>F2Q16A</v>
      </c>
      <c r="BF102" s="19" t="str">
        <f t="shared" si="490"/>
        <v>F3Q16A</v>
      </c>
      <c r="BG102" s="20" t="str">
        <f t="shared" si="490"/>
        <v>F4Q16A</v>
      </c>
      <c r="BH102" s="18" t="str">
        <f t="shared" si="490"/>
        <v>F1Q17A</v>
      </c>
      <c r="BI102" s="19" t="str">
        <f t="shared" si="490"/>
        <v>F2Q17A</v>
      </c>
      <c r="BJ102" s="19" t="str">
        <f t="shared" si="490"/>
        <v>F3Q17A</v>
      </c>
      <c r="BK102" s="20" t="str">
        <f t="shared" si="490"/>
        <v>F4Q17A</v>
      </c>
      <c r="BL102" s="1299" t="str">
        <f t="shared" si="490"/>
        <v>F1Q18E</v>
      </c>
      <c r="BM102" s="1300" t="str">
        <f t="shared" si="490"/>
        <v>F2Q18E</v>
      </c>
      <c r="BN102" s="1300" t="str">
        <f t="shared" si="490"/>
        <v>F3Q18E</v>
      </c>
      <c r="BO102" s="1301" t="str">
        <f t="shared" si="490"/>
        <v>F4Q18E</v>
      </c>
      <c r="BP102" s="1299" t="str">
        <f t="shared" ref="BP102:BS102" si="491">BP7</f>
        <v>F1Q19E</v>
      </c>
      <c r="BQ102" s="1300" t="str">
        <f t="shared" si="491"/>
        <v>F2Q19E</v>
      </c>
      <c r="BR102" s="1300" t="str">
        <f t="shared" si="491"/>
        <v>F3Q19E</v>
      </c>
      <c r="BS102" s="1301" t="str">
        <f t="shared" si="491"/>
        <v>F4Q19E</v>
      </c>
      <c r="BT102" s="1390" t="str">
        <f t="shared" ref="BT102:BW102" si="492">BT7</f>
        <v>F1Q20E</v>
      </c>
      <c r="BU102" s="1391" t="str">
        <f t="shared" si="492"/>
        <v>F2Q20E</v>
      </c>
      <c r="BV102" s="1391" t="str">
        <f t="shared" si="492"/>
        <v>F3Q20E</v>
      </c>
      <c r="BW102" s="1392" t="str">
        <f t="shared" si="492"/>
        <v>F4Q20E</v>
      </c>
      <c r="BX102" s="21"/>
      <c r="BY102" s="399" t="str">
        <f t="shared" ref="BY102:CN102" si="493">BY7</f>
        <v>FY2003A</v>
      </c>
      <c r="BZ102" s="400" t="str">
        <f t="shared" si="493"/>
        <v>FY2004A</v>
      </c>
      <c r="CA102" s="400" t="str">
        <f t="shared" si="493"/>
        <v>FY2005A</v>
      </c>
      <c r="CB102" s="400" t="str">
        <f t="shared" si="493"/>
        <v>FY2006A</v>
      </c>
      <c r="CC102" s="400" t="str">
        <f t="shared" si="493"/>
        <v>FY2007A</v>
      </c>
      <c r="CD102" s="400" t="str">
        <f t="shared" si="493"/>
        <v>FY2008A</v>
      </c>
      <c r="CE102" s="400" t="str">
        <f t="shared" si="493"/>
        <v>FY2009A</v>
      </c>
      <c r="CF102" s="400" t="str">
        <f t="shared" si="493"/>
        <v>FY2010A</v>
      </c>
      <c r="CG102" s="400" t="str">
        <f t="shared" si="493"/>
        <v>FY2011A</v>
      </c>
      <c r="CH102" s="400" t="str">
        <f t="shared" si="493"/>
        <v>FY2012A</v>
      </c>
      <c r="CI102" s="400" t="str">
        <f t="shared" si="493"/>
        <v>FY2013A</v>
      </c>
      <c r="CJ102" s="400" t="str">
        <f t="shared" si="493"/>
        <v>FY2014A</v>
      </c>
      <c r="CK102" s="400" t="str">
        <f t="shared" si="493"/>
        <v>FY2015A</v>
      </c>
      <c r="CL102" s="400" t="str">
        <f t="shared" si="493"/>
        <v>FY2016</v>
      </c>
      <c r="CM102" s="400" t="str">
        <f t="shared" si="493"/>
        <v>FY2017A</v>
      </c>
      <c r="CN102" s="1254" t="str">
        <f t="shared" si="493"/>
        <v>FY2018E</v>
      </c>
      <c r="CO102" s="1254" t="str">
        <f t="shared" ref="CO102:CP102" si="494">CO7</f>
        <v>FY2019E</v>
      </c>
      <c r="CP102" s="1256" t="str">
        <f t="shared" si="494"/>
        <v>FY2020E</v>
      </c>
      <c r="CQ102" s="1041"/>
    </row>
    <row r="103" spans="1:95" ht="14.25" customHeight="1">
      <c r="B103" s="299" t="s">
        <v>543</v>
      </c>
      <c r="C103" s="345"/>
      <c r="D103" s="692"/>
      <c r="E103" s="693">
        <f t="shared" ref="E103:AR103" si="495">E124*E$159</f>
        <v>64.05</v>
      </c>
      <c r="F103" s="693">
        <f t="shared" si="495"/>
        <v>55.607999999999997</v>
      </c>
      <c r="G103" s="136">
        <f t="shared" si="495"/>
        <v>55.720000000000006</v>
      </c>
      <c r="H103" s="692">
        <f t="shared" si="495"/>
        <v>67.804000000000002</v>
      </c>
      <c r="I103" s="693">
        <f t="shared" si="495"/>
        <v>66.7</v>
      </c>
      <c r="J103" s="921">
        <f t="shared" si="495"/>
        <v>60.495999999999995</v>
      </c>
      <c r="K103" s="136">
        <f t="shared" si="495"/>
        <v>58.292000000000002</v>
      </c>
      <c r="L103" s="692">
        <f t="shared" si="495"/>
        <v>63.503999999999991</v>
      </c>
      <c r="M103" s="693">
        <f t="shared" si="495"/>
        <v>57.532000000000004</v>
      </c>
      <c r="N103" s="693">
        <f t="shared" si="495"/>
        <v>56.448</v>
      </c>
      <c r="O103" s="136">
        <f t="shared" si="495"/>
        <v>58.106000000000009</v>
      </c>
      <c r="P103" s="692">
        <f t="shared" si="495"/>
        <v>56.78</v>
      </c>
      <c r="Q103" s="693">
        <f t="shared" si="495"/>
        <v>60.048000000000002</v>
      </c>
      <c r="R103" s="693">
        <f t="shared" si="495"/>
        <v>63.134999999999991</v>
      </c>
      <c r="S103" s="136">
        <f t="shared" si="495"/>
        <v>60.24</v>
      </c>
      <c r="T103" s="692">
        <f t="shared" si="495"/>
        <v>63.614000000000004</v>
      </c>
      <c r="U103" s="693">
        <f t="shared" si="495"/>
        <v>68.616</v>
      </c>
      <c r="V103" s="693">
        <f t="shared" si="495"/>
        <v>64.463999999999999</v>
      </c>
      <c r="W103" s="136">
        <f t="shared" si="495"/>
        <v>61.184999999999995</v>
      </c>
      <c r="X103" s="692">
        <f t="shared" si="495"/>
        <v>71.722999999999999</v>
      </c>
      <c r="Y103" s="693">
        <f t="shared" si="495"/>
        <v>118.167</v>
      </c>
      <c r="Z103" s="693">
        <f t="shared" si="495"/>
        <v>98.855000000000004</v>
      </c>
      <c r="AA103" s="136">
        <f t="shared" si="495"/>
        <v>78.191999999999993</v>
      </c>
      <c r="AB103" s="692">
        <f t="shared" si="495"/>
        <v>64.447000000000003</v>
      </c>
      <c r="AC103" s="693">
        <f t="shared" si="495"/>
        <v>71.366000000000014</v>
      </c>
      <c r="AD103" s="693">
        <f t="shared" si="495"/>
        <v>85.121999999999986</v>
      </c>
      <c r="AE103" s="136">
        <f t="shared" si="495"/>
        <v>94.449000000000012</v>
      </c>
      <c r="AF103" s="692">
        <f t="shared" si="495"/>
        <v>104.53800000000001</v>
      </c>
      <c r="AG103" s="693">
        <f t="shared" si="495"/>
        <v>116.66</v>
      </c>
      <c r="AH103" s="693">
        <f t="shared" si="495"/>
        <v>114.13300000000001</v>
      </c>
      <c r="AI103" s="136">
        <f t="shared" si="495"/>
        <v>127.42400000000001</v>
      </c>
      <c r="AJ103" s="692">
        <f t="shared" si="495"/>
        <v>191.53200000000001</v>
      </c>
      <c r="AK103" s="693">
        <f t="shared" si="495"/>
        <v>199.27599999999998</v>
      </c>
      <c r="AL103" s="693">
        <f t="shared" si="495"/>
        <v>197.56</v>
      </c>
      <c r="AM103" s="136">
        <f t="shared" si="495"/>
        <v>191.97499999999999</v>
      </c>
      <c r="AN103" s="692">
        <f t="shared" si="495"/>
        <v>193.54400000000001</v>
      </c>
      <c r="AO103" s="693">
        <f t="shared" si="495"/>
        <v>193.648</v>
      </c>
      <c r="AP103" s="693">
        <f t="shared" si="495"/>
        <v>181.375</v>
      </c>
      <c r="AQ103" s="136">
        <f t="shared" si="495"/>
        <v>176.852</v>
      </c>
      <c r="AR103" s="692">
        <f t="shared" si="495"/>
        <v>185.08</v>
      </c>
      <c r="AS103" s="693">
        <f t="shared" ref="AS103:AV108" si="496">AS124*AS$159</f>
        <v>192.72400000000002</v>
      </c>
      <c r="AT103" s="693">
        <f t="shared" si="496"/>
        <v>186.00399999999999</v>
      </c>
      <c r="AU103" s="136">
        <f t="shared" si="496"/>
        <v>193.86</v>
      </c>
      <c r="AV103" s="692">
        <f t="shared" si="496"/>
        <v>211.95</v>
      </c>
      <c r="AW103" s="693">
        <f t="shared" ref="AW103:AX108" si="497">AW124*AW$159</f>
        <v>219.70399999999998</v>
      </c>
      <c r="AX103" s="693">
        <f t="shared" si="497"/>
        <v>241.71499999999997</v>
      </c>
      <c r="AY103" s="693">
        <f t="shared" ref="AY103:AY108" si="498">AY124*AY$159</f>
        <v>276.54400000000004</v>
      </c>
      <c r="AZ103" s="1445">
        <v>289.45</v>
      </c>
      <c r="BA103" s="1446">
        <v>280.3</v>
      </c>
      <c r="BB103" s="1446">
        <v>280.2</v>
      </c>
      <c r="BC103" s="1447">
        <v>296.89999999999998</v>
      </c>
      <c r="BD103" s="1445">
        <v>323.2</v>
      </c>
      <c r="BE103" s="1446">
        <v>319.62</v>
      </c>
      <c r="BF103" s="1446">
        <v>318.52</v>
      </c>
      <c r="BG103" s="1448">
        <v>370.1</v>
      </c>
      <c r="BH103" s="1445">
        <v>415.5</v>
      </c>
      <c r="BI103" s="1446">
        <v>411.5</v>
      </c>
      <c r="BJ103" s="1446">
        <v>413.3</v>
      </c>
      <c r="BK103" s="1448">
        <v>437.3</v>
      </c>
      <c r="BL103" s="692"/>
      <c r="BM103" s="693"/>
      <c r="BN103" s="693"/>
      <c r="BO103" s="694"/>
      <c r="BP103" s="692"/>
      <c r="BQ103" s="693"/>
      <c r="BR103" s="693"/>
      <c r="BS103" s="694"/>
      <c r="BT103" s="692"/>
      <c r="BU103" s="693"/>
      <c r="BV103" s="693"/>
      <c r="BW103" s="694"/>
      <c r="BX103" s="776"/>
      <c r="BY103" s="692"/>
      <c r="BZ103" s="327">
        <f t="shared" ref="BZ103:BZ108" si="499">SUM(H103:K103)</f>
        <v>253.292</v>
      </c>
      <c r="CA103" s="696">
        <f t="shared" ref="CA103:CA108" si="500">SUM(L103:O103)</f>
        <v>235.59000000000003</v>
      </c>
      <c r="CB103" s="696">
        <f t="shared" ref="CB103:CB108" si="501">SUM(P103:S103)</f>
        <v>240.203</v>
      </c>
      <c r="CC103" s="696">
        <f t="shared" ref="CC103:CC108" si="502">SUM(T103:W103)</f>
        <v>257.87900000000002</v>
      </c>
      <c r="CD103" s="696">
        <f t="shared" ref="CD103:CD108" si="503">SUM(X103:AA103)</f>
        <v>366.93700000000001</v>
      </c>
      <c r="CE103" s="696">
        <f t="shared" ref="CE103:CE108" si="504">SUM(AB103:AE103)</f>
        <v>315.38400000000001</v>
      </c>
      <c r="CF103" s="696">
        <f t="shared" ref="CF103:CF108" si="505">SUM(AF103:AI103)</f>
        <v>462.755</v>
      </c>
      <c r="CG103" s="696">
        <f t="shared" ref="CG103:CG108" si="506">SUM(AJ103:AM103)</f>
        <v>780.34299999999996</v>
      </c>
      <c r="CH103" s="696">
        <f t="shared" ref="CH103:CH108" si="507">SUM(AN103:AQ103)</f>
        <v>745.41899999999998</v>
      </c>
      <c r="CI103" s="696">
        <f t="shared" ref="CI103:CI108" si="508">SUM(AR103:AU103)</f>
        <v>757.66800000000001</v>
      </c>
      <c r="CJ103" s="696"/>
      <c r="CK103" s="696"/>
      <c r="CL103" s="696"/>
      <c r="CM103" s="696"/>
      <c r="CN103" s="696"/>
      <c r="CO103" s="696"/>
      <c r="CP103" s="697"/>
      <c r="CQ103" s="1041"/>
    </row>
    <row r="104" spans="1:95" ht="14.25" customHeight="1">
      <c r="B104" s="300" t="s">
        <v>544</v>
      </c>
      <c r="C104" s="303"/>
      <c r="D104" s="695"/>
      <c r="E104" s="696">
        <f t="shared" ref="E104:AI104" si="509">E125*E$159</f>
        <v>0</v>
      </c>
      <c r="F104" s="696">
        <f t="shared" si="509"/>
        <v>0</v>
      </c>
      <c r="G104" s="136">
        <f t="shared" si="509"/>
        <v>0</v>
      </c>
      <c r="H104" s="695">
        <f t="shared" si="509"/>
        <v>0</v>
      </c>
      <c r="I104" s="696">
        <f t="shared" si="509"/>
        <v>0</v>
      </c>
      <c r="J104" s="922">
        <f t="shared" si="509"/>
        <v>0</v>
      </c>
      <c r="K104" s="136">
        <f t="shared" si="509"/>
        <v>0</v>
      </c>
      <c r="L104" s="695">
        <f t="shared" si="509"/>
        <v>0</v>
      </c>
      <c r="M104" s="696">
        <f t="shared" si="509"/>
        <v>0</v>
      </c>
      <c r="N104" s="696">
        <f t="shared" si="509"/>
        <v>0</v>
      </c>
      <c r="O104" s="136">
        <f t="shared" si="509"/>
        <v>0</v>
      </c>
      <c r="P104" s="695">
        <f t="shared" si="509"/>
        <v>0</v>
      </c>
      <c r="Q104" s="696">
        <f t="shared" si="509"/>
        <v>0</v>
      </c>
      <c r="R104" s="696">
        <f t="shared" si="509"/>
        <v>0</v>
      </c>
      <c r="S104" s="136">
        <f t="shared" si="509"/>
        <v>0</v>
      </c>
      <c r="T104" s="695">
        <f t="shared" si="509"/>
        <v>0</v>
      </c>
      <c r="U104" s="696">
        <f t="shared" si="509"/>
        <v>0</v>
      </c>
      <c r="V104" s="696">
        <f t="shared" si="509"/>
        <v>0</v>
      </c>
      <c r="W104" s="136">
        <f t="shared" si="509"/>
        <v>0</v>
      </c>
      <c r="X104" s="695">
        <f t="shared" si="509"/>
        <v>0</v>
      </c>
      <c r="Y104" s="696">
        <f t="shared" si="509"/>
        <v>106.91300000000001</v>
      </c>
      <c r="Z104" s="696">
        <f t="shared" si="509"/>
        <v>122.11499999999999</v>
      </c>
      <c r="AA104" s="136">
        <f t="shared" si="509"/>
        <v>97.740000000000009</v>
      </c>
      <c r="AB104" s="695">
        <f t="shared" si="509"/>
        <v>75.820000000000007</v>
      </c>
      <c r="AC104" s="696">
        <f t="shared" si="509"/>
        <v>83.960000000000008</v>
      </c>
      <c r="AD104" s="696">
        <f t="shared" si="509"/>
        <v>80.393000000000001</v>
      </c>
      <c r="AE104" s="136">
        <f t="shared" si="509"/>
        <v>74.564999999999998</v>
      </c>
      <c r="AF104" s="695">
        <f t="shared" si="509"/>
        <v>88.032000000000011</v>
      </c>
      <c r="AG104" s="696">
        <f t="shared" si="509"/>
        <v>87.49499999999999</v>
      </c>
      <c r="AH104" s="696">
        <f t="shared" si="509"/>
        <v>102.11900000000001</v>
      </c>
      <c r="AI104" s="136">
        <f t="shared" si="509"/>
        <v>92.672000000000011</v>
      </c>
      <c r="AJ104" s="695">
        <f t="shared" ref="AJ104:AR104" si="510">AJ125*AJ$159</f>
        <v>121.88400000000001</v>
      </c>
      <c r="AK104" s="696">
        <f t="shared" si="510"/>
        <v>126.81200000000001</v>
      </c>
      <c r="AL104" s="696">
        <f t="shared" si="510"/>
        <v>125.72000000000001</v>
      </c>
      <c r="AM104" s="136">
        <f t="shared" si="510"/>
        <v>107.506</v>
      </c>
      <c r="AN104" s="695">
        <f t="shared" si="510"/>
        <v>119.104</v>
      </c>
      <c r="AO104" s="696">
        <f t="shared" si="510"/>
        <v>119.16799999999999</v>
      </c>
      <c r="AP104" s="696">
        <f t="shared" si="510"/>
        <v>123.33500000000001</v>
      </c>
      <c r="AQ104" s="136">
        <f t="shared" si="510"/>
        <v>115.63400000000001</v>
      </c>
      <c r="AR104" s="695">
        <f t="shared" si="510"/>
        <v>105.76</v>
      </c>
      <c r="AS104" s="696">
        <f t="shared" si="496"/>
        <v>117.011</v>
      </c>
      <c r="AT104" s="696">
        <f t="shared" si="496"/>
        <v>128.77199999999999</v>
      </c>
      <c r="AU104" s="136">
        <f t="shared" si="496"/>
        <v>129.24</v>
      </c>
      <c r="AV104" s="695">
        <f t="shared" si="496"/>
        <v>120.105</v>
      </c>
      <c r="AW104" s="696">
        <f t="shared" si="497"/>
        <v>128.792</v>
      </c>
      <c r="AX104" s="696">
        <f t="shared" si="497"/>
        <v>158.36500000000001</v>
      </c>
      <c r="AY104" s="696">
        <f t="shared" si="498"/>
        <v>155.55600000000001</v>
      </c>
      <c r="AZ104" s="1449">
        <v>140.30000000000001</v>
      </c>
      <c r="BA104" s="1450">
        <v>164.2</v>
      </c>
      <c r="BB104" s="1450">
        <v>168</v>
      </c>
      <c r="BC104" s="1451">
        <v>156.9</v>
      </c>
      <c r="BD104" s="1449">
        <v>140.6</v>
      </c>
      <c r="BE104" s="1450">
        <v>155.91999999999999</v>
      </c>
      <c r="BF104" s="1450">
        <v>192.42</v>
      </c>
      <c r="BG104" s="1452">
        <v>280.8</v>
      </c>
      <c r="BH104" s="1449">
        <v>247.1</v>
      </c>
      <c r="BI104" s="1450">
        <v>259.89999999999998</v>
      </c>
      <c r="BJ104" s="1450">
        <v>284.60000000000002</v>
      </c>
      <c r="BK104" s="1452">
        <v>268.5</v>
      </c>
      <c r="BL104" s="695"/>
      <c r="BM104" s="696"/>
      <c r="BN104" s="696"/>
      <c r="BO104" s="697"/>
      <c r="BP104" s="695"/>
      <c r="BQ104" s="696"/>
      <c r="BR104" s="696"/>
      <c r="BS104" s="697"/>
      <c r="BT104" s="695"/>
      <c r="BU104" s="696"/>
      <c r="BV104" s="696"/>
      <c r="BW104" s="697"/>
      <c r="BX104" s="776"/>
      <c r="BY104" s="695"/>
      <c r="BZ104" s="700">
        <f t="shared" si="499"/>
        <v>0</v>
      </c>
      <c r="CA104" s="696">
        <f t="shared" si="500"/>
        <v>0</v>
      </c>
      <c r="CB104" s="696">
        <f t="shared" si="501"/>
        <v>0</v>
      </c>
      <c r="CC104" s="696">
        <f t="shared" si="502"/>
        <v>0</v>
      </c>
      <c r="CD104" s="696">
        <f t="shared" si="503"/>
        <v>326.76800000000003</v>
      </c>
      <c r="CE104" s="696">
        <f t="shared" si="504"/>
        <v>314.73800000000006</v>
      </c>
      <c r="CF104" s="696">
        <f t="shared" si="505"/>
        <v>370.31800000000004</v>
      </c>
      <c r="CG104" s="696">
        <f t="shared" si="506"/>
        <v>481.92200000000003</v>
      </c>
      <c r="CH104" s="696">
        <f t="shared" si="507"/>
        <v>477.24099999999999</v>
      </c>
      <c r="CI104" s="696">
        <f t="shared" si="508"/>
        <v>480.78300000000002</v>
      </c>
      <c r="CJ104" s="696"/>
      <c r="CK104" s="696"/>
      <c r="CL104" s="696"/>
      <c r="CM104" s="696"/>
      <c r="CN104" s="696"/>
      <c r="CO104" s="696"/>
      <c r="CP104" s="697"/>
      <c r="CQ104" s="1041"/>
    </row>
    <row r="105" spans="1:95" ht="14.25" customHeight="1">
      <c r="B105" s="300" t="s">
        <v>545</v>
      </c>
      <c r="C105" s="303"/>
      <c r="D105" s="695"/>
      <c r="E105" s="696">
        <f t="shared" ref="E105:AR105" si="511">E126*E$159</f>
        <v>46.116</v>
      </c>
      <c r="F105" s="696">
        <f t="shared" si="511"/>
        <v>45.016000000000005</v>
      </c>
      <c r="G105" s="136">
        <f t="shared" si="511"/>
        <v>50.148000000000003</v>
      </c>
      <c r="H105" s="695">
        <f t="shared" si="511"/>
        <v>55.475999999999999</v>
      </c>
      <c r="I105" s="696">
        <f t="shared" si="511"/>
        <v>60.03</v>
      </c>
      <c r="J105" s="922">
        <f t="shared" si="511"/>
        <v>60.495999999999995</v>
      </c>
      <c r="K105" s="136">
        <f t="shared" si="511"/>
        <v>55.223999999999997</v>
      </c>
      <c r="L105" s="695">
        <f t="shared" si="511"/>
        <v>57.455999999999996</v>
      </c>
      <c r="M105" s="696">
        <f t="shared" si="511"/>
        <v>54.503999999999998</v>
      </c>
      <c r="N105" s="696">
        <f t="shared" si="511"/>
        <v>59.584000000000003</v>
      </c>
      <c r="O105" s="136">
        <f t="shared" si="511"/>
        <v>82.031999999999996</v>
      </c>
      <c r="P105" s="695">
        <f t="shared" si="511"/>
        <v>80.16</v>
      </c>
      <c r="Q105" s="696">
        <f t="shared" si="511"/>
        <v>90.072000000000003</v>
      </c>
      <c r="R105" s="696">
        <f t="shared" si="511"/>
        <v>105.22499999999999</v>
      </c>
      <c r="S105" s="136">
        <f t="shared" si="511"/>
        <v>84.335999999999999</v>
      </c>
      <c r="T105" s="695">
        <f t="shared" si="511"/>
        <v>78.581999999999994</v>
      </c>
      <c r="U105" s="696">
        <f t="shared" si="511"/>
        <v>72.427999999999997</v>
      </c>
      <c r="V105" s="696">
        <f t="shared" si="511"/>
        <v>96.695999999999998</v>
      </c>
      <c r="W105" s="136">
        <f t="shared" si="511"/>
        <v>97.895999999999987</v>
      </c>
      <c r="X105" s="695">
        <f t="shared" si="511"/>
        <v>84.38</v>
      </c>
      <c r="Y105" s="696">
        <f t="shared" si="511"/>
        <v>84.405000000000001</v>
      </c>
      <c r="Z105" s="696">
        <f t="shared" si="511"/>
        <v>104.67</v>
      </c>
      <c r="AA105" s="136">
        <f t="shared" si="511"/>
        <v>78.191999999999993</v>
      </c>
      <c r="AB105" s="695">
        <f t="shared" si="511"/>
        <v>53.074000000000005</v>
      </c>
      <c r="AC105" s="696">
        <f t="shared" si="511"/>
        <v>62.97</v>
      </c>
      <c r="AD105" s="696">
        <f t="shared" si="511"/>
        <v>80.393000000000001</v>
      </c>
      <c r="AE105" s="136">
        <f t="shared" si="511"/>
        <v>89.477999999999994</v>
      </c>
      <c r="AF105" s="695">
        <f t="shared" si="511"/>
        <v>88.032000000000011</v>
      </c>
      <c r="AG105" s="696">
        <f t="shared" si="511"/>
        <v>99.161000000000001</v>
      </c>
      <c r="AH105" s="696">
        <f t="shared" si="511"/>
        <v>108.126</v>
      </c>
      <c r="AI105" s="136">
        <f t="shared" si="511"/>
        <v>92.672000000000011</v>
      </c>
      <c r="AJ105" s="695">
        <f t="shared" si="511"/>
        <v>235.06200000000001</v>
      </c>
      <c r="AK105" s="696">
        <f t="shared" si="511"/>
        <v>235.50800000000001</v>
      </c>
      <c r="AL105" s="696">
        <f t="shared" si="511"/>
        <v>242.46</v>
      </c>
      <c r="AM105" s="136">
        <f t="shared" si="511"/>
        <v>176.61699999999999</v>
      </c>
      <c r="AN105" s="695">
        <f t="shared" si="511"/>
        <v>163.768</v>
      </c>
      <c r="AO105" s="696">
        <f t="shared" si="511"/>
        <v>163.85599999999999</v>
      </c>
      <c r="AP105" s="696">
        <f t="shared" si="511"/>
        <v>166.86500000000001</v>
      </c>
      <c r="AQ105" s="136">
        <f t="shared" si="511"/>
        <v>136.04000000000002</v>
      </c>
      <c r="AR105" s="695">
        <f t="shared" si="511"/>
        <v>132.20000000000002</v>
      </c>
      <c r="AS105" s="696">
        <f t="shared" ref="AS105:AV107" si="512">AS126*AS$159</f>
        <v>130.77699999999999</v>
      </c>
      <c r="AT105" s="696">
        <f t="shared" si="512"/>
        <v>143.08000000000001</v>
      </c>
      <c r="AU105" s="136">
        <f t="shared" si="512"/>
        <v>143.6</v>
      </c>
      <c r="AV105" s="695">
        <f t="shared" si="512"/>
        <v>120.105</v>
      </c>
      <c r="AW105" s="696">
        <f t="shared" si="497"/>
        <v>136.36799999999999</v>
      </c>
      <c r="AX105" s="696">
        <f t="shared" si="497"/>
        <v>133.36000000000001</v>
      </c>
      <c r="AY105" s="696">
        <f t="shared" si="498"/>
        <v>129.63</v>
      </c>
      <c r="AZ105" s="1449">
        <v>104.6</v>
      </c>
      <c r="BA105" s="1450">
        <v>101</v>
      </c>
      <c r="BB105" s="1450">
        <v>110.1</v>
      </c>
      <c r="BC105" s="1451">
        <v>95.8</v>
      </c>
      <c r="BD105" s="1449">
        <v>85.9</v>
      </c>
      <c r="BE105" s="1450">
        <v>93.02</v>
      </c>
      <c r="BF105" s="1450">
        <v>112.82</v>
      </c>
      <c r="BG105" s="1452">
        <v>174.4</v>
      </c>
      <c r="BH105" s="1449">
        <v>169.7</v>
      </c>
      <c r="BI105" s="1450">
        <v>184.9</v>
      </c>
      <c r="BJ105" s="1450">
        <v>190.7</v>
      </c>
      <c r="BK105" s="1452">
        <v>175.4</v>
      </c>
      <c r="BL105" s="695"/>
      <c r="BM105" s="696"/>
      <c r="BN105" s="696"/>
      <c r="BO105" s="697"/>
      <c r="BP105" s="695"/>
      <c r="BQ105" s="696"/>
      <c r="BR105" s="696"/>
      <c r="BS105" s="697"/>
      <c r="BT105" s="695"/>
      <c r="BU105" s="696"/>
      <c r="BV105" s="696"/>
      <c r="BW105" s="697"/>
      <c r="BX105" s="776"/>
      <c r="BY105" s="695"/>
      <c r="BZ105" s="700">
        <f t="shared" si="499"/>
        <v>231.226</v>
      </c>
      <c r="CA105" s="696">
        <f t="shared" si="500"/>
        <v>253.57599999999996</v>
      </c>
      <c r="CB105" s="696">
        <f t="shared" si="501"/>
        <v>359.79300000000001</v>
      </c>
      <c r="CC105" s="696">
        <f t="shared" si="502"/>
        <v>345.60199999999998</v>
      </c>
      <c r="CD105" s="696">
        <f t="shared" si="503"/>
        <v>351.64699999999999</v>
      </c>
      <c r="CE105" s="696">
        <f t="shared" si="504"/>
        <v>285.91500000000002</v>
      </c>
      <c r="CF105" s="696">
        <f t="shared" si="505"/>
        <v>387.99100000000004</v>
      </c>
      <c r="CG105" s="696">
        <f t="shared" si="506"/>
        <v>889.64700000000005</v>
      </c>
      <c r="CH105" s="696">
        <f t="shared" si="507"/>
        <v>630.529</v>
      </c>
      <c r="CI105" s="696">
        <f t="shared" si="508"/>
        <v>549.65700000000004</v>
      </c>
      <c r="CJ105" s="696"/>
      <c r="CK105" s="696"/>
      <c r="CL105" s="696"/>
      <c r="CM105" s="696"/>
      <c r="CN105" s="696"/>
      <c r="CO105" s="696"/>
      <c r="CP105" s="697"/>
      <c r="CQ105" s="1041"/>
    </row>
    <row r="106" spans="1:95" ht="14.25" customHeight="1">
      <c r="B106" s="300" t="s">
        <v>569</v>
      </c>
      <c r="C106" s="303"/>
      <c r="D106" s="695"/>
      <c r="E106" s="696">
        <f t="shared" ref="E106:AR106" si="513">E127*E$159</f>
        <v>40.991999999999997</v>
      </c>
      <c r="F106" s="696">
        <f t="shared" si="513"/>
        <v>39.72</v>
      </c>
      <c r="G106" s="136">
        <f t="shared" si="513"/>
        <v>44.576000000000008</v>
      </c>
      <c r="H106" s="695">
        <f t="shared" si="513"/>
        <v>52.393999999999998</v>
      </c>
      <c r="I106" s="696">
        <f t="shared" si="513"/>
        <v>56.695000000000007</v>
      </c>
      <c r="J106" s="922">
        <f t="shared" si="513"/>
        <v>44.576000000000001</v>
      </c>
      <c r="K106" s="136">
        <f t="shared" si="513"/>
        <v>39.884</v>
      </c>
      <c r="L106" s="695">
        <f t="shared" si="513"/>
        <v>45.359999999999992</v>
      </c>
      <c r="M106" s="696">
        <f t="shared" si="513"/>
        <v>42.392000000000003</v>
      </c>
      <c r="N106" s="696">
        <f t="shared" si="513"/>
        <v>43.904000000000011</v>
      </c>
      <c r="O106" s="136">
        <f t="shared" si="513"/>
        <v>41.015999999999998</v>
      </c>
      <c r="P106" s="695">
        <f t="shared" si="513"/>
        <v>40.08</v>
      </c>
      <c r="Q106" s="696">
        <f t="shared" si="513"/>
        <v>52.542000000000009</v>
      </c>
      <c r="R106" s="696">
        <f t="shared" si="513"/>
        <v>50.507999999999996</v>
      </c>
      <c r="S106" s="136">
        <f t="shared" si="513"/>
        <v>52.208000000000006</v>
      </c>
      <c r="T106" s="695">
        <f t="shared" si="513"/>
        <v>52.388000000000005</v>
      </c>
      <c r="U106" s="696">
        <f t="shared" si="513"/>
        <v>26.684000000000001</v>
      </c>
      <c r="V106" s="696">
        <f t="shared" si="513"/>
        <v>44.318999999999996</v>
      </c>
      <c r="W106" s="136">
        <f t="shared" si="513"/>
        <v>44.869</v>
      </c>
      <c r="X106" s="695">
        <f t="shared" si="513"/>
        <v>50.627999999999993</v>
      </c>
      <c r="Y106" s="696">
        <f t="shared" si="513"/>
        <v>101.286</v>
      </c>
      <c r="Z106" s="696">
        <f t="shared" si="513"/>
        <v>98.855000000000004</v>
      </c>
      <c r="AA106" s="136">
        <f t="shared" si="513"/>
        <v>92.852999999999994</v>
      </c>
      <c r="AB106" s="695">
        <f t="shared" si="513"/>
        <v>75.820000000000007</v>
      </c>
      <c r="AC106" s="696">
        <f t="shared" si="513"/>
        <v>75.563999999999993</v>
      </c>
      <c r="AD106" s="696">
        <f t="shared" si="513"/>
        <v>80.393000000000001</v>
      </c>
      <c r="AE106" s="136">
        <f t="shared" si="513"/>
        <v>89.477999999999994</v>
      </c>
      <c r="AF106" s="695">
        <f t="shared" si="513"/>
        <v>104.53800000000001</v>
      </c>
      <c r="AG106" s="696">
        <f t="shared" si="513"/>
        <v>110.827</v>
      </c>
      <c r="AH106" s="696">
        <f t="shared" si="513"/>
        <v>108.126</v>
      </c>
      <c r="AI106" s="136">
        <f t="shared" si="513"/>
        <v>110.04800000000002</v>
      </c>
      <c r="AJ106" s="695">
        <f t="shared" si="513"/>
        <v>156.708</v>
      </c>
      <c r="AK106" s="696">
        <f t="shared" si="513"/>
        <v>172.102</v>
      </c>
      <c r="AL106" s="696">
        <f t="shared" si="513"/>
        <v>161.63999999999999</v>
      </c>
      <c r="AM106" s="136">
        <f t="shared" si="513"/>
        <v>153.58000000000001</v>
      </c>
      <c r="AN106" s="695">
        <f t="shared" si="513"/>
        <v>141.43600000000001</v>
      </c>
      <c r="AO106" s="696">
        <f t="shared" si="513"/>
        <v>141.512</v>
      </c>
      <c r="AP106" s="696">
        <f t="shared" si="513"/>
        <v>130.59</v>
      </c>
      <c r="AQ106" s="136">
        <f t="shared" si="513"/>
        <v>136.04000000000002</v>
      </c>
      <c r="AR106" s="695">
        <f t="shared" si="513"/>
        <v>132.20000000000002</v>
      </c>
      <c r="AS106" s="696">
        <f t="shared" si="512"/>
        <v>137.66</v>
      </c>
      <c r="AT106" s="696">
        <f t="shared" si="512"/>
        <v>143.08000000000001</v>
      </c>
      <c r="AU106" s="136">
        <f t="shared" si="512"/>
        <v>143.6</v>
      </c>
      <c r="AV106" s="695">
        <f t="shared" si="512"/>
        <v>148.36499999999998</v>
      </c>
      <c r="AW106" s="696">
        <f t="shared" si="497"/>
        <v>166.672</v>
      </c>
      <c r="AX106" s="696">
        <f t="shared" si="497"/>
        <v>183.37</v>
      </c>
      <c r="AY106" s="696">
        <f t="shared" si="498"/>
        <v>207.40800000000002</v>
      </c>
      <c r="AZ106" s="1449">
        <v>211.65</v>
      </c>
      <c r="BA106" s="1450">
        <v>210.3</v>
      </c>
      <c r="BB106" s="1450">
        <v>211.2</v>
      </c>
      <c r="BC106" s="1451">
        <v>190.4</v>
      </c>
      <c r="BD106" s="1449">
        <v>177.9</v>
      </c>
      <c r="BE106" s="1450">
        <v>200.62</v>
      </c>
      <c r="BF106" s="1450">
        <v>211.52</v>
      </c>
      <c r="BG106" s="1452">
        <v>305.10000000000002</v>
      </c>
      <c r="BH106" s="1449">
        <v>323.10000000000002</v>
      </c>
      <c r="BI106" s="1450">
        <v>350.9</v>
      </c>
      <c r="BJ106" s="1450">
        <v>352.3</v>
      </c>
      <c r="BK106" s="1452">
        <v>357.5</v>
      </c>
      <c r="BL106" s="695"/>
      <c r="BM106" s="696"/>
      <c r="BN106" s="696"/>
      <c r="BO106" s="697"/>
      <c r="BP106" s="695"/>
      <c r="BQ106" s="696"/>
      <c r="BR106" s="696"/>
      <c r="BS106" s="697"/>
      <c r="BT106" s="695"/>
      <c r="BU106" s="696"/>
      <c r="BV106" s="696"/>
      <c r="BW106" s="697"/>
      <c r="BX106" s="776"/>
      <c r="BY106" s="695"/>
      <c r="BZ106" s="700">
        <f t="shared" si="499"/>
        <v>193.54899999999998</v>
      </c>
      <c r="CA106" s="696">
        <f t="shared" si="500"/>
        <v>172.672</v>
      </c>
      <c r="CB106" s="696">
        <f t="shared" si="501"/>
        <v>195.33799999999999</v>
      </c>
      <c r="CC106" s="696">
        <f t="shared" si="502"/>
        <v>168.26</v>
      </c>
      <c r="CD106" s="696">
        <f t="shared" si="503"/>
        <v>343.62200000000001</v>
      </c>
      <c r="CE106" s="696">
        <f t="shared" si="504"/>
        <v>321.255</v>
      </c>
      <c r="CF106" s="696">
        <f t="shared" si="505"/>
        <v>433.53899999999999</v>
      </c>
      <c r="CG106" s="696">
        <f t="shared" si="506"/>
        <v>644.03</v>
      </c>
      <c r="CH106" s="696">
        <f t="shared" si="507"/>
        <v>549.57799999999997</v>
      </c>
      <c r="CI106" s="696">
        <f t="shared" si="508"/>
        <v>556.54000000000008</v>
      </c>
      <c r="CJ106" s="696"/>
      <c r="CK106" s="696"/>
      <c r="CL106" s="696"/>
      <c r="CM106" s="696"/>
      <c r="CN106" s="696"/>
      <c r="CO106" s="696"/>
      <c r="CP106" s="697"/>
      <c r="CQ106" s="1041"/>
    </row>
    <row r="107" spans="1:95" ht="14.25" customHeight="1">
      <c r="B107" s="300" t="s">
        <v>546</v>
      </c>
      <c r="C107" s="303"/>
      <c r="D107" s="695"/>
      <c r="E107" s="696">
        <f t="shared" ref="E107:AR107" si="514">E128*E$159</f>
        <v>58.926000000000002</v>
      </c>
      <c r="F107" s="696">
        <f t="shared" si="514"/>
        <v>68.847999999999999</v>
      </c>
      <c r="G107" s="136">
        <f t="shared" si="514"/>
        <v>69.650000000000006</v>
      </c>
      <c r="H107" s="695">
        <f t="shared" si="514"/>
        <v>61.64</v>
      </c>
      <c r="I107" s="696">
        <f t="shared" si="514"/>
        <v>76.704999999999998</v>
      </c>
      <c r="J107" s="922">
        <f t="shared" si="514"/>
        <v>79.599999999999994</v>
      </c>
      <c r="K107" s="136">
        <f t="shared" si="514"/>
        <v>85.904000000000011</v>
      </c>
      <c r="L107" s="695">
        <f t="shared" si="514"/>
        <v>72.575999999999993</v>
      </c>
      <c r="M107" s="696">
        <f t="shared" si="514"/>
        <v>72.671999999999997</v>
      </c>
      <c r="N107" s="696">
        <f t="shared" si="514"/>
        <v>72.128000000000014</v>
      </c>
      <c r="O107" s="136">
        <f t="shared" si="514"/>
        <v>71.778000000000006</v>
      </c>
      <c r="P107" s="695">
        <f t="shared" si="514"/>
        <v>70.14</v>
      </c>
      <c r="Q107" s="696">
        <f t="shared" si="514"/>
        <v>78.813000000000002</v>
      </c>
      <c r="R107" s="696">
        <f t="shared" si="514"/>
        <v>96.807000000000002</v>
      </c>
      <c r="S107" s="136">
        <f t="shared" si="514"/>
        <v>96.384</v>
      </c>
      <c r="T107" s="695">
        <f t="shared" si="514"/>
        <v>82.323999999999998</v>
      </c>
      <c r="U107" s="696">
        <f t="shared" si="514"/>
        <v>91.488</v>
      </c>
      <c r="V107" s="696">
        <f t="shared" si="514"/>
        <v>100.72499999999999</v>
      </c>
      <c r="W107" s="136">
        <f t="shared" si="514"/>
        <v>110.133</v>
      </c>
      <c r="X107" s="695">
        <f t="shared" si="514"/>
        <v>122.35099999999998</v>
      </c>
      <c r="Y107" s="696">
        <f t="shared" si="514"/>
        <v>129.42100000000002</v>
      </c>
      <c r="Z107" s="696">
        <f t="shared" si="514"/>
        <v>133.745</v>
      </c>
      <c r="AA107" s="136">
        <f t="shared" si="514"/>
        <v>112.401</v>
      </c>
      <c r="AB107" s="695">
        <f t="shared" si="514"/>
        <v>90.984000000000009</v>
      </c>
      <c r="AC107" s="696">
        <f t="shared" si="514"/>
        <v>113.346</v>
      </c>
      <c r="AD107" s="696">
        <f t="shared" si="514"/>
        <v>127.68300000000001</v>
      </c>
      <c r="AE107" s="136">
        <f t="shared" si="514"/>
        <v>129.24600000000001</v>
      </c>
      <c r="AF107" s="695">
        <f t="shared" si="514"/>
        <v>143.05200000000002</v>
      </c>
      <c r="AG107" s="696">
        <f t="shared" si="514"/>
        <v>151.65799999999999</v>
      </c>
      <c r="AH107" s="696">
        <f t="shared" si="514"/>
        <v>150.17500000000001</v>
      </c>
      <c r="AI107" s="136">
        <f t="shared" si="514"/>
        <v>133.21600000000001</v>
      </c>
      <c r="AJ107" s="695">
        <f t="shared" si="514"/>
        <v>165.41400000000002</v>
      </c>
      <c r="AK107" s="696">
        <f t="shared" si="514"/>
        <v>172.102</v>
      </c>
      <c r="AL107" s="696">
        <f t="shared" si="514"/>
        <v>170.62</v>
      </c>
      <c r="AM107" s="136">
        <f t="shared" si="514"/>
        <v>138.22199999999998</v>
      </c>
      <c r="AN107" s="695">
        <f t="shared" si="514"/>
        <v>126.548</v>
      </c>
      <c r="AO107" s="696">
        <f t="shared" si="514"/>
        <v>126.616</v>
      </c>
      <c r="AP107" s="696">
        <f t="shared" si="514"/>
        <v>123.33500000000001</v>
      </c>
      <c r="AQ107" s="136">
        <f t="shared" si="514"/>
        <v>115.63400000000001</v>
      </c>
      <c r="AR107" s="695">
        <f t="shared" si="514"/>
        <v>105.76</v>
      </c>
      <c r="AS107" s="696">
        <f t="shared" si="512"/>
        <v>110.128</v>
      </c>
      <c r="AT107" s="696">
        <f t="shared" si="512"/>
        <v>114.464</v>
      </c>
      <c r="AU107" s="136">
        <f t="shared" si="512"/>
        <v>107.7</v>
      </c>
      <c r="AV107" s="695">
        <f t="shared" si="512"/>
        <v>105.97499999999999</v>
      </c>
      <c r="AW107" s="696">
        <f t="shared" si="497"/>
        <v>106.06400000000001</v>
      </c>
      <c r="AX107" s="696">
        <f t="shared" si="497"/>
        <v>116.69000000000001</v>
      </c>
      <c r="AY107" s="696">
        <f t="shared" si="498"/>
        <v>95.062000000000012</v>
      </c>
      <c r="AZ107" s="1449">
        <v>124.8</v>
      </c>
      <c r="BA107" s="1450">
        <v>124.7</v>
      </c>
      <c r="BB107" s="1450">
        <v>134.9</v>
      </c>
      <c r="BC107" s="1451">
        <v>100.3</v>
      </c>
      <c r="BD107" s="1449">
        <v>89.6</v>
      </c>
      <c r="BE107" s="1450">
        <v>108.62</v>
      </c>
      <c r="BF107" s="1450">
        <v>115.62</v>
      </c>
      <c r="BG107" s="1452">
        <v>130.6</v>
      </c>
      <c r="BH107" s="1449">
        <v>126.2</v>
      </c>
      <c r="BI107" s="1450">
        <v>130.80000000000001</v>
      </c>
      <c r="BJ107" s="1450">
        <v>150.1</v>
      </c>
      <c r="BK107" s="1452">
        <v>138.80000000000001</v>
      </c>
      <c r="BL107" s="695"/>
      <c r="BM107" s="696"/>
      <c r="BN107" s="696"/>
      <c r="BO107" s="697"/>
      <c r="BP107" s="695"/>
      <c r="BQ107" s="696"/>
      <c r="BR107" s="696"/>
      <c r="BS107" s="697"/>
      <c r="BT107" s="695"/>
      <c r="BU107" s="696"/>
      <c r="BV107" s="696"/>
      <c r="BW107" s="697"/>
      <c r="BX107" s="776"/>
      <c r="BY107" s="695"/>
      <c r="BZ107" s="700">
        <f t="shared" si="499"/>
        <v>303.84899999999999</v>
      </c>
      <c r="CA107" s="696">
        <f t="shared" si="500"/>
        <v>289.154</v>
      </c>
      <c r="CB107" s="696">
        <f t="shared" si="501"/>
        <v>342.14400000000001</v>
      </c>
      <c r="CC107" s="696">
        <f t="shared" si="502"/>
        <v>384.67</v>
      </c>
      <c r="CD107" s="696">
        <f t="shared" si="503"/>
        <v>497.91800000000001</v>
      </c>
      <c r="CE107" s="696">
        <f t="shared" si="504"/>
        <v>461.25900000000001</v>
      </c>
      <c r="CF107" s="696">
        <f t="shared" si="505"/>
        <v>578.10100000000011</v>
      </c>
      <c r="CG107" s="696">
        <f t="shared" si="506"/>
        <v>646.35799999999995</v>
      </c>
      <c r="CH107" s="696">
        <f t="shared" si="507"/>
        <v>492.13300000000004</v>
      </c>
      <c r="CI107" s="696">
        <f t="shared" si="508"/>
        <v>438.05199999999996</v>
      </c>
      <c r="CJ107" s="696"/>
      <c r="CK107" s="696"/>
      <c r="CL107" s="696"/>
      <c r="CM107" s="696"/>
      <c r="CN107" s="696"/>
      <c r="CO107" s="696"/>
      <c r="CP107" s="697"/>
      <c r="CQ107" s="1041"/>
    </row>
    <row r="108" spans="1:95" ht="14.25" customHeight="1">
      <c r="B108" s="300" t="s">
        <v>351</v>
      </c>
      <c r="C108" s="305"/>
      <c r="D108" s="695"/>
      <c r="E108" s="696">
        <f t="shared" ref="E108:AI108" si="515">E129*E$159</f>
        <v>46.116</v>
      </c>
      <c r="F108" s="696">
        <f t="shared" si="515"/>
        <v>55.608000000000011</v>
      </c>
      <c r="G108" s="136">
        <f t="shared" si="515"/>
        <v>58.506000000000007</v>
      </c>
      <c r="H108" s="695">
        <f t="shared" si="515"/>
        <v>70.885999999999996</v>
      </c>
      <c r="I108" s="696">
        <f t="shared" si="515"/>
        <v>73.37</v>
      </c>
      <c r="J108" s="922">
        <f t="shared" si="515"/>
        <v>73.231999999999999</v>
      </c>
      <c r="K108" s="136">
        <f t="shared" si="515"/>
        <v>67.496000000000009</v>
      </c>
      <c r="L108" s="695">
        <f t="shared" si="515"/>
        <v>63.503999999999998</v>
      </c>
      <c r="M108" s="696">
        <f t="shared" si="515"/>
        <v>75.7</v>
      </c>
      <c r="N108" s="696">
        <f t="shared" si="515"/>
        <v>81.536000000000016</v>
      </c>
      <c r="O108" s="136">
        <f t="shared" si="515"/>
        <v>88.868000000000009</v>
      </c>
      <c r="P108" s="695">
        <f t="shared" si="515"/>
        <v>86.84</v>
      </c>
      <c r="Q108" s="696">
        <f t="shared" si="515"/>
        <v>93.825000000000003</v>
      </c>
      <c r="R108" s="696">
        <f t="shared" si="515"/>
        <v>105.22499999999999</v>
      </c>
      <c r="S108" s="136">
        <f t="shared" si="515"/>
        <v>108.43200000000002</v>
      </c>
      <c r="T108" s="695">
        <f t="shared" si="515"/>
        <v>97.292000000000002</v>
      </c>
      <c r="U108" s="696">
        <f t="shared" si="515"/>
        <v>121.98399999999999</v>
      </c>
      <c r="V108" s="696">
        <f t="shared" si="515"/>
        <v>96.695999999999998</v>
      </c>
      <c r="W108" s="136">
        <f t="shared" si="515"/>
        <v>93.816999999999993</v>
      </c>
      <c r="X108" s="695">
        <f t="shared" si="515"/>
        <v>92.817999999999998</v>
      </c>
      <c r="Y108" s="696">
        <f t="shared" si="515"/>
        <v>22.508000000000003</v>
      </c>
      <c r="Z108" s="696">
        <f t="shared" si="515"/>
        <v>23.26</v>
      </c>
      <c r="AA108" s="136">
        <f t="shared" si="515"/>
        <v>29.321999999999999</v>
      </c>
      <c r="AB108" s="695">
        <f t="shared" si="515"/>
        <v>18.955000000000002</v>
      </c>
      <c r="AC108" s="696">
        <f t="shared" si="515"/>
        <v>12.593999999999999</v>
      </c>
      <c r="AD108" s="696">
        <f t="shared" si="515"/>
        <v>18.916</v>
      </c>
      <c r="AE108" s="136">
        <f t="shared" si="515"/>
        <v>19.884</v>
      </c>
      <c r="AF108" s="695">
        <f t="shared" si="515"/>
        <v>22.008000000000003</v>
      </c>
      <c r="AG108" s="702">
        <f t="shared" si="515"/>
        <v>17.498999999999999</v>
      </c>
      <c r="AH108" s="696">
        <f t="shared" si="515"/>
        <v>18.021000000000001</v>
      </c>
      <c r="AI108" s="136">
        <f t="shared" si="515"/>
        <v>23.168000000000003</v>
      </c>
      <c r="AJ108" s="695">
        <f t="shared" ref="AJ108:AR108" si="516">AJ129*AJ$159</f>
        <v>0</v>
      </c>
      <c r="AK108" s="696">
        <f t="shared" si="516"/>
        <v>0</v>
      </c>
      <c r="AL108" s="696">
        <f t="shared" si="516"/>
        <v>0</v>
      </c>
      <c r="AM108" s="136">
        <f t="shared" si="516"/>
        <v>0</v>
      </c>
      <c r="AN108" s="695">
        <f t="shared" si="516"/>
        <v>0</v>
      </c>
      <c r="AO108" s="696">
        <f t="shared" si="516"/>
        <v>0</v>
      </c>
      <c r="AP108" s="696">
        <f t="shared" si="516"/>
        <v>0</v>
      </c>
      <c r="AQ108" s="136">
        <f t="shared" si="516"/>
        <v>0</v>
      </c>
      <c r="AR108" s="695">
        <f t="shared" si="516"/>
        <v>0</v>
      </c>
      <c r="AS108" s="696">
        <f t="shared" si="496"/>
        <v>0</v>
      </c>
      <c r="AT108" s="696">
        <f t="shared" si="496"/>
        <v>0</v>
      </c>
      <c r="AU108" s="136">
        <f t="shared" si="496"/>
        <v>0</v>
      </c>
      <c r="AV108" s="695">
        <f t="shared" si="496"/>
        <v>0</v>
      </c>
      <c r="AW108" s="696">
        <f t="shared" si="497"/>
        <v>0</v>
      </c>
      <c r="AX108" s="696">
        <f t="shared" si="497"/>
        <v>0</v>
      </c>
      <c r="AY108" s="696">
        <f t="shared" si="498"/>
        <v>0</v>
      </c>
      <c r="AZ108" s="1449">
        <f>AZ129*AZ$159</f>
        <v>0</v>
      </c>
      <c r="BA108" s="1450">
        <f>BA129*BA$159</f>
        <v>0</v>
      </c>
      <c r="BB108" s="1450">
        <f>BB129*BB$159</f>
        <v>0</v>
      </c>
      <c r="BC108" s="1451">
        <v>0</v>
      </c>
      <c r="BD108" s="1449">
        <v>0</v>
      </c>
      <c r="BE108" s="1450">
        <v>0</v>
      </c>
      <c r="BF108" s="1450">
        <v>0</v>
      </c>
      <c r="BG108" s="1452">
        <v>0</v>
      </c>
      <c r="BH108" s="1449">
        <v>0</v>
      </c>
      <c r="BI108" s="1450">
        <v>0</v>
      </c>
      <c r="BJ108" s="1450">
        <v>0</v>
      </c>
      <c r="BK108" s="1452">
        <v>0</v>
      </c>
      <c r="BL108" s="695"/>
      <c r="BM108" s="696"/>
      <c r="BN108" s="696"/>
      <c r="BO108" s="697"/>
      <c r="BP108" s="695"/>
      <c r="BQ108" s="696"/>
      <c r="BR108" s="696"/>
      <c r="BS108" s="697"/>
      <c r="BT108" s="695"/>
      <c r="BU108" s="696"/>
      <c r="BV108" s="696"/>
      <c r="BW108" s="697"/>
      <c r="BX108" s="776"/>
      <c r="BY108" s="695"/>
      <c r="BZ108" s="700">
        <f t="shared" si="499"/>
        <v>284.98400000000004</v>
      </c>
      <c r="CA108" s="696">
        <f t="shared" si="500"/>
        <v>309.608</v>
      </c>
      <c r="CB108" s="702">
        <f t="shared" si="501"/>
        <v>394.322</v>
      </c>
      <c r="CC108" s="702">
        <f t="shared" si="502"/>
        <v>409.78899999999999</v>
      </c>
      <c r="CD108" s="702">
        <f t="shared" si="503"/>
        <v>167.90799999999999</v>
      </c>
      <c r="CE108" s="696">
        <f t="shared" si="504"/>
        <v>70.349000000000004</v>
      </c>
      <c r="CF108" s="696">
        <f t="shared" si="505"/>
        <v>80.696000000000012</v>
      </c>
      <c r="CG108" s="696">
        <f t="shared" si="506"/>
        <v>0</v>
      </c>
      <c r="CH108" s="696">
        <f t="shared" si="507"/>
        <v>0</v>
      </c>
      <c r="CI108" s="696">
        <f t="shared" si="508"/>
        <v>0</v>
      </c>
      <c r="CJ108" s="696"/>
      <c r="CK108" s="696"/>
      <c r="CL108" s="696"/>
      <c r="CM108" s="696"/>
      <c r="CN108" s="696"/>
      <c r="CO108" s="696"/>
      <c r="CP108" s="697"/>
      <c r="CQ108" s="1041"/>
    </row>
    <row r="109" spans="1:95" ht="14.25" customHeight="1">
      <c r="B109" s="347" t="s">
        <v>360</v>
      </c>
      <c r="C109" s="348"/>
      <c r="D109" s="703"/>
      <c r="E109" s="704">
        <f t="shared" ref="E109:AU109" si="517">SUM(E103:E108)</f>
        <v>256.2</v>
      </c>
      <c r="F109" s="704">
        <f t="shared" si="517"/>
        <v>264.8</v>
      </c>
      <c r="G109" s="705">
        <f t="shared" si="517"/>
        <v>278.60000000000002</v>
      </c>
      <c r="H109" s="703">
        <f t="shared" si="517"/>
        <v>308.20000000000005</v>
      </c>
      <c r="I109" s="704">
        <f t="shared" si="517"/>
        <v>333.5</v>
      </c>
      <c r="J109" s="923">
        <f t="shared" si="517"/>
        <v>318.39999999999998</v>
      </c>
      <c r="K109" s="705">
        <f t="shared" si="517"/>
        <v>306.79999999999995</v>
      </c>
      <c r="L109" s="706">
        <f t="shared" si="517"/>
        <v>302.39999999999998</v>
      </c>
      <c r="M109" s="707">
        <f t="shared" si="517"/>
        <v>302.8</v>
      </c>
      <c r="N109" s="707">
        <f t="shared" si="517"/>
        <v>313.60000000000008</v>
      </c>
      <c r="O109" s="708">
        <f t="shared" si="517"/>
        <v>341.8</v>
      </c>
      <c r="P109" s="706">
        <f t="shared" si="517"/>
        <v>334</v>
      </c>
      <c r="Q109" s="707">
        <f t="shared" si="517"/>
        <v>375.3</v>
      </c>
      <c r="R109" s="707">
        <f t="shared" si="517"/>
        <v>420.9</v>
      </c>
      <c r="S109" s="708">
        <f t="shared" si="517"/>
        <v>401.6</v>
      </c>
      <c r="T109" s="706">
        <f t="shared" si="517"/>
        <v>374.20000000000005</v>
      </c>
      <c r="U109" s="707">
        <f t="shared" si="517"/>
        <v>381.2</v>
      </c>
      <c r="V109" s="707">
        <f t="shared" si="517"/>
        <v>402.9</v>
      </c>
      <c r="W109" s="708">
        <f t="shared" si="517"/>
        <v>407.9</v>
      </c>
      <c r="X109" s="706">
        <f t="shared" si="517"/>
        <v>421.9</v>
      </c>
      <c r="Y109" s="707">
        <f t="shared" si="517"/>
        <v>562.70000000000005</v>
      </c>
      <c r="Z109" s="707">
        <f t="shared" si="517"/>
        <v>581.5</v>
      </c>
      <c r="AA109" s="708">
        <f t="shared" si="517"/>
        <v>488.70000000000005</v>
      </c>
      <c r="AB109" s="706">
        <f t="shared" si="517"/>
        <v>379.09999999999997</v>
      </c>
      <c r="AC109" s="707">
        <f t="shared" si="517"/>
        <v>419.8</v>
      </c>
      <c r="AD109" s="707">
        <f t="shared" si="517"/>
        <v>472.9</v>
      </c>
      <c r="AE109" s="708">
        <f t="shared" si="517"/>
        <v>497.1</v>
      </c>
      <c r="AF109" s="706">
        <f t="shared" si="517"/>
        <v>550.20000000000005</v>
      </c>
      <c r="AG109" s="709">
        <f t="shared" si="517"/>
        <v>583.29999999999995</v>
      </c>
      <c r="AH109" s="707">
        <f t="shared" si="517"/>
        <v>600.70000000000005</v>
      </c>
      <c r="AI109" s="707">
        <f t="shared" si="517"/>
        <v>579.20000000000005</v>
      </c>
      <c r="AJ109" s="706">
        <f t="shared" si="517"/>
        <v>870.6</v>
      </c>
      <c r="AK109" s="707">
        <f t="shared" si="517"/>
        <v>905.8</v>
      </c>
      <c r="AL109" s="707">
        <f t="shared" si="517"/>
        <v>898</v>
      </c>
      <c r="AM109" s="708">
        <f t="shared" si="517"/>
        <v>767.9</v>
      </c>
      <c r="AN109" s="706">
        <f t="shared" si="517"/>
        <v>744.40000000000009</v>
      </c>
      <c r="AO109" s="707">
        <f t="shared" si="517"/>
        <v>744.8</v>
      </c>
      <c r="AP109" s="707">
        <f t="shared" si="517"/>
        <v>725.50000000000011</v>
      </c>
      <c r="AQ109" s="708">
        <f t="shared" si="517"/>
        <v>680.2</v>
      </c>
      <c r="AR109" s="706">
        <f t="shared" si="517"/>
        <v>661.00000000000011</v>
      </c>
      <c r="AS109" s="707">
        <f t="shared" si="517"/>
        <v>688.30000000000007</v>
      </c>
      <c r="AT109" s="707">
        <f t="shared" si="517"/>
        <v>715.40000000000009</v>
      </c>
      <c r="AU109" s="708">
        <f t="shared" si="517"/>
        <v>718.00000000000011</v>
      </c>
      <c r="AV109" s="706">
        <f t="shared" ref="AV109:BC109" si="518">SUM(AV103:AV108)</f>
        <v>706.5</v>
      </c>
      <c r="AW109" s="707">
        <f t="shared" si="518"/>
        <v>757.59999999999991</v>
      </c>
      <c r="AX109" s="707">
        <f t="shared" si="518"/>
        <v>833.50000000000011</v>
      </c>
      <c r="AY109" s="707">
        <f t="shared" si="518"/>
        <v>864.2</v>
      </c>
      <c r="AZ109" s="706">
        <f t="shared" si="518"/>
        <v>870.8</v>
      </c>
      <c r="BA109" s="707">
        <f t="shared" si="518"/>
        <v>880.5</v>
      </c>
      <c r="BB109" s="707">
        <f>SUM(BB103:BB108)</f>
        <v>904.4</v>
      </c>
      <c r="BC109" s="707">
        <f t="shared" si="518"/>
        <v>840.29999999999984</v>
      </c>
      <c r="BD109" s="706">
        <f>SUM(BD103:BD108)</f>
        <v>817.19999999999993</v>
      </c>
      <c r="BE109" s="707">
        <f>SUM(BE103:BE108)</f>
        <v>877.8</v>
      </c>
      <c r="BF109" s="707">
        <f>SUM(BF103:BF108)</f>
        <v>950.9</v>
      </c>
      <c r="BG109" s="707">
        <f t="shared" ref="BG109:BI109" si="519">SUM(BG103:BG108)</f>
        <v>1261</v>
      </c>
      <c r="BH109" s="706">
        <f t="shared" si="519"/>
        <v>1281.6000000000001</v>
      </c>
      <c r="BI109" s="707">
        <f t="shared" si="519"/>
        <v>1337.9999999999998</v>
      </c>
      <c r="BJ109" s="707">
        <f t="shared" ref="BJ109:BK109" si="520">SUM(BJ103:BJ108)</f>
        <v>1391</v>
      </c>
      <c r="BK109" s="707">
        <f t="shared" si="520"/>
        <v>1377.4999999999998</v>
      </c>
      <c r="BL109" s="706"/>
      <c r="BM109" s="707"/>
      <c r="BN109" s="707"/>
      <c r="BO109" s="708"/>
      <c r="BP109" s="706"/>
      <c r="BQ109" s="707"/>
      <c r="BR109" s="707"/>
      <c r="BS109" s="708"/>
      <c r="BT109" s="706"/>
      <c r="BU109" s="707"/>
      <c r="BV109" s="707"/>
      <c r="BW109" s="708"/>
      <c r="BX109" s="777"/>
      <c r="BY109" s="706"/>
      <c r="BZ109" s="707">
        <f t="shared" ref="BZ109:CH109" si="521">SUM(BZ103:BZ108)</f>
        <v>1266.9000000000001</v>
      </c>
      <c r="CA109" s="707">
        <f t="shared" si="521"/>
        <v>1260.5999999999999</v>
      </c>
      <c r="CB109" s="707">
        <f t="shared" si="521"/>
        <v>1531.8000000000002</v>
      </c>
      <c r="CC109" s="707">
        <f t="shared" si="521"/>
        <v>1566.2</v>
      </c>
      <c r="CD109" s="707">
        <f t="shared" si="521"/>
        <v>2054.8000000000002</v>
      </c>
      <c r="CE109" s="707">
        <f t="shared" si="521"/>
        <v>1768.8999999999999</v>
      </c>
      <c r="CF109" s="707">
        <f t="shared" si="521"/>
        <v>2313.4</v>
      </c>
      <c r="CG109" s="707">
        <f t="shared" si="521"/>
        <v>3442.3</v>
      </c>
      <c r="CH109" s="707">
        <f t="shared" si="521"/>
        <v>2894.8999999999996</v>
      </c>
      <c r="CI109" s="707">
        <f>SUM(CI103:CI108)</f>
        <v>2782.7000000000003</v>
      </c>
      <c r="CJ109" s="707"/>
      <c r="CK109" s="707"/>
      <c r="CL109" s="707"/>
      <c r="CM109" s="707"/>
      <c r="CN109" s="707"/>
      <c r="CO109" s="707"/>
      <c r="CP109" s="708"/>
      <c r="CQ109" s="1041"/>
    </row>
    <row r="110" spans="1:95" ht="14.25" customHeight="1">
      <c r="B110" s="57"/>
      <c r="J110" s="322"/>
      <c r="AJ110" s="9"/>
      <c r="AK110" s="9"/>
      <c r="AL110" s="9"/>
      <c r="AN110" s="9"/>
      <c r="AO110" s="9"/>
      <c r="AP110" s="9"/>
      <c r="AR110" s="9"/>
      <c r="AS110" s="9"/>
      <c r="AV110" s="9"/>
      <c r="AW110" s="9"/>
      <c r="AZ110" s="9"/>
      <c r="BD110" s="9"/>
      <c r="BF110" s="1319"/>
      <c r="BG110" s="1369"/>
      <c r="BH110" s="9"/>
      <c r="BJ110" s="1438"/>
      <c r="BK110" s="1464"/>
      <c r="BX110" s="302"/>
      <c r="BY110" s="302"/>
      <c r="BZ110" s="302"/>
      <c r="CA110" s="302"/>
      <c r="CB110" s="302"/>
      <c r="CC110" s="302"/>
      <c r="CD110" s="302"/>
      <c r="CE110" s="302"/>
      <c r="CF110" s="302"/>
      <c r="CG110" s="15"/>
      <c r="CH110" s="302"/>
      <c r="CI110" s="302"/>
      <c r="CJ110" s="302"/>
      <c r="CK110" s="302"/>
      <c r="CL110" s="302"/>
      <c r="CM110" s="302"/>
      <c r="CN110" s="302"/>
      <c r="CO110" s="302"/>
      <c r="CP110" s="302"/>
    </row>
    <row r="111" spans="1:95" ht="14.25" customHeight="1">
      <c r="B111" s="266" t="s">
        <v>301</v>
      </c>
      <c r="C111" s="267"/>
      <c r="D111" s="765"/>
      <c r="E111" s="766" t="str">
        <f t="shared" ref="E111:AT111" si="522">IF(ABS(E159-E109)&lt;1,"OK",E159-E109)</f>
        <v>OK</v>
      </c>
      <c r="F111" s="766" t="str">
        <f t="shared" si="522"/>
        <v>OK</v>
      </c>
      <c r="G111" s="766" t="str">
        <f t="shared" si="522"/>
        <v>OK</v>
      </c>
      <c r="H111" s="765" t="str">
        <f t="shared" si="522"/>
        <v>OK</v>
      </c>
      <c r="I111" s="766" t="str">
        <f t="shared" si="522"/>
        <v>OK</v>
      </c>
      <c r="J111" s="924" t="str">
        <f t="shared" si="522"/>
        <v>OK</v>
      </c>
      <c r="K111" s="766" t="str">
        <f t="shared" si="522"/>
        <v>OK</v>
      </c>
      <c r="L111" s="765" t="str">
        <f t="shared" si="522"/>
        <v>OK</v>
      </c>
      <c r="M111" s="766" t="str">
        <f t="shared" si="522"/>
        <v>OK</v>
      </c>
      <c r="N111" s="766" t="str">
        <f t="shared" si="522"/>
        <v>OK</v>
      </c>
      <c r="O111" s="766" t="str">
        <f t="shared" si="522"/>
        <v>OK</v>
      </c>
      <c r="P111" s="765" t="str">
        <f t="shared" si="522"/>
        <v>OK</v>
      </c>
      <c r="Q111" s="766" t="str">
        <f t="shared" si="522"/>
        <v>OK</v>
      </c>
      <c r="R111" s="766" t="str">
        <f t="shared" si="522"/>
        <v>OK</v>
      </c>
      <c r="S111" s="766" t="str">
        <f t="shared" si="522"/>
        <v>OK</v>
      </c>
      <c r="T111" s="765" t="str">
        <f t="shared" si="522"/>
        <v>OK</v>
      </c>
      <c r="U111" s="766" t="str">
        <f t="shared" si="522"/>
        <v>OK</v>
      </c>
      <c r="V111" s="766" t="str">
        <f t="shared" si="522"/>
        <v>OK</v>
      </c>
      <c r="W111" s="766" t="str">
        <f t="shared" si="522"/>
        <v>OK</v>
      </c>
      <c r="X111" s="765" t="str">
        <f t="shared" si="522"/>
        <v>OK</v>
      </c>
      <c r="Y111" s="766" t="str">
        <f t="shared" si="522"/>
        <v>OK</v>
      </c>
      <c r="Z111" s="766" t="str">
        <f t="shared" si="522"/>
        <v>OK</v>
      </c>
      <c r="AA111" s="766" t="str">
        <f t="shared" si="522"/>
        <v>OK</v>
      </c>
      <c r="AB111" s="765" t="str">
        <f t="shared" si="522"/>
        <v>OK</v>
      </c>
      <c r="AC111" s="766" t="str">
        <f t="shared" si="522"/>
        <v>OK</v>
      </c>
      <c r="AD111" s="766" t="str">
        <f t="shared" si="522"/>
        <v>OK</v>
      </c>
      <c r="AE111" s="766" t="str">
        <f t="shared" si="522"/>
        <v>OK</v>
      </c>
      <c r="AF111" s="765" t="str">
        <f t="shared" si="522"/>
        <v>OK</v>
      </c>
      <c r="AG111" s="766" t="str">
        <f t="shared" si="522"/>
        <v>OK</v>
      </c>
      <c r="AH111" s="766" t="str">
        <f t="shared" si="522"/>
        <v>OK</v>
      </c>
      <c r="AI111" s="766" t="str">
        <f t="shared" si="522"/>
        <v>OK</v>
      </c>
      <c r="AJ111" s="765" t="str">
        <f t="shared" si="522"/>
        <v>OK</v>
      </c>
      <c r="AK111" s="766" t="str">
        <f t="shared" si="522"/>
        <v>OK</v>
      </c>
      <c r="AL111" s="766" t="str">
        <f t="shared" si="522"/>
        <v>OK</v>
      </c>
      <c r="AM111" s="766" t="str">
        <f t="shared" si="522"/>
        <v>OK</v>
      </c>
      <c r="AN111" s="765" t="str">
        <f t="shared" si="522"/>
        <v>OK</v>
      </c>
      <c r="AO111" s="766" t="str">
        <f t="shared" si="522"/>
        <v>OK</v>
      </c>
      <c r="AP111" s="766" t="str">
        <f t="shared" si="522"/>
        <v>OK</v>
      </c>
      <c r="AQ111" s="766" t="str">
        <f t="shared" si="522"/>
        <v>OK</v>
      </c>
      <c r="AR111" s="765" t="str">
        <f t="shared" si="522"/>
        <v>OK</v>
      </c>
      <c r="AS111" s="766" t="str">
        <f>IF(ABS(AS159-AS109)&lt;1,"OK",AS159-AS109)</f>
        <v>OK</v>
      </c>
      <c r="AT111" s="766" t="str">
        <f t="shared" si="522"/>
        <v>OK</v>
      </c>
      <c r="AU111" s="766" t="str">
        <f t="shared" ref="AU111:BC111" si="523">IF(ABS(AU159-AU109)&lt;1,"OK",AU159-AU109)</f>
        <v>OK</v>
      </c>
      <c r="AV111" s="765" t="str">
        <f t="shared" si="523"/>
        <v>OK</v>
      </c>
      <c r="AW111" s="766" t="str">
        <f t="shared" si="523"/>
        <v>OK</v>
      </c>
      <c r="AX111" s="766" t="str">
        <f t="shared" si="523"/>
        <v>OK</v>
      </c>
      <c r="AY111" s="766" t="str">
        <f t="shared" si="523"/>
        <v>OK</v>
      </c>
      <c r="AZ111" s="765" t="str">
        <f t="shared" si="523"/>
        <v>OK</v>
      </c>
      <c r="BA111" s="766" t="str">
        <f t="shared" si="523"/>
        <v>OK</v>
      </c>
      <c r="BB111" s="766" t="str">
        <f>IF(ABS(BB159-BB109)&lt;1,"OK",BB159-BB109)</f>
        <v>OK</v>
      </c>
      <c r="BC111" s="766" t="str">
        <f t="shared" si="523"/>
        <v>OK</v>
      </c>
      <c r="BD111" s="765" t="str">
        <f>IF(ABS(BD159-BD109)&lt;1,"OK",BD159-BD109)</f>
        <v>OK</v>
      </c>
      <c r="BE111" s="766" t="str">
        <f>IF(ABS(BE159-BE109)&lt;1,"OK",BE159-BE109)</f>
        <v>OK</v>
      </c>
      <c r="BF111" s="766" t="str">
        <f>IF(ABS(BF159-BF109)&lt;1,"OK",BF159-BF109)</f>
        <v>OK</v>
      </c>
      <c r="BG111" s="766" t="str">
        <f t="shared" ref="BG111" si="524">IF(ABS(BG159-BG109)&lt;1,"OK",BG159-BG109)</f>
        <v>OK</v>
      </c>
      <c r="BH111" s="765">
        <f>IF(ABS(BH159-BH109)&lt;1,"OK",BH159-BH109)</f>
        <v>155.09999999999991</v>
      </c>
      <c r="BI111" s="766" t="str">
        <f>IF(ABS(BI159-BI109)&lt;1,"OK",BI159-BI109)</f>
        <v>OK</v>
      </c>
      <c r="BJ111" s="766" t="str">
        <f>IF(ABS(BJ159-BJ109)&lt;1,"OK",BJ159-BJ109)</f>
        <v>OK</v>
      </c>
      <c r="BK111" s="766" t="str">
        <f t="shared" ref="BK111" si="525">IF(ABS(BK159-BK109)&lt;1,"OK",BK159-BK109)</f>
        <v>OK</v>
      </c>
      <c r="BL111" s="710"/>
      <c r="BM111" s="711"/>
      <c r="BN111" s="711"/>
      <c r="BO111" s="711"/>
      <c r="BP111" s="710"/>
      <c r="BQ111" s="711"/>
      <c r="BR111" s="711"/>
      <c r="BS111" s="711"/>
      <c r="BT111" s="710"/>
      <c r="BU111" s="711"/>
      <c r="BV111" s="711"/>
      <c r="BW111" s="711"/>
      <c r="BX111" s="778"/>
      <c r="BY111" s="765"/>
      <c r="BZ111" s="766" t="str">
        <f t="shared" ref="BZ111:CH111" si="526">IF(ABS(BZ159-BZ109)&lt;1,"OK",BZ159-BZ109)</f>
        <v>OK</v>
      </c>
      <c r="CA111" s="766" t="str">
        <f t="shared" si="526"/>
        <v>OK</v>
      </c>
      <c r="CB111" s="766" t="str">
        <f t="shared" si="526"/>
        <v>OK</v>
      </c>
      <c r="CC111" s="766" t="str">
        <f t="shared" si="526"/>
        <v>OK</v>
      </c>
      <c r="CD111" s="766" t="str">
        <f t="shared" si="526"/>
        <v>OK</v>
      </c>
      <c r="CE111" s="766" t="str">
        <f t="shared" si="526"/>
        <v>OK</v>
      </c>
      <c r="CF111" s="766" t="str">
        <f t="shared" si="526"/>
        <v>OK</v>
      </c>
      <c r="CG111" s="766" t="str">
        <f t="shared" si="526"/>
        <v>OK</v>
      </c>
      <c r="CH111" s="766" t="str">
        <f t="shared" si="526"/>
        <v>OK</v>
      </c>
      <c r="CI111" s="766" t="str">
        <f>IF(ABS(CI159-CI109)&lt;1,"OK",CI159-CI109)</f>
        <v>OK</v>
      </c>
      <c r="CJ111" s="711"/>
      <c r="CK111" s="711"/>
      <c r="CL111" s="711"/>
      <c r="CM111" s="711"/>
      <c r="CN111" s="711"/>
      <c r="CO111" s="711"/>
      <c r="CP111" s="712"/>
      <c r="CQ111" s="1041"/>
    </row>
    <row r="112" spans="1:95" ht="14.25" customHeight="1">
      <c r="B112" s="57"/>
      <c r="J112" s="322"/>
      <c r="AJ112" s="9"/>
      <c r="AK112" s="9"/>
      <c r="AL112" s="9"/>
      <c r="AN112" s="9"/>
      <c r="BG112" s="1369"/>
      <c r="CG112" s="9"/>
      <c r="CJ112" s="302"/>
      <c r="CK112" s="302"/>
      <c r="CL112" s="302"/>
      <c r="CM112" s="302"/>
      <c r="CN112" s="302"/>
      <c r="CO112" s="302"/>
      <c r="CP112" s="302"/>
    </row>
    <row r="113" spans="2:95" s="1386" customFormat="1" ht="14.25" hidden="1" customHeight="1" outlineLevel="1">
      <c r="B113" s="131" t="s">
        <v>541</v>
      </c>
      <c r="C113" s="132"/>
      <c r="D113" s="768"/>
      <c r="E113" s="768"/>
      <c r="F113" s="768"/>
      <c r="G113" s="860"/>
      <c r="H113" s="768"/>
      <c r="I113" s="768"/>
      <c r="J113" s="768"/>
      <c r="K113" s="768"/>
      <c r="L113" s="1299"/>
      <c r="M113" s="1300"/>
      <c r="N113" s="1300"/>
      <c r="O113" s="1301"/>
      <c r="P113" s="1299"/>
      <c r="Q113" s="1300"/>
      <c r="R113" s="1300"/>
      <c r="S113" s="1301"/>
      <c r="T113" s="1299"/>
      <c r="U113" s="1300"/>
      <c r="V113" s="1300"/>
      <c r="W113" s="1301"/>
      <c r="X113" s="1299"/>
      <c r="Y113" s="1300"/>
      <c r="Z113" s="1300"/>
      <c r="AA113" s="1301"/>
      <c r="AB113" s="1299"/>
      <c r="AC113" s="1300"/>
      <c r="AD113" s="1300"/>
      <c r="AE113" s="1301"/>
      <c r="AF113" s="1299"/>
      <c r="AG113" s="1304"/>
      <c r="AH113" s="1300"/>
      <c r="AI113" s="1301"/>
      <c r="AJ113" s="1299"/>
      <c r="AK113" s="1300"/>
      <c r="AL113" s="1300"/>
      <c r="AM113" s="1301"/>
      <c r="AN113" s="1299"/>
      <c r="AO113" s="1300"/>
      <c r="AP113" s="1300"/>
      <c r="AQ113" s="1301"/>
      <c r="AR113" s="1299"/>
      <c r="AS113" s="1300"/>
      <c r="AT113" s="1300"/>
      <c r="AU113" s="1301"/>
      <c r="AV113" s="1299"/>
      <c r="AW113" s="1300"/>
      <c r="AX113" s="1300"/>
      <c r="AY113" s="1301"/>
      <c r="AZ113" s="1299"/>
      <c r="BA113" s="1300"/>
      <c r="BB113" s="1300"/>
      <c r="BC113" s="1301"/>
      <c r="BD113" s="1299"/>
      <c r="BE113" s="1300"/>
      <c r="BF113" s="1300"/>
      <c r="BG113" s="1301"/>
      <c r="BH113" s="1299"/>
      <c r="BI113" s="1300"/>
      <c r="BJ113" s="1300"/>
      <c r="BK113" s="1301"/>
      <c r="BL113" s="1299"/>
      <c r="BM113" s="1300"/>
      <c r="BN113" s="1300"/>
      <c r="BO113" s="1301"/>
      <c r="BP113" s="1299"/>
      <c r="BQ113" s="1300"/>
      <c r="BR113" s="1300"/>
      <c r="BS113" s="1301"/>
      <c r="BT113" s="1390"/>
      <c r="BU113" s="1391"/>
      <c r="BV113" s="1391"/>
      <c r="BW113" s="1392"/>
      <c r="BX113" s="21"/>
      <c r="BY113" s="1253"/>
      <c r="BZ113" s="1254"/>
      <c r="CA113" s="1254"/>
      <c r="CB113" s="1254"/>
      <c r="CC113" s="1254"/>
      <c r="CD113" s="1254"/>
      <c r="CE113" s="1254"/>
      <c r="CF113" s="1254"/>
      <c r="CG113" s="1254"/>
      <c r="CH113" s="1254"/>
      <c r="CI113" s="1254"/>
      <c r="CJ113" s="1254"/>
      <c r="CK113" s="1254"/>
      <c r="CL113" s="1254"/>
      <c r="CM113" s="1254"/>
      <c r="CN113" s="1254"/>
      <c r="CO113" s="1254"/>
      <c r="CP113" s="1256"/>
    </row>
    <row r="114" spans="2:95" s="1386" customFormat="1" ht="14.25" hidden="1" customHeight="1" outlineLevel="1">
      <c r="B114" s="299" t="s">
        <v>543</v>
      </c>
      <c r="C114" s="345"/>
      <c r="D114" s="692"/>
      <c r="E114" s="693"/>
      <c r="F114" s="693"/>
      <c r="G114" s="136"/>
      <c r="H114" s="692"/>
      <c r="I114" s="693"/>
      <c r="J114" s="921"/>
      <c r="K114" s="136"/>
      <c r="L114" s="692"/>
      <c r="M114" s="693"/>
      <c r="N114" s="693"/>
      <c r="O114" s="136"/>
      <c r="P114" s="692"/>
      <c r="Q114" s="693"/>
      <c r="R114" s="693"/>
      <c r="S114" s="136"/>
      <c r="T114" s="692"/>
      <c r="U114" s="693"/>
      <c r="V114" s="693"/>
      <c r="W114" s="136"/>
      <c r="X114" s="692"/>
      <c r="Y114" s="693"/>
      <c r="Z114" s="693"/>
      <c r="AA114" s="136"/>
      <c r="AB114" s="692"/>
      <c r="AC114" s="693"/>
      <c r="AD114" s="693"/>
      <c r="AE114" s="136"/>
      <c r="AF114" s="692"/>
      <c r="AG114" s="693"/>
      <c r="AH114" s="693"/>
      <c r="AI114" s="136"/>
      <c r="AJ114" s="692"/>
      <c r="AK114" s="693"/>
      <c r="AL114" s="693"/>
      <c r="AM114" s="136"/>
      <c r="AN114" s="692"/>
      <c r="AO114" s="693"/>
      <c r="AP114" s="693"/>
      <c r="AQ114" s="136"/>
      <c r="AR114" s="692"/>
      <c r="AS114" s="693"/>
      <c r="AT114" s="693"/>
      <c r="AU114" s="136"/>
      <c r="AV114" s="692"/>
      <c r="AW114" s="693"/>
      <c r="AX114" s="693"/>
      <c r="AY114" s="693"/>
      <c r="AZ114" s="692"/>
      <c r="BA114" s="693"/>
      <c r="BB114" s="693"/>
      <c r="BC114" s="694"/>
      <c r="BD114" s="692"/>
      <c r="BE114" s="693"/>
      <c r="BF114" s="693"/>
      <c r="BG114" s="1384"/>
      <c r="BH114" s="692">
        <v>439.3</v>
      </c>
      <c r="BI114" s="693"/>
      <c r="BJ114" s="693"/>
      <c r="BK114" s="694"/>
      <c r="BL114" s="692"/>
      <c r="BM114" s="693"/>
      <c r="BN114" s="693"/>
      <c r="BO114" s="694"/>
      <c r="BP114" s="692"/>
      <c r="BQ114" s="693"/>
      <c r="BR114" s="693"/>
      <c r="BS114" s="694"/>
      <c r="BT114" s="692"/>
      <c r="BU114" s="693"/>
      <c r="BV114" s="693"/>
      <c r="BW114" s="694"/>
      <c r="BX114" s="776"/>
      <c r="BY114" s="692"/>
      <c r="BZ114" s="327"/>
      <c r="CA114" s="696"/>
      <c r="CB114" s="696"/>
      <c r="CC114" s="696"/>
      <c r="CD114" s="696"/>
      <c r="CE114" s="696"/>
      <c r="CF114" s="696"/>
      <c r="CG114" s="696"/>
      <c r="CH114" s="696"/>
      <c r="CI114" s="696"/>
      <c r="CJ114" s="696"/>
      <c r="CK114" s="696"/>
      <c r="CL114" s="696"/>
      <c r="CM114" s="696"/>
      <c r="CN114" s="696"/>
      <c r="CO114" s="696"/>
      <c r="CP114" s="697"/>
    </row>
    <row r="115" spans="2:95" s="1386" customFormat="1" ht="14.25" hidden="1" customHeight="1" outlineLevel="1">
      <c r="B115" s="300" t="s">
        <v>544</v>
      </c>
      <c r="C115" s="303"/>
      <c r="D115" s="695"/>
      <c r="E115" s="696"/>
      <c r="F115" s="696"/>
      <c r="G115" s="136"/>
      <c r="H115" s="695"/>
      <c r="I115" s="696"/>
      <c r="J115" s="922"/>
      <c r="K115" s="136"/>
      <c r="L115" s="695"/>
      <c r="M115" s="696"/>
      <c r="N115" s="696"/>
      <c r="O115" s="136"/>
      <c r="P115" s="695"/>
      <c r="Q115" s="696"/>
      <c r="R115" s="696"/>
      <c r="S115" s="136"/>
      <c r="T115" s="695"/>
      <c r="U115" s="696"/>
      <c r="V115" s="696"/>
      <c r="W115" s="136"/>
      <c r="X115" s="695"/>
      <c r="Y115" s="696"/>
      <c r="Z115" s="696"/>
      <c r="AA115" s="136"/>
      <c r="AB115" s="695"/>
      <c r="AC115" s="696"/>
      <c r="AD115" s="696"/>
      <c r="AE115" s="136"/>
      <c r="AF115" s="695"/>
      <c r="AG115" s="696"/>
      <c r="AH115" s="696"/>
      <c r="AI115" s="136"/>
      <c r="AJ115" s="695"/>
      <c r="AK115" s="696"/>
      <c r="AL115" s="696"/>
      <c r="AM115" s="136"/>
      <c r="AN115" s="695"/>
      <c r="AO115" s="696"/>
      <c r="AP115" s="696"/>
      <c r="AQ115" s="136"/>
      <c r="AR115" s="695"/>
      <c r="AS115" s="696"/>
      <c r="AT115" s="696"/>
      <c r="AU115" s="136"/>
      <c r="AV115" s="695"/>
      <c r="AW115" s="696"/>
      <c r="AX115" s="696"/>
      <c r="AY115" s="696"/>
      <c r="AZ115" s="695"/>
      <c r="BA115" s="696"/>
      <c r="BB115" s="696"/>
      <c r="BC115" s="697"/>
      <c r="BD115" s="695"/>
      <c r="BE115" s="696"/>
      <c r="BF115" s="696"/>
      <c r="BG115" s="1385"/>
      <c r="BH115" s="695">
        <v>281.89999999999998</v>
      </c>
      <c r="BI115" s="696"/>
      <c r="BJ115" s="696"/>
      <c r="BK115" s="697"/>
      <c r="BL115" s="695"/>
      <c r="BM115" s="696"/>
      <c r="BN115" s="696"/>
      <c r="BO115" s="697"/>
      <c r="BP115" s="695"/>
      <c r="BQ115" s="696"/>
      <c r="BR115" s="696"/>
      <c r="BS115" s="697"/>
      <c r="BT115" s="695"/>
      <c r="BU115" s="696"/>
      <c r="BV115" s="696"/>
      <c r="BW115" s="697"/>
      <c r="BX115" s="776"/>
      <c r="BY115" s="695"/>
      <c r="BZ115" s="700"/>
      <c r="CA115" s="696"/>
      <c r="CB115" s="696"/>
      <c r="CC115" s="696"/>
      <c r="CD115" s="696"/>
      <c r="CE115" s="696"/>
      <c r="CF115" s="696"/>
      <c r="CG115" s="696"/>
      <c r="CH115" s="696"/>
      <c r="CI115" s="696"/>
      <c r="CJ115" s="696"/>
      <c r="CK115" s="696"/>
      <c r="CL115" s="696"/>
      <c r="CM115" s="696"/>
      <c r="CN115" s="696"/>
      <c r="CO115" s="696"/>
      <c r="CP115" s="697"/>
    </row>
    <row r="116" spans="2:95" s="1386" customFormat="1" ht="14.25" hidden="1" customHeight="1" outlineLevel="1">
      <c r="B116" s="300" t="s">
        <v>545</v>
      </c>
      <c r="C116" s="303"/>
      <c r="D116" s="695"/>
      <c r="E116" s="696"/>
      <c r="F116" s="696"/>
      <c r="G116" s="136"/>
      <c r="H116" s="695"/>
      <c r="I116" s="696"/>
      <c r="J116" s="922"/>
      <c r="K116" s="136"/>
      <c r="L116" s="695"/>
      <c r="M116" s="696"/>
      <c r="N116" s="696"/>
      <c r="O116" s="136"/>
      <c r="P116" s="695"/>
      <c r="Q116" s="696"/>
      <c r="R116" s="696"/>
      <c r="S116" s="136"/>
      <c r="T116" s="695"/>
      <c r="U116" s="696"/>
      <c r="V116" s="696"/>
      <c r="W116" s="136"/>
      <c r="X116" s="695"/>
      <c r="Y116" s="696"/>
      <c r="Z116" s="696"/>
      <c r="AA116" s="136"/>
      <c r="AB116" s="695"/>
      <c r="AC116" s="696"/>
      <c r="AD116" s="696"/>
      <c r="AE116" s="136"/>
      <c r="AF116" s="695"/>
      <c r="AG116" s="696"/>
      <c r="AH116" s="696"/>
      <c r="AI116" s="136"/>
      <c r="AJ116" s="695"/>
      <c r="AK116" s="696"/>
      <c r="AL116" s="696"/>
      <c r="AM116" s="136"/>
      <c r="AN116" s="695"/>
      <c r="AO116" s="696"/>
      <c r="AP116" s="696"/>
      <c r="AQ116" s="136"/>
      <c r="AR116" s="695"/>
      <c r="AS116" s="696"/>
      <c r="AT116" s="696"/>
      <c r="AU116" s="136"/>
      <c r="AV116" s="695"/>
      <c r="AW116" s="696"/>
      <c r="AX116" s="696"/>
      <c r="AY116" s="696"/>
      <c r="AZ116" s="695"/>
      <c r="BA116" s="696"/>
      <c r="BB116" s="696"/>
      <c r="BC116" s="697"/>
      <c r="BD116" s="695"/>
      <c r="BE116" s="696"/>
      <c r="BF116" s="696"/>
      <c r="BG116" s="1385"/>
      <c r="BH116" s="695">
        <v>203.9</v>
      </c>
      <c r="BI116" s="696"/>
      <c r="BJ116" s="696"/>
      <c r="BK116" s="697"/>
      <c r="BL116" s="695"/>
      <c r="BM116" s="696"/>
      <c r="BN116" s="696"/>
      <c r="BO116" s="697"/>
      <c r="BP116" s="695"/>
      <c r="BQ116" s="696"/>
      <c r="BR116" s="696"/>
      <c r="BS116" s="697"/>
      <c r="BT116" s="695"/>
      <c r="BU116" s="696"/>
      <c r="BV116" s="696"/>
      <c r="BW116" s="697"/>
      <c r="BX116" s="776"/>
      <c r="BY116" s="695"/>
      <c r="BZ116" s="700"/>
      <c r="CA116" s="696"/>
      <c r="CB116" s="696"/>
      <c r="CC116" s="696"/>
      <c r="CD116" s="696"/>
      <c r="CE116" s="696"/>
      <c r="CF116" s="696"/>
      <c r="CG116" s="696"/>
      <c r="CH116" s="696"/>
      <c r="CI116" s="696"/>
      <c r="CJ116" s="696"/>
      <c r="CK116" s="696"/>
      <c r="CL116" s="696"/>
      <c r="CM116" s="696"/>
      <c r="CN116" s="696"/>
      <c r="CO116" s="696"/>
      <c r="CP116" s="697"/>
    </row>
    <row r="117" spans="2:95" s="1386" customFormat="1" ht="14.25" hidden="1" customHeight="1" outlineLevel="1">
      <c r="B117" s="300" t="s">
        <v>569</v>
      </c>
      <c r="C117" s="303"/>
      <c r="D117" s="695"/>
      <c r="E117" s="696"/>
      <c r="F117" s="696"/>
      <c r="G117" s="136"/>
      <c r="H117" s="695"/>
      <c r="I117" s="696"/>
      <c r="J117" s="922"/>
      <c r="K117" s="136"/>
      <c r="L117" s="695"/>
      <c r="M117" s="696"/>
      <c r="N117" s="696"/>
      <c r="O117" s="136"/>
      <c r="P117" s="695"/>
      <c r="Q117" s="696"/>
      <c r="R117" s="696"/>
      <c r="S117" s="136"/>
      <c r="T117" s="695"/>
      <c r="U117" s="696"/>
      <c r="V117" s="696"/>
      <c r="W117" s="136"/>
      <c r="X117" s="695"/>
      <c r="Y117" s="696"/>
      <c r="Z117" s="696"/>
      <c r="AA117" s="136"/>
      <c r="AB117" s="695"/>
      <c r="AC117" s="696"/>
      <c r="AD117" s="696"/>
      <c r="AE117" s="136"/>
      <c r="AF117" s="695"/>
      <c r="AG117" s="696"/>
      <c r="AH117" s="696"/>
      <c r="AI117" s="136"/>
      <c r="AJ117" s="695"/>
      <c r="AK117" s="696"/>
      <c r="AL117" s="696"/>
      <c r="AM117" s="136"/>
      <c r="AN117" s="695"/>
      <c r="AO117" s="696"/>
      <c r="AP117" s="696"/>
      <c r="AQ117" s="136"/>
      <c r="AR117" s="695"/>
      <c r="AS117" s="696"/>
      <c r="AT117" s="696"/>
      <c r="AU117" s="136"/>
      <c r="AV117" s="695"/>
      <c r="AW117" s="696"/>
      <c r="AX117" s="696"/>
      <c r="AY117" s="696"/>
      <c r="AZ117" s="695"/>
      <c r="BA117" s="696"/>
      <c r="BB117" s="696"/>
      <c r="BC117" s="697"/>
      <c r="BD117" s="695"/>
      <c r="BE117" s="696"/>
      <c r="BF117" s="696"/>
      <c r="BG117" s="1385"/>
      <c r="BH117" s="695">
        <v>355.2</v>
      </c>
      <c r="BI117" s="696"/>
      <c r="BJ117" s="696"/>
      <c r="BK117" s="697"/>
      <c r="BL117" s="695"/>
      <c r="BM117" s="696"/>
      <c r="BN117" s="696"/>
      <c r="BO117" s="697"/>
      <c r="BP117" s="695"/>
      <c r="BQ117" s="696"/>
      <c r="BR117" s="696"/>
      <c r="BS117" s="697"/>
      <c r="BT117" s="695"/>
      <c r="BU117" s="696"/>
      <c r="BV117" s="696"/>
      <c r="BW117" s="697"/>
      <c r="BX117" s="776"/>
      <c r="BY117" s="695"/>
      <c r="BZ117" s="700"/>
      <c r="CA117" s="696"/>
      <c r="CB117" s="696"/>
      <c r="CC117" s="696"/>
      <c r="CD117" s="696"/>
      <c r="CE117" s="696"/>
      <c r="CF117" s="696"/>
      <c r="CG117" s="696"/>
      <c r="CH117" s="696"/>
      <c r="CI117" s="696"/>
      <c r="CJ117" s="696"/>
      <c r="CK117" s="696"/>
      <c r="CL117" s="696"/>
      <c r="CM117" s="696"/>
      <c r="CN117" s="696"/>
      <c r="CO117" s="696"/>
      <c r="CP117" s="697"/>
    </row>
    <row r="118" spans="2:95" s="1386" customFormat="1" ht="14.25" hidden="1" customHeight="1" outlineLevel="1">
      <c r="B118" s="300" t="s">
        <v>546</v>
      </c>
      <c r="C118" s="303"/>
      <c r="D118" s="695"/>
      <c r="E118" s="696"/>
      <c r="F118" s="696"/>
      <c r="G118" s="136"/>
      <c r="H118" s="695"/>
      <c r="I118" s="696"/>
      <c r="J118" s="922"/>
      <c r="K118" s="136"/>
      <c r="L118" s="695"/>
      <c r="M118" s="696"/>
      <c r="N118" s="696"/>
      <c r="O118" s="136"/>
      <c r="P118" s="695"/>
      <c r="Q118" s="696"/>
      <c r="R118" s="696"/>
      <c r="S118" s="136"/>
      <c r="T118" s="695"/>
      <c r="U118" s="696"/>
      <c r="V118" s="696"/>
      <c r="W118" s="136"/>
      <c r="X118" s="695"/>
      <c r="Y118" s="696"/>
      <c r="Z118" s="696"/>
      <c r="AA118" s="136"/>
      <c r="AB118" s="695"/>
      <c r="AC118" s="696"/>
      <c r="AD118" s="696"/>
      <c r="AE118" s="136"/>
      <c r="AF118" s="695"/>
      <c r="AG118" s="696"/>
      <c r="AH118" s="696"/>
      <c r="AI118" s="136"/>
      <c r="AJ118" s="695"/>
      <c r="AK118" s="696"/>
      <c r="AL118" s="696"/>
      <c r="AM118" s="136"/>
      <c r="AN118" s="695"/>
      <c r="AO118" s="696"/>
      <c r="AP118" s="696"/>
      <c r="AQ118" s="136"/>
      <c r="AR118" s="695"/>
      <c r="AS118" s="696"/>
      <c r="AT118" s="696"/>
      <c r="AU118" s="136"/>
      <c r="AV118" s="695"/>
      <c r="AW118" s="696"/>
      <c r="AX118" s="696"/>
      <c r="AY118" s="696"/>
      <c r="AZ118" s="695"/>
      <c r="BA118" s="696"/>
      <c r="BB118" s="696"/>
      <c r="BC118" s="697"/>
      <c r="BD118" s="695"/>
      <c r="BE118" s="696"/>
      <c r="BF118" s="696"/>
      <c r="BG118" s="1385"/>
      <c r="BH118" s="695">
        <v>156.4</v>
      </c>
      <c r="BI118" s="696"/>
      <c r="BJ118" s="696"/>
      <c r="BK118" s="697"/>
      <c r="BL118" s="695"/>
      <c r="BM118" s="696"/>
      <c r="BN118" s="696"/>
      <c r="BO118" s="697"/>
      <c r="BP118" s="695"/>
      <c r="BQ118" s="696"/>
      <c r="BR118" s="696"/>
      <c r="BS118" s="697"/>
      <c r="BT118" s="695"/>
      <c r="BU118" s="696"/>
      <c r="BV118" s="696"/>
      <c r="BW118" s="697"/>
      <c r="BX118" s="776"/>
      <c r="BY118" s="695"/>
      <c r="BZ118" s="700"/>
      <c r="CA118" s="696"/>
      <c r="CB118" s="696"/>
      <c r="CC118" s="696"/>
      <c r="CD118" s="696"/>
      <c r="CE118" s="696"/>
      <c r="CF118" s="696"/>
      <c r="CG118" s="696"/>
      <c r="CH118" s="696"/>
      <c r="CI118" s="696"/>
      <c r="CJ118" s="696"/>
      <c r="CK118" s="696"/>
      <c r="CL118" s="696"/>
      <c r="CM118" s="696"/>
      <c r="CN118" s="696"/>
      <c r="CO118" s="696"/>
      <c r="CP118" s="697"/>
    </row>
    <row r="119" spans="2:95" s="1386" customFormat="1" ht="14.25" hidden="1" customHeight="1" outlineLevel="1">
      <c r="B119" s="300" t="s">
        <v>351</v>
      </c>
      <c r="C119" s="305"/>
      <c r="D119" s="695"/>
      <c r="E119" s="696"/>
      <c r="F119" s="696"/>
      <c r="G119" s="136"/>
      <c r="H119" s="695"/>
      <c r="I119" s="696"/>
      <c r="J119" s="922"/>
      <c r="K119" s="136"/>
      <c r="L119" s="695"/>
      <c r="M119" s="696"/>
      <c r="N119" s="696"/>
      <c r="O119" s="136"/>
      <c r="P119" s="695"/>
      <c r="Q119" s="696"/>
      <c r="R119" s="696"/>
      <c r="S119" s="136"/>
      <c r="T119" s="695"/>
      <c r="U119" s="696"/>
      <c r="V119" s="696"/>
      <c r="W119" s="136"/>
      <c r="X119" s="695"/>
      <c r="Y119" s="696"/>
      <c r="Z119" s="696"/>
      <c r="AA119" s="136"/>
      <c r="AB119" s="695"/>
      <c r="AC119" s="696"/>
      <c r="AD119" s="696"/>
      <c r="AE119" s="136"/>
      <c r="AF119" s="695"/>
      <c r="AG119" s="702"/>
      <c r="AH119" s="696"/>
      <c r="AI119" s="136"/>
      <c r="AJ119" s="695"/>
      <c r="AK119" s="696"/>
      <c r="AL119" s="696"/>
      <c r="AM119" s="136"/>
      <c r="AN119" s="695"/>
      <c r="AO119" s="696"/>
      <c r="AP119" s="696"/>
      <c r="AQ119" s="136"/>
      <c r="AR119" s="695"/>
      <c r="AS119" s="696"/>
      <c r="AT119" s="696"/>
      <c r="AU119" s="136"/>
      <c r="AV119" s="695"/>
      <c r="AW119" s="696"/>
      <c r="AX119" s="696"/>
      <c r="AY119" s="696"/>
      <c r="AZ119" s="695"/>
      <c r="BA119" s="696"/>
      <c r="BB119" s="696"/>
      <c r="BC119" s="697"/>
      <c r="BD119" s="695"/>
      <c r="BE119" s="696"/>
      <c r="BF119" s="696"/>
      <c r="BG119" s="1385"/>
      <c r="BH119" s="695">
        <v>0</v>
      </c>
      <c r="BI119" s="696"/>
      <c r="BJ119" s="696"/>
      <c r="BK119" s="697"/>
      <c r="BL119" s="695"/>
      <c r="BM119" s="696"/>
      <c r="BN119" s="696"/>
      <c r="BO119" s="697"/>
      <c r="BP119" s="695"/>
      <c r="BQ119" s="696"/>
      <c r="BR119" s="696"/>
      <c r="BS119" s="697"/>
      <c r="BT119" s="695"/>
      <c r="BU119" s="696"/>
      <c r="BV119" s="696"/>
      <c r="BW119" s="697"/>
      <c r="BX119" s="776"/>
      <c r="BY119" s="695"/>
      <c r="BZ119" s="700"/>
      <c r="CA119" s="696"/>
      <c r="CB119" s="702"/>
      <c r="CC119" s="702"/>
      <c r="CD119" s="702"/>
      <c r="CE119" s="696"/>
      <c r="CF119" s="696"/>
      <c r="CG119" s="696"/>
      <c r="CH119" s="696"/>
      <c r="CI119" s="696"/>
      <c r="CJ119" s="696"/>
      <c r="CK119" s="696"/>
      <c r="CL119" s="696"/>
      <c r="CM119" s="696"/>
      <c r="CN119" s="696"/>
      <c r="CO119" s="696"/>
      <c r="CP119" s="697"/>
    </row>
    <row r="120" spans="2:95" s="1386" customFormat="1" ht="14.25" hidden="1" customHeight="1" outlineLevel="1">
      <c r="B120" s="347" t="s">
        <v>360</v>
      </c>
      <c r="C120" s="348"/>
      <c r="D120" s="703"/>
      <c r="E120" s="704"/>
      <c r="F120" s="704"/>
      <c r="G120" s="705"/>
      <c r="H120" s="703"/>
      <c r="I120" s="704"/>
      <c r="J120" s="923"/>
      <c r="K120" s="705"/>
      <c r="L120" s="706"/>
      <c r="M120" s="707"/>
      <c r="N120" s="707"/>
      <c r="O120" s="708"/>
      <c r="P120" s="706"/>
      <c r="Q120" s="707"/>
      <c r="R120" s="707"/>
      <c r="S120" s="708"/>
      <c r="T120" s="706"/>
      <c r="U120" s="707"/>
      <c r="V120" s="707"/>
      <c r="W120" s="708"/>
      <c r="X120" s="706"/>
      <c r="Y120" s="707"/>
      <c r="Z120" s="707"/>
      <c r="AA120" s="708"/>
      <c r="AB120" s="706"/>
      <c r="AC120" s="707"/>
      <c r="AD120" s="707"/>
      <c r="AE120" s="708"/>
      <c r="AF120" s="706"/>
      <c r="AG120" s="709"/>
      <c r="AH120" s="707"/>
      <c r="AI120" s="707"/>
      <c r="AJ120" s="706"/>
      <c r="AK120" s="707"/>
      <c r="AL120" s="707"/>
      <c r="AM120" s="708"/>
      <c r="AN120" s="706"/>
      <c r="AO120" s="707"/>
      <c r="AP120" s="707"/>
      <c r="AQ120" s="708"/>
      <c r="AR120" s="706"/>
      <c r="AS120" s="707"/>
      <c r="AT120" s="707"/>
      <c r="AU120" s="708"/>
      <c r="AV120" s="706"/>
      <c r="AW120" s="707"/>
      <c r="AX120" s="707"/>
      <c r="AY120" s="707"/>
      <c r="AZ120" s="706"/>
      <c r="BA120" s="707"/>
      <c r="BB120" s="707"/>
      <c r="BC120" s="707"/>
      <c r="BD120" s="706"/>
      <c r="BE120" s="707"/>
      <c r="BF120" s="707"/>
      <c r="BG120" s="707"/>
      <c r="BH120" s="706">
        <f t="shared" ref="BH120" si="527">SUM(BH114:BH119)</f>
        <v>1436.7</v>
      </c>
      <c r="BI120" s="707"/>
      <c r="BJ120" s="707"/>
      <c r="BK120" s="708"/>
      <c r="BL120" s="706"/>
      <c r="BM120" s="707"/>
      <c r="BN120" s="707"/>
      <c r="BO120" s="708"/>
      <c r="BP120" s="706"/>
      <c r="BQ120" s="707"/>
      <c r="BR120" s="707"/>
      <c r="BS120" s="708"/>
      <c r="BT120" s="706"/>
      <c r="BU120" s="707"/>
      <c r="BV120" s="707"/>
      <c r="BW120" s="708"/>
      <c r="BX120" s="777"/>
      <c r="BY120" s="706"/>
      <c r="BZ120" s="707"/>
      <c r="CA120" s="707"/>
      <c r="CB120" s="707"/>
      <c r="CC120" s="707"/>
      <c r="CD120" s="707"/>
      <c r="CE120" s="707"/>
      <c r="CF120" s="707"/>
      <c r="CG120" s="707"/>
      <c r="CH120" s="707"/>
      <c r="CI120" s="707"/>
      <c r="CJ120" s="707"/>
      <c r="CK120" s="707"/>
      <c r="CL120" s="707"/>
      <c r="CM120" s="707"/>
      <c r="CN120" s="707"/>
      <c r="CO120" s="707"/>
      <c r="CP120" s="708"/>
    </row>
    <row r="121" spans="2:95" s="1386" customFormat="1" ht="14.25" hidden="1" customHeight="1" outlineLevel="1">
      <c r="B121" s="57"/>
      <c r="J121" s="322"/>
      <c r="AJ121" s="9"/>
      <c r="AK121" s="9"/>
      <c r="AL121" s="9"/>
      <c r="AN121" s="9"/>
      <c r="BT121" s="1463"/>
      <c r="BU121" s="1463"/>
      <c r="BV121" s="1463"/>
      <c r="BW121" s="1463"/>
      <c r="CG121" s="9"/>
      <c r="CJ121" s="302"/>
      <c r="CK121" s="302"/>
      <c r="CL121" s="302"/>
      <c r="CM121" s="302"/>
      <c r="CN121" s="302"/>
      <c r="CO121" s="302"/>
      <c r="CP121" s="302"/>
    </row>
    <row r="122" spans="2:95" ht="14.25" hidden="1" customHeight="1" outlineLevel="1">
      <c r="B122" s="57"/>
      <c r="J122" s="322"/>
      <c r="AJ122" s="9"/>
      <c r="AK122" s="9"/>
      <c r="AL122" s="9"/>
      <c r="AN122" s="9"/>
      <c r="BG122" s="1369"/>
      <c r="CG122" s="9"/>
      <c r="CJ122" s="302"/>
      <c r="CK122" s="302"/>
      <c r="CL122" s="302"/>
      <c r="CM122" s="302"/>
      <c r="CN122" s="302"/>
      <c r="CO122" s="302"/>
      <c r="CP122" s="302"/>
    </row>
    <row r="123" spans="2:95" ht="14.25" customHeight="1" collapsed="1">
      <c r="B123" s="131" t="s">
        <v>542</v>
      </c>
      <c r="C123" s="132"/>
      <c r="D123" s="768" t="str">
        <f t="shared" ref="D123:AI123" si="528">D7</f>
        <v>F1Q03A</v>
      </c>
      <c r="E123" s="768" t="str">
        <f t="shared" si="528"/>
        <v>F2Q03A</v>
      </c>
      <c r="F123" s="768" t="str">
        <f t="shared" si="528"/>
        <v>F3Q03A</v>
      </c>
      <c r="G123" s="860" t="str">
        <f t="shared" si="528"/>
        <v>F4Q03A</v>
      </c>
      <c r="H123" s="768" t="str">
        <f t="shared" si="528"/>
        <v>F1Q04A</v>
      </c>
      <c r="I123" s="768" t="str">
        <f t="shared" si="528"/>
        <v>F2Q04A</v>
      </c>
      <c r="J123" s="768" t="str">
        <f t="shared" si="528"/>
        <v>F3Q04A</v>
      </c>
      <c r="K123" s="768" t="str">
        <f t="shared" si="528"/>
        <v>F4Q04A</v>
      </c>
      <c r="L123" s="18" t="str">
        <f t="shared" si="528"/>
        <v>F1Q05A</v>
      </c>
      <c r="M123" s="19" t="str">
        <f t="shared" si="528"/>
        <v>F2Q05A</v>
      </c>
      <c r="N123" s="19" t="str">
        <f t="shared" si="528"/>
        <v>F3Q05A</v>
      </c>
      <c r="O123" s="20" t="str">
        <f t="shared" si="528"/>
        <v>F4Q05A</v>
      </c>
      <c r="P123" s="18" t="str">
        <f t="shared" si="528"/>
        <v>F1Q06A</v>
      </c>
      <c r="Q123" s="19" t="str">
        <f t="shared" si="528"/>
        <v>F2Q06A</v>
      </c>
      <c r="R123" s="19" t="str">
        <f t="shared" si="528"/>
        <v>F3Q06A</v>
      </c>
      <c r="S123" s="20" t="str">
        <f t="shared" si="528"/>
        <v>F4Q06A</v>
      </c>
      <c r="T123" s="18" t="str">
        <f t="shared" si="528"/>
        <v>F1Q07A</v>
      </c>
      <c r="U123" s="19" t="str">
        <f t="shared" si="528"/>
        <v>F2Q07A</v>
      </c>
      <c r="V123" s="19" t="str">
        <f t="shared" si="528"/>
        <v>F3Q07A</v>
      </c>
      <c r="W123" s="20" t="str">
        <f t="shared" si="528"/>
        <v>F4Q07A</v>
      </c>
      <c r="X123" s="18" t="str">
        <f t="shared" si="528"/>
        <v>F1Q08A</v>
      </c>
      <c r="Y123" s="19" t="str">
        <f t="shared" si="528"/>
        <v>F2Q08A</v>
      </c>
      <c r="Z123" s="19" t="str">
        <f t="shared" si="528"/>
        <v>F3Q08A</v>
      </c>
      <c r="AA123" s="20" t="str">
        <f t="shared" si="528"/>
        <v>F4Q08A</v>
      </c>
      <c r="AB123" s="18" t="str">
        <f t="shared" si="528"/>
        <v>F1Q09A</v>
      </c>
      <c r="AC123" s="19" t="str">
        <f t="shared" si="528"/>
        <v>F2Q09A</v>
      </c>
      <c r="AD123" s="19" t="str">
        <f t="shared" si="528"/>
        <v>F3Q09A</v>
      </c>
      <c r="AE123" s="20" t="str">
        <f t="shared" si="528"/>
        <v>F4Q09A</v>
      </c>
      <c r="AF123" s="18" t="str">
        <f t="shared" si="528"/>
        <v>F1Q10A</v>
      </c>
      <c r="AG123" s="19" t="str">
        <f t="shared" si="528"/>
        <v>F2Q10A</v>
      </c>
      <c r="AH123" s="19" t="str">
        <f t="shared" si="528"/>
        <v>F3Q10A</v>
      </c>
      <c r="AI123" s="20" t="str">
        <f t="shared" si="528"/>
        <v>F4Q10A</v>
      </c>
      <c r="AJ123" s="18" t="str">
        <f t="shared" ref="AJ123:BO123" si="529">AJ7</f>
        <v>F1Q11A</v>
      </c>
      <c r="AK123" s="19" t="str">
        <f t="shared" si="529"/>
        <v>F2Q11A</v>
      </c>
      <c r="AL123" s="19" t="str">
        <f t="shared" si="529"/>
        <v>F3Q11A</v>
      </c>
      <c r="AM123" s="20" t="str">
        <f t="shared" si="529"/>
        <v>F4Q11A</v>
      </c>
      <c r="AN123" s="18" t="str">
        <f t="shared" si="529"/>
        <v>F1Q12A</v>
      </c>
      <c r="AO123" s="19" t="str">
        <f t="shared" si="529"/>
        <v>F2Q12A</v>
      </c>
      <c r="AP123" s="19" t="str">
        <f t="shared" si="529"/>
        <v>F3Q12A</v>
      </c>
      <c r="AQ123" s="20" t="str">
        <f t="shared" si="529"/>
        <v>F4Q12A</v>
      </c>
      <c r="AR123" s="18" t="str">
        <f t="shared" si="529"/>
        <v>F1Q13A</v>
      </c>
      <c r="AS123" s="19" t="str">
        <f t="shared" si="529"/>
        <v>F2Q13A</v>
      </c>
      <c r="AT123" s="19" t="str">
        <f t="shared" si="529"/>
        <v>F3Q13A</v>
      </c>
      <c r="AU123" s="20" t="str">
        <f t="shared" si="529"/>
        <v>F4Q13A</v>
      </c>
      <c r="AV123" s="18" t="str">
        <f t="shared" si="529"/>
        <v>F1Q14A</v>
      </c>
      <c r="AW123" s="19" t="str">
        <f t="shared" si="529"/>
        <v>F2Q14A</v>
      </c>
      <c r="AX123" s="19" t="str">
        <f t="shared" si="529"/>
        <v>F3Q14A</v>
      </c>
      <c r="AY123" s="19" t="str">
        <f t="shared" si="529"/>
        <v>F4Q14A</v>
      </c>
      <c r="AZ123" s="1163" t="str">
        <f t="shared" si="529"/>
        <v>F1Q15A</v>
      </c>
      <c r="BA123" s="449" t="str">
        <f t="shared" si="529"/>
        <v>F2Q15A</v>
      </c>
      <c r="BB123" s="19" t="str">
        <f t="shared" si="529"/>
        <v>F3Q15A</v>
      </c>
      <c r="BC123" s="1164" t="str">
        <f t="shared" si="529"/>
        <v>F4Q15A</v>
      </c>
      <c r="BD123" s="1163" t="str">
        <f t="shared" si="529"/>
        <v>F1Q16A</v>
      </c>
      <c r="BE123" s="449" t="str">
        <f t="shared" si="529"/>
        <v>F2Q16A</v>
      </c>
      <c r="BF123" s="19" t="str">
        <f t="shared" si="529"/>
        <v>F3Q16A</v>
      </c>
      <c r="BG123" s="1264" t="str">
        <f t="shared" si="529"/>
        <v>F4Q16A</v>
      </c>
      <c r="BH123" s="18" t="str">
        <f t="shared" si="529"/>
        <v>F1Q17A</v>
      </c>
      <c r="BI123" s="19" t="str">
        <f t="shared" si="529"/>
        <v>F2Q17A</v>
      </c>
      <c r="BJ123" s="19" t="str">
        <f t="shared" si="529"/>
        <v>F3Q17A</v>
      </c>
      <c r="BK123" s="20" t="str">
        <f t="shared" si="529"/>
        <v>F4Q17A</v>
      </c>
      <c r="BL123" s="1299" t="str">
        <f t="shared" si="529"/>
        <v>F1Q18E</v>
      </c>
      <c r="BM123" s="1300" t="str">
        <f t="shared" si="529"/>
        <v>F2Q18E</v>
      </c>
      <c r="BN123" s="1300" t="str">
        <f t="shared" si="529"/>
        <v>F3Q18E</v>
      </c>
      <c r="BO123" s="1301" t="str">
        <f t="shared" si="529"/>
        <v>F4Q18E</v>
      </c>
      <c r="BP123" s="1299" t="str">
        <f t="shared" ref="BP123:BS123" si="530">BP7</f>
        <v>F1Q19E</v>
      </c>
      <c r="BQ123" s="1300" t="str">
        <f t="shared" si="530"/>
        <v>F2Q19E</v>
      </c>
      <c r="BR123" s="1300" t="str">
        <f t="shared" si="530"/>
        <v>F3Q19E</v>
      </c>
      <c r="BS123" s="1301" t="str">
        <f t="shared" si="530"/>
        <v>F4Q19E</v>
      </c>
      <c r="BT123" s="1390" t="str">
        <f t="shared" ref="BT123:BW123" si="531">BT7</f>
        <v>F1Q20E</v>
      </c>
      <c r="BU123" s="1391" t="str">
        <f t="shared" si="531"/>
        <v>F2Q20E</v>
      </c>
      <c r="BV123" s="1391" t="str">
        <f t="shared" si="531"/>
        <v>F3Q20E</v>
      </c>
      <c r="BW123" s="1392" t="str">
        <f t="shared" si="531"/>
        <v>F4Q20E</v>
      </c>
      <c r="BX123" s="21"/>
      <c r="BY123" s="399" t="str">
        <f t="shared" ref="BY123:CN123" si="532">BY7</f>
        <v>FY2003A</v>
      </c>
      <c r="BZ123" s="400" t="str">
        <f t="shared" si="532"/>
        <v>FY2004A</v>
      </c>
      <c r="CA123" s="400" t="str">
        <f t="shared" si="532"/>
        <v>FY2005A</v>
      </c>
      <c r="CB123" s="400" t="str">
        <f t="shared" si="532"/>
        <v>FY2006A</v>
      </c>
      <c r="CC123" s="400" t="str">
        <f t="shared" si="532"/>
        <v>FY2007A</v>
      </c>
      <c r="CD123" s="400" t="str">
        <f t="shared" si="532"/>
        <v>FY2008A</v>
      </c>
      <c r="CE123" s="400" t="str">
        <f t="shared" si="532"/>
        <v>FY2009A</v>
      </c>
      <c r="CF123" s="400" t="str">
        <f t="shared" si="532"/>
        <v>FY2010A</v>
      </c>
      <c r="CG123" s="400" t="str">
        <f t="shared" si="532"/>
        <v>FY2011A</v>
      </c>
      <c r="CH123" s="400" t="str">
        <f t="shared" si="532"/>
        <v>FY2012A</v>
      </c>
      <c r="CI123" s="400" t="str">
        <f t="shared" si="532"/>
        <v>FY2013A</v>
      </c>
      <c r="CJ123" s="400" t="str">
        <f t="shared" si="532"/>
        <v>FY2014A</v>
      </c>
      <c r="CK123" s="400" t="str">
        <f t="shared" si="532"/>
        <v>FY2015A</v>
      </c>
      <c r="CL123" s="400" t="str">
        <f t="shared" si="532"/>
        <v>FY2016</v>
      </c>
      <c r="CM123" s="400" t="str">
        <f t="shared" si="532"/>
        <v>FY2017A</v>
      </c>
      <c r="CN123" s="1254" t="str">
        <f t="shared" si="532"/>
        <v>FY2018E</v>
      </c>
      <c r="CO123" s="1254" t="str">
        <f t="shared" ref="CO123:CP123" si="533">CO7</f>
        <v>FY2019E</v>
      </c>
      <c r="CP123" s="1256" t="str">
        <f t="shared" si="533"/>
        <v>FY2020E</v>
      </c>
      <c r="CQ123" s="1041"/>
    </row>
    <row r="124" spans="2:95" ht="14.25" customHeight="1">
      <c r="B124" s="350" t="str">
        <f t="shared" ref="B124:B129" si="534">B103</f>
        <v>Automotive</v>
      </c>
      <c r="C124" s="345"/>
      <c r="D124" s="854"/>
      <c r="E124" s="854">
        <v>0.25</v>
      </c>
      <c r="F124" s="854">
        <v>0.21</v>
      </c>
      <c r="G124" s="855">
        <v>0.2</v>
      </c>
      <c r="H124" s="854">
        <v>0.22</v>
      </c>
      <c r="I124" s="854">
        <v>0.2</v>
      </c>
      <c r="J124" s="925">
        <v>0.19</v>
      </c>
      <c r="K124" s="855">
        <v>0.19</v>
      </c>
      <c r="L124" s="854">
        <v>0.21</v>
      </c>
      <c r="M124" s="854">
        <v>0.19</v>
      </c>
      <c r="N124" s="854">
        <v>0.18</v>
      </c>
      <c r="O124" s="855">
        <v>0.17</v>
      </c>
      <c r="P124" s="852">
        <v>0.17</v>
      </c>
      <c r="Q124" s="854">
        <v>0.16</v>
      </c>
      <c r="R124" s="854">
        <v>0.15</v>
      </c>
      <c r="S124" s="855">
        <v>0.15</v>
      </c>
      <c r="T124" s="852">
        <v>0.17</v>
      </c>
      <c r="U124" s="854">
        <v>0.18</v>
      </c>
      <c r="V124" s="854">
        <v>0.16</v>
      </c>
      <c r="W124" s="855">
        <v>0.15</v>
      </c>
      <c r="X124" s="852">
        <v>0.17</v>
      </c>
      <c r="Y124" s="854">
        <v>0.21</v>
      </c>
      <c r="Z124" s="854">
        <v>0.17</v>
      </c>
      <c r="AA124" s="855">
        <v>0.16</v>
      </c>
      <c r="AB124" s="852">
        <v>0.17</v>
      </c>
      <c r="AC124" s="854">
        <v>0.17</v>
      </c>
      <c r="AD124" s="854">
        <v>0.18</v>
      </c>
      <c r="AE124" s="855">
        <v>0.19</v>
      </c>
      <c r="AF124" s="852">
        <v>0.19</v>
      </c>
      <c r="AG124" s="854">
        <v>0.2</v>
      </c>
      <c r="AH124" s="854">
        <v>0.19</v>
      </c>
      <c r="AI124" s="855">
        <v>0.22</v>
      </c>
      <c r="AJ124" s="852">
        <v>0.22</v>
      </c>
      <c r="AK124" s="854">
        <v>0.22</v>
      </c>
      <c r="AL124" s="854">
        <v>0.22</v>
      </c>
      <c r="AM124" s="855">
        <v>0.25</v>
      </c>
      <c r="AN124" s="852">
        <v>0.26</v>
      </c>
      <c r="AO124" s="854">
        <v>0.26</v>
      </c>
      <c r="AP124" s="854">
        <v>0.25</v>
      </c>
      <c r="AQ124" s="856">
        <v>0.26</v>
      </c>
      <c r="AR124" s="852">
        <v>0.28000000000000003</v>
      </c>
      <c r="AS124" s="854">
        <v>0.28000000000000003</v>
      </c>
      <c r="AT124" s="854">
        <v>0.26</v>
      </c>
      <c r="AU124" s="856">
        <v>0.27</v>
      </c>
      <c r="AV124" s="852">
        <v>0.3</v>
      </c>
      <c r="AW124" s="854">
        <v>0.28999999999999998</v>
      </c>
      <c r="AX124" s="854">
        <v>0.28999999999999998</v>
      </c>
      <c r="AY124" s="854">
        <v>0.32</v>
      </c>
      <c r="AZ124" s="1439">
        <f t="shared" ref="AZ124:BE124" si="535">AZ103/AZ$81</f>
        <v>0.33239549839228294</v>
      </c>
      <c r="BA124" s="1440">
        <f t="shared" si="535"/>
        <v>0.31834185122089725</v>
      </c>
      <c r="BB124" s="1440">
        <f t="shared" si="535"/>
        <v>0.30988719309887192</v>
      </c>
      <c r="BC124" s="1440">
        <f t="shared" si="535"/>
        <v>0.35332619302630014</v>
      </c>
      <c r="BD124" s="1439">
        <f t="shared" si="535"/>
        <v>0.39549681840430734</v>
      </c>
      <c r="BE124" s="1440">
        <f t="shared" si="535"/>
        <v>0.36411483253588517</v>
      </c>
      <c r="BF124" s="1440">
        <f t="shared" ref="BF124:BG124" si="536">BF103/BF$81</f>
        <v>0.33496687348827425</v>
      </c>
      <c r="BG124" s="1441">
        <f t="shared" si="536"/>
        <v>0.29349722442505949</v>
      </c>
      <c r="BH124" s="1439">
        <f>BH103/BH$81</f>
        <v>0.32420411985018721</v>
      </c>
      <c r="BI124" s="1440">
        <f>BI103/BI$81</f>
        <v>0.30754857997010465</v>
      </c>
      <c r="BJ124" s="1440">
        <f>BJ103/BJ$81</f>
        <v>0.29714573297864688</v>
      </c>
      <c r="BK124" s="1441">
        <f t="shared" ref="BK124" si="537">BK103/BK$81</f>
        <v>0.31745916515426498</v>
      </c>
      <c r="BL124" s="715"/>
      <c r="BM124" s="716"/>
      <c r="BN124" s="716"/>
      <c r="BO124" s="717"/>
      <c r="BP124" s="715"/>
      <c r="BQ124" s="716"/>
      <c r="BR124" s="716"/>
      <c r="BS124" s="717"/>
      <c r="BT124" s="715"/>
      <c r="BU124" s="716"/>
      <c r="BV124" s="716"/>
      <c r="BW124" s="717"/>
      <c r="BX124" s="346"/>
      <c r="BY124" s="338"/>
      <c r="BZ124" s="338">
        <f t="shared" ref="BZ124:CH124" si="538">BZ103/BZ$159</f>
        <v>0.19993053911121633</v>
      </c>
      <c r="CA124" s="338">
        <f t="shared" si="538"/>
        <v>0.18688719657306047</v>
      </c>
      <c r="CB124" s="338">
        <f t="shared" si="538"/>
        <v>0.15681094137615881</v>
      </c>
      <c r="CC124" s="220">
        <f t="shared" si="538"/>
        <v>0.16465266249521138</v>
      </c>
      <c r="CD124" s="220">
        <f t="shared" si="538"/>
        <v>0.17857553046525212</v>
      </c>
      <c r="CE124" s="220">
        <f t="shared" si="538"/>
        <v>0.17829385493809713</v>
      </c>
      <c r="CF124" s="220">
        <f t="shared" si="538"/>
        <v>0.20003241981499092</v>
      </c>
      <c r="CG124" s="358">
        <f t="shared" si="538"/>
        <v>0.22669232780408446</v>
      </c>
      <c r="CH124" s="358">
        <f t="shared" si="538"/>
        <v>0.2574938685274103</v>
      </c>
      <c r="CI124" s="358">
        <f t="shared" ref="CI124:CI129" si="539">CI103/CI$159</f>
        <v>0.27227800337801417</v>
      </c>
      <c r="CJ124" s="338"/>
      <c r="CK124" s="338"/>
      <c r="CL124" s="338"/>
      <c r="CM124" s="338"/>
      <c r="CN124" s="338"/>
      <c r="CO124" s="338"/>
      <c r="CP124" s="337"/>
      <c r="CQ124" s="1041"/>
    </row>
    <row r="125" spans="2:95" ht="14.25" customHeight="1">
      <c r="B125" s="354" t="str">
        <f t="shared" si="534"/>
        <v>Communications</v>
      </c>
      <c r="C125" s="303"/>
      <c r="D125" s="355"/>
      <c r="E125" s="356"/>
      <c r="F125" s="356"/>
      <c r="G125" s="357"/>
      <c r="H125" s="355"/>
      <c r="I125" s="356"/>
      <c r="J125" s="418"/>
      <c r="K125" s="357"/>
      <c r="L125" s="355"/>
      <c r="M125" s="356"/>
      <c r="N125" s="356"/>
      <c r="O125" s="357"/>
      <c r="P125" s="355"/>
      <c r="Q125" s="356"/>
      <c r="R125" s="356"/>
      <c r="S125" s="357"/>
      <c r="T125" s="355"/>
      <c r="U125" s="356"/>
      <c r="V125" s="356"/>
      <c r="W125" s="357"/>
      <c r="X125" s="853"/>
      <c r="Y125" s="857">
        <v>0.19</v>
      </c>
      <c r="Z125" s="857">
        <v>0.21</v>
      </c>
      <c r="AA125" s="858">
        <v>0.2</v>
      </c>
      <c r="AB125" s="853">
        <v>0.2</v>
      </c>
      <c r="AC125" s="857">
        <v>0.2</v>
      </c>
      <c r="AD125" s="857">
        <v>0.17</v>
      </c>
      <c r="AE125" s="858">
        <v>0.15</v>
      </c>
      <c r="AF125" s="853">
        <v>0.16</v>
      </c>
      <c r="AG125" s="857">
        <v>0.15</v>
      </c>
      <c r="AH125" s="857">
        <v>0.17</v>
      </c>
      <c r="AI125" s="858">
        <v>0.16</v>
      </c>
      <c r="AJ125" s="853">
        <v>0.14000000000000001</v>
      </c>
      <c r="AK125" s="857">
        <v>0.14000000000000001</v>
      </c>
      <c r="AL125" s="857">
        <v>0.14000000000000001</v>
      </c>
      <c r="AM125" s="858">
        <v>0.14000000000000001</v>
      </c>
      <c r="AN125" s="853">
        <v>0.16</v>
      </c>
      <c r="AO125" s="857">
        <v>0.16</v>
      </c>
      <c r="AP125" s="857">
        <v>0.17</v>
      </c>
      <c r="AQ125" s="859">
        <v>0.17</v>
      </c>
      <c r="AR125" s="853">
        <v>0.16</v>
      </c>
      <c r="AS125" s="857">
        <v>0.17</v>
      </c>
      <c r="AT125" s="857">
        <v>0.18</v>
      </c>
      <c r="AU125" s="859">
        <v>0.18</v>
      </c>
      <c r="AV125" s="853">
        <v>0.17</v>
      </c>
      <c r="AW125" s="857">
        <v>0.17</v>
      </c>
      <c r="AX125" s="857">
        <v>0.19</v>
      </c>
      <c r="AY125" s="857">
        <v>0.18</v>
      </c>
      <c r="AZ125" s="1442">
        <f t="shared" ref="AZ125:BE128" si="540">AZ104/AZ$81</f>
        <v>0.16111621497473588</v>
      </c>
      <c r="BA125" s="358">
        <f t="shared" si="540"/>
        <v>0.18648495173197047</v>
      </c>
      <c r="BB125" s="358">
        <f t="shared" si="540"/>
        <v>0.18579960185799602</v>
      </c>
      <c r="BC125" s="358">
        <f t="shared" si="540"/>
        <v>0.18671902891824349</v>
      </c>
      <c r="BD125" s="1442">
        <f t="shared" si="540"/>
        <v>0.17205090553108174</v>
      </c>
      <c r="BE125" s="358">
        <f t="shared" si="540"/>
        <v>0.17762588288904077</v>
      </c>
      <c r="BF125" s="358">
        <f t="shared" ref="BF125:BG125" si="541">BF104/BF$81</f>
        <v>0.20235566305605215</v>
      </c>
      <c r="BG125" s="621">
        <f t="shared" si="541"/>
        <v>0.22268041237113403</v>
      </c>
      <c r="BH125" s="1442">
        <f t="shared" ref="BH125:BI125" si="542">BH104/BH$81</f>
        <v>0.19280586766541821</v>
      </c>
      <c r="BI125" s="358">
        <f t="shared" si="542"/>
        <v>0.19424514200298951</v>
      </c>
      <c r="BJ125" s="358">
        <f t="shared" ref="BJ125:BK125" si="543">BJ104/BJ$81</f>
        <v>0.20461571644259113</v>
      </c>
      <c r="BK125" s="621">
        <f t="shared" si="543"/>
        <v>0.19491833030852995</v>
      </c>
      <c r="BL125" s="718"/>
      <c r="BM125" s="719"/>
      <c r="BN125" s="719"/>
      <c r="BO125" s="720"/>
      <c r="BP125" s="718"/>
      <c r="BQ125" s="719"/>
      <c r="BR125" s="719"/>
      <c r="BS125" s="720"/>
      <c r="BT125" s="718"/>
      <c r="BU125" s="719"/>
      <c r="BV125" s="719"/>
      <c r="BW125" s="720"/>
      <c r="BX125" s="346"/>
      <c r="BY125" s="338"/>
      <c r="BZ125" s="338">
        <f t="shared" ref="BZ125:CH125" si="544">BZ104/BZ$159</f>
        <v>0</v>
      </c>
      <c r="CA125" s="338">
        <f t="shared" si="544"/>
        <v>0</v>
      </c>
      <c r="CB125" s="338">
        <f t="shared" si="544"/>
        <v>0</v>
      </c>
      <c r="CC125" s="220">
        <f t="shared" si="544"/>
        <v>0</v>
      </c>
      <c r="CD125" s="220">
        <f t="shared" si="544"/>
        <v>0.15902666926221534</v>
      </c>
      <c r="CE125" s="220">
        <f t="shared" si="544"/>
        <v>0.17792865622703377</v>
      </c>
      <c r="CF125" s="220">
        <f t="shared" si="544"/>
        <v>0.16007521397077895</v>
      </c>
      <c r="CG125" s="358">
        <f t="shared" si="544"/>
        <v>0.14000000000000001</v>
      </c>
      <c r="CH125" s="358">
        <f t="shared" si="544"/>
        <v>0.16485578085598812</v>
      </c>
      <c r="CI125" s="358">
        <f t="shared" si="539"/>
        <v>0.17277572142164088</v>
      </c>
      <c r="CJ125" s="338"/>
      <c r="CK125" s="338"/>
      <c r="CL125" s="338"/>
      <c r="CM125" s="338"/>
      <c r="CN125" s="338"/>
      <c r="CO125" s="338"/>
      <c r="CP125" s="337"/>
      <c r="CQ125" s="1041"/>
    </row>
    <row r="126" spans="2:95" ht="14.25" customHeight="1">
      <c r="B126" s="354" t="str">
        <f t="shared" si="534"/>
        <v>Consumer</v>
      </c>
      <c r="C126" s="303"/>
      <c r="D126" s="853"/>
      <c r="E126" s="857">
        <v>0.18</v>
      </c>
      <c r="F126" s="857">
        <v>0.17</v>
      </c>
      <c r="G126" s="858">
        <v>0.18</v>
      </c>
      <c r="H126" s="853">
        <v>0.18</v>
      </c>
      <c r="I126" s="857">
        <v>0.18</v>
      </c>
      <c r="J126" s="420">
        <v>0.19</v>
      </c>
      <c r="K126" s="858">
        <v>0.18</v>
      </c>
      <c r="L126" s="853">
        <v>0.19</v>
      </c>
      <c r="M126" s="857">
        <v>0.18</v>
      </c>
      <c r="N126" s="857">
        <v>0.19</v>
      </c>
      <c r="O126" s="858">
        <v>0.24</v>
      </c>
      <c r="P126" s="853">
        <v>0.24</v>
      </c>
      <c r="Q126" s="857">
        <v>0.24</v>
      </c>
      <c r="R126" s="857">
        <v>0.25</v>
      </c>
      <c r="S126" s="858">
        <v>0.21</v>
      </c>
      <c r="T126" s="853">
        <v>0.21</v>
      </c>
      <c r="U126" s="857">
        <v>0.19</v>
      </c>
      <c r="V126" s="857">
        <v>0.24</v>
      </c>
      <c r="W126" s="858">
        <v>0.24</v>
      </c>
      <c r="X126" s="853">
        <v>0.2</v>
      </c>
      <c r="Y126" s="857">
        <v>0.15</v>
      </c>
      <c r="Z126" s="857">
        <v>0.18</v>
      </c>
      <c r="AA126" s="858">
        <v>0.16</v>
      </c>
      <c r="AB126" s="853">
        <v>0.14000000000000001</v>
      </c>
      <c r="AC126" s="857">
        <v>0.15</v>
      </c>
      <c r="AD126" s="857">
        <v>0.17</v>
      </c>
      <c r="AE126" s="858">
        <v>0.18</v>
      </c>
      <c r="AF126" s="853">
        <v>0.16</v>
      </c>
      <c r="AG126" s="857">
        <v>0.17</v>
      </c>
      <c r="AH126" s="857">
        <v>0.18</v>
      </c>
      <c r="AI126" s="858">
        <v>0.16</v>
      </c>
      <c r="AJ126" s="853">
        <v>0.27</v>
      </c>
      <c r="AK126" s="857">
        <v>0.26</v>
      </c>
      <c r="AL126" s="857">
        <v>0.27</v>
      </c>
      <c r="AM126" s="858">
        <v>0.23</v>
      </c>
      <c r="AN126" s="853">
        <v>0.22</v>
      </c>
      <c r="AO126" s="857">
        <v>0.22</v>
      </c>
      <c r="AP126" s="857">
        <v>0.23</v>
      </c>
      <c r="AQ126" s="859">
        <v>0.2</v>
      </c>
      <c r="AR126" s="853">
        <v>0.2</v>
      </c>
      <c r="AS126" s="857">
        <v>0.19</v>
      </c>
      <c r="AT126" s="857">
        <v>0.2</v>
      </c>
      <c r="AU126" s="859">
        <v>0.2</v>
      </c>
      <c r="AV126" s="853">
        <v>0.17</v>
      </c>
      <c r="AW126" s="857">
        <v>0.18</v>
      </c>
      <c r="AX126" s="857">
        <v>0.16</v>
      </c>
      <c r="AY126" s="857">
        <v>0.15</v>
      </c>
      <c r="AZ126" s="1442">
        <f t="shared" si="540"/>
        <v>0.12011943040881948</v>
      </c>
      <c r="BA126" s="358">
        <f t="shared" si="540"/>
        <v>0.11470755252697332</v>
      </c>
      <c r="BB126" s="358">
        <f t="shared" si="540"/>
        <v>0.12176509621765096</v>
      </c>
      <c r="BC126" s="358">
        <f t="shared" si="540"/>
        <v>0.11400690229679876</v>
      </c>
      <c r="BD126" s="1442">
        <f t="shared" si="540"/>
        <v>0.10511502692119433</v>
      </c>
      <c r="BE126" s="358">
        <f t="shared" si="540"/>
        <v>0.10596946912736387</v>
      </c>
      <c r="BF126" s="358">
        <f t="shared" ref="BF126:BG126" si="545">BF105/BF$81</f>
        <v>0.11864549374277</v>
      </c>
      <c r="BG126" s="621">
        <f t="shared" si="545"/>
        <v>0.13830293417922285</v>
      </c>
      <c r="BH126" s="1442">
        <f t="shared" ref="BH126:BI126" si="546">BH105/BH$81</f>
        <v>0.13241260923845191</v>
      </c>
      <c r="BI126" s="358">
        <f t="shared" si="546"/>
        <v>0.13819133034379671</v>
      </c>
      <c r="BJ126" s="358">
        <f t="shared" ref="BJ126:BK126" si="547">BJ105/BJ$81</f>
        <v>0.13710547127759004</v>
      </c>
      <c r="BK126" s="621">
        <f t="shared" si="547"/>
        <v>0.12733212341197822</v>
      </c>
      <c r="BL126" s="718"/>
      <c r="BM126" s="719"/>
      <c r="BN126" s="719"/>
      <c r="BO126" s="720"/>
      <c r="BP126" s="718"/>
      <c r="BQ126" s="719"/>
      <c r="BR126" s="719"/>
      <c r="BS126" s="720"/>
      <c r="BT126" s="718"/>
      <c r="BU126" s="719"/>
      <c r="BV126" s="719"/>
      <c r="BW126" s="720"/>
      <c r="BX126" s="346"/>
      <c r="BY126" s="338"/>
      <c r="BZ126" s="338">
        <f t="shared" ref="BZ126:CH126" si="548">BZ105/BZ$159</f>
        <v>0.18251322124871733</v>
      </c>
      <c r="CA126" s="338">
        <f t="shared" si="548"/>
        <v>0.20115500555291127</v>
      </c>
      <c r="CB126" s="338">
        <f t="shared" si="548"/>
        <v>0.23488249118683907</v>
      </c>
      <c r="CC126" s="220">
        <f t="shared" si="548"/>
        <v>0.22066275060656368</v>
      </c>
      <c r="CD126" s="220">
        <f t="shared" si="548"/>
        <v>0.1711344169748881</v>
      </c>
      <c r="CE126" s="220">
        <f t="shared" si="548"/>
        <v>0.16163434903047091</v>
      </c>
      <c r="CF126" s="220">
        <f t="shared" si="548"/>
        <v>0.16771461917523992</v>
      </c>
      <c r="CG126" s="358">
        <f t="shared" si="548"/>
        <v>0.25844551607936556</v>
      </c>
      <c r="CH126" s="358">
        <f t="shared" si="548"/>
        <v>0.21780683270579299</v>
      </c>
      <c r="CI126" s="358">
        <f t="shared" si="539"/>
        <v>0.19752650303661914</v>
      </c>
      <c r="CJ126" s="338"/>
      <c r="CK126" s="338"/>
      <c r="CL126" s="338"/>
      <c r="CM126" s="338"/>
      <c r="CN126" s="338"/>
      <c r="CO126" s="338"/>
      <c r="CP126" s="337"/>
      <c r="CQ126" s="1041"/>
    </row>
    <row r="127" spans="2:95" ht="14.25" customHeight="1">
      <c r="B127" s="354" t="str">
        <f t="shared" si="534"/>
        <v>Industrial/Medical/Mil-Aero</v>
      </c>
      <c r="C127" s="303"/>
      <c r="D127" s="853"/>
      <c r="E127" s="857">
        <v>0.16</v>
      </c>
      <c r="F127" s="857">
        <v>0.15</v>
      </c>
      <c r="G127" s="858">
        <v>0.16</v>
      </c>
      <c r="H127" s="853">
        <v>0.17</v>
      </c>
      <c r="I127" s="857">
        <v>0.17</v>
      </c>
      <c r="J127" s="420">
        <v>0.14000000000000001</v>
      </c>
      <c r="K127" s="858">
        <v>0.13</v>
      </c>
      <c r="L127" s="853">
        <v>0.15</v>
      </c>
      <c r="M127" s="857">
        <v>0.14000000000000001</v>
      </c>
      <c r="N127" s="857">
        <v>0.14000000000000001</v>
      </c>
      <c r="O127" s="858">
        <v>0.12</v>
      </c>
      <c r="P127" s="853">
        <v>0.12</v>
      </c>
      <c r="Q127" s="857">
        <v>0.14000000000000001</v>
      </c>
      <c r="R127" s="857">
        <v>0.12</v>
      </c>
      <c r="S127" s="858">
        <v>0.13</v>
      </c>
      <c r="T127" s="853">
        <v>0.14000000000000001</v>
      </c>
      <c r="U127" s="857">
        <v>7.0000000000000007E-2</v>
      </c>
      <c r="V127" s="857">
        <v>0.11</v>
      </c>
      <c r="W127" s="858">
        <v>0.11</v>
      </c>
      <c r="X127" s="853">
        <v>0.12</v>
      </c>
      <c r="Y127" s="857">
        <v>0.18</v>
      </c>
      <c r="Z127" s="857">
        <v>0.17</v>
      </c>
      <c r="AA127" s="858">
        <v>0.19</v>
      </c>
      <c r="AB127" s="853">
        <v>0.2</v>
      </c>
      <c r="AC127" s="857">
        <v>0.18</v>
      </c>
      <c r="AD127" s="857">
        <v>0.17</v>
      </c>
      <c r="AE127" s="858">
        <v>0.18</v>
      </c>
      <c r="AF127" s="853">
        <v>0.19</v>
      </c>
      <c r="AG127" s="857">
        <v>0.19</v>
      </c>
      <c r="AH127" s="857">
        <v>0.18</v>
      </c>
      <c r="AI127" s="858">
        <v>0.19</v>
      </c>
      <c r="AJ127" s="853">
        <v>0.18</v>
      </c>
      <c r="AK127" s="857">
        <v>0.19</v>
      </c>
      <c r="AL127" s="857">
        <v>0.18</v>
      </c>
      <c r="AM127" s="858">
        <v>0.2</v>
      </c>
      <c r="AN127" s="853">
        <v>0.19</v>
      </c>
      <c r="AO127" s="857">
        <v>0.19</v>
      </c>
      <c r="AP127" s="857">
        <v>0.18</v>
      </c>
      <c r="AQ127" s="859">
        <v>0.2</v>
      </c>
      <c r="AR127" s="853">
        <v>0.2</v>
      </c>
      <c r="AS127" s="857">
        <v>0.2</v>
      </c>
      <c r="AT127" s="857">
        <v>0.2</v>
      </c>
      <c r="AU127" s="859">
        <v>0.2</v>
      </c>
      <c r="AV127" s="853">
        <v>0.21</v>
      </c>
      <c r="AW127" s="857">
        <v>0.22</v>
      </c>
      <c r="AX127" s="857">
        <v>0.22</v>
      </c>
      <c r="AY127" s="857">
        <v>0.24</v>
      </c>
      <c r="AZ127" s="1442">
        <f t="shared" si="540"/>
        <v>0.24305236564079011</v>
      </c>
      <c r="BA127" s="358">
        <f t="shared" si="540"/>
        <v>0.23884156729131176</v>
      </c>
      <c r="BB127" s="358">
        <f t="shared" si="540"/>
        <v>0.23357664233576639</v>
      </c>
      <c r="BC127" s="358">
        <f t="shared" si="540"/>
        <v>0.22658574318695707</v>
      </c>
      <c r="BD127" s="1442">
        <f t="shared" si="540"/>
        <v>0.21769456681350954</v>
      </c>
      <c r="BE127" s="358">
        <f t="shared" si="540"/>
        <v>0.22854864433811803</v>
      </c>
      <c r="BF127" s="358">
        <f t="shared" ref="BF127:BG127" si="549">BF106/BF$81</f>
        <v>0.22244189715006837</v>
      </c>
      <c r="BG127" s="621">
        <f t="shared" si="549"/>
        <v>0.24195083267248219</v>
      </c>
      <c r="BH127" s="1442">
        <f t="shared" ref="BH127:BI127" si="550">BH106/BH$81</f>
        <v>0.2521067415730337</v>
      </c>
      <c r="BI127" s="358">
        <f t="shared" si="550"/>
        <v>0.26225710014947684</v>
      </c>
      <c r="BJ127" s="358">
        <f t="shared" ref="BJ127:BK127" si="551">BJ106/BJ$81</f>
        <v>0.25328923718455676</v>
      </c>
      <c r="BK127" s="621">
        <f t="shared" si="551"/>
        <v>0.25952813067150637</v>
      </c>
      <c r="BL127" s="718"/>
      <c r="BM127" s="719"/>
      <c r="BN127" s="719"/>
      <c r="BO127" s="720"/>
      <c r="BP127" s="718"/>
      <c r="BQ127" s="719"/>
      <c r="BR127" s="719"/>
      <c r="BS127" s="720"/>
      <c r="BT127" s="718"/>
      <c r="BU127" s="719"/>
      <c r="BV127" s="719"/>
      <c r="BW127" s="720"/>
      <c r="BX127" s="346"/>
      <c r="BY127" s="338"/>
      <c r="BZ127" s="338">
        <f t="shared" ref="BZ127:CH127" si="552">BZ106/BZ$159</f>
        <v>0.15277369958165599</v>
      </c>
      <c r="CA127" s="338">
        <f t="shared" si="552"/>
        <v>0.13697604315405359</v>
      </c>
      <c r="CB127" s="338">
        <f t="shared" si="552"/>
        <v>0.12752186969578275</v>
      </c>
      <c r="CC127" s="220">
        <f t="shared" si="552"/>
        <v>0.1074320010215809</v>
      </c>
      <c r="CD127" s="220">
        <f t="shared" si="552"/>
        <v>0.16722892738952699</v>
      </c>
      <c r="CE127" s="220">
        <f t="shared" si="552"/>
        <v>0.18161286675334953</v>
      </c>
      <c r="CF127" s="220">
        <f t="shared" si="552"/>
        <v>0.18740338895132705</v>
      </c>
      <c r="CG127" s="358">
        <f t="shared" si="552"/>
        <v>0.18709293205124478</v>
      </c>
      <c r="CH127" s="358">
        <f t="shared" si="552"/>
        <v>0.18984351791080867</v>
      </c>
      <c r="CI127" s="358">
        <f t="shared" si="539"/>
        <v>0.20000000000000004</v>
      </c>
      <c r="CJ127" s="338"/>
      <c r="CK127" s="338"/>
      <c r="CL127" s="338"/>
      <c r="CM127" s="338"/>
      <c r="CN127" s="338"/>
      <c r="CO127" s="338"/>
      <c r="CP127" s="337"/>
      <c r="CQ127" s="1041"/>
    </row>
    <row r="128" spans="2:95" ht="14.25" customHeight="1">
      <c r="B128" s="354" t="str">
        <f t="shared" si="534"/>
        <v>Computing</v>
      </c>
      <c r="C128" s="303"/>
      <c r="D128" s="853"/>
      <c r="E128" s="857">
        <v>0.23</v>
      </c>
      <c r="F128" s="857">
        <v>0.26</v>
      </c>
      <c r="G128" s="858">
        <v>0.25</v>
      </c>
      <c r="H128" s="853">
        <v>0.2</v>
      </c>
      <c r="I128" s="857">
        <v>0.23</v>
      </c>
      <c r="J128" s="420">
        <v>0.25</v>
      </c>
      <c r="K128" s="858">
        <v>0.28000000000000003</v>
      </c>
      <c r="L128" s="853">
        <v>0.24</v>
      </c>
      <c r="M128" s="857">
        <v>0.24</v>
      </c>
      <c r="N128" s="857">
        <v>0.23</v>
      </c>
      <c r="O128" s="858">
        <v>0.21</v>
      </c>
      <c r="P128" s="853">
        <v>0.21</v>
      </c>
      <c r="Q128" s="857">
        <v>0.21</v>
      </c>
      <c r="R128" s="857">
        <v>0.23</v>
      </c>
      <c r="S128" s="858">
        <v>0.24</v>
      </c>
      <c r="T128" s="853">
        <v>0.22</v>
      </c>
      <c r="U128" s="857">
        <v>0.24</v>
      </c>
      <c r="V128" s="857">
        <v>0.25</v>
      </c>
      <c r="W128" s="858">
        <v>0.27</v>
      </c>
      <c r="X128" s="853">
        <v>0.28999999999999998</v>
      </c>
      <c r="Y128" s="857">
        <v>0.23</v>
      </c>
      <c r="Z128" s="857">
        <v>0.23</v>
      </c>
      <c r="AA128" s="858">
        <v>0.23</v>
      </c>
      <c r="AB128" s="853">
        <v>0.24</v>
      </c>
      <c r="AC128" s="857">
        <v>0.27</v>
      </c>
      <c r="AD128" s="857">
        <v>0.27</v>
      </c>
      <c r="AE128" s="858">
        <v>0.26</v>
      </c>
      <c r="AF128" s="853">
        <v>0.26</v>
      </c>
      <c r="AG128" s="857">
        <v>0.26</v>
      </c>
      <c r="AH128" s="857">
        <v>0.25</v>
      </c>
      <c r="AI128" s="858">
        <v>0.23</v>
      </c>
      <c r="AJ128" s="853">
        <v>0.19</v>
      </c>
      <c r="AK128" s="857">
        <v>0.19</v>
      </c>
      <c r="AL128" s="857">
        <v>0.19</v>
      </c>
      <c r="AM128" s="858">
        <v>0.18</v>
      </c>
      <c r="AN128" s="853">
        <v>0.17</v>
      </c>
      <c r="AO128" s="857">
        <v>0.17</v>
      </c>
      <c r="AP128" s="857">
        <v>0.17</v>
      </c>
      <c r="AQ128" s="859">
        <v>0.17</v>
      </c>
      <c r="AR128" s="853">
        <v>0.16</v>
      </c>
      <c r="AS128" s="857">
        <v>0.16</v>
      </c>
      <c r="AT128" s="857">
        <v>0.16</v>
      </c>
      <c r="AU128" s="859">
        <v>0.15</v>
      </c>
      <c r="AV128" s="853">
        <v>0.15</v>
      </c>
      <c r="AW128" s="857">
        <v>0.14000000000000001</v>
      </c>
      <c r="AX128" s="857">
        <v>0.14000000000000001</v>
      </c>
      <c r="AY128" s="857">
        <v>0.11</v>
      </c>
      <c r="AZ128" s="1442">
        <f t="shared" si="540"/>
        <v>0.14331649058337162</v>
      </c>
      <c r="BA128" s="358">
        <f t="shared" si="540"/>
        <v>0.14162407722884726</v>
      </c>
      <c r="BB128" s="358">
        <f t="shared" si="540"/>
        <v>0.14919265649192656</v>
      </c>
      <c r="BC128" s="358">
        <f t="shared" si="540"/>
        <v>0.11936213257170059</v>
      </c>
      <c r="BD128" s="1442">
        <f t="shared" si="540"/>
        <v>0.10964268232990698</v>
      </c>
      <c r="BE128" s="358">
        <f t="shared" si="540"/>
        <v>0.12374117110959218</v>
      </c>
      <c r="BF128" s="358">
        <f t="shared" ref="BF128:BG128" si="553">BF107/BF$81</f>
        <v>0.12159007256283522</v>
      </c>
      <c r="BG128" s="621">
        <f t="shared" si="553"/>
        <v>0.1035685963521015</v>
      </c>
      <c r="BH128" s="1442">
        <f t="shared" ref="BH128:BI128" si="554">BH107/BH$81</f>
        <v>9.8470661672908855E-2</v>
      </c>
      <c r="BI128" s="358">
        <f t="shared" si="554"/>
        <v>9.77578475336323E-2</v>
      </c>
      <c r="BJ128" s="358">
        <f t="shared" ref="BJ128:BK128" si="555">BJ107/BJ$81</f>
        <v>0.10791573801135954</v>
      </c>
      <c r="BK128" s="621">
        <f t="shared" si="555"/>
        <v>0.10076225045372052</v>
      </c>
      <c r="BL128" s="718"/>
      <c r="BM128" s="719"/>
      <c r="BN128" s="719"/>
      <c r="BO128" s="720"/>
      <c r="BP128" s="718"/>
      <c r="BQ128" s="719"/>
      <c r="BR128" s="719"/>
      <c r="BS128" s="720"/>
      <c r="BT128" s="718"/>
      <c r="BU128" s="719"/>
      <c r="BV128" s="719"/>
      <c r="BW128" s="720"/>
      <c r="BX128" s="346"/>
      <c r="BY128" s="338"/>
      <c r="BZ128" s="338">
        <f t="shared" ref="BZ128:CH128" si="556">BZ107/BZ$159</f>
        <v>0.23983660904570209</v>
      </c>
      <c r="CA128" s="338">
        <f t="shared" si="556"/>
        <v>0.22937807393304774</v>
      </c>
      <c r="CB128" s="338">
        <f t="shared" si="556"/>
        <v>0.22336075205640427</v>
      </c>
      <c r="CC128" s="220">
        <f t="shared" si="556"/>
        <v>0.24560720214531992</v>
      </c>
      <c r="CD128" s="220">
        <f t="shared" si="556"/>
        <v>0.24231944714814097</v>
      </c>
      <c r="CE128" s="220">
        <f t="shared" si="556"/>
        <v>0.26076035954548021</v>
      </c>
      <c r="CF128" s="220">
        <f t="shared" si="556"/>
        <v>0.24989236621423017</v>
      </c>
      <c r="CG128" s="358">
        <f t="shared" si="556"/>
        <v>0.18776922406530513</v>
      </c>
      <c r="CH128" s="358">
        <f t="shared" si="556"/>
        <v>0.17000000000000004</v>
      </c>
      <c r="CI128" s="358">
        <f t="shared" si="539"/>
        <v>0.15741977216372588</v>
      </c>
      <c r="CJ128" s="338"/>
      <c r="CK128" s="338"/>
      <c r="CL128" s="338"/>
      <c r="CM128" s="338"/>
      <c r="CN128" s="338"/>
      <c r="CO128" s="338"/>
      <c r="CP128" s="337"/>
      <c r="CQ128" s="1041"/>
    </row>
    <row r="129" spans="2:95" ht="14.25" customHeight="1">
      <c r="B129" s="354" t="str">
        <f t="shared" si="534"/>
        <v>Other</v>
      </c>
      <c r="C129" s="303"/>
      <c r="D129" s="355"/>
      <c r="E129" s="857">
        <f>0.1+0.08</f>
        <v>0.18</v>
      </c>
      <c r="F129" s="857">
        <f>0.14+0.07</f>
        <v>0.21000000000000002</v>
      </c>
      <c r="G129" s="858">
        <f>0.14+0.07</f>
        <v>0.21000000000000002</v>
      </c>
      <c r="H129" s="853">
        <f>0.14+0.09</f>
        <v>0.23</v>
      </c>
      <c r="I129" s="857">
        <f>0.15+0.07</f>
        <v>0.22</v>
      </c>
      <c r="J129" s="420">
        <f>0.17+0.06</f>
        <v>0.23</v>
      </c>
      <c r="K129" s="858">
        <f>0.17+0.05</f>
        <v>0.22000000000000003</v>
      </c>
      <c r="L129" s="853">
        <f>0.14+0.07</f>
        <v>0.21000000000000002</v>
      </c>
      <c r="M129" s="857">
        <f>0.18+0.07</f>
        <v>0.25</v>
      </c>
      <c r="N129" s="857">
        <f>0.19+0.07</f>
        <v>0.26</v>
      </c>
      <c r="O129" s="858">
        <f>0.19+0.07</f>
        <v>0.26</v>
      </c>
      <c r="P129" s="853">
        <f>0.19+0.07</f>
        <v>0.26</v>
      </c>
      <c r="Q129" s="857">
        <f>0.17+0.08</f>
        <v>0.25</v>
      </c>
      <c r="R129" s="857">
        <f>0.18+0.07</f>
        <v>0.25</v>
      </c>
      <c r="S129" s="858">
        <f>0.21+0.06</f>
        <v>0.27</v>
      </c>
      <c r="T129" s="853">
        <f>0.19+0.07</f>
        <v>0.26</v>
      </c>
      <c r="U129" s="857">
        <f>18%+0.14</f>
        <v>0.32</v>
      </c>
      <c r="V129" s="857">
        <f>0.18+0.06</f>
        <v>0.24</v>
      </c>
      <c r="W129" s="858">
        <f>0.17+0.06</f>
        <v>0.23</v>
      </c>
      <c r="X129" s="853">
        <f>15%+7%</f>
        <v>0.22</v>
      </c>
      <c r="Y129" s="857">
        <v>0.04</v>
      </c>
      <c r="Z129" s="857">
        <v>0.04</v>
      </c>
      <c r="AA129" s="858">
        <v>0.06</v>
      </c>
      <c r="AB129" s="853">
        <v>0.05</v>
      </c>
      <c r="AC129" s="857">
        <v>0.03</v>
      </c>
      <c r="AD129" s="857">
        <v>0.04</v>
      </c>
      <c r="AE129" s="858">
        <v>0.04</v>
      </c>
      <c r="AF129" s="853">
        <v>0.04</v>
      </c>
      <c r="AG129" s="857">
        <v>0.03</v>
      </c>
      <c r="AH129" s="857">
        <v>0.03</v>
      </c>
      <c r="AI129" s="858">
        <v>0.04</v>
      </c>
      <c r="AJ129" s="853">
        <v>0</v>
      </c>
      <c r="AK129" s="857">
        <v>0</v>
      </c>
      <c r="AL129" s="857">
        <v>0</v>
      </c>
      <c r="AM129" s="858">
        <v>0</v>
      </c>
      <c r="AN129" s="853">
        <v>0</v>
      </c>
      <c r="AO129" s="857">
        <v>0</v>
      </c>
      <c r="AP129" s="857">
        <v>0</v>
      </c>
      <c r="AQ129" s="859">
        <v>0</v>
      </c>
      <c r="AR129" s="853">
        <v>0</v>
      </c>
      <c r="AS129" s="857">
        <v>0</v>
      </c>
      <c r="AT129" s="857">
        <v>0</v>
      </c>
      <c r="AU129" s="859">
        <v>0</v>
      </c>
      <c r="AV129" s="853">
        <v>0</v>
      </c>
      <c r="AW129" s="857">
        <v>0</v>
      </c>
      <c r="AX129" s="857">
        <v>0</v>
      </c>
      <c r="AY129" s="857">
        <v>0</v>
      </c>
      <c r="AZ129" s="1443">
        <v>0</v>
      </c>
      <c r="BA129" s="1444">
        <v>0</v>
      </c>
      <c r="BB129" s="358">
        <v>0</v>
      </c>
      <c r="BC129" s="358">
        <v>0</v>
      </c>
      <c r="BD129" s="1443">
        <v>0</v>
      </c>
      <c r="BE129" s="1444">
        <v>0</v>
      </c>
      <c r="BF129" s="1444">
        <v>0</v>
      </c>
      <c r="BG129" s="621">
        <v>0</v>
      </c>
      <c r="BH129" s="1443">
        <v>0</v>
      </c>
      <c r="BI129" s="1444">
        <v>0</v>
      </c>
      <c r="BJ129" s="1444">
        <v>0</v>
      </c>
      <c r="BK129" s="621">
        <v>0</v>
      </c>
      <c r="BL129" s="718"/>
      <c r="BM129" s="719"/>
      <c r="BN129" s="719"/>
      <c r="BO129" s="720"/>
      <c r="BP129" s="718"/>
      <c r="BQ129" s="719"/>
      <c r="BR129" s="719"/>
      <c r="BS129" s="720"/>
      <c r="BT129" s="718"/>
      <c r="BU129" s="719"/>
      <c r="BV129" s="719"/>
      <c r="BW129" s="720"/>
      <c r="BX129" s="346"/>
      <c r="BY129" s="338"/>
      <c r="BZ129" s="338">
        <f t="shared" ref="BZ129:CH129" si="557">BZ108/BZ$159</f>
        <v>0.22494593101270821</v>
      </c>
      <c r="CA129" s="338">
        <f t="shared" si="557"/>
        <v>0.24560368078692685</v>
      </c>
      <c r="CB129" s="338">
        <f t="shared" si="557"/>
        <v>0.2574239456848153</v>
      </c>
      <c r="CC129" s="220">
        <f t="shared" si="557"/>
        <v>0.26164538373132423</v>
      </c>
      <c r="CD129" s="220">
        <f t="shared" si="557"/>
        <v>8.1715008759976643E-2</v>
      </c>
      <c r="CE129" s="220">
        <f t="shared" si="557"/>
        <v>3.9769913505568431E-2</v>
      </c>
      <c r="CF129" s="220">
        <f t="shared" si="557"/>
        <v>3.4881991873433049E-2</v>
      </c>
      <c r="CG129" s="358">
        <f t="shared" si="557"/>
        <v>0</v>
      </c>
      <c r="CH129" s="358">
        <f t="shared" si="557"/>
        <v>0</v>
      </c>
      <c r="CI129" s="358">
        <f t="shared" si="539"/>
        <v>0</v>
      </c>
      <c r="CJ129" s="338"/>
      <c r="CK129" s="338"/>
      <c r="CL129" s="338"/>
      <c r="CM129" s="338"/>
      <c r="CN129" s="338"/>
      <c r="CO129" s="338"/>
      <c r="CP129" s="337"/>
      <c r="CQ129" s="1041"/>
    </row>
    <row r="130" spans="2:95" ht="14.25" customHeight="1">
      <c r="B130" s="360" t="s">
        <v>360</v>
      </c>
      <c r="C130" s="348"/>
      <c r="D130" s="361">
        <f t="shared" ref="D130:AX130" si="558">SUM(D124:D129)</f>
        <v>0</v>
      </c>
      <c r="E130" s="362">
        <f t="shared" si="558"/>
        <v>1</v>
      </c>
      <c r="F130" s="362">
        <f t="shared" si="558"/>
        <v>1</v>
      </c>
      <c r="G130" s="363">
        <f t="shared" si="558"/>
        <v>1</v>
      </c>
      <c r="H130" s="361">
        <f t="shared" si="558"/>
        <v>1</v>
      </c>
      <c r="I130" s="362">
        <f t="shared" si="558"/>
        <v>1</v>
      </c>
      <c r="J130" s="926">
        <f t="shared" si="558"/>
        <v>1</v>
      </c>
      <c r="K130" s="363">
        <f t="shared" si="558"/>
        <v>1</v>
      </c>
      <c r="L130" s="361">
        <f t="shared" si="558"/>
        <v>1</v>
      </c>
      <c r="M130" s="362">
        <f t="shared" si="558"/>
        <v>1</v>
      </c>
      <c r="N130" s="362">
        <f t="shared" si="558"/>
        <v>1</v>
      </c>
      <c r="O130" s="363">
        <f t="shared" si="558"/>
        <v>1</v>
      </c>
      <c r="P130" s="361">
        <f t="shared" si="558"/>
        <v>1</v>
      </c>
      <c r="Q130" s="362">
        <f t="shared" si="558"/>
        <v>1</v>
      </c>
      <c r="R130" s="362">
        <f t="shared" si="558"/>
        <v>1</v>
      </c>
      <c r="S130" s="363">
        <f t="shared" si="558"/>
        <v>1</v>
      </c>
      <c r="T130" s="361">
        <f t="shared" si="558"/>
        <v>1</v>
      </c>
      <c r="U130" s="362">
        <f t="shared" si="558"/>
        <v>1</v>
      </c>
      <c r="V130" s="362">
        <f t="shared" si="558"/>
        <v>1</v>
      </c>
      <c r="W130" s="362">
        <f t="shared" si="558"/>
        <v>1</v>
      </c>
      <c r="X130" s="361">
        <f t="shared" si="558"/>
        <v>1</v>
      </c>
      <c r="Y130" s="362">
        <f t="shared" si="558"/>
        <v>1</v>
      </c>
      <c r="Z130" s="362">
        <f t="shared" si="558"/>
        <v>1</v>
      </c>
      <c r="AA130" s="362">
        <f t="shared" si="558"/>
        <v>1</v>
      </c>
      <c r="AB130" s="361">
        <f t="shared" si="558"/>
        <v>1</v>
      </c>
      <c r="AC130" s="362">
        <f t="shared" si="558"/>
        <v>1</v>
      </c>
      <c r="AD130" s="362">
        <f t="shared" si="558"/>
        <v>1</v>
      </c>
      <c r="AE130" s="362">
        <f t="shared" si="558"/>
        <v>1</v>
      </c>
      <c r="AF130" s="361">
        <f t="shared" si="558"/>
        <v>1</v>
      </c>
      <c r="AG130" s="362">
        <f t="shared" si="558"/>
        <v>1</v>
      </c>
      <c r="AH130" s="362">
        <f t="shared" si="558"/>
        <v>1</v>
      </c>
      <c r="AI130" s="363">
        <f t="shared" si="558"/>
        <v>1</v>
      </c>
      <c r="AJ130" s="361">
        <f t="shared" si="558"/>
        <v>1</v>
      </c>
      <c r="AK130" s="362">
        <f t="shared" si="558"/>
        <v>1</v>
      </c>
      <c r="AL130" s="362">
        <f t="shared" si="558"/>
        <v>1</v>
      </c>
      <c r="AM130" s="362">
        <f t="shared" si="558"/>
        <v>1</v>
      </c>
      <c r="AN130" s="361">
        <f t="shared" si="558"/>
        <v>1</v>
      </c>
      <c r="AO130" s="362">
        <f t="shared" si="558"/>
        <v>1</v>
      </c>
      <c r="AP130" s="362">
        <f t="shared" si="558"/>
        <v>1</v>
      </c>
      <c r="AQ130" s="721">
        <f t="shared" si="558"/>
        <v>1</v>
      </c>
      <c r="AR130" s="361">
        <f t="shared" si="558"/>
        <v>1</v>
      </c>
      <c r="AS130" s="362">
        <f t="shared" si="558"/>
        <v>1</v>
      </c>
      <c r="AT130" s="362">
        <f t="shared" si="558"/>
        <v>1</v>
      </c>
      <c r="AU130" s="721">
        <f t="shared" si="558"/>
        <v>1</v>
      </c>
      <c r="AV130" s="361">
        <f t="shared" si="558"/>
        <v>1</v>
      </c>
      <c r="AW130" s="362">
        <f>SUM(AW124:AW129)</f>
        <v>0.99999999999999989</v>
      </c>
      <c r="AX130" s="362">
        <f t="shared" si="558"/>
        <v>1</v>
      </c>
      <c r="AY130" s="362">
        <f t="shared" ref="AY130:BD130" si="559">SUM(AY124:AY129)</f>
        <v>1</v>
      </c>
      <c r="AZ130" s="1168">
        <f t="shared" si="559"/>
        <v>1</v>
      </c>
      <c r="BA130" s="1167">
        <f t="shared" si="559"/>
        <v>1</v>
      </c>
      <c r="BB130" s="362">
        <f t="shared" si="559"/>
        <v>1.0002211900022118</v>
      </c>
      <c r="BC130" s="362">
        <f t="shared" si="559"/>
        <v>1</v>
      </c>
      <c r="BD130" s="1168">
        <f t="shared" si="559"/>
        <v>1</v>
      </c>
      <c r="BE130" s="1167">
        <f>SUM(BE124:BE129)</f>
        <v>1</v>
      </c>
      <c r="BF130" s="1167">
        <f>SUM(BF124:BF129)</f>
        <v>1</v>
      </c>
      <c r="BG130" s="362">
        <f t="shared" ref="BG130:BH130" si="560">SUM(BG124:BG129)</f>
        <v>1.0000000000000002</v>
      </c>
      <c r="BH130" s="1168">
        <f t="shared" si="560"/>
        <v>0.99999999999999989</v>
      </c>
      <c r="BI130" s="723">
        <f>SUM(BI124:BI129)</f>
        <v>1</v>
      </c>
      <c r="BJ130" s="723">
        <f>SUM(BJ124:BJ129)</f>
        <v>1.0000718958947443</v>
      </c>
      <c r="BK130" s="362">
        <f t="shared" ref="BK130" si="561">SUM(BK124:BK129)</f>
        <v>1</v>
      </c>
      <c r="BL130" s="722"/>
      <c r="BM130" s="723"/>
      <c r="BN130" s="723"/>
      <c r="BO130" s="724"/>
      <c r="BP130" s="722"/>
      <c r="BQ130" s="723"/>
      <c r="BR130" s="723"/>
      <c r="BS130" s="724"/>
      <c r="BT130" s="722"/>
      <c r="BU130" s="723"/>
      <c r="BV130" s="723"/>
      <c r="BW130" s="724"/>
      <c r="BX130" s="349"/>
      <c r="BY130" s="364"/>
      <c r="BZ130" s="364">
        <f t="shared" ref="BZ130:CH130" si="562">SUM(BZ124:BZ129)</f>
        <v>1</v>
      </c>
      <c r="CA130" s="364">
        <f t="shared" si="562"/>
        <v>1</v>
      </c>
      <c r="CB130" s="364">
        <f t="shared" si="562"/>
        <v>1.0000000000000002</v>
      </c>
      <c r="CC130" s="365">
        <f t="shared" si="562"/>
        <v>1.0000000000000002</v>
      </c>
      <c r="CD130" s="365">
        <f t="shared" si="562"/>
        <v>1.0000000000000002</v>
      </c>
      <c r="CE130" s="365">
        <f t="shared" si="562"/>
        <v>1</v>
      </c>
      <c r="CF130" s="365">
        <f t="shared" si="562"/>
        <v>1</v>
      </c>
      <c r="CG130" s="365">
        <f t="shared" si="562"/>
        <v>1</v>
      </c>
      <c r="CH130" s="365">
        <f t="shared" si="562"/>
        <v>1</v>
      </c>
      <c r="CI130" s="365">
        <f>SUM(CI124:CI129)</f>
        <v>1.0000000000000002</v>
      </c>
      <c r="CJ130" s="364"/>
      <c r="CK130" s="364"/>
      <c r="CL130" s="364"/>
      <c r="CM130" s="364"/>
      <c r="CN130" s="364"/>
      <c r="CO130" s="364"/>
      <c r="CP130" s="366"/>
      <c r="CQ130" s="1041"/>
    </row>
    <row r="131" spans="2:95" ht="14.25" customHeight="1">
      <c r="B131" s="302"/>
      <c r="D131" s="713"/>
      <c r="E131" s="713"/>
      <c r="F131" s="713"/>
      <c r="G131" s="713"/>
      <c r="H131" s="713"/>
      <c r="I131" s="713"/>
      <c r="J131" s="713"/>
      <c r="K131" s="713"/>
      <c r="L131" s="713"/>
      <c r="M131" s="713"/>
      <c r="N131" s="713"/>
      <c r="O131" s="713"/>
      <c r="P131" s="713"/>
      <c r="Q131" s="713"/>
      <c r="R131" s="713"/>
      <c r="S131" s="713"/>
      <c r="T131" s="713"/>
      <c r="U131" s="713"/>
      <c r="V131" s="713"/>
      <c r="W131" s="713"/>
      <c r="X131" s="713"/>
      <c r="Y131" s="713"/>
      <c r="Z131" s="713"/>
      <c r="AA131" s="713"/>
      <c r="AB131" s="713"/>
      <c r="AC131" s="713"/>
      <c r="AD131" s="713"/>
      <c r="AE131" s="713"/>
      <c r="AF131" s="713"/>
      <c r="AG131" s="713"/>
      <c r="AH131" s="713"/>
      <c r="AT131" s="713"/>
      <c r="AU131" s="713"/>
      <c r="AV131" s="713"/>
      <c r="AW131" s="713"/>
      <c r="AX131" s="713"/>
      <c r="AY131" s="713"/>
      <c r="AZ131" s="713"/>
      <c r="BA131" s="713"/>
      <c r="BB131" s="713"/>
      <c r="BC131" s="713"/>
      <c r="BD131" s="713"/>
      <c r="BE131" s="713"/>
      <c r="BF131" s="713"/>
      <c r="BG131" s="713"/>
      <c r="BH131" s="713"/>
      <c r="BI131" s="713"/>
      <c r="BJ131" s="713"/>
      <c r="BK131" s="713"/>
      <c r="BL131" s="713"/>
      <c r="BM131" s="713"/>
      <c r="BN131" s="713"/>
      <c r="BO131" s="713"/>
      <c r="BP131" s="713"/>
      <c r="BQ131" s="713"/>
      <c r="BR131" s="713"/>
      <c r="BS131" s="713"/>
      <c r="BT131" s="713"/>
      <c r="BU131" s="713"/>
      <c r="BV131" s="713"/>
      <c r="BW131" s="713"/>
      <c r="CA131" s="9"/>
      <c r="CB131" s="9"/>
      <c r="CC131" s="9"/>
      <c r="CD131" s="9"/>
      <c r="CE131" s="9"/>
      <c r="CF131" s="9"/>
      <c r="CG131" s="9"/>
      <c r="CH131" s="9"/>
      <c r="CI131" s="9"/>
      <c r="CJ131" s="15"/>
      <c r="CK131" s="15"/>
      <c r="CL131" s="15"/>
      <c r="CM131" s="15"/>
      <c r="CN131" s="15"/>
      <c r="CO131" s="15"/>
      <c r="CP131" s="15"/>
    </row>
    <row r="132" spans="2:95" ht="14.25" customHeight="1">
      <c r="B132" s="302"/>
      <c r="D132" s="302"/>
      <c r="E132" s="302"/>
      <c r="F132" s="302"/>
      <c r="G132" s="302"/>
      <c r="H132" s="302"/>
      <c r="I132" s="302"/>
      <c r="J132" s="302"/>
      <c r="K132" s="302"/>
      <c r="L132" s="302"/>
      <c r="M132" s="302"/>
      <c r="N132" s="302"/>
      <c r="O132" s="302"/>
      <c r="P132" s="302"/>
      <c r="Q132" s="302"/>
      <c r="R132" s="302"/>
      <c r="S132" s="302"/>
      <c r="T132" s="302"/>
      <c r="U132" s="302"/>
      <c r="V132" s="302"/>
      <c r="W132" s="302"/>
      <c r="X132" s="302"/>
      <c r="Y132" s="302"/>
      <c r="Z132" s="302"/>
      <c r="AA132" s="302"/>
      <c r="AB132" s="302"/>
      <c r="AC132" s="302"/>
      <c r="AD132" s="302"/>
      <c r="AE132" s="302"/>
      <c r="AF132" s="302"/>
      <c r="AG132" s="302"/>
      <c r="AH132" s="302"/>
      <c r="AT132" s="302"/>
      <c r="AU132" s="302"/>
      <c r="AV132" s="302"/>
      <c r="AW132" s="302"/>
      <c r="AX132" s="302"/>
      <c r="AY132" s="302"/>
      <c r="AZ132" s="302"/>
      <c r="BA132" s="302"/>
      <c r="BB132" s="302"/>
      <c r="BC132" s="302"/>
      <c r="BD132" s="302"/>
      <c r="BE132" s="302"/>
      <c r="BF132" s="302"/>
      <c r="BG132" s="302"/>
      <c r="BH132" s="302"/>
      <c r="BI132" s="302"/>
      <c r="BJ132" s="302"/>
      <c r="BK132" s="302"/>
      <c r="BL132" s="302"/>
      <c r="BM132" s="302"/>
      <c r="BN132" s="302"/>
      <c r="BO132" s="302"/>
      <c r="BP132" s="302"/>
      <c r="BQ132" s="302"/>
      <c r="BR132" s="302"/>
      <c r="BS132" s="302"/>
      <c r="BT132" s="302"/>
      <c r="BU132" s="302"/>
      <c r="BV132" s="302"/>
      <c r="BW132" s="302"/>
      <c r="CA132" s="9"/>
      <c r="CB132" s="9"/>
      <c r="CC132" s="9"/>
      <c r="CD132" s="9"/>
      <c r="CE132" s="9"/>
      <c r="CF132" s="9"/>
      <c r="CG132" s="9"/>
      <c r="CH132" s="9"/>
      <c r="CI132" s="9"/>
      <c r="CJ132" s="15"/>
      <c r="CK132" s="15"/>
      <c r="CL132" s="15"/>
      <c r="CM132" s="15"/>
      <c r="CN132" s="15"/>
      <c r="CO132" s="15"/>
      <c r="CP132" s="15"/>
    </row>
    <row r="133" spans="2:95" ht="14.25" customHeight="1">
      <c r="BG133" s="1369"/>
      <c r="CJ133" s="302"/>
      <c r="CK133" s="302"/>
      <c r="CL133" s="302"/>
      <c r="CM133" s="302"/>
      <c r="CN133" s="302"/>
      <c r="CO133" s="302"/>
      <c r="CP133" s="302"/>
    </row>
    <row r="134" spans="2:95" ht="14.25" customHeight="1">
      <c r="B134" s="131" t="s">
        <v>362</v>
      </c>
      <c r="C134" s="132"/>
      <c r="D134" s="665" t="s">
        <v>25</v>
      </c>
      <c r="E134" s="665" t="s">
        <v>27</v>
      </c>
      <c r="F134" s="665" t="s">
        <v>29</v>
      </c>
      <c r="G134" s="666" t="s">
        <v>31</v>
      </c>
      <c r="H134" s="665" t="s">
        <v>33</v>
      </c>
      <c r="I134" s="665" t="s">
        <v>35</v>
      </c>
      <c r="J134" s="665" t="s">
        <v>37</v>
      </c>
      <c r="K134" s="665" t="s">
        <v>39</v>
      </c>
      <c r="L134" s="18" t="str">
        <f t="shared" ref="L134:AQ134" si="563">L7</f>
        <v>F1Q05A</v>
      </c>
      <c r="M134" s="19" t="str">
        <f t="shared" si="563"/>
        <v>F2Q05A</v>
      </c>
      <c r="N134" s="19" t="str">
        <f t="shared" si="563"/>
        <v>F3Q05A</v>
      </c>
      <c r="O134" s="20" t="str">
        <f t="shared" si="563"/>
        <v>F4Q05A</v>
      </c>
      <c r="P134" s="18" t="str">
        <f t="shared" si="563"/>
        <v>F1Q06A</v>
      </c>
      <c r="Q134" s="19" t="str">
        <f t="shared" si="563"/>
        <v>F2Q06A</v>
      </c>
      <c r="R134" s="19" t="str">
        <f t="shared" si="563"/>
        <v>F3Q06A</v>
      </c>
      <c r="S134" s="20" t="str">
        <f t="shared" si="563"/>
        <v>F4Q06A</v>
      </c>
      <c r="T134" s="18" t="str">
        <f t="shared" si="563"/>
        <v>F1Q07A</v>
      </c>
      <c r="U134" s="19" t="str">
        <f t="shared" si="563"/>
        <v>F2Q07A</v>
      </c>
      <c r="V134" s="19" t="str">
        <f t="shared" si="563"/>
        <v>F3Q07A</v>
      </c>
      <c r="W134" s="20" t="str">
        <f t="shared" si="563"/>
        <v>F4Q07A</v>
      </c>
      <c r="X134" s="18" t="str">
        <f t="shared" si="563"/>
        <v>F1Q08A</v>
      </c>
      <c r="Y134" s="19" t="str">
        <f t="shared" si="563"/>
        <v>F2Q08A</v>
      </c>
      <c r="Z134" s="19" t="str">
        <f t="shared" si="563"/>
        <v>F3Q08A</v>
      </c>
      <c r="AA134" s="20" t="str">
        <f t="shared" si="563"/>
        <v>F4Q08A</v>
      </c>
      <c r="AB134" s="18" t="str">
        <f t="shared" si="563"/>
        <v>F1Q09A</v>
      </c>
      <c r="AC134" s="19" t="str">
        <f t="shared" si="563"/>
        <v>F2Q09A</v>
      </c>
      <c r="AD134" s="19" t="str">
        <f t="shared" si="563"/>
        <v>F3Q09A</v>
      </c>
      <c r="AE134" s="20" t="str">
        <f t="shared" si="563"/>
        <v>F4Q09A</v>
      </c>
      <c r="AF134" s="18" t="str">
        <f t="shared" si="563"/>
        <v>F1Q10A</v>
      </c>
      <c r="AG134" s="449" t="str">
        <f t="shared" si="563"/>
        <v>F2Q10A</v>
      </c>
      <c r="AH134" s="19" t="str">
        <f t="shared" si="563"/>
        <v>F3Q10A</v>
      </c>
      <c r="AI134" s="20" t="str">
        <f t="shared" si="563"/>
        <v>F4Q10A</v>
      </c>
      <c r="AJ134" s="18" t="str">
        <f t="shared" si="563"/>
        <v>F1Q11A</v>
      </c>
      <c r="AK134" s="19" t="str">
        <f t="shared" si="563"/>
        <v>F2Q11A</v>
      </c>
      <c r="AL134" s="19" t="str">
        <f t="shared" si="563"/>
        <v>F3Q11A</v>
      </c>
      <c r="AM134" s="20" t="str">
        <f t="shared" si="563"/>
        <v>F4Q11A</v>
      </c>
      <c r="AN134" s="18" t="str">
        <f t="shared" si="563"/>
        <v>F1Q12A</v>
      </c>
      <c r="AO134" s="19" t="str">
        <f t="shared" si="563"/>
        <v>F2Q12A</v>
      </c>
      <c r="AP134" s="19" t="str">
        <f t="shared" si="563"/>
        <v>F3Q12A</v>
      </c>
      <c r="AQ134" s="20" t="str">
        <f t="shared" si="563"/>
        <v>F4Q12A</v>
      </c>
      <c r="AR134" s="18" t="str">
        <f t="shared" ref="AR134:BO134" si="564">AR7</f>
        <v>F1Q13A</v>
      </c>
      <c r="AS134" s="19" t="str">
        <f t="shared" si="564"/>
        <v>F2Q13A</v>
      </c>
      <c r="AT134" s="19" t="str">
        <f t="shared" si="564"/>
        <v>F3Q13A</v>
      </c>
      <c r="AU134" s="20" t="str">
        <f t="shared" si="564"/>
        <v>F4Q13A</v>
      </c>
      <c r="AV134" s="18" t="str">
        <f t="shared" si="564"/>
        <v>F1Q14A</v>
      </c>
      <c r="AW134" s="19" t="str">
        <f t="shared" si="564"/>
        <v>F2Q14A</v>
      </c>
      <c r="AX134" s="19" t="str">
        <f t="shared" si="564"/>
        <v>F3Q14A</v>
      </c>
      <c r="AY134" s="20" t="str">
        <f t="shared" si="564"/>
        <v>F4Q14A</v>
      </c>
      <c r="AZ134" s="18" t="str">
        <f t="shared" si="564"/>
        <v>F1Q15A</v>
      </c>
      <c r="BA134" s="19" t="str">
        <f t="shared" si="564"/>
        <v>F2Q15A</v>
      </c>
      <c r="BB134" s="19" t="str">
        <f t="shared" si="564"/>
        <v>F3Q15A</v>
      </c>
      <c r="BC134" s="20" t="str">
        <f t="shared" si="564"/>
        <v>F4Q15A</v>
      </c>
      <c r="BD134" s="18" t="str">
        <f t="shared" si="564"/>
        <v>F1Q16A</v>
      </c>
      <c r="BE134" s="19" t="str">
        <f t="shared" si="564"/>
        <v>F2Q16A</v>
      </c>
      <c r="BF134" s="19" t="str">
        <f t="shared" si="564"/>
        <v>F3Q16A</v>
      </c>
      <c r="BG134" s="1301" t="str">
        <f t="shared" si="564"/>
        <v>F4Q16A</v>
      </c>
      <c r="BH134" s="18" t="str">
        <f t="shared" si="564"/>
        <v>F1Q17A</v>
      </c>
      <c r="BI134" s="19" t="str">
        <f t="shared" si="564"/>
        <v>F2Q17A</v>
      </c>
      <c r="BJ134" s="19" t="str">
        <f t="shared" si="564"/>
        <v>F3Q17A</v>
      </c>
      <c r="BK134" s="20" t="str">
        <f t="shared" si="564"/>
        <v>F4Q17A</v>
      </c>
      <c r="BL134" s="1299" t="str">
        <f t="shared" si="564"/>
        <v>F1Q18E</v>
      </c>
      <c r="BM134" s="1300" t="str">
        <f t="shared" si="564"/>
        <v>F2Q18E</v>
      </c>
      <c r="BN134" s="1300" t="str">
        <f t="shared" si="564"/>
        <v>F3Q18E</v>
      </c>
      <c r="BO134" s="1301" t="str">
        <f t="shared" si="564"/>
        <v>F4Q18E</v>
      </c>
      <c r="BP134" s="1299" t="str">
        <f t="shared" ref="BP134:BS134" si="565">BP7</f>
        <v>F1Q19E</v>
      </c>
      <c r="BQ134" s="1300" t="str">
        <f t="shared" si="565"/>
        <v>F2Q19E</v>
      </c>
      <c r="BR134" s="1300" t="str">
        <f t="shared" si="565"/>
        <v>F3Q19E</v>
      </c>
      <c r="BS134" s="1301" t="str">
        <f t="shared" si="565"/>
        <v>F4Q19E</v>
      </c>
      <c r="BT134" s="1390" t="str">
        <f t="shared" ref="BT134:BW134" si="566">BT7</f>
        <v>F1Q20E</v>
      </c>
      <c r="BU134" s="1391" t="str">
        <f t="shared" si="566"/>
        <v>F2Q20E</v>
      </c>
      <c r="BV134" s="1391" t="str">
        <f t="shared" si="566"/>
        <v>F3Q20E</v>
      </c>
      <c r="BW134" s="1392" t="str">
        <f t="shared" si="566"/>
        <v>F4Q20E</v>
      </c>
      <c r="BX134" s="21"/>
      <c r="BY134" s="399" t="s">
        <v>336</v>
      </c>
      <c r="BZ134" s="400" t="s">
        <v>337</v>
      </c>
      <c r="CA134" s="400" t="str">
        <f t="shared" ref="CA134:CN134" si="567">CA7</f>
        <v>FY2005A</v>
      </c>
      <c r="CB134" s="400" t="str">
        <f t="shared" si="567"/>
        <v>FY2006A</v>
      </c>
      <c r="CC134" s="400" t="str">
        <f t="shared" si="567"/>
        <v>FY2007A</v>
      </c>
      <c r="CD134" s="400" t="str">
        <f t="shared" si="567"/>
        <v>FY2008A</v>
      </c>
      <c r="CE134" s="400" t="str">
        <f t="shared" si="567"/>
        <v>FY2009A</v>
      </c>
      <c r="CF134" s="400" t="str">
        <f t="shared" si="567"/>
        <v>FY2010A</v>
      </c>
      <c r="CG134" s="400" t="str">
        <f t="shared" si="567"/>
        <v>FY2011A</v>
      </c>
      <c r="CH134" s="400" t="str">
        <f t="shared" si="567"/>
        <v>FY2012A</v>
      </c>
      <c r="CI134" s="400" t="str">
        <f t="shared" si="567"/>
        <v>FY2013A</v>
      </c>
      <c r="CJ134" s="400" t="str">
        <f t="shared" si="567"/>
        <v>FY2014A</v>
      </c>
      <c r="CK134" s="400" t="str">
        <f t="shared" si="567"/>
        <v>FY2015A</v>
      </c>
      <c r="CL134" s="400" t="str">
        <f t="shared" si="567"/>
        <v>FY2016</v>
      </c>
      <c r="CM134" s="400" t="str">
        <f t="shared" si="567"/>
        <v>FY2017A</v>
      </c>
      <c r="CN134" s="1254" t="str">
        <f t="shared" si="567"/>
        <v>FY2018E</v>
      </c>
      <c r="CO134" s="1254" t="str">
        <f t="shared" ref="CO134:CP134" si="568">CO7</f>
        <v>FY2019E</v>
      </c>
      <c r="CP134" s="1256" t="str">
        <f t="shared" si="568"/>
        <v>FY2020E</v>
      </c>
      <c r="CQ134" s="1041"/>
    </row>
    <row r="135" spans="2:95" ht="14.25" customHeight="1">
      <c r="B135" s="299" t="s">
        <v>63</v>
      </c>
      <c r="C135" s="345"/>
      <c r="D135" s="690">
        <v>92.2</v>
      </c>
      <c r="E135" s="691">
        <v>81.8</v>
      </c>
      <c r="F135" s="691">
        <v>75.2</v>
      </c>
      <c r="G135" s="369">
        <f>317.6+4-SUM(D135:F135)</f>
        <v>72.400000000000034</v>
      </c>
      <c r="H135" s="690">
        <v>92.3</v>
      </c>
      <c r="I135" s="691">
        <v>91.6</v>
      </c>
      <c r="J135" s="691">
        <v>83.9</v>
      </c>
      <c r="K135" s="369">
        <f>343.4-SUM(H135:J135)</f>
        <v>75.600000000000023</v>
      </c>
      <c r="L135" s="690">
        <v>78.099999999999994</v>
      </c>
      <c r="M135" s="691">
        <v>70.3</v>
      </c>
      <c r="N135" s="691">
        <v>74.599999999999994</v>
      </c>
      <c r="O135" s="369">
        <f>294.8-SUM(L135:N135)</f>
        <v>71.80000000000004</v>
      </c>
      <c r="P135" s="690">
        <v>76.3</v>
      </c>
      <c r="Q135" s="691">
        <v>91.5</v>
      </c>
      <c r="R135" s="691">
        <v>122</v>
      </c>
      <c r="S135" s="369">
        <f>393.4-SUM(P135:R135)</f>
        <v>103.59999999999997</v>
      </c>
      <c r="T135" s="690">
        <v>100</v>
      </c>
      <c r="U135" s="691">
        <v>94</v>
      </c>
      <c r="V135" s="691">
        <v>90.3</v>
      </c>
      <c r="W135" s="369">
        <f>361.5-SUM(T135:V135)</f>
        <v>77.199999999999989</v>
      </c>
      <c r="X135" s="690">
        <v>100.4</v>
      </c>
      <c r="Y135" s="691">
        <v>137.30000000000001</v>
      </c>
      <c r="Z135" s="691">
        <v>110.2</v>
      </c>
      <c r="AA135" s="369">
        <f>502.7-SUM(X135:Z135)</f>
        <v>154.79999999999995</v>
      </c>
      <c r="AB135" s="690">
        <v>113.7</v>
      </c>
      <c r="AC135" s="691">
        <v>84.2</v>
      </c>
      <c r="AD135" s="691">
        <v>72.599999999999994</v>
      </c>
      <c r="AE135" s="369">
        <f>374.2-SUM(AB135:AD135)</f>
        <v>103.69999999999999</v>
      </c>
      <c r="AF135" s="690">
        <v>119.2</v>
      </c>
      <c r="AG135" s="691">
        <v>117.9</v>
      </c>
      <c r="AH135" s="691">
        <v>124.9</v>
      </c>
      <c r="AI135" s="369">
        <f>483.2-SUM(AF135:AH135)</f>
        <v>121.19999999999999</v>
      </c>
      <c r="AJ135" s="690">
        <v>127.2</v>
      </c>
      <c r="AK135" s="691">
        <v>134.80000000000001</v>
      </c>
      <c r="AL135" s="691">
        <v>136.5</v>
      </c>
      <c r="AM135" s="369">
        <f>524-SUM(AJ135:AL135)</f>
        <v>125.5</v>
      </c>
      <c r="AN135" s="690">
        <v>111.3</v>
      </c>
      <c r="AO135" s="691">
        <v>120.3</v>
      </c>
      <c r="AP135" s="691">
        <v>106.7</v>
      </c>
      <c r="AQ135" s="369">
        <f>452-SUM(AN135:AP135)</f>
        <v>113.69999999999999</v>
      </c>
      <c r="AR135" s="690">
        <v>105.1</v>
      </c>
      <c r="AS135" s="693">
        <f>AS149*IS!$AS$8</f>
        <v>103.24499999999999</v>
      </c>
      <c r="AT135" s="691">
        <v>109</v>
      </c>
      <c r="AU135" s="694">
        <f>$AU$109*AU149</f>
        <v>114.88000000000002</v>
      </c>
      <c r="AV135" s="692">
        <f t="shared" ref="AV135:AW142" si="569">AV$109*AV149</f>
        <v>120.105</v>
      </c>
      <c r="AW135" s="693">
        <f t="shared" si="569"/>
        <v>121.21599999999999</v>
      </c>
      <c r="AX135" s="693">
        <f t="shared" ref="AX135:AY142" si="570">AX$109*AX149</f>
        <v>133.36000000000001</v>
      </c>
      <c r="AY135" s="694">
        <f t="shared" si="570"/>
        <v>138.27200000000002</v>
      </c>
      <c r="AZ135" s="1331">
        <v>131.80000000000001</v>
      </c>
      <c r="BA135" s="1332">
        <v>140.80000000000001</v>
      </c>
      <c r="BB135" s="1332">
        <f t="shared" ref="BB135:BC142" si="571">BB$109*BB149</f>
        <v>135.66</v>
      </c>
      <c r="BC135" s="1333">
        <f t="shared" si="571"/>
        <v>142.85099999999997</v>
      </c>
      <c r="BD135" s="1331">
        <f t="shared" ref="BD135:BG142" si="572">BD$109*BD149</f>
        <v>147.09599999999998</v>
      </c>
      <c r="BE135" s="1332">
        <f t="shared" si="572"/>
        <v>142.64249999999998</v>
      </c>
      <c r="BF135" s="1332">
        <f t="shared" si="572"/>
        <v>142.63499999999999</v>
      </c>
      <c r="BG135" s="1333">
        <f t="shared" si="572"/>
        <v>173.38750000000002</v>
      </c>
      <c r="BH135" s="692">
        <f t="shared" ref="BH135:BI135" si="573">BH$109*BH149</f>
        <v>205.05600000000004</v>
      </c>
      <c r="BI135" s="693">
        <f t="shared" si="573"/>
        <v>173.93999999999997</v>
      </c>
      <c r="BJ135" s="693">
        <f t="shared" ref="BJ135:BK135" si="574">BJ$109*BJ149</f>
        <v>166.92</v>
      </c>
      <c r="BK135" s="1333">
        <f t="shared" si="574"/>
        <v>190.07826743794152</v>
      </c>
      <c r="BL135" s="692"/>
      <c r="BM135" s="693"/>
      <c r="BN135" s="693"/>
      <c r="BO135" s="694"/>
      <c r="BP135" s="692"/>
      <c r="BQ135" s="693"/>
      <c r="BR135" s="693"/>
      <c r="BS135" s="694"/>
      <c r="BT135" s="692"/>
      <c r="BU135" s="693"/>
      <c r="BV135" s="693"/>
      <c r="BW135" s="694"/>
      <c r="BX135" s="776"/>
      <c r="BY135" s="690">
        <v>317.60000000000002</v>
      </c>
      <c r="BZ135" s="327">
        <f t="shared" ref="BZ135:BZ142" si="575">SUM(H135:K135)</f>
        <v>343.4</v>
      </c>
      <c r="CA135" s="696">
        <f t="shared" ref="CA135:CA142" si="576">SUM(L135:O135)</f>
        <v>294.8</v>
      </c>
      <c r="CB135" s="696">
        <f t="shared" ref="CB135:CB142" si="577">SUM(P135:S135)</f>
        <v>393.4</v>
      </c>
      <c r="CC135" s="696">
        <f t="shared" ref="CC135:CC142" si="578">SUM(T135:W135)</f>
        <v>361.5</v>
      </c>
      <c r="CD135" s="696">
        <f t="shared" ref="CD135:CD142" si="579">SUM(X135:AA135)</f>
        <v>502.7</v>
      </c>
      <c r="CE135" s="696">
        <f t="shared" ref="CE135:CE142" si="580">SUM(AB135:AE135)</f>
        <v>374.2</v>
      </c>
      <c r="CF135" s="696">
        <f t="shared" ref="CF135:CF142" si="581">SUM(AF135:AI135)</f>
        <v>483.2</v>
      </c>
      <c r="CG135" s="696">
        <f t="shared" ref="CG135:CG142" si="582">SUM(AJ135:AM135)</f>
        <v>524</v>
      </c>
      <c r="CH135" s="696">
        <f t="shared" ref="CH135:CH142" si="583">SUM(AN135:AQ135)</f>
        <v>452</v>
      </c>
      <c r="CI135" s="696">
        <f t="shared" ref="CI135:CI142" si="584">SUM(AR135:AU135)</f>
        <v>432.22500000000002</v>
      </c>
      <c r="CJ135" s="696"/>
      <c r="CK135" s="696"/>
      <c r="CL135" s="696"/>
      <c r="CM135" s="696"/>
      <c r="CN135" s="696"/>
      <c r="CO135" s="696"/>
      <c r="CP135" s="697"/>
      <c r="CQ135" s="1041"/>
    </row>
    <row r="136" spans="2:95" ht="14.25" customHeight="1">
      <c r="B136" s="300" t="s">
        <v>215</v>
      </c>
      <c r="C136" s="303"/>
      <c r="D136" s="698">
        <v>0</v>
      </c>
      <c r="E136" s="699">
        <v>0</v>
      </c>
      <c r="F136" s="699">
        <v>0</v>
      </c>
      <c r="G136" s="369">
        <f>0-SUM(D136:F136)</f>
        <v>0</v>
      </c>
      <c r="H136" s="698">
        <v>1.3</v>
      </c>
      <c r="I136" s="699">
        <v>0.9</v>
      </c>
      <c r="J136" s="699">
        <v>0.9</v>
      </c>
      <c r="K136" s="369">
        <f>4.1-SUM(H136:J136)</f>
        <v>0.99999999999999956</v>
      </c>
      <c r="L136" s="698">
        <v>1.2</v>
      </c>
      <c r="M136" s="699">
        <f>0.9</f>
        <v>0.9</v>
      </c>
      <c r="N136" s="699">
        <v>0</v>
      </c>
      <c r="O136" s="369">
        <f>4.2-SUM(L136:N136)</f>
        <v>2.1</v>
      </c>
      <c r="P136" s="698">
        <v>0.9</v>
      </c>
      <c r="Q136" s="699">
        <v>1</v>
      </c>
      <c r="R136" s="699">
        <v>1</v>
      </c>
      <c r="S136" s="369">
        <f>3.6-SUM(P136:R136)</f>
        <v>0.70000000000000018</v>
      </c>
      <c r="T136" s="698">
        <v>0.6</v>
      </c>
      <c r="U136" s="699">
        <v>0.7</v>
      </c>
      <c r="V136" s="699">
        <v>0.8</v>
      </c>
      <c r="W136" s="369">
        <f>11.1-SUM(T136:V136)</f>
        <v>9</v>
      </c>
      <c r="X136" s="698">
        <v>0.5</v>
      </c>
      <c r="Y136" s="699">
        <v>0.7</v>
      </c>
      <c r="Z136" s="699">
        <v>0.4</v>
      </c>
      <c r="AA136" s="369">
        <f>2-SUM(X136:Z136)</f>
        <v>0.39999999999999991</v>
      </c>
      <c r="AB136" s="698">
        <v>0.5</v>
      </c>
      <c r="AC136" s="699">
        <v>1.6</v>
      </c>
      <c r="AD136" s="699">
        <v>1</v>
      </c>
      <c r="AE136" s="369">
        <f>5.4-SUM(AB136:AD136)</f>
        <v>2.3000000000000003</v>
      </c>
      <c r="AF136" s="698">
        <v>1.7</v>
      </c>
      <c r="AG136" s="699">
        <v>2.8</v>
      </c>
      <c r="AH136" s="699">
        <v>4.9000000000000004</v>
      </c>
      <c r="AI136" s="369">
        <f>12.3-SUM(AF136:AH136)</f>
        <v>2.9000000000000004</v>
      </c>
      <c r="AJ136" s="698">
        <v>6.2</v>
      </c>
      <c r="AK136" s="699">
        <v>11.1</v>
      </c>
      <c r="AL136" s="699">
        <v>6</v>
      </c>
      <c r="AM136" s="369">
        <f>36.6-SUM(AJ136:AL136)</f>
        <v>13.3</v>
      </c>
      <c r="AN136" s="698">
        <v>9.4</v>
      </c>
      <c r="AO136" s="699">
        <v>3.8</v>
      </c>
      <c r="AP136" s="699">
        <v>7.2</v>
      </c>
      <c r="AQ136" s="369">
        <f>15-SUM(AN136:AP136)</f>
        <v>-5.3999999999999986</v>
      </c>
      <c r="AR136" s="698"/>
      <c r="AS136" s="696">
        <f>AS150*IS!$AS$8</f>
        <v>0</v>
      </c>
      <c r="AT136" s="699">
        <v>0</v>
      </c>
      <c r="AU136" s="697">
        <f t="shared" ref="AU136:AU142" si="585">$AU$109*AU150</f>
        <v>0</v>
      </c>
      <c r="AV136" s="695">
        <f t="shared" si="569"/>
        <v>0</v>
      </c>
      <c r="AW136" s="696">
        <f t="shared" si="569"/>
        <v>0</v>
      </c>
      <c r="AX136" s="696">
        <f t="shared" si="570"/>
        <v>0</v>
      </c>
      <c r="AY136" s="697">
        <f t="shared" si="570"/>
        <v>0</v>
      </c>
      <c r="AZ136" s="1334">
        <v>0</v>
      </c>
      <c r="BA136" s="1335">
        <v>0</v>
      </c>
      <c r="BB136" s="1335">
        <f t="shared" si="571"/>
        <v>0</v>
      </c>
      <c r="BC136" s="1336">
        <f t="shared" si="571"/>
        <v>0</v>
      </c>
      <c r="BD136" s="1334">
        <f t="shared" si="572"/>
        <v>0</v>
      </c>
      <c r="BE136" s="1335">
        <f t="shared" si="572"/>
        <v>0</v>
      </c>
      <c r="BF136" s="1335">
        <f t="shared" si="572"/>
        <v>0</v>
      </c>
      <c r="BG136" s="1336">
        <f t="shared" si="572"/>
        <v>0</v>
      </c>
      <c r="BH136" s="695">
        <f t="shared" ref="BH136:BI136" si="586">BH$109*BH150</f>
        <v>0</v>
      </c>
      <c r="BI136" s="696">
        <f t="shared" si="586"/>
        <v>0</v>
      </c>
      <c r="BJ136" s="696">
        <f t="shared" ref="BJ136:BK136" si="587">BJ$109*BJ150</f>
        <v>0</v>
      </c>
      <c r="BK136" s="1336">
        <f t="shared" si="587"/>
        <v>0</v>
      </c>
      <c r="BL136" s="695"/>
      <c r="BM136" s="696"/>
      <c r="BN136" s="696"/>
      <c r="BO136" s="697"/>
      <c r="BP136" s="695"/>
      <c r="BQ136" s="696"/>
      <c r="BR136" s="696"/>
      <c r="BS136" s="697"/>
      <c r="BT136" s="695"/>
      <c r="BU136" s="696"/>
      <c r="BV136" s="696"/>
      <c r="BW136" s="697"/>
      <c r="BX136" s="776"/>
      <c r="BY136" s="698">
        <v>4</v>
      </c>
      <c r="BZ136" s="700">
        <f t="shared" si="575"/>
        <v>4.0999999999999996</v>
      </c>
      <c r="CA136" s="696">
        <f t="shared" si="576"/>
        <v>4.2</v>
      </c>
      <c r="CB136" s="696">
        <f t="shared" si="577"/>
        <v>3.6</v>
      </c>
      <c r="CC136" s="696">
        <f t="shared" si="578"/>
        <v>11.1</v>
      </c>
      <c r="CD136" s="696">
        <f t="shared" si="579"/>
        <v>2</v>
      </c>
      <c r="CE136" s="696">
        <f t="shared" si="580"/>
        <v>5.4</v>
      </c>
      <c r="CF136" s="696">
        <f t="shared" si="581"/>
        <v>12.3</v>
      </c>
      <c r="CG136" s="696">
        <f t="shared" si="582"/>
        <v>36.6</v>
      </c>
      <c r="CH136" s="696">
        <f t="shared" si="583"/>
        <v>15</v>
      </c>
      <c r="CI136" s="696">
        <f t="shared" si="584"/>
        <v>0</v>
      </c>
      <c r="CJ136" s="696"/>
      <c r="CK136" s="696"/>
      <c r="CL136" s="696"/>
      <c r="CM136" s="696"/>
      <c r="CN136" s="696"/>
      <c r="CO136" s="696"/>
      <c r="CP136" s="697"/>
      <c r="CQ136" s="1041"/>
    </row>
    <row r="137" spans="2:95" ht="14.25" customHeight="1">
      <c r="B137" s="300" t="s">
        <v>216</v>
      </c>
      <c r="C137" s="303"/>
      <c r="D137" s="698">
        <v>48.3</v>
      </c>
      <c r="E137" s="699">
        <v>47.8</v>
      </c>
      <c r="F137" s="699">
        <v>44.1</v>
      </c>
      <c r="G137" s="369">
        <f>189.3-SUM(D137:F137)</f>
        <v>49.100000000000023</v>
      </c>
      <c r="H137" s="698">
        <f>9+44.3</f>
        <v>53.3</v>
      </c>
      <c r="I137" s="699">
        <f>10+45.7</f>
        <v>55.7</v>
      </c>
      <c r="J137" s="699">
        <f>49.3+0.2</f>
        <v>49.5</v>
      </c>
      <c r="K137" s="369">
        <f>116.4+92.7-SUM(H137:J137)</f>
        <v>50.600000000000023</v>
      </c>
      <c r="L137" s="698">
        <v>56.7</v>
      </c>
      <c r="M137" s="699">
        <f>49.9+0.1</f>
        <v>50</v>
      </c>
      <c r="N137" s="699">
        <v>48.3</v>
      </c>
      <c r="O137" s="369">
        <f>206.7+0.1-SUM(L137:N137)</f>
        <v>51.799999999999983</v>
      </c>
      <c r="P137" s="698">
        <v>55.1</v>
      </c>
      <c r="Q137" s="699">
        <v>56.1</v>
      </c>
      <c r="R137" s="699">
        <v>57.9</v>
      </c>
      <c r="S137" s="369">
        <f>228+0.2-SUM(P137:R137)</f>
        <v>59.099999999999994</v>
      </c>
      <c r="T137" s="698">
        <v>58.4</v>
      </c>
      <c r="U137" s="699">
        <v>56.4</v>
      </c>
      <c r="V137" s="699">
        <v>57.4</v>
      </c>
      <c r="W137" s="369">
        <f>228.9-SUM(T137:V137)</f>
        <v>56.700000000000017</v>
      </c>
      <c r="X137" s="698">
        <v>57.9</v>
      </c>
      <c r="Y137" s="699">
        <v>56</v>
      </c>
      <c r="Z137" s="699">
        <v>59</v>
      </c>
      <c r="AA137" s="369">
        <f>204.8+0.3-SUM(X137:Z137)</f>
        <v>32.200000000000017</v>
      </c>
      <c r="AB137" s="698">
        <f>47.7+0.7</f>
        <v>48.400000000000006</v>
      </c>
      <c r="AC137" s="699">
        <v>53.8</v>
      </c>
      <c r="AD137" s="699">
        <v>78.7</v>
      </c>
      <c r="AE137" s="369">
        <f>258.2-SUM(AB137:AD137)</f>
        <v>77.299999999999983</v>
      </c>
      <c r="AF137" s="698">
        <f>93.4+0.5</f>
        <v>93.9</v>
      </c>
      <c r="AG137" s="699">
        <v>92.8</v>
      </c>
      <c r="AH137" s="699">
        <v>90</v>
      </c>
      <c r="AI137" s="369">
        <f>373-SUM(AF137:AH137)</f>
        <v>96.300000000000011</v>
      </c>
      <c r="AJ137" s="698">
        <v>109.9</v>
      </c>
      <c r="AK137" s="699">
        <v>107.8</v>
      </c>
      <c r="AL137" s="699">
        <v>111.1</v>
      </c>
      <c r="AM137" s="369">
        <f>424.7-SUM(AJ137:AL137)</f>
        <v>95.900000000000034</v>
      </c>
      <c r="AN137" s="698">
        <v>105.8</v>
      </c>
      <c r="AO137" s="699">
        <v>100</v>
      </c>
      <c r="AP137" s="699">
        <v>94</v>
      </c>
      <c r="AQ137" s="369">
        <f>388.3-SUM(AN137:AP137)</f>
        <v>88.5</v>
      </c>
      <c r="AR137" s="698">
        <v>97.8</v>
      </c>
      <c r="AS137" s="696">
        <f>AS151*IS!$AS$8</f>
        <v>103.24499999999999</v>
      </c>
      <c r="AT137" s="699">
        <v>101.9</v>
      </c>
      <c r="AU137" s="697">
        <f t="shared" si="585"/>
        <v>100.52000000000002</v>
      </c>
      <c r="AV137" s="695">
        <f t="shared" si="569"/>
        <v>120.105</v>
      </c>
      <c r="AW137" s="696">
        <f t="shared" si="569"/>
        <v>121.21599999999999</v>
      </c>
      <c r="AX137" s="696">
        <f t="shared" si="570"/>
        <v>125.02500000000001</v>
      </c>
      <c r="AY137" s="697">
        <f t="shared" si="570"/>
        <v>129.63</v>
      </c>
      <c r="AZ137" s="1334">
        <v>129.69999999999999</v>
      </c>
      <c r="BA137" s="1335">
        <v>119.2</v>
      </c>
      <c r="BB137" s="1335">
        <f t="shared" si="571"/>
        <v>135.66</v>
      </c>
      <c r="BC137" s="1336">
        <f t="shared" si="571"/>
        <v>126.04499999999997</v>
      </c>
      <c r="BD137" s="1334">
        <f t="shared" si="572"/>
        <v>138.92400000000001</v>
      </c>
      <c r="BE137" s="1335">
        <f t="shared" si="572"/>
        <v>142.64249999999998</v>
      </c>
      <c r="BF137" s="1335">
        <f t="shared" si="572"/>
        <v>142.63499999999999</v>
      </c>
      <c r="BG137" s="1336">
        <f t="shared" si="572"/>
        <v>185.9975</v>
      </c>
      <c r="BH137" s="695">
        <f t="shared" ref="BH137:BI137" si="588">BH$109*BH151</f>
        <v>281.95200000000006</v>
      </c>
      <c r="BI137" s="696">
        <f t="shared" si="588"/>
        <v>227.45999999999998</v>
      </c>
      <c r="BJ137" s="696">
        <f t="shared" ref="BJ137:BK137" si="589">BJ$109*BJ151</f>
        <v>222.56</v>
      </c>
      <c r="BK137" s="1336">
        <f t="shared" si="589"/>
        <v>214.70514674210258</v>
      </c>
      <c r="BL137" s="695"/>
      <c r="BM137" s="696"/>
      <c r="BN137" s="696"/>
      <c r="BO137" s="697"/>
      <c r="BP137" s="695"/>
      <c r="BQ137" s="696"/>
      <c r="BR137" s="696"/>
      <c r="BS137" s="697"/>
      <c r="BT137" s="695"/>
      <c r="BU137" s="696"/>
      <c r="BV137" s="696"/>
      <c r="BW137" s="697"/>
      <c r="BX137" s="776"/>
      <c r="BY137" s="698">
        <v>189.3</v>
      </c>
      <c r="BZ137" s="700">
        <f t="shared" si="575"/>
        <v>209.10000000000002</v>
      </c>
      <c r="CA137" s="696">
        <f t="shared" si="576"/>
        <v>206.79999999999998</v>
      </c>
      <c r="CB137" s="696">
        <f t="shared" si="577"/>
        <v>228.2</v>
      </c>
      <c r="CC137" s="696">
        <f t="shared" si="578"/>
        <v>228.9</v>
      </c>
      <c r="CD137" s="696">
        <f t="shared" si="579"/>
        <v>205.10000000000002</v>
      </c>
      <c r="CE137" s="696">
        <f t="shared" si="580"/>
        <v>258.2</v>
      </c>
      <c r="CF137" s="696">
        <f t="shared" si="581"/>
        <v>373</v>
      </c>
      <c r="CG137" s="696">
        <f t="shared" si="582"/>
        <v>424.7</v>
      </c>
      <c r="CH137" s="696">
        <f t="shared" si="583"/>
        <v>388.3</v>
      </c>
      <c r="CI137" s="696">
        <f t="shared" si="584"/>
        <v>403.46500000000003</v>
      </c>
      <c r="CJ137" s="696"/>
      <c r="CK137" s="696"/>
      <c r="CL137" s="696"/>
      <c r="CM137" s="696"/>
      <c r="CN137" s="696"/>
      <c r="CO137" s="696"/>
      <c r="CP137" s="697"/>
      <c r="CQ137" s="1041"/>
    </row>
    <row r="138" spans="2:95" ht="14.25" customHeight="1">
      <c r="B138" s="300" t="s">
        <v>217</v>
      </c>
      <c r="C138" s="303"/>
      <c r="D138" s="698">
        <v>0</v>
      </c>
      <c r="E138" s="699">
        <v>0</v>
      </c>
      <c r="F138" s="699">
        <v>0</v>
      </c>
      <c r="G138" s="369">
        <f>0-SUM(D138:F138)</f>
        <v>0</v>
      </c>
      <c r="H138" s="698">
        <v>0</v>
      </c>
      <c r="I138" s="699">
        <v>0</v>
      </c>
      <c r="J138" s="699">
        <v>0</v>
      </c>
      <c r="K138" s="369">
        <f>0-SUM(H138:J138)</f>
        <v>0</v>
      </c>
      <c r="L138" s="698">
        <v>0</v>
      </c>
      <c r="M138" s="699">
        <v>0</v>
      </c>
      <c r="N138" s="699">
        <v>0</v>
      </c>
      <c r="O138" s="369">
        <f>0-SUM(L138:N138)</f>
        <v>0</v>
      </c>
      <c r="P138" s="698">
        <v>0</v>
      </c>
      <c r="Q138" s="699">
        <v>0</v>
      </c>
      <c r="R138" s="699">
        <v>0</v>
      </c>
      <c r="S138" s="369">
        <f>0-SUM(P138:R138)</f>
        <v>0</v>
      </c>
      <c r="T138" s="698">
        <v>0</v>
      </c>
      <c r="U138" s="699">
        <v>0</v>
      </c>
      <c r="V138" s="699">
        <v>0</v>
      </c>
      <c r="W138" s="369">
        <f>0-SUM(T138:V138)</f>
        <v>0</v>
      </c>
      <c r="X138" s="698">
        <v>10.5</v>
      </c>
      <c r="Y138" s="699">
        <v>57.5</v>
      </c>
      <c r="Z138" s="699">
        <v>50.7</v>
      </c>
      <c r="AA138" s="369">
        <f>158.5-SUM(X138:Z138)</f>
        <v>39.799999999999997</v>
      </c>
      <c r="AB138" s="698">
        <v>27.4</v>
      </c>
      <c r="AC138" s="699">
        <v>0.6</v>
      </c>
      <c r="AD138" s="699">
        <v>0.4</v>
      </c>
      <c r="AE138" s="369">
        <f>29.5-SUM(AB138:AD138)</f>
        <v>1.1000000000000014</v>
      </c>
      <c r="AF138" s="698">
        <v>0.1</v>
      </c>
      <c r="AG138" s="699">
        <v>0</v>
      </c>
      <c r="AH138" s="699">
        <v>0.2</v>
      </c>
      <c r="AI138" s="369">
        <f>0.7-SUM(AF138:AH138)</f>
        <v>0.39999999999999991</v>
      </c>
      <c r="AJ138" s="698">
        <v>0.9</v>
      </c>
      <c r="AK138" s="699">
        <v>2.1</v>
      </c>
      <c r="AL138" s="699">
        <v>0.7</v>
      </c>
      <c r="AM138" s="369">
        <f>3.7-SUM(AJ138:AL138)</f>
        <v>0</v>
      </c>
      <c r="AN138" s="698">
        <v>0.1</v>
      </c>
      <c r="AO138" s="699">
        <v>0</v>
      </c>
      <c r="AP138" s="699">
        <v>0.2</v>
      </c>
      <c r="AQ138" s="369">
        <f>0.5-SUM(AN138:AP138)</f>
        <v>0.19999999999999996</v>
      </c>
      <c r="AR138" s="698"/>
      <c r="AS138" s="696">
        <f>AS152*IS!$AS$8</f>
        <v>0</v>
      </c>
      <c r="AT138" s="699">
        <v>0</v>
      </c>
      <c r="AU138" s="697">
        <f t="shared" si="585"/>
        <v>0</v>
      </c>
      <c r="AV138" s="695">
        <f t="shared" si="569"/>
        <v>0</v>
      </c>
      <c r="AW138" s="696">
        <f t="shared" si="569"/>
        <v>0</v>
      </c>
      <c r="AX138" s="696">
        <f t="shared" si="570"/>
        <v>0</v>
      </c>
      <c r="AY138" s="697">
        <f t="shared" si="570"/>
        <v>0</v>
      </c>
      <c r="AZ138" s="1334">
        <v>0</v>
      </c>
      <c r="BA138" s="1335">
        <v>0</v>
      </c>
      <c r="BB138" s="1335">
        <f t="shared" si="571"/>
        <v>0</v>
      </c>
      <c r="BC138" s="1336">
        <f t="shared" si="571"/>
        <v>0</v>
      </c>
      <c r="BD138" s="1334">
        <f t="shared" si="572"/>
        <v>0</v>
      </c>
      <c r="BE138" s="1335">
        <f t="shared" si="572"/>
        <v>0</v>
      </c>
      <c r="BF138" s="1335">
        <f t="shared" si="572"/>
        <v>0</v>
      </c>
      <c r="BG138" s="1336">
        <f t="shared" si="572"/>
        <v>0</v>
      </c>
      <c r="BH138" s="695">
        <f t="shared" ref="BH138:BI138" si="590">BH$109*BH152</f>
        <v>0</v>
      </c>
      <c r="BI138" s="696">
        <f t="shared" si="590"/>
        <v>0</v>
      </c>
      <c r="BJ138" s="696">
        <f t="shared" ref="BJ138:BK138" si="591">BJ$109*BJ152</f>
        <v>0</v>
      </c>
      <c r="BK138" s="1336">
        <f t="shared" si="591"/>
        <v>0</v>
      </c>
      <c r="BL138" s="695"/>
      <c r="BM138" s="696"/>
      <c r="BN138" s="696"/>
      <c r="BO138" s="697"/>
      <c r="BP138" s="695"/>
      <c r="BQ138" s="696"/>
      <c r="BR138" s="696"/>
      <c r="BS138" s="697"/>
      <c r="BT138" s="695"/>
      <c r="BU138" s="696"/>
      <c r="BV138" s="696"/>
      <c r="BW138" s="697"/>
      <c r="BX138" s="776"/>
      <c r="BY138" s="698">
        <v>0</v>
      </c>
      <c r="BZ138" s="700">
        <f t="shared" si="575"/>
        <v>0</v>
      </c>
      <c r="CA138" s="696">
        <f t="shared" si="576"/>
        <v>0</v>
      </c>
      <c r="CB138" s="696">
        <f t="shared" si="577"/>
        <v>0</v>
      </c>
      <c r="CC138" s="696">
        <f t="shared" si="578"/>
        <v>0</v>
      </c>
      <c r="CD138" s="696">
        <f t="shared" si="579"/>
        <v>158.5</v>
      </c>
      <c r="CE138" s="696">
        <f t="shared" si="580"/>
        <v>29.5</v>
      </c>
      <c r="CF138" s="696">
        <f t="shared" si="581"/>
        <v>0.7</v>
      </c>
      <c r="CG138" s="696">
        <f t="shared" si="582"/>
        <v>3.7</v>
      </c>
      <c r="CH138" s="696">
        <f t="shared" si="583"/>
        <v>0.5</v>
      </c>
      <c r="CI138" s="696">
        <f t="shared" si="584"/>
        <v>0</v>
      </c>
      <c r="CJ138" s="696"/>
      <c r="CK138" s="696"/>
      <c r="CL138" s="696"/>
      <c r="CM138" s="696"/>
      <c r="CN138" s="696"/>
      <c r="CO138" s="696"/>
      <c r="CP138" s="697"/>
      <c r="CQ138" s="1041"/>
    </row>
    <row r="139" spans="2:95" ht="14.25" customHeight="1">
      <c r="B139" s="300" t="s">
        <v>218</v>
      </c>
      <c r="C139" s="303"/>
      <c r="D139" s="698">
        <v>0</v>
      </c>
      <c r="E139" s="699">
        <v>0</v>
      </c>
      <c r="F139" s="699">
        <v>0</v>
      </c>
      <c r="G139" s="369">
        <f>0-SUM(D139:F139)</f>
        <v>0</v>
      </c>
      <c r="H139" s="698">
        <v>82.6</v>
      </c>
      <c r="I139" s="699">
        <v>93.8</v>
      </c>
      <c r="J139" s="699">
        <v>91.5</v>
      </c>
      <c r="K139" s="369">
        <f>361.7-SUM(H139:J139)</f>
        <v>93.800000000000011</v>
      </c>
      <c r="L139" s="698">
        <v>89</v>
      </c>
      <c r="M139" s="699">
        <v>103.2</v>
      </c>
      <c r="N139" s="699">
        <v>111.6</v>
      </c>
      <c r="O139" s="369">
        <f>427.2-SUM(L139:N139)</f>
        <v>123.40000000000003</v>
      </c>
      <c r="P139" s="698">
        <v>122.7</v>
      </c>
      <c r="Q139" s="699">
        <v>138.30000000000001</v>
      </c>
      <c r="R139" s="699">
        <v>150.30000000000001</v>
      </c>
      <c r="S139" s="369">
        <f>546.5-SUM(P139:R139)</f>
        <v>135.19999999999999</v>
      </c>
      <c r="T139" s="698">
        <v>140.30000000000001</v>
      </c>
      <c r="U139" s="699">
        <v>154.5</v>
      </c>
      <c r="V139" s="699">
        <v>179.6</v>
      </c>
      <c r="W139" s="369">
        <f>666.4-SUM(T139:V139)</f>
        <v>192</v>
      </c>
      <c r="X139" s="698">
        <v>170.6</v>
      </c>
      <c r="Y139" s="699">
        <v>199</v>
      </c>
      <c r="Z139" s="699">
        <v>242.4</v>
      </c>
      <c r="AA139" s="369">
        <f>775.5-SUM(X139:Z139)</f>
        <v>163.5</v>
      </c>
      <c r="AB139" s="698">
        <v>100.2</v>
      </c>
      <c r="AC139" s="699">
        <v>146.1</v>
      </c>
      <c r="AD139" s="699">
        <v>159</v>
      </c>
      <c r="AE139" s="369">
        <f>565.4-SUM(AB139:AD139)</f>
        <v>160.09999999999997</v>
      </c>
      <c r="AF139" s="698">
        <v>172.2</v>
      </c>
      <c r="AG139" s="699">
        <v>199.4</v>
      </c>
      <c r="AH139" s="699">
        <v>207.6</v>
      </c>
      <c r="AI139" s="369">
        <f>762.4-SUM(AF139:AH139)</f>
        <v>183.19999999999993</v>
      </c>
      <c r="AJ139" s="698">
        <v>269.89999999999998</v>
      </c>
      <c r="AK139" s="699">
        <v>277.60000000000002</v>
      </c>
      <c r="AL139" s="699">
        <v>267.8</v>
      </c>
      <c r="AM139" s="369">
        <f>1053.8-SUM(AJ139:AL139)</f>
        <v>238.5</v>
      </c>
      <c r="AN139" s="698">
        <v>218.3</v>
      </c>
      <c r="AO139" s="699">
        <v>217.6</v>
      </c>
      <c r="AP139" s="699">
        <v>228.5</v>
      </c>
      <c r="AQ139" s="369">
        <f>874.2-SUM(AN139:AP139)</f>
        <v>209.80000000000007</v>
      </c>
      <c r="AR139" s="698"/>
      <c r="AS139" s="696">
        <f>AS153*IS!$AS$8</f>
        <v>0</v>
      </c>
      <c r="AT139" s="699">
        <v>230.1</v>
      </c>
      <c r="AU139" s="697">
        <f t="shared" si="585"/>
        <v>0</v>
      </c>
      <c r="AV139" s="695">
        <f t="shared" si="569"/>
        <v>0</v>
      </c>
      <c r="AW139" s="696">
        <f t="shared" si="569"/>
        <v>0</v>
      </c>
      <c r="AX139" s="696">
        <f t="shared" si="570"/>
        <v>0</v>
      </c>
      <c r="AY139" s="697">
        <f t="shared" si="570"/>
        <v>0</v>
      </c>
      <c r="AZ139" s="1334">
        <v>0</v>
      </c>
      <c r="BA139" s="1335">
        <v>0</v>
      </c>
      <c r="BB139" s="1335">
        <f t="shared" si="571"/>
        <v>0</v>
      </c>
      <c r="BC139" s="1336">
        <f t="shared" si="571"/>
        <v>0</v>
      </c>
      <c r="BD139" s="1334">
        <f t="shared" si="572"/>
        <v>0</v>
      </c>
      <c r="BE139" s="1335">
        <f t="shared" si="572"/>
        <v>0</v>
      </c>
      <c r="BF139" s="1335">
        <f t="shared" si="572"/>
        <v>0</v>
      </c>
      <c r="BG139" s="1336">
        <f t="shared" si="572"/>
        <v>0</v>
      </c>
      <c r="BH139" s="695">
        <f t="shared" ref="BH139:BI139" si="592">BH$109*BH153</f>
        <v>0</v>
      </c>
      <c r="BI139" s="696">
        <f t="shared" si="592"/>
        <v>0</v>
      </c>
      <c r="BJ139" s="696">
        <f t="shared" ref="BJ139:BK139" si="593">BJ$109*BJ153</f>
        <v>0</v>
      </c>
      <c r="BK139" s="1336">
        <f t="shared" si="593"/>
        <v>0</v>
      </c>
      <c r="BL139" s="695"/>
      <c r="BM139" s="696"/>
      <c r="BN139" s="696"/>
      <c r="BO139" s="697"/>
      <c r="BP139" s="695"/>
      <c r="BQ139" s="696"/>
      <c r="BR139" s="696"/>
      <c r="BS139" s="697"/>
      <c r="BT139" s="695"/>
      <c r="BU139" s="696"/>
      <c r="BV139" s="696"/>
      <c r="BW139" s="697"/>
      <c r="BX139" s="776"/>
      <c r="BY139" s="698">
        <v>252.6</v>
      </c>
      <c r="BZ139" s="700">
        <f t="shared" si="575"/>
        <v>361.7</v>
      </c>
      <c r="CA139" s="696">
        <f t="shared" si="576"/>
        <v>427.2</v>
      </c>
      <c r="CB139" s="696">
        <f t="shared" si="577"/>
        <v>546.5</v>
      </c>
      <c r="CC139" s="696">
        <f t="shared" si="578"/>
        <v>666.4</v>
      </c>
      <c r="CD139" s="696">
        <f t="shared" si="579"/>
        <v>775.5</v>
      </c>
      <c r="CE139" s="696">
        <f t="shared" si="580"/>
        <v>565.4</v>
      </c>
      <c r="CF139" s="696">
        <f t="shared" si="581"/>
        <v>762.4</v>
      </c>
      <c r="CG139" s="696">
        <f t="shared" si="582"/>
        <v>1053.8</v>
      </c>
      <c r="CH139" s="696">
        <f t="shared" si="583"/>
        <v>874.2</v>
      </c>
      <c r="CI139" s="696">
        <f t="shared" si="584"/>
        <v>230.1</v>
      </c>
      <c r="CJ139" s="696"/>
      <c r="CK139" s="696"/>
      <c r="CL139" s="696"/>
      <c r="CM139" s="696"/>
      <c r="CN139" s="696"/>
      <c r="CO139" s="696"/>
      <c r="CP139" s="697"/>
      <c r="CQ139" s="1041"/>
    </row>
    <row r="140" spans="2:95" ht="14.25" customHeight="1">
      <c r="B140" s="300" t="s">
        <v>361</v>
      </c>
      <c r="C140" s="303"/>
      <c r="D140" s="698">
        <v>0</v>
      </c>
      <c r="E140" s="699">
        <v>0</v>
      </c>
      <c r="F140" s="699">
        <v>0</v>
      </c>
      <c r="G140" s="369">
        <f>0-SUM(D140:F140)</f>
        <v>0</v>
      </c>
      <c r="H140" s="698">
        <v>0</v>
      </c>
      <c r="I140" s="699">
        <v>0</v>
      </c>
      <c r="J140" s="699">
        <v>0</v>
      </c>
      <c r="K140" s="369">
        <f>0-SUM(H140:J140)</f>
        <v>0</v>
      </c>
      <c r="L140" s="698">
        <v>0</v>
      </c>
      <c r="M140" s="699">
        <v>0</v>
      </c>
      <c r="N140" s="699">
        <v>0</v>
      </c>
      <c r="O140" s="369">
        <f>0-SUM(L140:N140)</f>
        <v>0</v>
      </c>
      <c r="P140" s="698">
        <v>0</v>
      </c>
      <c r="Q140" s="699">
        <v>0</v>
      </c>
      <c r="R140" s="699">
        <v>0</v>
      </c>
      <c r="S140" s="369">
        <f>0-SUM(P140:R140)</f>
        <v>0</v>
      </c>
      <c r="T140" s="698">
        <v>0</v>
      </c>
      <c r="U140" s="699">
        <v>0</v>
      </c>
      <c r="V140" s="699">
        <v>0</v>
      </c>
      <c r="W140" s="369">
        <f>0-SUM(T140:V140)</f>
        <v>0</v>
      </c>
      <c r="X140" s="698">
        <v>0</v>
      </c>
      <c r="Y140" s="699">
        <v>0</v>
      </c>
      <c r="Z140" s="699">
        <v>0</v>
      </c>
      <c r="AA140" s="369">
        <f>0-SUM(X140:Z140)</f>
        <v>0</v>
      </c>
      <c r="AB140" s="698">
        <v>0</v>
      </c>
      <c r="AC140" s="699">
        <v>0</v>
      </c>
      <c r="AD140" s="699">
        <v>0</v>
      </c>
      <c r="AE140" s="369">
        <f>0-SUM(AB140:AD140)</f>
        <v>0</v>
      </c>
      <c r="AF140" s="698">
        <v>13.5</v>
      </c>
      <c r="AG140" s="699">
        <v>17.7</v>
      </c>
      <c r="AH140" s="699">
        <v>0</v>
      </c>
      <c r="AI140" s="369">
        <f>59.5-SUM(AF140:AH140)</f>
        <v>28.3</v>
      </c>
      <c r="AJ140" s="698">
        <v>125.4</v>
      </c>
      <c r="AK140" s="699">
        <v>119</v>
      </c>
      <c r="AL140" s="699">
        <v>136.4</v>
      </c>
      <c r="AM140" s="369">
        <f>494.8-SUM(AJ140:AL140)</f>
        <v>114</v>
      </c>
      <c r="AN140" s="698">
        <v>115.2</v>
      </c>
      <c r="AO140" s="699">
        <v>105.1</v>
      </c>
      <c r="AP140" s="699">
        <v>93.9</v>
      </c>
      <c r="AQ140" s="369">
        <f>401.2-SUM(AN140:AP140)</f>
        <v>86.999999999999943</v>
      </c>
      <c r="AR140" s="698">
        <v>71.7</v>
      </c>
      <c r="AS140" s="696">
        <f>AS154*IS!$AS$8</f>
        <v>75.712999999999994</v>
      </c>
      <c r="AT140" s="699">
        <v>70.3</v>
      </c>
      <c r="AU140" s="697">
        <f t="shared" si="585"/>
        <v>71.800000000000011</v>
      </c>
      <c r="AV140" s="695">
        <f t="shared" si="569"/>
        <v>63.585000000000001</v>
      </c>
      <c r="AW140" s="696">
        <f t="shared" si="569"/>
        <v>68.183999999999983</v>
      </c>
      <c r="AX140" s="696">
        <f t="shared" si="570"/>
        <v>75.015000000000001</v>
      </c>
      <c r="AY140" s="697">
        <f t="shared" si="570"/>
        <v>86.420000000000016</v>
      </c>
      <c r="AZ140" s="1334">
        <v>62.6</v>
      </c>
      <c r="BA140" s="1335">
        <v>64.8</v>
      </c>
      <c r="BB140" s="1335">
        <f t="shared" si="571"/>
        <v>72.352000000000004</v>
      </c>
      <c r="BC140" s="1336">
        <f t="shared" si="571"/>
        <v>75.626999999999981</v>
      </c>
      <c r="BD140" s="1334">
        <f t="shared" si="572"/>
        <v>81.72</v>
      </c>
      <c r="BE140" s="1335">
        <f t="shared" si="572"/>
        <v>81.1965</v>
      </c>
      <c r="BF140" s="1335">
        <f t="shared" si="572"/>
        <v>85.580999999999989</v>
      </c>
      <c r="BG140" s="1336">
        <f t="shared" si="572"/>
        <v>72.507500000000007</v>
      </c>
      <c r="BH140" s="695">
        <f t="shared" ref="BH140:BI140" si="594">BH$109*BH154</f>
        <v>76.896000000000001</v>
      </c>
      <c r="BI140" s="696">
        <f t="shared" si="594"/>
        <v>93.66</v>
      </c>
      <c r="BJ140" s="696">
        <f t="shared" ref="BJ140:BK140" si="595">BJ$109*BJ154</f>
        <v>97.37</v>
      </c>
      <c r="BK140" s="1336">
        <f t="shared" si="595"/>
        <v>104.18545841394665</v>
      </c>
      <c r="BL140" s="695"/>
      <c r="BM140" s="696"/>
      <c r="BN140" s="696"/>
      <c r="BO140" s="697"/>
      <c r="BP140" s="695"/>
      <c r="BQ140" s="696"/>
      <c r="BR140" s="696"/>
      <c r="BS140" s="697"/>
      <c r="BT140" s="695"/>
      <c r="BU140" s="696"/>
      <c r="BV140" s="696"/>
      <c r="BW140" s="697"/>
      <c r="BX140" s="776"/>
      <c r="BY140" s="698">
        <v>0</v>
      </c>
      <c r="BZ140" s="700">
        <f t="shared" si="575"/>
        <v>0</v>
      </c>
      <c r="CA140" s="696">
        <f t="shared" si="576"/>
        <v>0</v>
      </c>
      <c r="CB140" s="696">
        <f t="shared" si="577"/>
        <v>0</v>
      </c>
      <c r="CC140" s="696">
        <f t="shared" si="578"/>
        <v>0</v>
      </c>
      <c r="CD140" s="696">
        <f t="shared" si="579"/>
        <v>0</v>
      </c>
      <c r="CE140" s="696">
        <f t="shared" si="580"/>
        <v>0</v>
      </c>
      <c r="CF140" s="696">
        <f t="shared" si="581"/>
        <v>59.5</v>
      </c>
      <c r="CG140" s="696">
        <f t="shared" si="582"/>
        <v>494.8</v>
      </c>
      <c r="CH140" s="696">
        <f t="shared" si="583"/>
        <v>401.2</v>
      </c>
      <c r="CI140" s="696">
        <f t="shared" si="584"/>
        <v>289.51300000000003</v>
      </c>
      <c r="CJ140" s="696"/>
      <c r="CK140" s="696"/>
      <c r="CL140" s="696"/>
      <c r="CM140" s="696"/>
      <c r="CN140" s="696"/>
      <c r="CO140" s="696"/>
      <c r="CP140" s="697"/>
      <c r="CQ140" s="1041"/>
    </row>
    <row r="141" spans="2:95" ht="14.25" customHeight="1">
      <c r="B141" s="300" t="s">
        <v>219</v>
      </c>
      <c r="C141" s="303"/>
      <c r="D141" s="698">
        <v>0</v>
      </c>
      <c r="E141" s="699">
        <v>0</v>
      </c>
      <c r="F141" s="699">
        <v>0</v>
      </c>
      <c r="G141" s="369">
        <f>0-SUM(D141:F141)</f>
        <v>0</v>
      </c>
      <c r="H141" s="698">
        <v>34.700000000000003</v>
      </c>
      <c r="I141" s="699">
        <v>39.299999999999997</v>
      </c>
      <c r="J141" s="699">
        <v>37.299999999999997</v>
      </c>
      <c r="K141" s="369">
        <f>151.3-SUM(H141:J141)</f>
        <v>40.000000000000014</v>
      </c>
      <c r="L141" s="698">
        <v>33</v>
      </c>
      <c r="M141" s="699">
        <v>33.799999999999997</v>
      </c>
      <c r="N141" s="699">
        <v>35</v>
      </c>
      <c r="O141" s="369">
        <f>142.4-SUM(L141:N141)</f>
        <v>40.600000000000009</v>
      </c>
      <c r="P141" s="698">
        <v>36.299999999999997</v>
      </c>
      <c r="Q141" s="699">
        <v>41.5</v>
      </c>
      <c r="R141" s="699">
        <v>43</v>
      </c>
      <c r="S141" s="369">
        <f>160.6-SUM(P141:R141)</f>
        <v>39.799999999999997</v>
      </c>
      <c r="T141" s="698">
        <v>37.5</v>
      </c>
      <c r="U141" s="699">
        <v>35.4</v>
      </c>
      <c r="V141" s="699">
        <v>38.4</v>
      </c>
      <c r="W141" s="369">
        <f>148.6-SUM(T141:V141)</f>
        <v>37.299999999999983</v>
      </c>
      <c r="X141" s="698">
        <v>36.700000000000003</v>
      </c>
      <c r="Y141" s="699">
        <v>40.4</v>
      </c>
      <c r="Z141" s="699">
        <v>44.5</v>
      </c>
      <c r="AA141" s="369">
        <f>157.9-SUM(X141:Z141)</f>
        <v>36.300000000000011</v>
      </c>
      <c r="AB141" s="698">
        <v>62.2</v>
      </c>
      <c r="AC141" s="699">
        <v>96.5</v>
      </c>
      <c r="AD141" s="699">
        <v>108.8</v>
      </c>
      <c r="AE141" s="369">
        <f>387.3-SUM(AB141:AD141)</f>
        <v>119.80000000000001</v>
      </c>
      <c r="AF141" s="698">
        <v>130.19999999999999</v>
      </c>
      <c r="AG141" s="699">
        <v>134</v>
      </c>
      <c r="AH141" s="699">
        <v>137.69999999999999</v>
      </c>
      <c r="AI141" s="369">
        <f>540.8-SUM(AF141:AH141)</f>
        <v>138.89999999999998</v>
      </c>
      <c r="AJ141" s="698">
        <v>170.8</v>
      </c>
      <c r="AK141" s="699">
        <v>193.6</v>
      </c>
      <c r="AL141" s="699">
        <v>180.6</v>
      </c>
      <c r="AM141" s="369">
        <f>683.3-SUM(AJ141:AL141)</f>
        <v>138.29999999999995</v>
      </c>
      <c r="AN141" s="698">
        <v>143.5</v>
      </c>
      <c r="AO141" s="699">
        <v>163.5</v>
      </c>
      <c r="AP141" s="699">
        <v>157.30000000000001</v>
      </c>
      <c r="AQ141" s="369">
        <f>627.7-SUM(AN141:AP141)</f>
        <v>163.40000000000003</v>
      </c>
      <c r="AR141" s="698"/>
      <c r="AS141" s="696">
        <f>AS155*IS!$AS$8</f>
        <v>0</v>
      </c>
      <c r="AT141" s="699">
        <v>178.3</v>
      </c>
      <c r="AU141" s="697">
        <f t="shared" si="585"/>
        <v>0</v>
      </c>
      <c r="AV141" s="695">
        <f t="shared" si="569"/>
        <v>0</v>
      </c>
      <c r="AW141" s="696">
        <f t="shared" si="569"/>
        <v>0</v>
      </c>
      <c r="AX141" s="696">
        <f t="shared" si="570"/>
        <v>0</v>
      </c>
      <c r="AY141" s="697">
        <f t="shared" si="570"/>
        <v>0</v>
      </c>
      <c r="AZ141" s="1334">
        <v>316.3</v>
      </c>
      <c r="BA141" s="1335">
        <v>294.60000000000002</v>
      </c>
      <c r="BB141" s="1335">
        <f t="shared" si="571"/>
        <v>0</v>
      </c>
      <c r="BC141" s="1336">
        <f t="shared" si="571"/>
        <v>0</v>
      </c>
      <c r="BD141" s="1334">
        <f t="shared" si="572"/>
        <v>0</v>
      </c>
      <c r="BE141" s="1335">
        <f t="shared" si="572"/>
        <v>0</v>
      </c>
      <c r="BF141" s="1335">
        <f t="shared" si="572"/>
        <v>0</v>
      </c>
      <c r="BG141" s="1336">
        <f t="shared" si="572"/>
        <v>0</v>
      </c>
      <c r="BH141" s="695">
        <f t="shared" ref="BH141:BI141" si="596">BH$109*BH155</f>
        <v>0</v>
      </c>
      <c r="BI141" s="696">
        <f t="shared" si="596"/>
        <v>0</v>
      </c>
      <c r="BJ141" s="696">
        <f t="shared" ref="BJ141:BK141" si="597">BJ$109*BJ155</f>
        <v>0</v>
      </c>
      <c r="BK141" s="1336">
        <f t="shared" si="597"/>
        <v>0</v>
      </c>
      <c r="BL141" s="695"/>
      <c r="BM141" s="696"/>
      <c r="BN141" s="696"/>
      <c r="BO141" s="697"/>
      <c r="BP141" s="695"/>
      <c r="BQ141" s="696"/>
      <c r="BR141" s="696"/>
      <c r="BS141" s="697"/>
      <c r="BT141" s="695"/>
      <c r="BU141" s="696"/>
      <c r="BV141" s="696"/>
      <c r="BW141" s="697"/>
      <c r="BX141" s="776"/>
      <c r="BY141" s="698">
        <v>123.2</v>
      </c>
      <c r="BZ141" s="700">
        <f t="shared" si="575"/>
        <v>151.30000000000001</v>
      </c>
      <c r="CA141" s="696">
        <f t="shared" si="576"/>
        <v>142.4</v>
      </c>
      <c r="CB141" s="696">
        <f t="shared" si="577"/>
        <v>160.6</v>
      </c>
      <c r="CC141" s="696">
        <f t="shared" si="578"/>
        <v>148.6</v>
      </c>
      <c r="CD141" s="696">
        <f t="shared" si="579"/>
        <v>157.9</v>
      </c>
      <c r="CE141" s="696">
        <f t="shared" si="580"/>
        <v>387.3</v>
      </c>
      <c r="CF141" s="696">
        <f t="shared" si="581"/>
        <v>540.79999999999995</v>
      </c>
      <c r="CG141" s="696">
        <f t="shared" si="582"/>
        <v>683.3</v>
      </c>
      <c r="CH141" s="696">
        <f t="shared" si="583"/>
        <v>627.70000000000005</v>
      </c>
      <c r="CI141" s="696">
        <f t="shared" si="584"/>
        <v>178.3</v>
      </c>
      <c r="CJ141" s="696"/>
      <c r="CK141" s="696"/>
      <c r="CL141" s="696"/>
      <c r="CM141" s="696"/>
      <c r="CN141" s="696"/>
      <c r="CO141" s="696"/>
      <c r="CP141" s="697"/>
      <c r="CQ141" s="1041"/>
    </row>
    <row r="142" spans="2:95" ht="14.25" customHeight="1">
      <c r="B142" s="300" t="s">
        <v>220</v>
      </c>
      <c r="C142" s="305"/>
      <c r="D142" s="698">
        <v>129</v>
      </c>
      <c r="E142" s="699">
        <v>126.6</v>
      </c>
      <c r="F142" s="699">
        <v>145.5</v>
      </c>
      <c r="G142" s="369">
        <f>252.6+123.2+182.4-SUM(D142:F142)</f>
        <v>157.10000000000002</v>
      </c>
      <c r="H142" s="698">
        <v>44</v>
      </c>
      <c r="I142" s="699">
        <v>52.2</v>
      </c>
      <c r="J142" s="699">
        <v>55.3</v>
      </c>
      <c r="K142" s="369">
        <f>197.3-SUM(H142:J142)</f>
        <v>45.800000000000011</v>
      </c>
      <c r="L142" s="698">
        <v>44.4</v>
      </c>
      <c r="M142" s="699">
        <v>44.6</v>
      </c>
      <c r="N142" s="699">
        <v>44.1</v>
      </c>
      <c r="O142" s="369">
        <f>185.2-SUM(L142:N142)</f>
        <v>52.099999999999994</v>
      </c>
      <c r="P142" s="698">
        <v>42.7</v>
      </c>
      <c r="Q142" s="699">
        <v>46.9</v>
      </c>
      <c r="R142" s="699">
        <v>46.7</v>
      </c>
      <c r="S142" s="369">
        <f>199.5-SUM(P142:R142)</f>
        <v>63.199999999999989</v>
      </c>
      <c r="T142" s="698">
        <v>37.4</v>
      </c>
      <c r="U142" s="699">
        <v>40.200000000000003</v>
      </c>
      <c r="V142" s="699">
        <v>36.4</v>
      </c>
      <c r="W142" s="369">
        <f>149.7-SUM(T142:V142)</f>
        <v>35.699999999999989</v>
      </c>
      <c r="X142" s="698">
        <v>45.3</v>
      </c>
      <c r="Y142" s="699">
        <v>71.8</v>
      </c>
      <c r="Z142" s="699">
        <v>74.3</v>
      </c>
      <c r="AA142" s="369">
        <f>253.1-SUM(X142:Z142)</f>
        <v>61.700000000000017</v>
      </c>
      <c r="AB142" s="698">
        <v>26.7</v>
      </c>
      <c r="AC142" s="699">
        <v>37</v>
      </c>
      <c r="AD142" s="699">
        <v>52.4</v>
      </c>
      <c r="AE142" s="369">
        <f>148.9-SUM(AB142:AD142)</f>
        <v>32.800000000000011</v>
      </c>
      <c r="AF142" s="698">
        <v>19.399999999999999</v>
      </c>
      <c r="AG142" s="701">
        <v>18.7</v>
      </c>
      <c r="AH142" s="699">
        <v>35.4</v>
      </c>
      <c r="AI142" s="369">
        <f>81.5-SUM(AF142:AH142)</f>
        <v>8</v>
      </c>
      <c r="AJ142" s="698">
        <v>60.3</v>
      </c>
      <c r="AK142" s="699">
        <v>59.8</v>
      </c>
      <c r="AL142" s="699">
        <v>58.9</v>
      </c>
      <c r="AM142" s="369">
        <f>221.4-SUM(AJ142:AL142)</f>
        <v>42.400000000000006</v>
      </c>
      <c r="AN142" s="698">
        <v>40.799999999999997</v>
      </c>
      <c r="AO142" s="699">
        <v>34.5</v>
      </c>
      <c r="AP142" s="699">
        <v>37.700000000000003</v>
      </c>
      <c r="AQ142" s="369">
        <f>136-SUM(AN142:AP142)</f>
        <v>23</v>
      </c>
      <c r="AR142" s="698">
        <v>386.4</v>
      </c>
      <c r="AS142" s="696">
        <f>AS156*IS!$AS$8</f>
        <v>406.09699999999998</v>
      </c>
      <c r="AT142" s="699">
        <v>25.8</v>
      </c>
      <c r="AU142" s="697">
        <f t="shared" si="585"/>
        <v>430.80000000000007</v>
      </c>
      <c r="AV142" s="695">
        <f t="shared" si="569"/>
        <v>402.70499999999998</v>
      </c>
      <c r="AW142" s="696">
        <f t="shared" si="569"/>
        <v>446.98399999999992</v>
      </c>
      <c r="AX142" s="696">
        <f t="shared" si="570"/>
        <v>500.1</v>
      </c>
      <c r="AY142" s="697">
        <f t="shared" si="570"/>
        <v>509.87799999999999</v>
      </c>
      <c r="AZ142" s="1334">
        <f>191.2+39.2</f>
        <v>230.39999999999998</v>
      </c>
      <c r="BA142" s="1335">
        <f>224+37.1</f>
        <v>261.10000000000002</v>
      </c>
      <c r="BB142" s="1335">
        <f t="shared" si="571"/>
        <v>560.72799999999995</v>
      </c>
      <c r="BC142" s="1336">
        <f t="shared" si="571"/>
        <v>495.77699999999987</v>
      </c>
      <c r="BD142" s="1334">
        <f t="shared" si="572"/>
        <v>449.46</v>
      </c>
      <c r="BE142" s="1335">
        <f t="shared" si="572"/>
        <v>511.31849999999997</v>
      </c>
      <c r="BF142" s="1335">
        <f t="shared" si="572"/>
        <v>580.04899999999998</v>
      </c>
      <c r="BG142" s="1336">
        <f t="shared" si="572"/>
        <v>829.10749999999996</v>
      </c>
      <c r="BH142" s="695">
        <f t="shared" ref="BH142:BI142" si="598">BH$109*BH156</f>
        <v>717.69600000000014</v>
      </c>
      <c r="BI142" s="696">
        <f t="shared" si="598"/>
        <v>842.93999999999983</v>
      </c>
      <c r="BJ142" s="696">
        <f t="shared" ref="BJ142:BK142" si="599">BJ$109*BJ156</f>
        <v>904.15</v>
      </c>
      <c r="BK142" s="1336">
        <f t="shared" si="599"/>
        <v>868.53112740600932</v>
      </c>
      <c r="BL142" s="695"/>
      <c r="BM142" s="696"/>
      <c r="BN142" s="696"/>
      <c r="BO142" s="697"/>
      <c r="BP142" s="695"/>
      <c r="BQ142" s="696"/>
      <c r="BR142" s="696"/>
      <c r="BS142" s="697"/>
      <c r="BT142" s="695"/>
      <c r="BU142" s="696"/>
      <c r="BV142" s="696"/>
      <c r="BW142" s="697"/>
      <c r="BX142" s="776"/>
      <c r="BY142" s="698">
        <v>182.4</v>
      </c>
      <c r="BZ142" s="700">
        <f t="shared" si="575"/>
        <v>197.3</v>
      </c>
      <c r="CA142" s="696">
        <f t="shared" si="576"/>
        <v>185.2</v>
      </c>
      <c r="CB142" s="702">
        <f t="shared" si="577"/>
        <v>199.5</v>
      </c>
      <c r="CC142" s="702">
        <f t="shared" si="578"/>
        <v>149.69999999999999</v>
      </c>
      <c r="CD142" s="702">
        <f t="shared" si="579"/>
        <v>253.1</v>
      </c>
      <c r="CE142" s="696">
        <f t="shared" si="580"/>
        <v>148.9</v>
      </c>
      <c r="CF142" s="696">
        <f t="shared" si="581"/>
        <v>81.5</v>
      </c>
      <c r="CG142" s="696">
        <f t="shared" si="582"/>
        <v>221.4</v>
      </c>
      <c r="CH142" s="696">
        <f t="shared" si="583"/>
        <v>136</v>
      </c>
      <c r="CI142" s="696">
        <f t="shared" si="584"/>
        <v>1249.097</v>
      </c>
      <c r="CJ142" s="696"/>
      <c r="CK142" s="696"/>
      <c r="CL142" s="696"/>
      <c r="CM142" s="696"/>
      <c r="CN142" s="696"/>
      <c r="CO142" s="696"/>
      <c r="CP142" s="697"/>
      <c r="CQ142" s="1041"/>
    </row>
    <row r="143" spans="2:95" ht="14.25" customHeight="1">
      <c r="B143" s="347" t="s">
        <v>360</v>
      </c>
      <c r="C143" s="348"/>
      <c r="D143" s="703">
        <f t="shared" ref="D143:AU143" si="600">SUM(D135:D142)</f>
        <v>269.5</v>
      </c>
      <c r="E143" s="704">
        <f t="shared" si="600"/>
        <v>256.2</v>
      </c>
      <c r="F143" s="704">
        <f t="shared" si="600"/>
        <v>264.8</v>
      </c>
      <c r="G143" s="705">
        <f t="shared" si="600"/>
        <v>278.60000000000008</v>
      </c>
      <c r="H143" s="703">
        <f t="shared" si="600"/>
        <v>308.2</v>
      </c>
      <c r="I143" s="704">
        <f t="shared" si="600"/>
        <v>333.5</v>
      </c>
      <c r="J143" s="704">
        <f t="shared" si="600"/>
        <v>318.40000000000003</v>
      </c>
      <c r="K143" s="705">
        <f t="shared" si="600"/>
        <v>306.80000000000007</v>
      </c>
      <c r="L143" s="706">
        <f t="shared" si="600"/>
        <v>302.39999999999998</v>
      </c>
      <c r="M143" s="707">
        <f t="shared" si="600"/>
        <v>302.8</v>
      </c>
      <c r="N143" s="707">
        <f t="shared" si="600"/>
        <v>313.60000000000002</v>
      </c>
      <c r="O143" s="708">
        <f t="shared" si="600"/>
        <v>341.80000000000007</v>
      </c>
      <c r="P143" s="706">
        <f t="shared" si="600"/>
        <v>334</v>
      </c>
      <c r="Q143" s="707">
        <f t="shared" si="600"/>
        <v>375.29999999999995</v>
      </c>
      <c r="R143" s="707">
        <f t="shared" si="600"/>
        <v>420.90000000000003</v>
      </c>
      <c r="S143" s="708">
        <f t="shared" si="600"/>
        <v>401.59999999999997</v>
      </c>
      <c r="T143" s="706">
        <f t="shared" si="600"/>
        <v>374.2</v>
      </c>
      <c r="U143" s="707">
        <f t="shared" si="600"/>
        <v>381.2</v>
      </c>
      <c r="V143" s="707">
        <f t="shared" si="600"/>
        <v>402.9</v>
      </c>
      <c r="W143" s="708">
        <f t="shared" si="600"/>
        <v>407.89999999999992</v>
      </c>
      <c r="X143" s="706">
        <f t="shared" si="600"/>
        <v>421.9</v>
      </c>
      <c r="Y143" s="707">
        <f t="shared" si="600"/>
        <v>562.69999999999993</v>
      </c>
      <c r="Z143" s="707">
        <f t="shared" si="600"/>
        <v>581.5</v>
      </c>
      <c r="AA143" s="708">
        <f t="shared" si="600"/>
        <v>488.70000000000005</v>
      </c>
      <c r="AB143" s="706">
        <f t="shared" si="600"/>
        <v>379.1</v>
      </c>
      <c r="AC143" s="707">
        <f t="shared" si="600"/>
        <v>419.79999999999995</v>
      </c>
      <c r="AD143" s="707">
        <f t="shared" si="600"/>
        <v>472.90000000000003</v>
      </c>
      <c r="AE143" s="708">
        <f t="shared" si="600"/>
        <v>497.09999999999991</v>
      </c>
      <c r="AF143" s="706">
        <f t="shared" si="600"/>
        <v>550.19999999999993</v>
      </c>
      <c r="AG143" s="709">
        <f t="shared" si="600"/>
        <v>583.29999999999995</v>
      </c>
      <c r="AH143" s="707">
        <f t="shared" si="600"/>
        <v>600.69999999999993</v>
      </c>
      <c r="AI143" s="707">
        <f t="shared" si="600"/>
        <v>579.19999999999993</v>
      </c>
      <c r="AJ143" s="706">
        <f t="shared" si="600"/>
        <v>870.59999999999991</v>
      </c>
      <c r="AK143" s="707">
        <f t="shared" si="600"/>
        <v>905.8</v>
      </c>
      <c r="AL143" s="707">
        <f t="shared" si="600"/>
        <v>898</v>
      </c>
      <c r="AM143" s="708">
        <f t="shared" si="600"/>
        <v>767.9</v>
      </c>
      <c r="AN143" s="706">
        <f t="shared" si="600"/>
        <v>744.4</v>
      </c>
      <c r="AO143" s="707">
        <f t="shared" si="600"/>
        <v>744.8</v>
      </c>
      <c r="AP143" s="707">
        <f t="shared" si="600"/>
        <v>725.5</v>
      </c>
      <c r="AQ143" s="708">
        <f t="shared" si="600"/>
        <v>680.2</v>
      </c>
      <c r="AR143" s="706">
        <f t="shared" si="600"/>
        <v>661</v>
      </c>
      <c r="AS143" s="707">
        <f t="shared" si="600"/>
        <v>688.3</v>
      </c>
      <c r="AT143" s="707">
        <f t="shared" si="600"/>
        <v>715.4</v>
      </c>
      <c r="AU143" s="708">
        <f t="shared" si="600"/>
        <v>718.00000000000011</v>
      </c>
      <c r="AV143" s="706">
        <f t="shared" ref="AV143:BA143" si="601">SUM(AV135:AV142)</f>
        <v>706.5</v>
      </c>
      <c r="AW143" s="707">
        <f t="shared" si="601"/>
        <v>757.59999999999991</v>
      </c>
      <c r="AX143" s="707">
        <f t="shared" si="601"/>
        <v>833.5</v>
      </c>
      <c r="AY143" s="708">
        <f t="shared" si="601"/>
        <v>864.2</v>
      </c>
      <c r="AZ143" s="1337">
        <f t="shared" si="601"/>
        <v>870.80000000000007</v>
      </c>
      <c r="BA143" s="1338">
        <f t="shared" si="601"/>
        <v>880.50000000000011</v>
      </c>
      <c r="BB143" s="1338">
        <f t="shared" ref="BB143:BI143" si="602">SUM(BB135:BB142)</f>
        <v>904.4</v>
      </c>
      <c r="BC143" s="1339">
        <f t="shared" si="602"/>
        <v>840.29999999999973</v>
      </c>
      <c r="BD143" s="1337">
        <f t="shared" si="602"/>
        <v>817.2</v>
      </c>
      <c r="BE143" s="1338">
        <f t="shared" si="602"/>
        <v>877.8</v>
      </c>
      <c r="BF143" s="1338">
        <f t="shared" si="602"/>
        <v>950.9</v>
      </c>
      <c r="BG143" s="1339">
        <f t="shared" si="602"/>
        <v>1261</v>
      </c>
      <c r="BH143" s="706">
        <f t="shared" ref="BH143" si="603">SUM(BH135:BH142)</f>
        <v>1281.6000000000004</v>
      </c>
      <c r="BI143" s="707">
        <f t="shared" si="602"/>
        <v>1337.9999999999998</v>
      </c>
      <c r="BJ143" s="707">
        <f t="shared" ref="BJ143:BK143" si="604">SUM(BJ135:BJ142)</f>
        <v>1391</v>
      </c>
      <c r="BK143" s="1339">
        <f t="shared" si="604"/>
        <v>1377.5</v>
      </c>
      <c r="BL143" s="706"/>
      <c r="BM143" s="707"/>
      <c r="BN143" s="707"/>
      <c r="BO143" s="708"/>
      <c r="BP143" s="706"/>
      <c r="BQ143" s="707"/>
      <c r="BR143" s="707"/>
      <c r="BS143" s="708"/>
      <c r="BT143" s="706"/>
      <c r="BU143" s="707"/>
      <c r="BV143" s="707"/>
      <c r="BW143" s="708"/>
      <c r="BX143" s="777"/>
      <c r="BY143" s="706">
        <f t="shared" ref="BY143:CH143" si="605">SUM(BY135:BY142)</f>
        <v>1069.1000000000001</v>
      </c>
      <c r="BZ143" s="707">
        <f t="shared" si="605"/>
        <v>1266.8999999999999</v>
      </c>
      <c r="CA143" s="707">
        <f t="shared" si="605"/>
        <v>1260.6000000000001</v>
      </c>
      <c r="CB143" s="707">
        <f t="shared" si="605"/>
        <v>1531.8</v>
      </c>
      <c r="CC143" s="707">
        <f t="shared" si="605"/>
        <v>1566.2</v>
      </c>
      <c r="CD143" s="707">
        <f t="shared" si="605"/>
        <v>2054.8000000000002</v>
      </c>
      <c r="CE143" s="707">
        <f t="shared" si="605"/>
        <v>1768.8999999999999</v>
      </c>
      <c r="CF143" s="707">
        <f t="shared" si="605"/>
        <v>2313.3999999999996</v>
      </c>
      <c r="CG143" s="707">
        <f t="shared" si="605"/>
        <v>3442.2999999999997</v>
      </c>
      <c r="CH143" s="707">
        <f t="shared" si="605"/>
        <v>2894.8999999999996</v>
      </c>
      <c r="CI143" s="707">
        <f>SUM(CI135:CI142)</f>
        <v>2782.7</v>
      </c>
      <c r="CJ143" s="707"/>
      <c r="CK143" s="707"/>
      <c r="CL143" s="707"/>
      <c r="CM143" s="707"/>
      <c r="CN143" s="707"/>
      <c r="CO143" s="707"/>
      <c r="CP143" s="708"/>
      <c r="CQ143" s="1041"/>
    </row>
    <row r="144" spans="2:95" ht="14.25" customHeight="1">
      <c r="B144" s="57"/>
      <c r="AJ144" s="9"/>
      <c r="AK144" s="9"/>
      <c r="AL144" s="9"/>
      <c r="AN144" s="9"/>
      <c r="AO144" s="9"/>
      <c r="AP144" s="9"/>
      <c r="AR144" s="9"/>
      <c r="AS144" s="9"/>
      <c r="AT144" s="9"/>
      <c r="AZ144" s="1340"/>
      <c r="BA144" s="1340"/>
      <c r="BB144" s="1340"/>
      <c r="BC144" s="1340"/>
      <c r="BD144" s="1340"/>
      <c r="BE144" s="1340"/>
      <c r="BF144" s="1340"/>
      <c r="BG144" s="1340"/>
      <c r="BJ144" s="1438"/>
      <c r="BK144" s="1340"/>
      <c r="BX144" s="302"/>
      <c r="BY144" s="302"/>
      <c r="BZ144" s="302"/>
      <c r="CA144" s="302"/>
      <c r="CB144" s="302"/>
      <c r="CC144" s="302"/>
      <c r="CD144" s="302"/>
      <c r="CE144" s="302"/>
      <c r="CF144" s="302"/>
      <c r="CG144" s="15"/>
      <c r="CH144" s="302"/>
      <c r="CI144" s="302"/>
      <c r="CJ144" s="302"/>
      <c r="CK144" s="302"/>
      <c r="CL144" s="302"/>
      <c r="CM144" s="302"/>
      <c r="CN144" s="302"/>
      <c r="CO144" s="302"/>
      <c r="CP144" s="302"/>
    </row>
    <row r="145" spans="1:95" ht="14.25" customHeight="1">
      <c r="B145" s="266" t="s">
        <v>301</v>
      </c>
      <c r="C145" s="267"/>
      <c r="D145" s="765" t="str">
        <f t="shared" ref="D145:AR145" si="606">IF(ABS(D159-D143)&lt;1,"OK",D159-D143)</f>
        <v>OK</v>
      </c>
      <c r="E145" s="766" t="str">
        <f t="shared" si="606"/>
        <v>OK</v>
      </c>
      <c r="F145" s="766" t="str">
        <f t="shared" si="606"/>
        <v>OK</v>
      </c>
      <c r="G145" s="766" t="str">
        <f t="shared" si="606"/>
        <v>OK</v>
      </c>
      <c r="H145" s="765" t="str">
        <f t="shared" si="606"/>
        <v>OK</v>
      </c>
      <c r="I145" s="766" t="str">
        <f t="shared" si="606"/>
        <v>OK</v>
      </c>
      <c r="J145" s="766" t="str">
        <f t="shared" si="606"/>
        <v>OK</v>
      </c>
      <c r="K145" s="766" t="str">
        <f t="shared" si="606"/>
        <v>OK</v>
      </c>
      <c r="L145" s="765" t="str">
        <f t="shared" si="606"/>
        <v>OK</v>
      </c>
      <c r="M145" s="766" t="str">
        <f t="shared" si="606"/>
        <v>OK</v>
      </c>
      <c r="N145" s="766" t="str">
        <f t="shared" si="606"/>
        <v>OK</v>
      </c>
      <c r="O145" s="766" t="str">
        <f t="shared" si="606"/>
        <v>OK</v>
      </c>
      <c r="P145" s="765" t="str">
        <f t="shared" si="606"/>
        <v>OK</v>
      </c>
      <c r="Q145" s="766" t="str">
        <f t="shared" si="606"/>
        <v>OK</v>
      </c>
      <c r="R145" s="766" t="str">
        <f t="shared" si="606"/>
        <v>OK</v>
      </c>
      <c r="S145" s="766" t="str">
        <f t="shared" si="606"/>
        <v>OK</v>
      </c>
      <c r="T145" s="765" t="str">
        <f t="shared" si="606"/>
        <v>OK</v>
      </c>
      <c r="U145" s="766" t="str">
        <f t="shared" si="606"/>
        <v>OK</v>
      </c>
      <c r="V145" s="766" t="str">
        <f t="shared" si="606"/>
        <v>OK</v>
      </c>
      <c r="W145" s="766" t="str">
        <f t="shared" si="606"/>
        <v>OK</v>
      </c>
      <c r="X145" s="765" t="str">
        <f t="shared" si="606"/>
        <v>OK</v>
      </c>
      <c r="Y145" s="766" t="str">
        <f t="shared" si="606"/>
        <v>OK</v>
      </c>
      <c r="Z145" s="766" t="str">
        <f t="shared" si="606"/>
        <v>OK</v>
      </c>
      <c r="AA145" s="766" t="str">
        <f t="shared" si="606"/>
        <v>OK</v>
      </c>
      <c r="AB145" s="765" t="str">
        <f t="shared" si="606"/>
        <v>OK</v>
      </c>
      <c r="AC145" s="766" t="str">
        <f t="shared" si="606"/>
        <v>OK</v>
      </c>
      <c r="AD145" s="766" t="str">
        <f t="shared" si="606"/>
        <v>OK</v>
      </c>
      <c r="AE145" s="766" t="str">
        <f t="shared" si="606"/>
        <v>OK</v>
      </c>
      <c r="AF145" s="765" t="str">
        <f t="shared" si="606"/>
        <v>OK</v>
      </c>
      <c r="AG145" s="766" t="str">
        <f t="shared" si="606"/>
        <v>OK</v>
      </c>
      <c r="AH145" s="766" t="str">
        <f t="shared" si="606"/>
        <v>OK</v>
      </c>
      <c r="AI145" s="766" t="str">
        <f t="shared" si="606"/>
        <v>OK</v>
      </c>
      <c r="AJ145" s="765" t="str">
        <f t="shared" si="606"/>
        <v>OK</v>
      </c>
      <c r="AK145" s="766" t="str">
        <f t="shared" si="606"/>
        <v>OK</v>
      </c>
      <c r="AL145" s="766" t="str">
        <f t="shared" si="606"/>
        <v>OK</v>
      </c>
      <c r="AM145" s="766" t="str">
        <f t="shared" si="606"/>
        <v>OK</v>
      </c>
      <c r="AN145" s="765" t="str">
        <f t="shared" si="606"/>
        <v>OK</v>
      </c>
      <c r="AO145" s="766" t="str">
        <f t="shared" si="606"/>
        <v>OK</v>
      </c>
      <c r="AP145" s="766" t="str">
        <f t="shared" si="606"/>
        <v>OK</v>
      </c>
      <c r="AQ145" s="766" t="str">
        <f t="shared" si="606"/>
        <v>OK</v>
      </c>
      <c r="AR145" s="765" t="str">
        <f t="shared" si="606"/>
        <v>OK</v>
      </c>
      <c r="AS145" s="766" t="str">
        <f t="shared" ref="AS145:AY145" si="607">IF(ABS(AS159-AS143)&lt;1,"OK",AS159-AS143)</f>
        <v>OK</v>
      </c>
      <c r="AT145" s="766" t="str">
        <f t="shared" si="607"/>
        <v>OK</v>
      </c>
      <c r="AU145" s="766" t="str">
        <f t="shared" si="607"/>
        <v>OK</v>
      </c>
      <c r="AV145" s="710" t="str">
        <f t="shared" si="607"/>
        <v>OK</v>
      </c>
      <c r="AW145" s="766" t="str">
        <f t="shared" si="607"/>
        <v>OK</v>
      </c>
      <c r="AX145" s="711" t="str">
        <f t="shared" si="607"/>
        <v>OK</v>
      </c>
      <c r="AY145" s="711" t="str">
        <f t="shared" si="607"/>
        <v>OK</v>
      </c>
      <c r="AZ145" s="1329" t="str">
        <f t="shared" ref="AZ145:BF145" si="608">IF(ABS(AZ159-AZ143)&lt;1,"OK",AZ159-AZ143)</f>
        <v>OK</v>
      </c>
      <c r="BA145" s="1330" t="str">
        <f t="shared" si="608"/>
        <v>OK</v>
      </c>
      <c r="BB145" s="1330" t="str">
        <f t="shared" si="608"/>
        <v>OK</v>
      </c>
      <c r="BC145" s="1330" t="str">
        <f t="shared" si="608"/>
        <v>OK</v>
      </c>
      <c r="BD145" s="1329" t="str">
        <f t="shared" si="608"/>
        <v>OK</v>
      </c>
      <c r="BE145" s="1330" t="str">
        <f t="shared" si="608"/>
        <v>OK</v>
      </c>
      <c r="BF145" s="1330" t="str">
        <f t="shared" si="608"/>
        <v>OK</v>
      </c>
      <c r="BG145" s="1330" t="str">
        <f t="shared" ref="BG145:BI145" si="609">IF(ABS(BG159-BG143)&lt;1,"OK",BG159-BG143)</f>
        <v>OK</v>
      </c>
      <c r="BH145" s="710">
        <f t="shared" si="609"/>
        <v>155.09999999999968</v>
      </c>
      <c r="BI145" s="1330" t="str">
        <f t="shared" si="609"/>
        <v>OK</v>
      </c>
      <c r="BJ145" s="1330" t="str">
        <f t="shared" ref="BJ145:BK145" si="610">IF(ABS(BJ159-BJ143)&lt;1,"OK",BJ159-BJ143)</f>
        <v>OK</v>
      </c>
      <c r="BK145" s="1330" t="str">
        <f t="shared" si="610"/>
        <v>OK</v>
      </c>
      <c r="BL145" s="710"/>
      <c r="BM145" s="711"/>
      <c r="BN145" s="711"/>
      <c r="BO145" s="711"/>
      <c r="BP145" s="710"/>
      <c r="BQ145" s="711"/>
      <c r="BR145" s="711"/>
      <c r="BS145" s="711"/>
      <c r="BT145" s="710"/>
      <c r="BU145" s="711"/>
      <c r="BV145" s="711"/>
      <c r="BW145" s="711"/>
      <c r="BX145" s="778"/>
      <c r="BY145" s="765" t="str">
        <f t="shared" ref="BY145:CH145" si="611">IF(ABS(BY159-BY143)&lt;1,"OK",BY159-BY143)</f>
        <v>OK</v>
      </c>
      <c r="BZ145" s="766" t="str">
        <f t="shared" si="611"/>
        <v>OK</v>
      </c>
      <c r="CA145" s="766" t="str">
        <f t="shared" si="611"/>
        <v>OK</v>
      </c>
      <c r="CB145" s="766" t="str">
        <f t="shared" si="611"/>
        <v>OK</v>
      </c>
      <c r="CC145" s="766" t="str">
        <f t="shared" si="611"/>
        <v>OK</v>
      </c>
      <c r="CD145" s="766" t="str">
        <f t="shared" si="611"/>
        <v>OK</v>
      </c>
      <c r="CE145" s="766" t="str">
        <f t="shared" si="611"/>
        <v>OK</v>
      </c>
      <c r="CF145" s="766" t="str">
        <f t="shared" si="611"/>
        <v>OK</v>
      </c>
      <c r="CG145" s="766" t="str">
        <f t="shared" si="611"/>
        <v>OK</v>
      </c>
      <c r="CH145" s="766" t="str">
        <f t="shared" si="611"/>
        <v>OK</v>
      </c>
      <c r="CI145" s="766" t="str">
        <f>IF(ABS(CI159-CI143)&lt;1,"OK",CI159-CI143)</f>
        <v>OK</v>
      </c>
      <c r="CJ145" s="711"/>
      <c r="CK145" s="711"/>
      <c r="CL145" s="711"/>
      <c r="CM145" s="711"/>
      <c r="CN145" s="711"/>
      <c r="CO145" s="711"/>
      <c r="CP145" s="712"/>
      <c r="CQ145" s="1041"/>
    </row>
    <row r="146" spans="1:95" ht="14.25" customHeight="1">
      <c r="B146" s="57"/>
      <c r="AJ146" s="9"/>
      <c r="AK146" s="9"/>
      <c r="AL146" s="9"/>
      <c r="AN146" s="9"/>
      <c r="BG146" s="1369"/>
      <c r="CG146" s="9"/>
      <c r="CJ146" s="302"/>
      <c r="CK146" s="302"/>
      <c r="CL146" s="302"/>
      <c r="CM146" s="302"/>
      <c r="CN146" s="302"/>
      <c r="CO146" s="302"/>
      <c r="CP146" s="302"/>
    </row>
    <row r="147" spans="1:95" ht="14.25" customHeight="1">
      <c r="B147" s="57"/>
      <c r="AJ147" s="9"/>
      <c r="AK147" s="9"/>
      <c r="AL147" s="9"/>
      <c r="AN147" s="9"/>
      <c r="BG147" s="1369"/>
      <c r="CG147" s="9"/>
      <c r="CJ147" s="302"/>
      <c r="CK147" s="302"/>
      <c r="CL147" s="302"/>
      <c r="CM147" s="302"/>
      <c r="CN147" s="302"/>
      <c r="CO147" s="302"/>
      <c r="CP147" s="302"/>
    </row>
    <row r="148" spans="1:95" ht="14.25" customHeight="1">
      <c r="B148" s="131" t="s">
        <v>363</v>
      </c>
      <c r="C148" s="132"/>
      <c r="D148" s="665" t="s">
        <v>25</v>
      </c>
      <c r="E148" s="665" t="s">
        <v>27</v>
      </c>
      <c r="F148" s="665" t="s">
        <v>29</v>
      </c>
      <c r="G148" s="666" t="s">
        <v>31</v>
      </c>
      <c r="H148" s="665" t="s">
        <v>33</v>
      </c>
      <c r="I148" s="665" t="s">
        <v>35</v>
      </c>
      <c r="J148" s="665" t="s">
        <v>37</v>
      </c>
      <c r="K148" s="665" t="s">
        <v>39</v>
      </c>
      <c r="L148" s="18" t="str">
        <f t="shared" ref="L148:AQ148" si="612">L7</f>
        <v>F1Q05A</v>
      </c>
      <c r="M148" s="19" t="str">
        <f t="shared" si="612"/>
        <v>F2Q05A</v>
      </c>
      <c r="N148" s="19" t="str">
        <f t="shared" si="612"/>
        <v>F3Q05A</v>
      </c>
      <c r="O148" s="20" t="str">
        <f t="shared" si="612"/>
        <v>F4Q05A</v>
      </c>
      <c r="P148" s="18" t="str">
        <f t="shared" si="612"/>
        <v>F1Q06A</v>
      </c>
      <c r="Q148" s="19" t="str">
        <f t="shared" si="612"/>
        <v>F2Q06A</v>
      </c>
      <c r="R148" s="19" t="str">
        <f t="shared" si="612"/>
        <v>F3Q06A</v>
      </c>
      <c r="S148" s="20" t="str">
        <f t="shared" si="612"/>
        <v>F4Q06A</v>
      </c>
      <c r="T148" s="18" t="str">
        <f t="shared" si="612"/>
        <v>F1Q07A</v>
      </c>
      <c r="U148" s="19" t="str">
        <f t="shared" si="612"/>
        <v>F2Q07A</v>
      </c>
      <c r="V148" s="19" t="str">
        <f t="shared" si="612"/>
        <v>F3Q07A</v>
      </c>
      <c r="W148" s="20" t="str">
        <f t="shared" si="612"/>
        <v>F4Q07A</v>
      </c>
      <c r="X148" s="18" t="str">
        <f t="shared" si="612"/>
        <v>F1Q08A</v>
      </c>
      <c r="Y148" s="19" t="str">
        <f t="shared" si="612"/>
        <v>F2Q08A</v>
      </c>
      <c r="Z148" s="19" t="str">
        <f t="shared" si="612"/>
        <v>F3Q08A</v>
      </c>
      <c r="AA148" s="20" t="str">
        <f t="shared" si="612"/>
        <v>F4Q08A</v>
      </c>
      <c r="AB148" s="18" t="str">
        <f t="shared" si="612"/>
        <v>F1Q09A</v>
      </c>
      <c r="AC148" s="19" t="str">
        <f t="shared" si="612"/>
        <v>F2Q09A</v>
      </c>
      <c r="AD148" s="19" t="str">
        <f t="shared" si="612"/>
        <v>F3Q09A</v>
      </c>
      <c r="AE148" s="20" t="str">
        <f t="shared" si="612"/>
        <v>F4Q09A</v>
      </c>
      <c r="AF148" s="18" t="str">
        <f t="shared" si="612"/>
        <v>F1Q10A</v>
      </c>
      <c r="AG148" s="19" t="str">
        <f t="shared" si="612"/>
        <v>F2Q10A</v>
      </c>
      <c r="AH148" s="19" t="str">
        <f t="shared" si="612"/>
        <v>F3Q10A</v>
      </c>
      <c r="AI148" s="20" t="str">
        <f t="shared" si="612"/>
        <v>F4Q10A</v>
      </c>
      <c r="AJ148" s="18" t="str">
        <f t="shared" si="612"/>
        <v>F1Q11A</v>
      </c>
      <c r="AK148" s="19" t="str">
        <f t="shared" si="612"/>
        <v>F2Q11A</v>
      </c>
      <c r="AL148" s="19" t="str">
        <f t="shared" si="612"/>
        <v>F3Q11A</v>
      </c>
      <c r="AM148" s="20" t="str">
        <f t="shared" si="612"/>
        <v>F4Q11A</v>
      </c>
      <c r="AN148" s="18" t="str">
        <f t="shared" si="612"/>
        <v>F1Q12A</v>
      </c>
      <c r="AO148" s="19" t="str">
        <f t="shared" si="612"/>
        <v>F2Q12A</v>
      </c>
      <c r="AP148" s="19" t="str">
        <f t="shared" si="612"/>
        <v>F3Q12A</v>
      </c>
      <c r="AQ148" s="20" t="str">
        <f t="shared" si="612"/>
        <v>F4Q12A</v>
      </c>
      <c r="AR148" s="18" t="str">
        <f t="shared" ref="AR148:BO148" si="613">AR7</f>
        <v>F1Q13A</v>
      </c>
      <c r="AS148" s="19" t="str">
        <f t="shared" si="613"/>
        <v>F2Q13A</v>
      </c>
      <c r="AT148" s="19" t="str">
        <f t="shared" si="613"/>
        <v>F3Q13A</v>
      </c>
      <c r="AU148" s="20" t="str">
        <f t="shared" si="613"/>
        <v>F4Q13A</v>
      </c>
      <c r="AV148" s="18" t="str">
        <f t="shared" si="613"/>
        <v>F1Q14A</v>
      </c>
      <c r="AW148" s="19" t="str">
        <f t="shared" si="613"/>
        <v>F2Q14A</v>
      </c>
      <c r="AX148" s="19" t="str">
        <f t="shared" si="613"/>
        <v>F3Q14A</v>
      </c>
      <c r="AY148" s="20" t="str">
        <f t="shared" si="613"/>
        <v>F4Q14A</v>
      </c>
      <c r="AZ148" s="18" t="str">
        <f t="shared" si="613"/>
        <v>F1Q15A</v>
      </c>
      <c r="BA148" s="19" t="str">
        <f t="shared" si="613"/>
        <v>F2Q15A</v>
      </c>
      <c r="BB148" s="19" t="str">
        <f t="shared" si="613"/>
        <v>F3Q15A</v>
      </c>
      <c r="BC148" s="20" t="str">
        <f t="shared" si="613"/>
        <v>F4Q15A</v>
      </c>
      <c r="BD148" s="18" t="str">
        <f t="shared" si="613"/>
        <v>F1Q16A</v>
      </c>
      <c r="BE148" s="19" t="str">
        <f t="shared" si="613"/>
        <v>F2Q16A</v>
      </c>
      <c r="BF148" s="19" t="str">
        <f t="shared" si="613"/>
        <v>F3Q16A</v>
      </c>
      <c r="BG148" s="1301" t="str">
        <f t="shared" si="613"/>
        <v>F4Q16A</v>
      </c>
      <c r="BH148" s="18" t="str">
        <f t="shared" si="613"/>
        <v>F1Q17A</v>
      </c>
      <c r="BI148" s="19" t="str">
        <f t="shared" si="613"/>
        <v>F2Q17A</v>
      </c>
      <c r="BJ148" s="19" t="str">
        <f t="shared" si="613"/>
        <v>F3Q17A</v>
      </c>
      <c r="BK148" s="20" t="str">
        <f t="shared" si="613"/>
        <v>F4Q17A</v>
      </c>
      <c r="BL148" s="1299" t="str">
        <f t="shared" si="613"/>
        <v>F1Q18E</v>
      </c>
      <c r="BM148" s="1300" t="str">
        <f t="shared" si="613"/>
        <v>F2Q18E</v>
      </c>
      <c r="BN148" s="1300" t="str">
        <f t="shared" si="613"/>
        <v>F3Q18E</v>
      </c>
      <c r="BO148" s="1301" t="str">
        <f t="shared" si="613"/>
        <v>F4Q18E</v>
      </c>
      <c r="BP148" s="1299" t="str">
        <f t="shared" ref="BP148:BS148" si="614">BP7</f>
        <v>F1Q19E</v>
      </c>
      <c r="BQ148" s="1300" t="str">
        <f t="shared" si="614"/>
        <v>F2Q19E</v>
      </c>
      <c r="BR148" s="1300" t="str">
        <f t="shared" si="614"/>
        <v>F3Q19E</v>
      </c>
      <c r="BS148" s="1301" t="str">
        <f t="shared" si="614"/>
        <v>F4Q19E</v>
      </c>
      <c r="BT148" s="1390" t="str">
        <f t="shared" ref="BT148:BW148" si="615">BT7</f>
        <v>F1Q20E</v>
      </c>
      <c r="BU148" s="1391" t="str">
        <f t="shared" si="615"/>
        <v>F2Q20E</v>
      </c>
      <c r="BV148" s="1391" t="str">
        <f t="shared" si="615"/>
        <v>F3Q20E</v>
      </c>
      <c r="BW148" s="1392" t="str">
        <f t="shared" si="615"/>
        <v>F4Q20E</v>
      </c>
      <c r="BX148" s="21"/>
      <c r="BY148" s="399" t="s">
        <v>336</v>
      </c>
      <c r="BZ148" s="400" t="s">
        <v>337</v>
      </c>
      <c r="CA148" s="400" t="str">
        <f t="shared" ref="CA148:CN148" si="616">CA7</f>
        <v>FY2005A</v>
      </c>
      <c r="CB148" s="400" t="str">
        <f t="shared" si="616"/>
        <v>FY2006A</v>
      </c>
      <c r="CC148" s="400" t="str">
        <f t="shared" si="616"/>
        <v>FY2007A</v>
      </c>
      <c r="CD148" s="400" t="str">
        <f t="shared" si="616"/>
        <v>FY2008A</v>
      </c>
      <c r="CE148" s="400" t="str">
        <f t="shared" si="616"/>
        <v>FY2009A</v>
      </c>
      <c r="CF148" s="400" t="str">
        <f t="shared" si="616"/>
        <v>FY2010A</v>
      </c>
      <c r="CG148" s="400" t="str">
        <f t="shared" si="616"/>
        <v>FY2011A</v>
      </c>
      <c r="CH148" s="400" t="str">
        <f t="shared" si="616"/>
        <v>FY2012A</v>
      </c>
      <c r="CI148" s="400" t="str">
        <f t="shared" si="616"/>
        <v>FY2013A</v>
      </c>
      <c r="CJ148" s="400" t="str">
        <f t="shared" si="616"/>
        <v>FY2014A</v>
      </c>
      <c r="CK148" s="400" t="str">
        <f t="shared" si="616"/>
        <v>FY2015A</v>
      </c>
      <c r="CL148" s="400" t="str">
        <f t="shared" si="616"/>
        <v>FY2016</v>
      </c>
      <c r="CM148" s="400" t="str">
        <f t="shared" si="616"/>
        <v>FY2017A</v>
      </c>
      <c r="CN148" s="1254" t="str">
        <f t="shared" si="616"/>
        <v>FY2018E</v>
      </c>
      <c r="CO148" s="1254" t="str">
        <f t="shared" ref="CO148:CP148" si="617">CO7</f>
        <v>FY2019E</v>
      </c>
      <c r="CP148" s="1256" t="str">
        <f t="shared" si="617"/>
        <v>FY2020E</v>
      </c>
      <c r="CQ148" s="1041"/>
    </row>
    <row r="149" spans="1:95" ht="14.25" customHeight="1">
      <c r="B149" s="350" t="str">
        <f>B135</f>
        <v>United States</v>
      </c>
      <c r="C149" s="345"/>
      <c r="D149" s="352">
        <f t="shared" ref="D149:AQ149" si="618">D135/D$159</f>
        <v>0.34211502782931358</v>
      </c>
      <c r="E149" s="352">
        <f t="shared" si="618"/>
        <v>0.3192818110850898</v>
      </c>
      <c r="F149" s="352">
        <f t="shared" si="618"/>
        <v>0.28398791540785501</v>
      </c>
      <c r="G149" s="353">
        <f t="shared" si="618"/>
        <v>0.25987078248384793</v>
      </c>
      <c r="H149" s="352">
        <f t="shared" si="618"/>
        <v>0.29948085658663204</v>
      </c>
      <c r="I149" s="352">
        <f t="shared" si="618"/>
        <v>0.27466266866566713</v>
      </c>
      <c r="J149" s="352">
        <f t="shared" si="618"/>
        <v>0.26350502512562818</v>
      </c>
      <c r="K149" s="353">
        <f t="shared" si="618"/>
        <v>0.24641460234680579</v>
      </c>
      <c r="L149" s="352">
        <f t="shared" si="618"/>
        <v>0.25826719576719576</v>
      </c>
      <c r="M149" s="352">
        <f t="shared" si="618"/>
        <v>0.23216644649933948</v>
      </c>
      <c r="N149" s="352">
        <f t="shared" si="618"/>
        <v>0.23788265306122444</v>
      </c>
      <c r="O149" s="353">
        <f t="shared" si="618"/>
        <v>0.21006436512580468</v>
      </c>
      <c r="P149" s="351">
        <f t="shared" si="618"/>
        <v>0.22844311377245508</v>
      </c>
      <c r="Q149" s="352">
        <f t="shared" si="618"/>
        <v>0.24380495603517185</v>
      </c>
      <c r="R149" s="352">
        <f t="shared" si="618"/>
        <v>0.28985507246376813</v>
      </c>
      <c r="S149" s="353">
        <f t="shared" si="618"/>
        <v>0.25796812749003972</v>
      </c>
      <c r="T149" s="351">
        <f t="shared" si="618"/>
        <v>0.26723677177979693</v>
      </c>
      <c r="U149" s="352">
        <f t="shared" si="618"/>
        <v>0.2465897166841553</v>
      </c>
      <c r="V149" s="352">
        <f t="shared" si="618"/>
        <v>0.22412509307520478</v>
      </c>
      <c r="W149" s="353">
        <f t="shared" si="618"/>
        <v>0.18926207403775433</v>
      </c>
      <c r="X149" s="351">
        <f t="shared" si="618"/>
        <v>0.23797108319506996</v>
      </c>
      <c r="Y149" s="352">
        <f t="shared" si="618"/>
        <v>0.24400213257508441</v>
      </c>
      <c r="Z149" s="352">
        <f t="shared" si="618"/>
        <v>0.18950988822012038</v>
      </c>
      <c r="AA149" s="353">
        <f t="shared" si="618"/>
        <v>0.31675874769797413</v>
      </c>
      <c r="AB149" s="351">
        <f t="shared" si="618"/>
        <v>0.29992086520706934</v>
      </c>
      <c r="AC149" s="352">
        <f t="shared" si="618"/>
        <v>0.20057170080990949</v>
      </c>
      <c r="AD149" s="352">
        <f t="shared" si="618"/>
        <v>0.15352082892789173</v>
      </c>
      <c r="AE149" s="353">
        <f t="shared" si="618"/>
        <v>0.20860993763830213</v>
      </c>
      <c r="AF149" s="351">
        <f t="shared" si="618"/>
        <v>0.21664849145765175</v>
      </c>
      <c r="AG149" s="352">
        <f t="shared" si="618"/>
        <v>0.20212583576204357</v>
      </c>
      <c r="AH149" s="352">
        <f t="shared" si="618"/>
        <v>0.20792408856334277</v>
      </c>
      <c r="AI149" s="353">
        <f t="shared" si="618"/>
        <v>0.20925414364640879</v>
      </c>
      <c r="AJ149" s="351">
        <f t="shared" si="618"/>
        <v>0.14610613370089592</v>
      </c>
      <c r="AK149" s="352">
        <f t="shared" si="618"/>
        <v>0.14881872378008393</v>
      </c>
      <c r="AL149" s="352">
        <f t="shared" si="618"/>
        <v>0.1520044543429844</v>
      </c>
      <c r="AM149" s="353">
        <f t="shared" si="618"/>
        <v>0.16343273863784347</v>
      </c>
      <c r="AN149" s="351">
        <f t="shared" si="618"/>
        <v>0.14951638903815154</v>
      </c>
      <c r="AO149" s="352">
        <f t="shared" si="618"/>
        <v>0.16151987110633728</v>
      </c>
      <c r="AP149" s="352">
        <f t="shared" si="618"/>
        <v>0.14707098552722261</v>
      </c>
      <c r="AQ149" s="714">
        <f t="shared" si="618"/>
        <v>0.16715671861217285</v>
      </c>
      <c r="AR149" s="351">
        <f t="shared" ref="AR149:AR156" si="619">AR135/AR$159</f>
        <v>0.15900151285930408</v>
      </c>
      <c r="AS149" s="854">
        <v>0.15</v>
      </c>
      <c r="AT149" s="352">
        <f t="shared" ref="AT149:AT156" si="620">AT135/AT$159</f>
        <v>0.15236231478892928</v>
      </c>
      <c r="AU149" s="1060">
        <v>0.16</v>
      </c>
      <c r="AV149" s="1064">
        <v>0.17</v>
      </c>
      <c r="AW149" s="854">
        <v>0.16</v>
      </c>
      <c r="AX149" s="854">
        <v>0.16</v>
      </c>
      <c r="AY149" s="854">
        <v>0.16</v>
      </c>
      <c r="AZ149" s="1320">
        <f>AZ135/$AZ$143</f>
        <v>0.15135507579237484</v>
      </c>
      <c r="BA149" s="1325">
        <f>BA135/$BA$143</f>
        <v>0.1599091425326519</v>
      </c>
      <c r="BB149" s="1325">
        <v>0.15</v>
      </c>
      <c r="BC149" s="1325">
        <v>0.17</v>
      </c>
      <c r="BD149" s="1320">
        <v>0.18</v>
      </c>
      <c r="BE149" s="1325">
        <v>0.16250000000000001</v>
      </c>
      <c r="BF149" s="1325">
        <v>0.15</v>
      </c>
      <c r="BG149" s="1382">
        <v>0.13750000000000001</v>
      </c>
      <c r="BH149" s="1320">
        <v>0.16</v>
      </c>
      <c r="BI149" s="1325">
        <v>0.13</v>
      </c>
      <c r="BJ149" s="1325">
        <v>0.12</v>
      </c>
      <c r="BK149" s="1382">
        <v>0.13798785294950386</v>
      </c>
      <c r="BL149" s="715"/>
      <c r="BM149" s="716"/>
      <c r="BN149" s="716"/>
      <c r="BO149" s="717"/>
      <c r="BP149" s="715"/>
      <c r="BQ149" s="716"/>
      <c r="BR149" s="716"/>
      <c r="BS149" s="717"/>
      <c r="BT149" s="715"/>
      <c r="BU149" s="716"/>
      <c r="BV149" s="716"/>
      <c r="BW149" s="717"/>
      <c r="BX149" s="346"/>
      <c r="BY149" s="338">
        <f t="shared" ref="BY149:CH149" si="621">BY135/BY$159</f>
        <v>0.29707230380694044</v>
      </c>
      <c r="BZ149" s="338">
        <f t="shared" si="621"/>
        <v>0.27105533191254239</v>
      </c>
      <c r="CA149" s="338">
        <f t="shared" si="621"/>
        <v>0.2338568935427574</v>
      </c>
      <c r="CB149" s="338">
        <f t="shared" si="621"/>
        <v>0.25682203943073512</v>
      </c>
      <c r="CC149" s="220">
        <f t="shared" si="621"/>
        <v>0.23081343378878819</v>
      </c>
      <c r="CD149" s="220">
        <f t="shared" si="621"/>
        <v>0.24464668094218417</v>
      </c>
      <c r="CE149" s="220">
        <f t="shared" si="621"/>
        <v>0.21154389733732826</v>
      </c>
      <c r="CF149" s="220">
        <f t="shared" si="621"/>
        <v>0.20887006138151637</v>
      </c>
      <c r="CG149" s="358">
        <f t="shared" si="621"/>
        <v>0.15222380385207565</v>
      </c>
      <c r="CH149" s="358">
        <f t="shared" si="621"/>
        <v>0.15613665411585895</v>
      </c>
      <c r="CI149" s="358">
        <f t="shared" ref="CI149:CI156" si="622">CI135/CI$159</f>
        <v>0.15532576274840984</v>
      </c>
      <c r="CJ149" s="338"/>
      <c r="CK149" s="338"/>
      <c r="CL149" s="338"/>
      <c r="CM149" s="338"/>
      <c r="CN149" s="338"/>
      <c r="CO149" s="338"/>
      <c r="CP149" s="337"/>
      <c r="CQ149" s="1041"/>
    </row>
    <row r="150" spans="1:95" ht="14.25" customHeight="1">
      <c r="B150" s="354" t="str">
        <f>B136</f>
        <v>Other Americas</v>
      </c>
      <c r="C150" s="303"/>
      <c r="D150" s="355">
        <f t="shared" ref="D150:AQ150" si="623">D136/D$159</f>
        <v>0</v>
      </c>
      <c r="E150" s="356">
        <f t="shared" si="623"/>
        <v>0</v>
      </c>
      <c r="F150" s="356">
        <f t="shared" si="623"/>
        <v>0</v>
      </c>
      <c r="G150" s="357">
        <f t="shared" si="623"/>
        <v>0</v>
      </c>
      <c r="H150" s="355">
        <f t="shared" si="623"/>
        <v>4.2180402336145367E-3</v>
      </c>
      <c r="I150" s="356">
        <f t="shared" si="623"/>
        <v>2.6986506746626685E-3</v>
      </c>
      <c r="J150" s="356">
        <f t="shared" si="623"/>
        <v>2.8266331658291458E-3</v>
      </c>
      <c r="K150" s="357">
        <f t="shared" si="623"/>
        <v>3.2594524119947833E-3</v>
      </c>
      <c r="L150" s="355">
        <f t="shared" si="623"/>
        <v>3.968253968253968E-3</v>
      </c>
      <c r="M150" s="356">
        <f t="shared" si="623"/>
        <v>2.9722589167767502E-3</v>
      </c>
      <c r="N150" s="356">
        <f t="shared" si="623"/>
        <v>0</v>
      </c>
      <c r="O150" s="357">
        <f t="shared" si="623"/>
        <v>6.1439438267992981E-3</v>
      </c>
      <c r="P150" s="355">
        <f t="shared" si="623"/>
        <v>2.6946107784431138E-3</v>
      </c>
      <c r="Q150" s="356">
        <f t="shared" si="623"/>
        <v>2.6645350386357578E-3</v>
      </c>
      <c r="R150" s="356">
        <f t="shared" si="623"/>
        <v>2.3758612497030173E-3</v>
      </c>
      <c r="S150" s="357">
        <f t="shared" si="623"/>
        <v>1.7430278884462155E-3</v>
      </c>
      <c r="T150" s="355">
        <f t="shared" si="623"/>
        <v>1.6034206306787815E-3</v>
      </c>
      <c r="U150" s="356">
        <f t="shared" si="623"/>
        <v>1.8363064008394543E-3</v>
      </c>
      <c r="V150" s="356">
        <f t="shared" si="623"/>
        <v>1.9856043683296105E-3</v>
      </c>
      <c r="W150" s="357">
        <f t="shared" si="623"/>
        <v>2.2064231429271882E-2</v>
      </c>
      <c r="X150" s="355">
        <f t="shared" si="623"/>
        <v>1.1851149561507466E-3</v>
      </c>
      <c r="Y150" s="356">
        <f t="shared" si="623"/>
        <v>1.2440021325750843E-3</v>
      </c>
      <c r="Z150" s="356">
        <f t="shared" si="623"/>
        <v>6.878761822871883E-4</v>
      </c>
      <c r="AA150" s="357">
        <f t="shared" si="623"/>
        <v>8.1849805606711663E-4</v>
      </c>
      <c r="AB150" s="355">
        <f t="shared" si="623"/>
        <v>1.3189132155104193E-3</v>
      </c>
      <c r="AC150" s="356">
        <f t="shared" si="623"/>
        <v>3.8113387327298716E-3</v>
      </c>
      <c r="AD150" s="356">
        <f t="shared" si="623"/>
        <v>2.1146119687037428E-3</v>
      </c>
      <c r="AE150" s="357">
        <f t="shared" si="623"/>
        <v>4.6268356467511571E-3</v>
      </c>
      <c r="AF150" s="355">
        <f t="shared" si="623"/>
        <v>3.0897855325336238E-3</v>
      </c>
      <c r="AG150" s="356">
        <f t="shared" si="623"/>
        <v>4.8002743013886512E-3</v>
      </c>
      <c r="AH150" s="356">
        <f t="shared" si="623"/>
        <v>8.1571499916763771E-3</v>
      </c>
      <c r="AI150" s="357">
        <f t="shared" si="623"/>
        <v>5.0069060773480665E-3</v>
      </c>
      <c r="AJ150" s="355">
        <f t="shared" si="623"/>
        <v>7.1215253847920976E-3</v>
      </c>
      <c r="AK150" s="356">
        <f t="shared" si="623"/>
        <v>1.2254360786045485E-2</v>
      </c>
      <c r="AL150" s="356">
        <f t="shared" si="623"/>
        <v>6.6815144766146995E-3</v>
      </c>
      <c r="AM150" s="357">
        <f t="shared" si="623"/>
        <v>1.7319963536918871E-2</v>
      </c>
      <c r="AN150" s="355">
        <f t="shared" si="623"/>
        <v>1.262761955937668E-2</v>
      </c>
      <c r="AO150" s="356">
        <f t="shared" si="623"/>
        <v>5.1020408163265311E-3</v>
      </c>
      <c r="AP150" s="356">
        <f t="shared" si="623"/>
        <v>9.9241902136457619E-3</v>
      </c>
      <c r="AQ150" s="498">
        <f t="shared" si="623"/>
        <v>-7.9388415172008207E-3</v>
      </c>
      <c r="AR150" s="355">
        <f t="shared" si="619"/>
        <v>0</v>
      </c>
      <c r="AS150" s="857">
        <v>0</v>
      </c>
      <c r="AT150" s="356">
        <f t="shared" si="620"/>
        <v>0</v>
      </c>
      <c r="AU150" s="1061">
        <v>0</v>
      </c>
      <c r="AV150" s="1065">
        <v>0</v>
      </c>
      <c r="AW150" s="857">
        <v>0</v>
      </c>
      <c r="AX150" s="857">
        <v>0</v>
      </c>
      <c r="AY150" s="857">
        <v>0</v>
      </c>
      <c r="AZ150" s="1321">
        <f t="shared" ref="AZ150:AZ156" si="624">AZ136/$AZ$143</f>
        <v>0</v>
      </c>
      <c r="BA150" s="1326">
        <f t="shared" ref="BA150:BA156" si="625">BA136/$BA$143</f>
        <v>0</v>
      </c>
      <c r="BB150" s="1326">
        <v>0</v>
      </c>
      <c r="BC150" s="1326">
        <v>0</v>
      </c>
      <c r="BD150" s="1321">
        <v>0</v>
      </c>
      <c r="BE150" s="1326">
        <v>0</v>
      </c>
      <c r="BF150" s="1326">
        <v>0</v>
      </c>
      <c r="BG150" s="1383">
        <v>0</v>
      </c>
      <c r="BH150" s="1321">
        <v>0</v>
      </c>
      <c r="BI150" s="1326">
        <v>0</v>
      </c>
      <c r="BJ150" s="1326">
        <v>0</v>
      </c>
      <c r="BK150" s="1383">
        <v>0</v>
      </c>
      <c r="BL150" s="718"/>
      <c r="BM150" s="719"/>
      <c r="BN150" s="719"/>
      <c r="BO150" s="720"/>
      <c r="BP150" s="718"/>
      <c r="BQ150" s="719"/>
      <c r="BR150" s="719"/>
      <c r="BS150" s="720"/>
      <c r="BT150" s="718"/>
      <c r="BU150" s="719"/>
      <c r="BV150" s="719"/>
      <c r="BW150" s="720"/>
      <c r="BX150" s="346"/>
      <c r="BY150" s="338">
        <f t="shared" ref="BY150:CH150" si="626">BY136/BY$159</f>
        <v>3.741464783462726E-3</v>
      </c>
      <c r="BZ150" s="338">
        <f t="shared" si="626"/>
        <v>3.2362459546925559E-3</v>
      </c>
      <c r="CA150" s="338">
        <f t="shared" si="626"/>
        <v>3.3317467872441692E-3</v>
      </c>
      <c r="CB150" s="338">
        <f t="shared" si="626"/>
        <v>2.3501762632197418E-3</v>
      </c>
      <c r="CC150" s="220">
        <f t="shared" si="626"/>
        <v>7.0872174690333294E-3</v>
      </c>
      <c r="CD150" s="220">
        <f t="shared" si="626"/>
        <v>9.7333073778469933E-4</v>
      </c>
      <c r="CE150" s="220">
        <f t="shared" si="626"/>
        <v>3.0527446435637969E-3</v>
      </c>
      <c r="CF150" s="220">
        <f t="shared" si="626"/>
        <v>5.3168496585112822E-3</v>
      </c>
      <c r="CG150" s="358">
        <f t="shared" si="626"/>
        <v>1.0632425994248032E-2</v>
      </c>
      <c r="CH150" s="358">
        <f t="shared" si="626"/>
        <v>5.1815261321634604E-3</v>
      </c>
      <c r="CI150" s="358">
        <f t="shared" si="622"/>
        <v>0</v>
      </c>
      <c r="CJ150" s="338"/>
      <c r="CK150" s="338"/>
      <c r="CL150" s="338"/>
      <c r="CM150" s="338"/>
      <c r="CN150" s="338"/>
      <c r="CO150" s="338"/>
      <c r="CP150" s="337"/>
      <c r="CQ150" s="1041"/>
    </row>
    <row r="151" spans="1:95" ht="14.25" customHeight="1">
      <c r="B151" s="354" t="s">
        <v>216</v>
      </c>
      <c r="C151" s="303"/>
      <c r="D151" s="355">
        <f t="shared" ref="D151:AQ151" si="627">D137/D$159</f>
        <v>0.1792207792207792</v>
      </c>
      <c r="E151" s="356">
        <f t="shared" si="627"/>
        <v>0.18657298985167836</v>
      </c>
      <c r="F151" s="356">
        <f t="shared" si="627"/>
        <v>0.16654078549848941</v>
      </c>
      <c r="G151" s="357">
        <f t="shared" si="627"/>
        <v>0.17623833452979187</v>
      </c>
      <c r="H151" s="355">
        <f t="shared" si="627"/>
        <v>0.17293964957819596</v>
      </c>
      <c r="I151" s="356">
        <f t="shared" si="627"/>
        <v>0.16701649175412295</v>
      </c>
      <c r="J151" s="356">
        <f t="shared" si="627"/>
        <v>0.15546482412060303</v>
      </c>
      <c r="K151" s="357">
        <f t="shared" si="627"/>
        <v>0.16492829204693618</v>
      </c>
      <c r="L151" s="355">
        <f t="shared" si="627"/>
        <v>0.18750000000000003</v>
      </c>
      <c r="M151" s="356">
        <f t="shared" si="627"/>
        <v>0.16512549537648613</v>
      </c>
      <c r="N151" s="356">
        <f t="shared" si="627"/>
        <v>0.15401785714285712</v>
      </c>
      <c r="O151" s="357">
        <f t="shared" si="627"/>
        <v>0.15155061439438264</v>
      </c>
      <c r="P151" s="355">
        <f t="shared" si="627"/>
        <v>0.16497005988023952</v>
      </c>
      <c r="Q151" s="356">
        <f t="shared" si="627"/>
        <v>0.14948041566746603</v>
      </c>
      <c r="R151" s="356">
        <f t="shared" si="627"/>
        <v>0.13756236635780472</v>
      </c>
      <c r="S151" s="357">
        <f t="shared" si="627"/>
        <v>0.14716135458167329</v>
      </c>
      <c r="T151" s="355">
        <f t="shared" si="627"/>
        <v>0.1560662747194014</v>
      </c>
      <c r="U151" s="356">
        <f t="shared" si="627"/>
        <v>0.14795383001049317</v>
      </c>
      <c r="V151" s="356">
        <f t="shared" si="627"/>
        <v>0.14246711342764953</v>
      </c>
      <c r="W151" s="357">
        <f t="shared" si="627"/>
        <v>0.13900465800441289</v>
      </c>
      <c r="X151" s="355">
        <f t="shared" si="627"/>
        <v>0.13723631192225647</v>
      </c>
      <c r="Y151" s="356">
        <f t="shared" si="627"/>
        <v>9.952017060600675E-2</v>
      </c>
      <c r="Z151" s="356">
        <f t="shared" si="627"/>
        <v>0.10146173688736028</v>
      </c>
      <c r="AA151" s="357">
        <f t="shared" si="627"/>
        <v>6.5889093513402941E-2</v>
      </c>
      <c r="AB151" s="355">
        <f t="shared" si="627"/>
        <v>0.12767079926140862</v>
      </c>
      <c r="AC151" s="356">
        <f t="shared" si="627"/>
        <v>0.12815626488804191</v>
      </c>
      <c r="AD151" s="356">
        <f t="shared" si="627"/>
        <v>0.16641996193698458</v>
      </c>
      <c r="AE151" s="357">
        <f t="shared" si="627"/>
        <v>0.15550191108428885</v>
      </c>
      <c r="AF151" s="355">
        <f t="shared" si="627"/>
        <v>0.17066521264994547</v>
      </c>
      <c r="AG151" s="356">
        <f t="shared" si="627"/>
        <v>0.15909480541745244</v>
      </c>
      <c r="AH151" s="356">
        <f t="shared" si="627"/>
        <v>0.14982520392874979</v>
      </c>
      <c r="AI151" s="357">
        <f t="shared" si="627"/>
        <v>0.16626381215469613</v>
      </c>
      <c r="AJ151" s="355">
        <f t="shared" si="627"/>
        <v>0.12623478061107282</v>
      </c>
      <c r="AK151" s="356">
        <f t="shared" si="627"/>
        <v>0.11901081916537867</v>
      </c>
      <c r="AL151" s="356">
        <f t="shared" si="627"/>
        <v>0.12371937639198217</v>
      </c>
      <c r="AM151" s="357">
        <f t="shared" si="627"/>
        <v>0.12488605287146769</v>
      </c>
      <c r="AN151" s="355">
        <f t="shared" si="627"/>
        <v>0.14212788823213326</v>
      </c>
      <c r="AO151" s="356">
        <f t="shared" si="627"/>
        <v>0.13426423200859292</v>
      </c>
      <c r="AP151" s="356">
        <f t="shared" si="627"/>
        <v>0.12956581667815301</v>
      </c>
      <c r="AQ151" s="498">
        <f t="shared" si="627"/>
        <v>0.13010879153190238</v>
      </c>
      <c r="AR151" s="355">
        <f t="shared" si="619"/>
        <v>0.14795763993948563</v>
      </c>
      <c r="AS151" s="857">
        <v>0.15</v>
      </c>
      <c r="AT151" s="356">
        <f t="shared" si="620"/>
        <v>0.14243779703662288</v>
      </c>
      <c r="AU151" s="1061">
        <v>0.14000000000000001</v>
      </c>
      <c r="AV151" s="1065">
        <v>0.17</v>
      </c>
      <c r="AW151" s="857">
        <v>0.16</v>
      </c>
      <c r="AX151" s="857">
        <v>0.15</v>
      </c>
      <c r="AY151" s="857">
        <v>0.15</v>
      </c>
      <c r="AZ151" s="1321">
        <f t="shared" si="624"/>
        <v>0.14894350022967384</v>
      </c>
      <c r="BA151" s="1326">
        <f t="shared" si="625"/>
        <v>0.13537762634866551</v>
      </c>
      <c r="BB151" s="1326">
        <v>0.15</v>
      </c>
      <c r="BC151" s="1326">
        <v>0.15</v>
      </c>
      <c r="BD151" s="1321">
        <v>0.17</v>
      </c>
      <c r="BE151" s="1326">
        <v>0.16250000000000001</v>
      </c>
      <c r="BF151" s="1326">
        <v>0.15</v>
      </c>
      <c r="BG151" s="1383">
        <v>0.14749999999999999</v>
      </c>
      <c r="BH151" s="1321">
        <v>0.22</v>
      </c>
      <c r="BI151" s="1326">
        <v>0.17</v>
      </c>
      <c r="BJ151" s="1326">
        <v>0.16</v>
      </c>
      <c r="BK151" s="1383">
        <v>0.15586580525742477</v>
      </c>
      <c r="BL151" s="718"/>
      <c r="BM151" s="719"/>
      <c r="BN151" s="719"/>
      <c r="BO151" s="720"/>
      <c r="BP151" s="718"/>
      <c r="BQ151" s="719"/>
      <c r="BR151" s="719"/>
      <c r="BS151" s="720"/>
      <c r="BT151" s="718"/>
      <c r="BU151" s="719"/>
      <c r="BV151" s="719"/>
      <c r="BW151" s="720"/>
      <c r="BX151" s="346"/>
      <c r="BY151" s="338">
        <f t="shared" ref="BY151:CH151" si="628">BY137/BY$159</f>
        <v>0.17706482087737352</v>
      </c>
      <c r="BZ151" s="338">
        <f t="shared" si="628"/>
        <v>0.1650485436893204</v>
      </c>
      <c r="CA151" s="338">
        <f t="shared" si="628"/>
        <v>0.16404886561954621</v>
      </c>
      <c r="CB151" s="338">
        <f t="shared" si="628"/>
        <v>0.1489750620185403</v>
      </c>
      <c r="CC151" s="220">
        <f t="shared" si="628"/>
        <v>0.14614991699655219</v>
      </c>
      <c r="CD151" s="220">
        <f t="shared" si="628"/>
        <v>9.9815067159820928E-2</v>
      </c>
      <c r="CE151" s="220">
        <f t="shared" si="628"/>
        <v>0.14596641980892078</v>
      </c>
      <c r="CF151" s="220">
        <f t="shared" si="628"/>
        <v>0.16123454655485431</v>
      </c>
      <c r="CG151" s="358">
        <f t="shared" si="628"/>
        <v>0.12337681201522237</v>
      </c>
      <c r="CH151" s="358">
        <f t="shared" si="628"/>
        <v>0.13413243980793813</v>
      </c>
      <c r="CI151" s="358">
        <f t="shared" si="622"/>
        <v>0.14499047687497757</v>
      </c>
      <c r="CJ151" s="338"/>
      <c r="CK151" s="338"/>
      <c r="CL151" s="338"/>
      <c r="CM151" s="338"/>
      <c r="CN151" s="338"/>
      <c r="CO151" s="338"/>
      <c r="CP151" s="337"/>
      <c r="CQ151" s="1041"/>
    </row>
    <row r="152" spans="1:95" ht="14.25" customHeight="1">
      <c r="B152" s="354" t="s">
        <v>217</v>
      </c>
      <c r="C152" s="303"/>
      <c r="D152" s="355">
        <f t="shared" ref="D152:AQ152" si="629">D138/D$159</f>
        <v>0</v>
      </c>
      <c r="E152" s="356">
        <f t="shared" si="629"/>
        <v>0</v>
      </c>
      <c r="F152" s="356">
        <f t="shared" si="629"/>
        <v>0</v>
      </c>
      <c r="G152" s="357">
        <f t="shared" si="629"/>
        <v>0</v>
      </c>
      <c r="H152" s="355">
        <f t="shared" si="629"/>
        <v>0</v>
      </c>
      <c r="I152" s="356">
        <f t="shared" si="629"/>
        <v>0</v>
      </c>
      <c r="J152" s="356">
        <f t="shared" si="629"/>
        <v>0</v>
      </c>
      <c r="K152" s="357">
        <f t="shared" si="629"/>
        <v>0</v>
      </c>
      <c r="L152" s="355">
        <f t="shared" si="629"/>
        <v>0</v>
      </c>
      <c r="M152" s="356">
        <f t="shared" si="629"/>
        <v>0</v>
      </c>
      <c r="N152" s="356">
        <f t="shared" si="629"/>
        <v>0</v>
      </c>
      <c r="O152" s="357">
        <f t="shared" si="629"/>
        <v>0</v>
      </c>
      <c r="P152" s="355">
        <f t="shared" si="629"/>
        <v>0</v>
      </c>
      <c r="Q152" s="356">
        <f t="shared" si="629"/>
        <v>0</v>
      </c>
      <c r="R152" s="356">
        <f t="shared" si="629"/>
        <v>0</v>
      </c>
      <c r="S152" s="357">
        <f t="shared" si="629"/>
        <v>0</v>
      </c>
      <c r="T152" s="355">
        <f t="shared" si="629"/>
        <v>0</v>
      </c>
      <c r="U152" s="356">
        <f t="shared" si="629"/>
        <v>0</v>
      </c>
      <c r="V152" s="356">
        <f t="shared" si="629"/>
        <v>0</v>
      </c>
      <c r="W152" s="357">
        <f t="shared" si="629"/>
        <v>0</v>
      </c>
      <c r="X152" s="355">
        <f t="shared" si="629"/>
        <v>2.4887414079165681E-2</v>
      </c>
      <c r="Y152" s="356">
        <f t="shared" si="629"/>
        <v>0.10218588946152478</v>
      </c>
      <c r="Z152" s="356">
        <f t="shared" si="629"/>
        <v>8.7188306104901123E-2</v>
      </c>
      <c r="AA152" s="357">
        <f t="shared" si="629"/>
        <v>8.1440556578678117E-2</v>
      </c>
      <c r="AB152" s="355">
        <f t="shared" si="629"/>
        <v>7.227644420997098E-2</v>
      </c>
      <c r="AC152" s="356">
        <f t="shared" si="629"/>
        <v>1.4292520247737017E-3</v>
      </c>
      <c r="AD152" s="356">
        <f t="shared" si="629"/>
        <v>8.4584478748149722E-4</v>
      </c>
      <c r="AE152" s="357">
        <f t="shared" si="629"/>
        <v>2.2128344397505562E-3</v>
      </c>
      <c r="AF152" s="355">
        <f t="shared" si="629"/>
        <v>1.817520901490367E-4</v>
      </c>
      <c r="AG152" s="356">
        <f t="shared" si="629"/>
        <v>0</v>
      </c>
      <c r="AH152" s="356">
        <f t="shared" si="629"/>
        <v>3.32944897619444E-4</v>
      </c>
      <c r="AI152" s="357">
        <f t="shared" si="629"/>
        <v>6.9060773480662959E-4</v>
      </c>
      <c r="AJ152" s="355">
        <f t="shared" si="629"/>
        <v>1.0337698139214334E-3</v>
      </c>
      <c r="AK152" s="356">
        <f t="shared" si="629"/>
        <v>2.3183925811437406E-3</v>
      </c>
      <c r="AL152" s="356">
        <f t="shared" si="629"/>
        <v>7.7951002227171482E-4</v>
      </c>
      <c r="AM152" s="357">
        <f t="shared" si="629"/>
        <v>0</v>
      </c>
      <c r="AN152" s="355">
        <f t="shared" si="629"/>
        <v>1.3433637829124128E-4</v>
      </c>
      <c r="AO152" s="356">
        <f t="shared" si="629"/>
        <v>0</v>
      </c>
      <c r="AP152" s="356">
        <f t="shared" si="629"/>
        <v>2.7567195037904896E-4</v>
      </c>
      <c r="AQ152" s="498">
        <f t="shared" si="629"/>
        <v>2.9403116730373412E-4</v>
      </c>
      <c r="AR152" s="355">
        <f t="shared" si="619"/>
        <v>0</v>
      </c>
      <c r="AS152" s="857">
        <v>0</v>
      </c>
      <c r="AT152" s="356">
        <f t="shared" si="620"/>
        <v>0</v>
      </c>
      <c r="AU152" s="1061">
        <v>0</v>
      </c>
      <c r="AV152" s="1065">
        <v>0</v>
      </c>
      <c r="AW152" s="857">
        <v>0</v>
      </c>
      <c r="AX152" s="857">
        <v>0</v>
      </c>
      <c r="AY152" s="857">
        <v>0</v>
      </c>
      <c r="AZ152" s="1321">
        <f t="shared" si="624"/>
        <v>0</v>
      </c>
      <c r="BA152" s="1326">
        <f t="shared" si="625"/>
        <v>0</v>
      </c>
      <c r="BB152" s="1326">
        <v>0</v>
      </c>
      <c r="BC152" s="1326">
        <v>0</v>
      </c>
      <c r="BD152" s="1321">
        <v>0</v>
      </c>
      <c r="BE152" s="1326">
        <v>0</v>
      </c>
      <c r="BF152" s="1326">
        <v>0</v>
      </c>
      <c r="BG152" s="1383">
        <v>0</v>
      </c>
      <c r="BH152" s="1321">
        <v>0</v>
      </c>
      <c r="BI152" s="1326">
        <v>0</v>
      </c>
      <c r="BJ152" s="1326">
        <v>0</v>
      </c>
      <c r="BK152" s="1383">
        <v>0</v>
      </c>
      <c r="BL152" s="718"/>
      <c r="BM152" s="719"/>
      <c r="BN152" s="719"/>
      <c r="BO152" s="720"/>
      <c r="BP152" s="718"/>
      <c r="BQ152" s="719"/>
      <c r="BR152" s="719"/>
      <c r="BS152" s="720"/>
      <c r="BT152" s="718"/>
      <c r="BU152" s="719"/>
      <c r="BV152" s="719"/>
      <c r="BW152" s="720"/>
      <c r="BX152" s="346"/>
      <c r="BY152" s="338">
        <f t="shared" ref="BY152:CH152" si="630">BY138/BY$159</f>
        <v>0</v>
      </c>
      <c r="BZ152" s="338">
        <f t="shared" si="630"/>
        <v>0</v>
      </c>
      <c r="CA152" s="338">
        <f t="shared" si="630"/>
        <v>0</v>
      </c>
      <c r="CB152" s="338">
        <f t="shared" si="630"/>
        <v>0</v>
      </c>
      <c r="CC152" s="220">
        <f t="shared" si="630"/>
        <v>0</v>
      </c>
      <c r="CD152" s="220">
        <f t="shared" si="630"/>
        <v>7.7136460969437423E-2</v>
      </c>
      <c r="CE152" s="220">
        <f t="shared" si="630"/>
        <v>1.6677030923172593E-2</v>
      </c>
      <c r="CF152" s="220">
        <f t="shared" si="630"/>
        <v>3.025849399152762E-4</v>
      </c>
      <c r="CG152" s="358">
        <f t="shared" si="630"/>
        <v>1.074862737123435E-3</v>
      </c>
      <c r="CH152" s="358">
        <f t="shared" si="630"/>
        <v>1.7271753773878202E-4</v>
      </c>
      <c r="CI152" s="358">
        <f t="shared" si="622"/>
        <v>0</v>
      </c>
      <c r="CJ152" s="338"/>
      <c r="CK152" s="338"/>
      <c r="CL152" s="338"/>
      <c r="CM152" s="338"/>
      <c r="CN152" s="338"/>
      <c r="CO152" s="338"/>
      <c r="CP152" s="337"/>
      <c r="CQ152" s="1041"/>
    </row>
    <row r="153" spans="1:95" ht="14.25" customHeight="1">
      <c r="B153" s="354" t="s">
        <v>218</v>
      </c>
      <c r="C153" s="303"/>
      <c r="D153" s="355">
        <f t="shared" ref="D153:AQ153" si="631">D139/D$159</f>
        <v>0</v>
      </c>
      <c r="E153" s="356">
        <f t="shared" si="631"/>
        <v>0</v>
      </c>
      <c r="F153" s="356">
        <f t="shared" si="631"/>
        <v>0</v>
      </c>
      <c r="G153" s="357">
        <f t="shared" si="631"/>
        <v>0</v>
      </c>
      <c r="H153" s="355">
        <f t="shared" si="631"/>
        <v>0.26800778715120049</v>
      </c>
      <c r="I153" s="356">
        <f t="shared" si="631"/>
        <v>0.28125937031484255</v>
      </c>
      <c r="J153" s="356">
        <f t="shared" si="631"/>
        <v>0.28737437185929648</v>
      </c>
      <c r="K153" s="357">
        <f t="shared" si="631"/>
        <v>0.30573663624511083</v>
      </c>
      <c r="L153" s="355">
        <f t="shared" si="631"/>
        <v>0.29431216931216936</v>
      </c>
      <c r="M153" s="356">
        <f t="shared" si="631"/>
        <v>0.34081902245706736</v>
      </c>
      <c r="N153" s="356">
        <f t="shared" si="631"/>
        <v>0.35586734693877548</v>
      </c>
      <c r="O153" s="357">
        <f t="shared" si="631"/>
        <v>0.36102984201287314</v>
      </c>
      <c r="P153" s="355">
        <f t="shared" si="631"/>
        <v>0.36736526946107784</v>
      </c>
      <c r="Q153" s="356">
        <f t="shared" si="631"/>
        <v>0.36850519584332536</v>
      </c>
      <c r="R153" s="356">
        <f t="shared" si="631"/>
        <v>0.35709194583036358</v>
      </c>
      <c r="S153" s="357">
        <f t="shared" si="631"/>
        <v>0.33665338645418325</v>
      </c>
      <c r="T153" s="355">
        <f t="shared" si="631"/>
        <v>0.37493319080705512</v>
      </c>
      <c r="U153" s="356">
        <f t="shared" si="631"/>
        <v>0.40529905561385099</v>
      </c>
      <c r="V153" s="356">
        <f t="shared" si="631"/>
        <v>0.44576818068999752</v>
      </c>
      <c r="W153" s="357">
        <f t="shared" si="631"/>
        <v>0.4707036038244668</v>
      </c>
      <c r="X153" s="355">
        <f t="shared" si="631"/>
        <v>0.40436122303863475</v>
      </c>
      <c r="Y153" s="356">
        <f t="shared" si="631"/>
        <v>0.3536520348320597</v>
      </c>
      <c r="Z153" s="356">
        <f t="shared" si="631"/>
        <v>0.41685296646603615</v>
      </c>
      <c r="AA153" s="357">
        <f t="shared" si="631"/>
        <v>0.33456108041743404</v>
      </c>
      <c r="AB153" s="355">
        <f t="shared" si="631"/>
        <v>0.26431020838828806</v>
      </c>
      <c r="AC153" s="356">
        <f t="shared" si="631"/>
        <v>0.34802286803239635</v>
      </c>
      <c r="AD153" s="356">
        <f t="shared" si="631"/>
        <v>0.33622330302389514</v>
      </c>
      <c r="AE153" s="357">
        <f t="shared" si="631"/>
        <v>0.32206799436733041</v>
      </c>
      <c r="AF153" s="355">
        <f t="shared" si="631"/>
        <v>0.31297709923664119</v>
      </c>
      <c r="AG153" s="356">
        <f t="shared" si="631"/>
        <v>0.34184810560603468</v>
      </c>
      <c r="AH153" s="356">
        <f t="shared" si="631"/>
        <v>0.34559680372898283</v>
      </c>
      <c r="AI153" s="357">
        <f t="shared" si="631"/>
        <v>0.31629834254143629</v>
      </c>
      <c r="AJ153" s="355">
        <f t="shared" si="631"/>
        <v>0.31001608086377208</v>
      </c>
      <c r="AK153" s="356">
        <f t="shared" si="631"/>
        <v>0.30646941929785831</v>
      </c>
      <c r="AL153" s="356">
        <f t="shared" si="631"/>
        <v>0.29821826280623609</v>
      </c>
      <c r="AM153" s="357">
        <f t="shared" si="631"/>
        <v>0.31058731605677825</v>
      </c>
      <c r="AN153" s="355">
        <f t="shared" si="631"/>
        <v>0.29325631380977973</v>
      </c>
      <c r="AO153" s="356">
        <f t="shared" si="631"/>
        <v>0.2921589688506982</v>
      </c>
      <c r="AP153" s="356">
        <f t="shared" si="631"/>
        <v>0.31495520330806343</v>
      </c>
      <c r="AQ153" s="498">
        <f t="shared" si="631"/>
        <v>0.30843869450161726</v>
      </c>
      <c r="AR153" s="355">
        <f t="shared" si="619"/>
        <v>0</v>
      </c>
      <c r="AS153" s="857">
        <v>0</v>
      </c>
      <c r="AT153" s="356">
        <f t="shared" si="620"/>
        <v>0.32163824433883142</v>
      </c>
      <c r="AU153" s="1061">
        <v>0</v>
      </c>
      <c r="AV153" s="1065">
        <v>0</v>
      </c>
      <c r="AW153" s="857">
        <v>0</v>
      </c>
      <c r="AX153" s="857">
        <v>0</v>
      </c>
      <c r="AY153" s="857">
        <v>0</v>
      </c>
      <c r="AZ153" s="1321">
        <f t="shared" si="624"/>
        <v>0</v>
      </c>
      <c r="BA153" s="1326">
        <f t="shared" si="625"/>
        <v>0</v>
      </c>
      <c r="BB153" s="1326">
        <v>0</v>
      </c>
      <c r="BC153" s="1326">
        <v>0</v>
      </c>
      <c r="BD153" s="1321">
        <v>0</v>
      </c>
      <c r="BE153" s="1326">
        <v>0</v>
      </c>
      <c r="BF153" s="1326">
        <v>0</v>
      </c>
      <c r="BG153" s="1383">
        <v>0</v>
      </c>
      <c r="BH153" s="1321">
        <v>0</v>
      </c>
      <c r="BI153" s="1326">
        <v>0</v>
      </c>
      <c r="BJ153" s="1326">
        <v>0</v>
      </c>
      <c r="BK153" s="1383">
        <v>0</v>
      </c>
      <c r="BL153" s="718"/>
      <c r="BM153" s="719"/>
      <c r="BN153" s="719"/>
      <c r="BO153" s="720"/>
      <c r="BP153" s="718"/>
      <c r="BQ153" s="719"/>
      <c r="BR153" s="719"/>
      <c r="BS153" s="720"/>
      <c r="BT153" s="718"/>
      <c r="BU153" s="719"/>
      <c r="BV153" s="719"/>
      <c r="BW153" s="720"/>
      <c r="BX153" s="346"/>
      <c r="BY153" s="338">
        <f t="shared" ref="BY153:CH153" si="632">BY139/BY$159</f>
        <v>0.23627350107567113</v>
      </c>
      <c r="BZ153" s="338">
        <f t="shared" si="632"/>
        <v>0.28550003946641406</v>
      </c>
      <c r="CA153" s="338">
        <f t="shared" si="632"/>
        <v>0.3388862446454069</v>
      </c>
      <c r="CB153" s="338">
        <f t="shared" si="632"/>
        <v>0.3567698132915525</v>
      </c>
      <c r="CC153" s="220">
        <f t="shared" si="632"/>
        <v>0.42548844336610908</v>
      </c>
      <c r="CD153" s="220">
        <f t="shared" si="632"/>
        <v>0.3774089935760172</v>
      </c>
      <c r="CE153" s="220">
        <f t="shared" si="632"/>
        <v>0.31963367064277232</v>
      </c>
      <c r="CF153" s="220">
        <f t="shared" si="632"/>
        <v>0.32955822598772366</v>
      </c>
      <c r="CG153" s="358">
        <f t="shared" si="632"/>
        <v>0.30613252767045285</v>
      </c>
      <c r="CH153" s="358">
        <f t="shared" si="632"/>
        <v>0.30197934298248652</v>
      </c>
      <c r="CI153" s="358">
        <f t="shared" si="622"/>
        <v>8.2689474251626122E-2</v>
      </c>
      <c r="CJ153" s="338"/>
      <c r="CK153" s="338"/>
      <c r="CL153" s="338"/>
      <c r="CM153" s="338"/>
      <c r="CN153" s="338"/>
      <c r="CO153" s="338"/>
      <c r="CP153" s="337"/>
      <c r="CQ153" s="1041"/>
    </row>
    <row r="154" spans="1:95" ht="14.25" customHeight="1">
      <c r="B154" s="354" t="s">
        <v>361</v>
      </c>
      <c r="C154" s="303"/>
      <c r="D154" s="355">
        <f t="shared" ref="D154:AQ154" si="633">D140/D$159</f>
        <v>0</v>
      </c>
      <c r="E154" s="356">
        <f t="shared" si="633"/>
        <v>0</v>
      </c>
      <c r="F154" s="356">
        <f t="shared" si="633"/>
        <v>0</v>
      </c>
      <c r="G154" s="357">
        <f t="shared" si="633"/>
        <v>0</v>
      </c>
      <c r="H154" s="355">
        <f t="shared" si="633"/>
        <v>0</v>
      </c>
      <c r="I154" s="356">
        <f t="shared" si="633"/>
        <v>0</v>
      </c>
      <c r="J154" s="356">
        <f t="shared" si="633"/>
        <v>0</v>
      </c>
      <c r="K154" s="357">
        <f t="shared" si="633"/>
        <v>0</v>
      </c>
      <c r="L154" s="355">
        <f t="shared" si="633"/>
        <v>0</v>
      </c>
      <c r="M154" s="356">
        <f t="shared" si="633"/>
        <v>0</v>
      </c>
      <c r="N154" s="356">
        <f t="shared" si="633"/>
        <v>0</v>
      </c>
      <c r="O154" s="357">
        <f t="shared" si="633"/>
        <v>0</v>
      </c>
      <c r="P154" s="355">
        <f t="shared" si="633"/>
        <v>0</v>
      </c>
      <c r="Q154" s="356">
        <f t="shared" si="633"/>
        <v>0</v>
      </c>
      <c r="R154" s="356">
        <f t="shared" si="633"/>
        <v>0</v>
      </c>
      <c r="S154" s="357">
        <f t="shared" si="633"/>
        <v>0</v>
      </c>
      <c r="T154" s="355">
        <f t="shared" si="633"/>
        <v>0</v>
      </c>
      <c r="U154" s="356">
        <f t="shared" si="633"/>
        <v>0</v>
      </c>
      <c r="V154" s="356">
        <f t="shared" si="633"/>
        <v>0</v>
      </c>
      <c r="W154" s="357">
        <f t="shared" si="633"/>
        <v>0</v>
      </c>
      <c r="X154" s="355">
        <f t="shared" si="633"/>
        <v>0</v>
      </c>
      <c r="Y154" s="356">
        <f t="shared" si="633"/>
        <v>0</v>
      </c>
      <c r="Z154" s="356">
        <f t="shared" si="633"/>
        <v>0</v>
      </c>
      <c r="AA154" s="357">
        <f t="shared" si="633"/>
        <v>0</v>
      </c>
      <c r="AB154" s="355">
        <f t="shared" si="633"/>
        <v>0</v>
      </c>
      <c r="AC154" s="356">
        <f t="shared" si="633"/>
        <v>0</v>
      </c>
      <c r="AD154" s="356">
        <f t="shared" si="633"/>
        <v>0</v>
      </c>
      <c r="AE154" s="357">
        <f t="shared" si="633"/>
        <v>0</v>
      </c>
      <c r="AF154" s="355">
        <f t="shared" si="633"/>
        <v>2.4536532170119953E-2</v>
      </c>
      <c r="AG154" s="356">
        <f t="shared" si="633"/>
        <v>3.0344591119492545E-2</v>
      </c>
      <c r="AH154" s="356">
        <f t="shared" si="633"/>
        <v>0</v>
      </c>
      <c r="AI154" s="357">
        <f t="shared" si="633"/>
        <v>4.8860497237569057E-2</v>
      </c>
      <c r="AJ154" s="355">
        <f t="shared" si="633"/>
        <v>0.14403859407305308</v>
      </c>
      <c r="AK154" s="356">
        <f t="shared" si="633"/>
        <v>0.1313755795981453</v>
      </c>
      <c r="AL154" s="356">
        <f t="shared" si="633"/>
        <v>0.15189309576837418</v>
      </c>
      <c r="AM154" s="357">
        <f t="shared" si="633"/>
        <v>0.14845683031644746</v>
      </c>
      <c r="AN154" s="355">
        <f t="shared" si="633"/>
        <v>0.15475550779150996</v>
      </c>
      <c r="AO154" s="356">
        <f t="shared" si="633"/>
        <v>0.14111170784103114</v>
      </c>
      <c r="AP154" s="356">
        <f t="shared" si="633"/>
        <v>0.12942798070296349</v>
      </c>
      <c r="AQ154" s="498">
        <f t="shared" si="633"/>
        <v>0.12790355777712428</v>
      </c>
      <c r="AR154" s="355">
        <f t="shared" si="619"/>
        <v>0.10847201210287444</v>
      </c>
      <c r="AS154" s="857">
        <v>0.11</v>
      </c>
      <c r="AT154" s="356">
        <f t="shared" si="620"/>
        <v>9.8266703941850705E-2</v>
      </c>
      <c r="AU154" s="1061">
        <v>0.1</v>
      </c>
      <c r="AV154" s="1065">
        <v>0.09</v>
      </c>
      <c r="AW154" s="857">
        <v>0.09</v>
      </c>
      <c r="AX154" s="857">
        <v>0.09</v>
      </c>
      <c r="AY154" s="857">
        <v>0.1</v>
      </c>
      <c r="AZ154" s="1321">
        <f t="shared" si="624"/>
        <v>7.1887919154800181E-2</v>
      </c>
      <c r="BA154" s="1326">
        <f t="shared" si="625"/>
        <v>7.3594548551959099E-2</v>
      </c>
      <c r="BB154" s="1326">
        <v>0.08</v>
      </c>
      <c r="BC154" s="1326">
        <v>0.09</v>
      </c>
      <c r="BD154" s="1321">
        <v>0.1</v>
      </c>
      <c r="BE154" s="1326">
        <v>9.2499999999999999E-2</v>
      </c>
      <c r="BF154" s="1326">
        <v>0.09</v>
      </c>
      <c r="BG154" s="1383">
        <v>5.7500000000000002E-2</v>
      </c>
      <c r="BH154" s="1321">
        <v>0.06</v>
      </c>
      <c r="BI154" s="1326">
        <v>7.0000000000000007E-2</v>
      </c>
      <c r="BJ154" s="1326">
        <v>7.0000000000000007E-2</v>
      </c>
      <c r="BK154" s="1383">
        <v>7.5633726616295222E-2</v>
      </c>
      <c r="BL154" s="718"/>
      <c r="BM154" s="719"/>
      <c r="BN154" s="719"/>
      <c r="BO154" s="720"/>
      <c r="BP154" s="718"/>
      <c r="BQ154" s="719"/>
      <c r="BR154" s="719"/>
      <c r="BS154" s="720"/>
      <c r="BT154" s="718"/>
      <c r="BU154" s="719"/>
      <c r="BV154" s="719"/>
      <c r="BW154" s="720"/>
      <c r="BX154" s="346"/>
      <c r="BY154" s="338">
        <f t="shared" ref="BY154:CH154" si="634">BY140/BY$159</f>
        <v>0</v>
      </c>
      <c r="BZ154" s="338">
        <f t="shared" si="634"/>
        <v>0</v>
      </c>
      <c r="CA154" s="338">
        <f t="shared" si="634"/>
        <v>0</v>
      </c>
      <c r="CB154" s="338">
        <f t="shared" si="634"/>
        <v>0</v>
      </c>
      <c r="CC154" s="220">
        <f t="shared" si="634"/>
        <v>0</v>
      </c>
      <c r="CD154" s="220">
        <f t="shared" si="634"/>
        <v>0</v>
      </c>
      <c r="CE154" s="220">
        <f t="shared" si="634"/>
        <v>0</v>
      </c>
      <c r="CF154" s="220">
        <f t="shared" si="634"/>
        <v>2.5719719892798476E-2</v>
      </c>
      <c r="CG154" s="358">
        <f t="shared" si="634"/>
        <v>0.14374110333207449</v>
      </c>
      <c r="CH154" s="358">
        <f t="shared" si="634"/>
        <v>0.13858855228159869</v>
      </c>
      <c r="CI154" s="358">
        <f t="shared" si="622"/>
        <v>0.10404032055198191</v>
      </c>
      <c r="CJ154" s="338"/>
      <c r="CK154" s="338"/>
      <c r="CL154" s="338"/>
      <c r="CM154" s="338"/>
      <c r="CN154" s="338"/>
      <c r="CO154" s="338"/>
      <c r="CP154" s="337"/>
      <c r="CQ154" s="1041"/>
    </row>
    <row r="155" spans="1:95" ht="14.25" customHeight="1">
      <c r="B155" s="354" t="s">
        <v>219</v>
      </c>
      <c r="C155" s="303"/>
      <c r="D155" s="355">
        <f t="shared" ref="D155:AQ155" si="635">D141/D$159</f>
        <v>0</v>
      </c>
      <c r="E155" s="356">
        <f t="shared" si="635"/>
        <v>0</v>
      </c>
      <c r="F155" s="356">
        <f t="shared" si="635"/>
        <v>0</v>
      </c>
      <c r="G155" s="357">
        <f t="shared" si="635"/>
        <v>0</v>
      </c>
      <c r="H155" s="355">
        <f t="shared" si="635"/>
        <v>0.11258922777417263</v>
      </c>
      <c r="I155" s="356">
        <f t="shared" si="635"/>
        <v>0.11784107946026985</v>
      </c>
      <c r="J155" s="356">
        <f t="shared" si="635"/>
        <v>0.11714824120603015</v>
      </c>
      <c r="K155" s="357">
        <f t="shared" si="635"/>
        <v>0.13037809647979143</v>
      </c>
      <c r="L155" s="355">
        <f t="shared" si="635"/>
        <v>0.10912698412698414</v>
      </c>
      <c r="M155" s="356">
        <f t="shared" si="635"/>
        <v>0.11162483487450461</v>
      </c>
      <c r="N155" s="356">
        <f t="shared" si="635"/>
        <v>0.11160714285714285</v>
      </c>
      <c r="O155" s="357">
        <f t="shared" si="635"/>
        <v>0.11878291398478645</v>
      </c>
      <c r="P155" s="355">
        <f t="shared" si="635"/>
        <v>0.10868263473053891</v>
      </c>
      <c r="Q155" s="356">
        <f t="shared" si="635"/>
        <v>0.11057820410338395</v>
      </c>
      <c r="R155" s="356">
        <f t="shared" si="635"/>
        <v>0.10216203373722975</v>
      </c>
      <c r="S155" s="357">
        <f t="shared" si="635"/>
        <v>9.9103585657370499E-2</v>
      </c>
      <c r="T155" s="355">
        <f t="shared" si="635"/>
        <v>0.10021378941742384</v>
      </c>
      <c r="U155" s="356">
        <f t="shared" si="635"/>
        <v>9.2864637985309542E-2</v>
      </c>
      <c r="V155" s="356">
        <f t="shared" si="635"/>
        <v>9.5309009679821297E-2</v>
      </c>
      <c r="W155" s="357">
        <f t="shared" si="635"/>
        <v>9.1443981367982319E-2</v>
      </c>
      <c r="X155" s="355">
        <f t="shared" si="635"/>
        <v>8.698743778146481E-2</v>
      </c>
      <c r="Y155" s="356">
        <f t="shared" si="635"/>
        <v>7.1796694508619155E-2</v>
      </c>
      <c r="Z155" s="356">
        <f t="shared" si="635"/>
        <v>7.6526225279449703E-2</v>
      </c>
      <c r="AA155" s="357">
        <f t="shared" si="635"/>
        <v>7.4278698588090872E-2</v>
      </c>
      <c r="AB155" s="355">
        <f t="shared" si="635"/>
        <v>0.16407280400949617</v>
      </c>
      <c r="AC155" s="356">
        <f t="shared" si="635"/>
        <v>0.22987136731777036</v>
      </c>
      <c r="AD155" s="356">
        <f t="shared" si="635"/>
        <v>0.23006978219496724</v>
      </c>
      <c r="AE155" s="357">
        <f t="shared" si="635"/>
        <v>0.24099778716556025</v>
      </c>
      <c r="AF155" s="355">
        <f t="shared" si="635"/>
        <v>0.23664122137404575</v>
      </c>
      <c r="AG155" s="356">
        <f t="shared" si="635"/>
        <v>0.2297274129950283</v>
      </c>
      <c r="AH155" s="356">
        <f t="shared" si="635"/>
        <v>0.22923256201098716</v>
      </c>
      <c r="AI155" s="357">
        <f t="shared" si="635"/>
        <v>0.23981353591160215</v>
      </c>
      <c r="AJ155" s="355">
        <f t="shared" si="635"/>
        <v>0.1961865380197565</v>
      </c>
      <c r="AK155" s="356">
        <f t="shared" si="635"/>
        <v>0.21373371605210864</v>
      </c>
      <c r="AL155" s="356">
        <f t="shared" si="635"/>
        <v>0.20111358574610244</v>
      </c>
      <c r="AM155" s="357">
        <f t="shared" si="635"/>
        <v>0.18010157572600594</v>
      </c>
      <c r="AN155" s="355">
        <f t="shared" si="635"/>
        <v>0.19277270284793122</v>
      </c>
      <c r="AO155" s="356">
        <f t="shared" si="635"/>
        <v>0.21952201933404941</v>
      </c>
      <c r="AP155" s="356">
        <f t="shared" si="635"/>
        <v>0.21681598897312199</v>
      </c>
      <c r="AQ155" s="498">
        <f t="shared" si="635"/>
        <v>0.24022346368715086</v>
      </c>
      <c r="AR155" s="355">
        <f t="shared" si="619"/>
        <v>0</v>
      </c>
      <c r="AS155" s="857">
        <v>0</v>
      </c>
      <c r="AT155" s="356">
        <f t="shared" si="620"/>
        <v>0.24923119932904672</v>
      </c>
      <c r="AU155" s="1061">
        <v>0</v>
      </c>
      <c r="AV155" s="1065">
        <v>0</v>
      </c>
      <c r="AW155" s="857">
        <v>0</v>
      </c>
      <c r="AX155" s="857">
        <v>0</v>
      </c>
      <c r="AY155" s="857">
        <v>0</v>
      </c>
      <c r="AZ155" s="1321">
        <f t="shared" si="624"/>
        <v>0.36322921451538814</v>
      </c>
      <c r="BA155" s="1326">
        <f t="shared" si="625"/>
        <v>0.33458262350936968</v>
      </c>
      <c r="BB155" s="1326">
        <v>0</v>
      </c>
      <c r="BC155" s="1326">
        <v>0</v>
      </c>
      <c r="BD155" s="1321">
        <v>0</v>
      </c>
      <c r="BE155" s="1326">
        <v>0</v>
      </c>
      <c r="BF155" s="1326">
        <v>0</v>
      </c>
      <c r="BG155" s="1383">
        <v>0</v>
      </c>
      <c r="BH155" s="1321">
        <v>0</v>
      </c>
      <c r="BI155" s="1326">
        <v>0</v>
      </c>
      <c r="BJ155" s="1326">
        <v>0</v>
      </c>
      <c r="BK155" s="1383">
        <v>0</v>
      </c>
      <c r="BL155" s="718"/>
      <c r="BM155" s="719"/>
      <c r="BN155" s="719"/>
      <c r="BO155" s="720"/>
      <c r="BP155" s="718"/>
      <c r="BQ155" s="719"/>
      <c r="BR155" s="719"/>
      <c r="BS155" s="720"/>
      <c r="BT155" s="718"/>
      <c r="BU155" s="719"/>
      <c r="BV155" s="719"/>
      <c r="BW155" s="720"/>
      <c r="BX155" s="346"/>
      <c r="BY155" s="338">
        <f t="shared" ref="BY155:CH155" si="636">BY141/BY$159</f>
        <v>0.11523711533065197</v>
      </c>
      <c r="BZ155" s="338">
        <f t="shared" si="636"/>
        <v>0.11942536901097166</v>
      </c>
      <c r="CA155" s="338">
        <f t="shared" si="636"/>
        <v>0.11296208154846897</v>
      </c>
      <c r="CB155" s="338">
        <f t="shared" si="636"/>
        <v>0.10484397440919181</v>
      </c>
      <c r="CC155" s="220">
        <f t="shared" si="636"/>
        <v>9.487932575660836E-2</v>
      </c>
      <c r="CD155" s="220">
        <f t="shared" si="636"/>
        <v>7.6844461748102014E-2</v>
      </c>
      <c r="CE155" s="220">
        <f t="shared" si="636"/>
        <v>0.21894962971338119</v>
      </c>
      <c r="CF155" s="220">
        <f t="shared" si="636"/>
        <v>0.23376847929454481</v>
      </c>
      <c r="CG155" s="358">
        <f t="shared" si="636"/>
        <v>0.19850100223687647</v>
      </c>
      <c r="CH155" s="358">
        <f t="shared" si="636"/>
        <v>0.21682959687726697</v>
      </c>
      <c r="CI155" s="358">
        <f t="shared" si="622"/>
        <v>6.40744600567794E-2</v>
      </c>
      <c r="CJ155" s="338"/>
      <c r="CK155" s="338"/>
      <c r="CL155" s="338"/>
      <c r="CM155" s="338"/>
      <c r="CN155" s="338"/>
      <c r="CO155" s="338"/>
      <c r="CP155" s="337"/>
      <c r="CQ155" s="1041"/>
    </row>
    <row r="156" spans="1:95" ht="14.25" customHeight="1">
      <c r="B156" s="354" t="str">
        <f>B142</f>
        <v>Other Asia/Pacific</v>
      </c>
      <c r="C156" s="303"/>
      <c r="D156" s="355">
        <f t="shared" ref="D156:AQ156" si="637">D142/D$159</f>
        <v>0.47866419294990725</v>
      </c>
      <c r="E156" s="356">
        <f t="shared" si="637"/>
        <v>0.49414519906323184</v>
      </c>
      <c r="F156" s="356">
        <f t="shared" si="637"/>
        <v>0.54947129909365555</v>
      </c>
      <c r="G156" s="357">
        <f t="shared" si="637"/>
        <v>0.56389088298636036</v>
      </c>
      <c r="H156" s="355">
        <f t="shared" si="637"/>
        <v>0.1427644386761843</v>
      </c>
      <c r="I156" s="356">
        <f t="shared" si="637"/>
        <v>0.15652173913043479</v>
      </c>
      <c r="J156" s="356">
        <f t="shared" si="637"/>
        <v>0.17368090452261306</v>
      </c>
      <c r="K156" s="357">
        <f t="shared" si="637"/>
        <v>0.14928292046936117</v>
      </c>
      <c r="L156" s="355">
        <f t="shared" si="637"/>
        <v>0.14682539682539683</v>
      </c>
      <c r="M156" s="356">
        <f t="shared" si="637"/>
        <v>0.14729194187582562</v>
      </c>
      <c r="N156" s="356">
        <f t="shared" si="637"/>
        <v>0.140625</v>
      </c>
      <c r="O156" s="357">
        <f t="shared" si="637"/>
        <v>0.152428320655354</v>
      </c>
      <c r="P156" s="355">
        <f t="shared" si="637"/>
        <v>0.12784431137724553</v>
      </c>
      <c r="Q156" s="356">
        <f t="shared" si="637"/>
        <v>0.12496669331201704</v>
      </c>
      <c r="R156" s="356">
        <f t="shared" si="637"/>
        <v>0.11095272036113092</v>
      </c>
      <c r="S156" s="357">
        <f t="shared" si="637"/>
        <v>0.15737051792828682</v>
      </c>
      <c r="T156" s="355">
        <f t="shared" si="637"/>
        <v>9.9946552645644046E-2</v>
      </c>
      <c r="U156" s="356">
        <f t="shared" si="637"/>
        <v>0.10545645330535153</v>
      </c>
      <c r="V156" s="356">
        <f t="shared" si="637"/>
        <v>9.0344998758997277E-2</v>
      </c>
      <c r="W156" s="357">
        <f t="shared" si="637"/>
        <v>8.7521451336111764E-2</v>
      </c>
      <c r="X156" s="355">
        <f t="shared" si="637"/>
        <v>0.10737141502725764</v>
      </c>
      <c r="Y156" s="356">
        <f t="shared" si="637"/>
        <v>0.12759907588413008</v>
      </c>
      <c r="Z156" s="356">
        <f t="shared" si="637"/>
        <v>0.12777300085984522</v>
      </c>
      <c r="AA156" s="357">
        <f t="shared" si="637"/>
        <v>0.1262533251483528</v>
      </c>
      <c r="AB156" s="355">
        <f t="shared" si="637"/>
        <v>7.0429965708256395E-2</v>
      </c>
      <c r="AC156" s="356">
        <f t="shared" si="637"/>
        <v>8.8137208194378272E-2</v>
      </c>
      <c r="AD156" s="356">
        <f t="shared" si="637"/>
        <v>0.11080566716007613</v>
      </c>
      <c r="AE156" s="357">
        <f t="shared" si="637"/>
        <v>6.5982699658016522E-2</v>
      </c>
      <c r="AF156" s="355">
        <f t="shared" si="637"/>
        <v>3.5259905488913119E-2</v>
      </c>
      <c r="AG156" s="356">
        <f t="shared" si="637"/>
        <v>3.2058974798559917E-2</v>
      </c>
      <c r="AH156" s="356">
        <f t="shared" si="637"/>
        <v>5.8931246878641576E-2</v>
      </c>
      <c r="AI156" s="357">
        <f t="shared" si="637"/>
        <v>1.3812154696132596E-2</v>
      </c>
      <c r="AJ156" s="355">
        <f t="shared" si="637"/>
        <v>6.9262577532736042E-2</v>
      </c>
      <c r="AK156" s="356">
        <f t="shared" si="637"/>
        <v>6.6018988739236034E-2</v>
      </c>
      <c r="AL156" s="356">
        <f t="shared" si="637"/>
        <v>6.5590200445434302E-2</v>
      </c>
      <c r="AM156" s="357">
        <f t="shared" si="637"/>
        <v>5.521552285453836E-2</v>
      </c>
      <c r="AN156" s="355">
        <f t="shared" si="637"/>
        <v>5.4809242342826435E-2</v>
      </c>
      <c r="AO156" s="356">
        <f t="shared" si="637"/>
        <v>4.6321160042964556E-2</v>
      </c>
      <c r="AP156" s="356">
        <f t="shared" si="637"/>
        <v>5.1964162646450728E-2</v>
      </c>
      <c r="AQ156" s="498">
        <f t="shared" si="637"/>
        <v>3.3813584239929431E-2</v>
      </c>
      <c r="AR156" s="355">
        <f t="shared" si="619"/>
        <v>0.58456883509833579</v>
      </c>
      <c r="AS156" s="857">
        <v>0.59</v>
      </c>
      <c r="AT156" s="356">
        <f t="shared" si="620"/>
        <v>3.6063740564719039E-2</v>
      </c>
      <c r="AU156" s="1061">
        <v>0.6</v>
      </c>
      <c r="AV156" s="1066">
        <v>0.56999999999999995</v>
      </c>
      <c r="AW156" s="857">
        <v>0.59</v>
      </c>
      <c r="AX156" s="857">
        <v>0.6</v>
      </c>
      <c r="AY156" s="857">
        <v>0.59</v>
      </c>
      <c r="AZ156" s="1322">
        <f t="shared" si="624"/>
        <v>0.26458429030776293</v>
      </c>
      <c r="BA156" s="1326">
        <f t="shared" si="625"/>
        <v>0.29653605905735375</v>
      </c>
      <c r="BB156" s="1326">
        <v>0.62</v>
      </c>
      <c r="BC156" s="1326">
        <v>0.59</v>
      </c>
      <c r="BD156" s="1322">
        <v>0.55000000000000004</v>
      </c>
      <c r="BE156" s="1326">
        <v>0.58250000000000002</v>
      </c>
      <c r="BF156" s="1326">
        <v>0.61</v>
      </c>
      <c r="BG156" s="1383">
        <v>0.65749999999999997</v>
      </c>
      <c r="BH156" s="1322">
        <v>0.56000000000000005</v>
      </c>
      <c r="BI156" s="1326">
        <v>0.63</v>
      </c>
      <c r="BJ156" s="1326">
        <v>0.65</v>
      </c>
      <c r="BK156" s="1383">
        <v>0.63051261517677637</v>
      </c>
      <c r="BL156" s="718"/>
      <c r="BM156" s="719"/>
      <c r="BN156" s="719"/>
      <c r="BO156" s="720"/>
      <c r="BP156" s="718"/>
      <c r="BQ156" s="719"/>
      <c r="BR156" s="719"/>
      <c r="BS156" s="720"/>
      <c r="BT156" s="718"/>
      <c r="BU156" s="719"/>
      <c r="BV156" s="719"/>
      <c r="BW156" s="720"/>
      <c r="BX156" s="346"/>
      <c r="BY156" s="338">
        <f t="shared" ref="BY156:CH156" si="638">BY142/BY$159</f>
        <v>0.1706107941259003</v>
      </c>
      <c r="BZ156" s="338">
        <f t="shared" si="638"/>
        <v>0.15573446996605889</v>
      </c>
      <c r="CA156" s="338">
        <f t="shared" si="638"/>
        <v>0.14691416785657621</v>
      </c>
      <c r="CB156" s="338">
        <f t="shared" si="638"/>
        <v>0.1302389345867607</v>
      </c>
      <c r="CC156" s="220">
        <f t="shared" si="638"/>
        <v>9.5581662622908958E-2</v>
      </c>
      <c r="CD156" s="220">
        <f t="shared" si="638"/>
        <v>0.1231750048666537</v>
      </c>
      <c r="CE156" s="220">
        <f t="shared" si="638"/>
        <v>8.4176606930860987E-2</v>
      </c>
      <c r="CF156" s="220">
        <f t="shared" si="638"/>
        <v>3.5229532290135729E-2</v>
      </c>
      <c r="CG156" s="358">
        <f t="shared" si="638"/>
        <v>6.4317462161926617E-2</v>
      </c>
      <c r="CH156" s="358">
        <f t="shared" si="638"/>
        <v>4.6979170264948709E-2</v>
      </c>
      <c r="CI156" s="358">
        <f t="shared" si="622"/>
        <v>0.4488795055162253</v>
      </c>
      <c r="CJ156" s="338"/>
      <c r="CK156" s="338"/>
      <c r="CL156" s="338"/>
      <c r="CM156" s="338"/>
      <c r="CN156" s="338"/>
      <c r="CO156" s="338"/>
      <c r="CP156" s="337"/>
      <c r="CQ156" s="1041"/>
    </row>
    <row r="157" spans="1:95" ht="14.25" customHeight="1">
      <c r="B157" s="360" t="s">
        <v>360</v>
      </c>
      <c r="C157" s="348"/>
      <c r="D157" s="361">
        <f t="shared" ref="D157:K157" si="639">SUM(D149:D156)</f>
        <v>1</v>
      </c>
      <c r="E157" s="362">
        <f t="shared" si="639"/>
        <v>1</v>
      </c>
      <c r="F157" s="362">
        <f t="shared" si="639"/>
        <v>1</v>
      </c>
      <c r="G157" s="363">
        <f t="shared" si="639"/>
        <v>1.0000000000000002</v>
      </c>
      <c r="H157" s="361">
        <f t="shared" si="639"/>
        <v>0.99999999999999989</v>
      </c>
      <c r="I157" s="362">
        <f t="shared" si="639"/>
        <v>0.99999999999999989</v>
      </c>
      <c r="J157" s="362">
        <f t="shared" si="639"/>
        <v>1</v>
      </c>
      <c r="K157" s="363">
        <f t="shared" si="639"/>
        <v>1</v>
      </c>
      <c r="L157" s="361">
        <f t="shared" ref="L157:AV157" si="640">SUM(L149:L156)</f>
        <v>1</v>
      </c>
      <c r="M157" s="362">
        <f t="shared" si="640"/>
        <v>1</v>
      </c>
      <c r="N157" s="362">
        <f t="shared" si="640"/>
        <v>0.99999999999999978</v>
      </c>
      <c r="O157" s="363">
        <f t="shared" si="640"/>
        <v>1.0000000000000002</v>
      </c>
      <c r="P157" s="361">
        <f t="shared" si="640"/>
        <v>0.99999999999999989</v>
      </c>
      <c r="Q157" s="362">
        <f t="shared" si="640"/>
        <v>0.99999999999999989</v>
      </c>
      <c r="R157" s="362">
        <f t="shared" si="640"/>
        <v>1.0000000000000002</v>
      </c>
      <c r="S157" s="363">
        <f t="shared" si="640"/>
        <v>0.99999999999999989</v>
      </c>
      <c r="T157" s="361">
        <f t="shared" si="640"/>
        <v>1.0000000000000002</v>
      </c>
      <c r="U157" s="362">
        <f t="shared" si="640"/>
        <v>1</v>
      </c>
      <c r="V157" s="362">
        <f t="shared" si="640"/>
        <v>1</v>
      </c>
      <c r="W157" s="362">
        <f t="shared" si="640"/>
        <v>1</v>
      </c>
      <c r="X157" s="361">
        <f t="shared" si="640"/>
        <v>1</v>
      </c>
      <c r="Y157" s="362">
        <f t="shared" si="640"/>
        <v>1</v>
      </c>
      <c r="Z157" s="362">
        <f t="shared" si="640"/>
        <v>1</v>
      </c>
      <c r="AA157" s="362">
        <f t="shared" si="640"/>
        <v>1</v>
      </c>
      <c r="AB157" s="361">
        <f t="shared" si="640"/>
        <v>1</v>
      </c>
      <c r="AC157" s="362">
        <f t="shared" si="640"/>
        <v>1</v>
      </c>
      <c r="AD157" s="362">
        <f t="shared" si="640"/>
        <v>1</v>
      </c>
      <c r="AE157" s="362">
        <f t="shared" si="640"/>
        <v>0.99999999999999989</v>
      </c>
      <c r="AF157" s="361">
        <f t="shared" si="640"/>
        <v>0.99999999999999989</v>
      </c>
      <c r="AG157" s="362">
        <f t="shared" si="640"/>
        <v>1.0000000000000002</v>
      </c>
      <c r="AH157" s="362">
        <f t="shared" si="640"/>
        <v>1</v>
      </c>
      <c r="AI157" s="363">
        <f t="shared" si="640"/>
        <v>0.99999999999999978</v>
      </c>
      <c r="AJ157" s="361">
        <f t="shared" si="640"/>
        <v>1</v>
      </c>
      <c r="AK157" s="362">
        <f t="shared" si="640"/>
        <v>1</v>
      </c>
      <c r="AL157" s="362">
        <f t="shared" si="640"/>
        <v>1</v>
      </c>
      <c r="AM157" s="362">
        <f t="shared" si="640"/>
        <v>1.0000000000000002</v>
      </c>
      <c r="AN157" s="361">
        <f t="shared" si="640"/>
        <v>1</v>
      </c>
      <c r="AO157" s="362">
        <f t="shared" si="640"/>
        <v>1</v>
      </c>
      <c r="AP157" s="362">
        <f t="shared" si="640"/>
        <v>1</v>
      </c>
      <c r="AQ157" s="721">
        <f t="shared" si="640"/>
        <v>1</v>
      </c>
      <c r="AR157" s="361">
        <f t="shared" si="640"/>
        <v>1</v>
      </c>
      <c r="AS157" s="362">
        <f t="shared" si="640"/>
        <v>1</v>
      </c>
      <c r="AT157" s="362">
        <f t="shared" si="640"/>
        <v>1</v>
      </c>
      <c r="AU157" s="721">
        <f t="shared" si="640"/>
        <v>1</v>
      </c>
      <c r="AV157" s="361">
        <f t="shared" si="640"/>
        <v>1</v>
      </c>
      <c r="AW157" s="362">
        <f t="shared" ref="AW157:BD157" si="641">SUM(AW149:AW156)</f>
        <v>1</v>
      </c>
      <c r="AX157" s="723">
        <f t="shared" si="641"/>
        <v>1</v>
      </c>
      <c r="AY157" s="724">
        <f t="shared" si="641"/>
        <v>1</v>
      </c>
      <c r="AZ157" s="1327">
        <f t="shared" si="641"/>
        <v>1</v>
      </c>
      <c r="BA157" s="1328">
        <f t="shared" si="641"/>
        <v>1</v>
      </c>
      <c r="BB157" s="1323">
        <f t="shared" si="641"/>
        <v>1</v>
      </c>
      <c r="BC157" s="1324">
        <f t="shared" si="641"/>
        <v>1</v>
      </c>
      <c r="BD157" s="1327">
        <f t="shared" si="641"/>
        <v>1</v>
      </c>
      <c r="BE157" s="1323">
        <f t="shared" ref="BE157:BK157" si="642">SUM(BE149:BE156)</f>
        <v>1</v>
      </c>
      <c r="BF157" s="1323">
        <f t="shared" si="642"/>
        <v>1</v>
      </c>
      <c r="BG157" s="1324">
        <f t="shared" si="642"/>
        <v>1</v>
      </c>
      <c r="BH157" s="1327">
        <f t="shared" si="642"/>
        <v>1</v>
      </c>
      <c r="BI157" s="723">
        <f t="shared" si="642"/>
        <v>1</v>
      </c>
      <c r="BJ157" s="723">
        <f t="shared" si="642"/>
        <v>1</v>
      </c>
      <c r="BK157" s="1324">
        <f t="shared" si="642"/>
        <v>1.0000000000000002</v>
      </c>
      <c r="BL157" s="722"/>
      <c r="BM157" s="723"/>
      <c r="BN157" s="723"/>
      <c r="BO157" s="724"/>
      <c r="BP157" s="722"/>
      <c r="BQ157" s="723"/>
      <c r="BR157" s="723"/>
      <c r="BS157" s="724"/>
      <c r="BT157" s="722"/>
      <c r="BU157" s="723"/>
      <c r="BV157" s="723"/>
      <c r="BW157" s="724"/>
      <c r="BX157" s="349"/>
      <c r="BY157" s="364">
        <f>SUM(BY149:BY156)</f>
        <v>1</v>
      </c>
      <c r="BZ157" s="364">
        <f>SUM(BZ149:BZ156)</f>
        <v>0.99999999999999989</v>
      </c>
      <c r="CA157" s="364">
        <f t="shared" ref="CA157:CH157" si="643">SUM(CA149:CA156)</f>
        <v>0.99999999999999989</v>
      </c>
      <c r="CB157" s="364">
        <f t="shared" si="643"/>
        <v>1.0000000000000002</v>
      </c>
      <c r="CC157" s="365">
        <f t="shared" si="643"/>
        <v>1.0000000000000002</v>
      </c>
      <c r="CD157" s="365">
        <f t="shared" si="643"/>
        <v>1.0000000000000002</v>
      </c>
      <c r="CE157" s="365">
        <f t="shared" si="643"/>
        <v>1</v>
      </c>
      <c r="CF157" s="365">
        <f t="shared" si="643"/>
        <v>0.99999999999999989</v>
      </c>
      <c r="CG157" s="365">
        <f t="shared" si="643"/>
        <v>0.99999999999999989</v>
      </c>
      <c r="CH157" s="365">
        <f t="shared" si="643"/>
        <v>1.0000000000000002</v>
      </c>
      <c r="CI157" s="365">
        <f>SUM(CI149:CI156)</f>
        <v>1</v>
      </c>
      <c r="CJ157" s="364"/>
      <c r="CK157" s="364"/>
      <c r="CL157" s="364"/>
      <c r="CM157" s="364"/>
      <c r="CN157" s="364"/>
      <c r="CO157" s="364"/>
      <c r="CP157" s="366"/>
      <c r="CQ157" s="1041"/>
    </row>
    <row r="158" spans="1:95" ht="14.25" customHeight="1">
      <c r="B158" s="302"/>
      <c r="D158" s="713"/>
      <c r="E158" s="713"/>
      <c r="F158" s="713"/>
      <c r="G158" s="713"/>
      <c r="H158" s="713"/>
      <c r="I158" s="713"/>
      <c r="J158" s="713"/>
      <c r="K158" s="713"/>
      <c r="L158" s="713"/>
      <c r="M158" s="713"/>
      <c r="N158" s="713"/>
      <c r="O158" s="713"/>
      <c r="P158" s="713"/>
      <c r="Q158" s="713"/>
      <c r="R158" s="713"/>
      <c r="S158" s="713"/>
      <c r="T158" s="713"/>
      <c r="U158" s="713"/>
      <c r="V158" s="713"/>
      <c r="W158" s="713"/>
      <c r="X158" s="713"/>
      <c r="Y158" s="713"/>
      <c r="Z158" s="713"/>
      <c r="AA158" s="713"/>
      <c r="AB158" s="713"/>
      <c r="AC158" s="713"/>
      <c r="AD158" s="713"/>
      <c r="AE158" s="713"/>
      <c r="AF158" s="713"/>
      <c r="AG158" s="713"/>
      <c r="AH158" s="713"/>
      <c r="AI158" s="713"/>
      <c r="AJ158" s="713"/>
      <c r="AK158" s="713"/>
      <c r="AL158" s="713"/>
      <c r="AM158" s="713"/>
      <c r="AN158" s="713"/>
      <c r="AO158" s="713"/>
      <c r="AP158" s="713"/>
      <c r="AQ158" s="713"/>
      <c r="AR158" s="713"/>
      <c r="AS158" s="713"/>
      <c r="AT158" s="713"/>
      <c r="AU158" s="713"/>
      <c r="AV158" s="713"/>
      <c r="AW158" s="713"/>
      <c r="AX158" s="713"/>
      <c r="AY158" s="713"/>
      <c r="AZ158" s="713"/>
      <c r="BA158" s="713"/>
      <c r="BB158" s="713"/>
      <c r="BC158" s="713"/>
      <c r="BD158" s="713"/>
      <c r="BE158" s="713"/>
      <c r="BF158" s="713"/>
      <c r="BG158" s="713"/>
      <c r="BH158" s="713"/>
      <c r="BI158" s="713"/>
      <c r="BJ158" s="713"/>
      <c r="BK158" s="713"/>
      <c r="BL158" s="713"/>
      <c r="BM158" s="713"/>
      <c r="BN158" s="713"/>
      <c r="BO158" s="713"/>
      <c r="BP158" s="713"/>
      <c r="BQ158" s="713"/>
      <c r="BR158" s="713"/>
      <c r="BS158" s="713"/>
      <c r="BT158" s="713"/>
      <c r="BU158" s="713"/>
      <c r="BV158" s="713"/>
      <c r="BW158" s="713"/>
      <c r="CA158" s="9"/>
      <c r="CB158" s="9"/>
      <c r="CC158" s="9"/>
      <c r="CD158" s="9"/>
      <c r="CE158" s="9"/>
      <c r="CF158" s="9"/>
      <c r="CG158" s="9"/>
      <c r="CH158" s="9"/>
      <c r="CI158" s="9"/>
      <c r="CJ158" s="15"/>
      <c r="CK158" s="15"/>
      <c r="CL158" s="15"/>
      <c r="CM158" s="15"/>
      <c r="CN158" s="15"/>
      <c r="CO158" s="15"/>
      <c r="CP158" s="15"/>
    </row>
    <row r="159" spans="1:95" ht="14.25" hidden="1" customHeight="1" outlineLevel="1">
      <c r="A159" s="9"/>
      <c r="B159" s="368" t="s">
        <v>300</v>
      </c>
      <c r="C159" s="251"/>
      <c r="D159" s="251">
        <f>IS!D8</f>
        <v>269.5</v>
      </c>
      <c r="E159" s="251">
        <f>IS!E8</f>
        <v>256.2</v>
      </c>
      <c r="F159" s="251">
        <f>IS!F8</f>
        <v>264.8</v>
      </c>
      <c r="G159" s="251">
        <f>IS!G8</f>
        <v>278.60000000000002</v>
      </c>
      <c r="H159" s="251">
        <f>IS!H8</f>
        <v>308.2</v>
      </c>
      <c r="I159" s="251">
        <f>IS!I8</f>
        <v>333.5</v>
      </c>
      <c r="J159" s="251">
        <f>IS!J8</f>
        <v>318.39999999999998</v>
      </c>
      <c r="K159" s="251">
        <f>IS!K8</f>
        <v>306.8</v>
      </c>
      <c r="L159" s="251">
        <f>IS!L8</f>
        <v>302.39999999999998</v>
      </c>
      <c r="M159" s="251">
        <f>IS!M8</f>
        <v>302.8</v>
      </c>
      <c r="N159" s="251">
        <f>IS!N8</f>
        <v>313.60000000000002</v>
      </c>
      <c r="O159" s="251">
        <f>IS!O8</f>
        <v>341.8</v>
      </c>
      <c r="P159" s="251">
        <f>IS!P8</f>
        <v>334</v>
      </c>
      <c r="Q159" s="251">
        <f>IS!Q8</f>
        <v>375.3</v>
      </c>
      <c r="R159" s="251">
        <f>IS!R8</f>
        <v>420.9</v>
      </c>
      <c r="S159" s="251">
        <f>IS!S8</f>
        <v>401.6</v>
      </c>
      <c r="T159" s="251">
        <f>IS!T8</f>
        <v>374.2</v>
      </c>
      <c r="U159" s="251">
        <f>IS!U8</f>
        <v>381.2</v>
      </c>
      <c r="V159" s="251">
        <f>IS!V8</f>
        <v>402.9</v>
      </c>
      <c r="W159" s="251">
        <f>IS!W8</f>
        <v>407.9</v>
      </c>
      <c r="X159" s="251">
        <f>IS!X8</f>
        <v>421.9</v>
      </c>
      <c r="Y159" s="251">
        <f>IS!Y8</f>
        <v>562.70000000000005</v>
      </c>
      <c r="Z159" s="251">
        <f>IS!Z8</f>
        <v>581.5</v>
      </c>
      <c r="AA159" s="251">
        <f>IS!AA8</f>
        <v>488.7</v>
      </c>
      <c r="AB159" s="251">
        <f>IS!AB8</f>
        <v>379.1</v>
      </c>
      <c r="AC159" s="251">
        <f>IS!AC8</f>
        <v>419.8</v>
      </c>
      <c r="AD159" s="251">
        <f>IS!AD8</f>
        <v>472.9</v>
      </c>
      <c r="AE159" s="251">
        <f>IS!AE8</f>
        <v>497.1</v>
      </c>
      <c r="AF159" s="251">
        <f>IS!AF8</f>
        <v>550.20000000000005</v>
      </c>
      <c r="AG159" s="251">
        <f>IS!AG8</f>
        <v>583.29999999999995</v>
      </c>
      <c r="AH159" s="251">
        <f>IS!AH8</f>
        <v>600.70000000000005</v>
      </c>
      <c r="AI159" s="251">
        <f>IS!AI8</f>
        <v>579.20000000000005</v>
      </c>
      <c r="AJ159" s="251">
        <f>IS!AJ8</f>
        <v>870.6</v>
      </c>
      <c r="AK159" s="251">
        <f>IS!AK8</f>
        <v>905.8</v>
      </c>
      <c r="AL159" s="251">
        <f>IS!AL8</f>
        <v>898</v>
      </c>
      <c r="AM159" s="251">
        <f>IS!AM8</f>
        <v>767.9</v>
      </c>
      <c r="AN159" s="251">
        <f>IS!AN8</f>
        <v>744.4</v>
      </c>
      <c r="AO159" s="251">
        <f>IS!AO8</f>
        <v>744.8</v>
      </c>
      <c r="AP159" s="251">
        <f>IS!AP8</f>
        <v>725.5</v>
      </c>
      <c r="AQ159" s="251">
        <f>IS!AQ8</f>
        <v>680.2</v>
      </c>
      <c r="AR159" s="749">
        <f>IS!AR8</f>
        <v>661</v>
      </c>
      <c r="AS159" s="749">
        <f>IS!AS8</f>
        <v>688.3</v>
      </c>
      <c r="AT159" s="749">
        <f>IS!AT8</f>
        <v>715.4</v>
      </c>
      <c r="AU159" s="749">
        <f>IS!AU8</f>
        <v>718</v>
      </c>
      <c r="AV159" s="749">
        <f>IS!AV8</f>
        <v>706.5</v>
      </c>
      <c r="AW159" s="749">
        <f>IS!AW8</f>
        <v>757.6</v>
      </c>
      <c r="AX159" s="749">
        <f>IS!AX8</f>
        <v>833.5</v>
      </c>
      <c r="AY159" s="749">
        <f>IS!AY8</f>
        <v>864.2</v>
      </c>
      <c r="AZ159" s="749">
        <f>IS!AZ8</f>
        <v>870.8</v>
      </c>
      <c r="BA159" s="749">
        <f>IS!BA8</f>
        <v>880.5</v>
      </c>
      <c r="BB159" s="749">
        <f>IS!BB8</f>
        <v>904.2</v>
      </c>
      <c r="BC159" s="749">
        <f>IS!BC8</f>
        <v>840.3</v>
      </c>
      <c r="BD159" s="749">
        <f>IS!BD8</f>
        <v>817.2</v>
      </c>
      <c r="BE159" s="749">
        <f>IS!BE8</f>
        <v>877.8</v>
      </c>
      <c r="BF159" s="749">
        <f>IS!BF8</f>
        <v>950.9</v>
      </c>
      <c r="BG159" s="749">
        <f>IS!BG8</f>
        <v>1261</v>
      </c>
      <c r="BH159" s="749">
        <f>IS!BH8</f>
        <v>1436.7</v>
      </c>
      <c r="BI159" s="749">
        <f>IS!BI8</f>
        <v>1338</v>
      </c>
      <c r="BJ159" s="749">
        <f>IS!BJ8</f>
        <v>1390.9</v>
      </c>
      <c r="BK159" s="749">
        <f>IS!BK8</f>
        <v>1377.5</v>
      </c>
      <c r="BL159" s="749">
        <f>IS!BL8</f>
        <v>1369.8570000000002</v>
      </c>
      <c r="BM159" s="749">
        <f>IS!BM8</f>
        <v>1428.3854699999999</v>
      </c>
      <c r="BN159" s="749">
        <f>IS!BN8</f>
        <v>1462.1209246000001</v>
      </c>
      <c r="BO159" s="749">
        <f>IS!BO8</f>
        <v>1436.2157754979999</v>
      </c>
      <c r="BP159" s="749">
        <f>IS!BP8</f>
        <v>1428.2476192559</v>
      </c>
      <c r="BQ159" s="749">
        <f>IS!BQ8</f>
        <v>1481.625145527059</v>
      </c>
      <c r="BR159" s="749">
        <f>IS!BR8</f>
        <v>1513.799568262451</v>
      </c>
      <c r="BS159" s="749">
        <f>IS!BS8</f>
        <v>1487.5019898772639</v>
      </c>
      <c r="BT159" s="749">
        <f>IS!BT8</f>
        <v>1481.3892830431141</v>
      </c>
      <c r="BU159" s="749">
        <f>IS!BU8</f>
        <v>1536.6192424277208</v>
      </c>
      <c r="BV159" s="749">
        <f>IS!BV8</f>
        <v>1568.4983613978361</v>
      </c>
      <c r="BW159" s="749">
        <f>IS!BW8</f>
        <v>1541.799580271286</v>
      </c>
      <c r="BX159" s="749"/>
      <c r="BY159" s="749">
        <f>IS!BY8</f>
        <v>1069.0999999999999</v>
      </c>
      <c r="BZ159" s="749">
        <f>IS!BZ8</f>
        <v>1266.9000000000001</v>
      </c>
      <c r="CA159" s="749">
        <f>IS!CA8</f>
        <v>1260.6000000000001</v>
      </c>
      <c r="CB159" s="749">
        <f>IS!CB8</f>
        <v>1531.7999999999997</v>
      </c>
      <c r="CC159" s="749">
        <f>IS!CC8</f>
        <v>1566.1999999999998</v>
      </c>
      <c r="CD159" s="749">
        <f>IS!CD8</f>
        <v>2054.7999999999997</v>
      </c>
      <c r="CE159" s="749">
        <f>IS!CE8</f>
        <v>1768.9</v>
      </c>
      <c r="CF159" s="749">
        <f>IS!CF8</f>
        <v>2313.4</v>
      </c>
      <c r="CG159" s="749">
        <f>IS!CG8</f>
        <v>3442.3</v>
      </c>
      <c r="CH159" s="749">
        <f>IS!CH8</f>
        <v>2894.8999999999996</v>
      </c>
      <c r="CI159" s="749">
        <f>IS!CI8</f>
        <v>2782.7</v>
      </c>
      <c r="CJ159" s="749">
        <f>IS!CJ8</f>
        <v>3161.8</v>
      </c>
      <c r="CK159" s="749">
        <f>IS!CK8</f>
        <v>3495.8</v>
      </c>
      <c r="CL159" s="749">
        <f>IS!CL8</f>
        <v>3906.9</v>
      </c>
      <c r="CM159" s="749">
        <f>IS!CM8</f>
        <v>5543.1</v>
      </c>
      <c r="CN159" s="749">
        <f>IS!CN8</f>
        <v>5696.5791700979998</v>
      </c>
      <c r="CO159" s="749">
        <f>IS!CO8</f>
        <v>5911.174322922674</v>
      </c>
      <c r="CP159" s="749">
        <f>IS!CP8</f>
        <v>6128.3064671399561</v>
      </c>
    </row>
    <row r="160" spans="1:95" ht="14.25" hidden="1" customHeight="1" outlineLevel="1">
      <c r="A160" s="9"/>
      <c r="B160" s="368" t="s">
        <v>213</v>
      </c>
      <c r="C160" s="15"/>
      <c r="D160" s="251">
        <f>IS!D22</f>
        <v>74.800000000000011</v>
      </c>
      <c r="E160" s="251">
        <f>IS!E22</f>
        <v>73.899999999999977</v>
      </c>
      <c r="F160" s="251">
        <f>IS!F22</f>
        <v>73.600000000000023</v>
      </c>
      <c r="G160" s="251">
        <f>IS!G22</f>
        <v>78.400000000000034</v>
      </c>
      <c r="H160" s="251">
        <f>IS!H22</f>
        <v>95.899999999999977</v>
      </c>
      <c r="I160" s="251">
        <f>IS!I22</f>
        <v>112.4</v>
      </c>
      <c r="J160" s="251">
        <f>IS!J22</f>
        <v>102.99999999999997</v>
      </c>
      <c r="K160" s="251">
        <f>IS!K22</f>
        <v>98.600000000000023</v>
      </c>
      <c r="L160" s="251">
        <f>IS!L22</f>
        <v>96.199999999999989</v>
      </c>
      <c r="M160" s="251">
        <f>IS!M22</f>
        <v>98.5</v>
      </c>
      <c r="N160" s="251">
        <f>IS!N22</f>
        <v>104.10000000000002</v>
      </c>
      <c r="O160" s="251">
        <f>IS!O22</f>
        <v>119.70000000000002</v>
      </c>
      <c r="P160" s="251">
        <f>IS!P22</f>
        <v>117.69999999999999</v>
      </c>
      <c r="Q160" s="251">
        <f>IS!Q22</f>
        <v>153.20000000000002</v>
      </c>
      <c r="R160" s="251">
        <f>IS!R22</f>
        <v>160.39999999999998</v>
      </c>
      <c r="S160" s="251">
        <f>IS!S22</f>
        <v>157.70000000000002</v>
      </c>
      <c r="T160" s="251">
        <f>IS!T22</f>
        <v>136.6</v>
      </c>
      <c r="U160" s="251">
        <f>IS!U22</f>
        <v>146</v>
      </c>
      <c r="V160" s="251">
        <f>IS!V22</f>
        <v>155.59999999999997</v>
      </c>
      <c r="W160" s="251">
        <f>IS!W22</f>
        <v>152.29999999999998</v>
      </c>
      <c r="X160" s="251">
        <f>IS!X22</f>
        <v>146.59999999999997</v>
      </c>
      <c r="Y160" s="251">
        <f>IS!Y22</f>
        <v>191.60000000000002</v>
      </c>
      <c r="Z160" s="251">
        <f>IS!Z22</f>
        <v>221.60000000000002</v>
      </c>
      <c r="AA160" s="251">
        <f>IS!AA22</f>
        <v>185.7</v>
      </c>
      <c r="AB160" s="251">
        <f>IS!AB22</f>
        <v>112.10000000000002</v>
      </c>
      <c r="AC160" s="251">
        <f>IS!AC22</f>
        <v>138.19999999999999</v>
      </c>
      <c r="AD160" s="251">
        <f>IS!AD22</f>
        <v>175.79999999999995</v>
      </c>
      <c r="AE160" s="251">
        <f>IS!AE22</f>
        <v>194.60000000000002</v>
      </c>
      <c r="AF160" s="251">
        <f>IS!AF22</f>
        <v>228.10000000000002</v>
      </c>
      <c r="AG160" s="251">
        <f>IS!AG22</f>
        <v>243.79999999999995</v>
      </c>
      <c r="AH160" s="251">
        <f>IS!AH22</f>
        <v>246.50000000000006</v>
      </c>
      <c r="AI160" s="251">
        <f>IS!AI22</f>
        <v>237.60000000000002</v>
      </c>
      <c r="AJ160" s="251">
        <f>IS!AJ22</f>
        <v>242.39999999999998</v>
      </c>
      <c r="AK160" s="251">
        <f>IS!AK22</f>
        <v>266.09999999999991</v>
      </c>
      <c r="AL160" s="251">
        <f>IS!AL22</f>
        <v>261.10000000000002</v>
      </c>
      <c r="AM160" s="251">
        <f>IS!AM22</f>
        <v>239.19999999999993</v>
      </c>
      <c r="AN160" s="251">
        <f>IS!AN22</f>
        <v>245.2</v>
      </c>
      <c r="AO160" s="251">
        <f>IS!AO22</f>
        <v>258.29999999999995</v>
      </c>
      <c r="AP160" s="251">
        <f>IS!AP22</f>
        <v>238</v>
      </c>
      <c r="AQ160" s="749">
        <f>IS!AQ22</f>
        <v>210.40000000000003</v>
      </c>
      <c r="AR160" s="749">
        <f>IS!AR22</f>
        <v>204.5</v>
      </c>
      <c r="AS160" s="749">
        <f>IS!AS22</f>
        <v>231.79999999999995</v>
      </c>
      <c r="AT160" s="749">
        <f>IS!AT22</f>
        <v>249.2</v>
      </c>
      <c r="AU160" s="749">
        <f>IS!AU22</f>
        <v>252.89999999999998</v>
      </c>
      <c r="AV160" s="749">
        <f>IS!AV22</f>
        <v>250.8</v>
      </c>
      <c r="AW160" s="749">
        <f>IS!AW22</f>
        <v>273</v>
      </c>
      <c r="AX160" s="749">
        <f>IS!AX22</f>
        <v>284.10000000000002</v>
      </c>
      <c r="AY160" s="749">
        <f>IS!AY22</f>
        <v>277.70000000000005</v>
      </c>
      <c r="AZ160" s="749">
        <f>IS!AZ22</f>
        <v>300.39999999999998</v>
      </c>
      <c r="BA160" s="749">
        <f>IS!BA22</f>
        <v>304.39999999999998</v>
      </c>
      <c r="BB160" s="749">
        <f>IS!BB22</f>
        <v>308.5</v>
      </c>
      <c r="BC160" s="749">
        <f>IS!BC22</f>
        <v>279.89999999999998</v>
      </c>
      <c r="BD160" s="749">
        <f>IS!BD22</f>
        <v>275.5</v>
      </c>
      <c r="BE160" s="749">
        <f>IS!BE22</f>
        <v>307.89999999999998</v>
      </c>
      <c r="BF160" s="749">
        <f>IS!BF22</f>
        <v>329</v>
      </c>
      <c r="BG160" s="749">
        <f>IS!BG22</f>
        <v>384.5</v>
      </c>
      <c r="BH160" s="749">
        <f>IS!BH22</f>
        <v>503.30000000000007</v>
      </c>
      <c r="BI160" s="749">
        <f>IS!BI22</f>
        <v>492.1</v>
      </c>
      <c r="BJ160" s="749">
        <f>IS!BJ22</f>
        <v>524.20000000000005</v>
      </c>
      <c r="BK160" s="749">
        <f>IS!BK22</f>
        <v>514.20000000000005</v>
      </c>
      <c r="BL160" s="749">
        <f>IS!BL22</f>
        <v>515.80198900000005</v>
      </c>
      <c r="BM160" s="749">
        <f>IS!BM22</f>
        <v>542.17339201999994</v>
      </c>
      <c r="BN160" s="749">
        <f>IS!BN22</f>
        <v>555.78659275670009</v>
      </c>
      <c r="BO160" s="749">
        <f>IS!BO22</f>
        <v>543.61409561827111</v>
      </c>
      <c r="BP160" s="749">
        <f>IS!BP22</f>
        <v>540.41491874037683</v>
      </c>
      <c r="BQ160" s="749">
        <f>IS!BQ22</f>
        <v>566.77562628744454</v>
      </c>
      <c r="BR160" s="749">
        <f>IS!BR22</f>
        <v>588.59969836226333</v>
      </c>
      <c r="BS160" s="749">
        <f>IS!BS22</f>
        <v>578.32138577898979</v>
      </c>
      <c r="BT160" s="749">
        <f>IS!BT22</f>
        <v>567.15699032537668</v>
      </c>
      <c r="BU160" s="749">
        <f>IS!BU22</f>
        <v>594.70805725627952</v>
      </c>
      <c r="BV160" s="749">
        <f>IS!BV22</f>
        <v>617.18116776067961</v>
      </c>
      <c r="BW160" s="749">
        <f>IS!BW22</f>
        <v>606.55994158686735</v>
      </c>
      <c r="BX160" s="251"/>
      <c r="BY160" s="251">
        <f>IS!BY22</f>
        <v>300.69999999999982</v>
      </c>
      <c r="BZ160" s="251">
        <f>IS!BZ22</f>
        <v>409.90000000000009</v>
      </c>
      <c r="CA160" s="251">
        <f>IS!CA22</f>
        <v>418.50000000000011</v>
      </c>
      <c r="CB160" s="251">
        <f>IS!CB22</f>
        <v>588.99999999999977</v>
      </c>
      <c r="CC160" s="251">
        <f>IS!CC22</f>
        <v>590.49999999999989</v>
      </c>
      <c r="CD160" s="251">
        <f>IS!CD22</f>
        <v>745.49999999999955</v>
      </c>
      <c r="CE160" s="251">
        <f>IS!CE22</f>
        <v>620.70000000000005</v>
      </c>
      <c r="CF160" s="251">
        <f>IS!CF22</f>
        <v>956</v>
      </c>
      <c r="CG160" s="251">
        <f>IS!CG22</f>
        <v>1008.8000000000002</v>
      </c>
      <c r="CH160" s="749">
        <f>IS!CH22</f>
        <v>951.89999999999964</v>
      </c>
      <c r="CI160" s="749">
        <f>IS!CI22</f>
        <v>938.39999999999964</v>
      </c>
      <c r="CJ160" s="749">
        <f>IS!CJ22</f>
        <v>1085.6000000000004</v>
      </c>
      <c r="CK160" s="749">
        <f>IS!CK22</f>
        <v>1193.2000000000003</v>
      </c>
      <c r="CL160" s="749">
        <f>IS!CL22</f>
        <v>1296.9000000000001</v>
      </c>
      <c r="CM160" s="749">
        <f>IS!CM22</f>
        <v>2033.8000000000002</v>
      </c>
      <c r="CN160" s="749">
        <f>IS!CN22</f>
        <v>2157.3760693949712</v>
      </c>
      <c r="CO160" s="749">
        <f>IS!CO22</f>
        <v>2274.1116291690746</v>
      </c>
      <c r="CP160" s="749">
        <f>IS!CP22</f>
        <v>2385.6061569292024</v>
      </c>
    </row>
    <row r="161" spans="1:94" ht="14.25" hidden="1" customHeight="1" outlineLevel="1">
      <c r="A161" s="9"/>
      <c r="B161" s="368" t="s">
        <v>214</v>
      </c>
      <c r="C161" s="15"/>
      <c r="D161" s="749">
        <f>IS!D68</f>
        <v>15.000000000000007</v>
      </c>
      <c r="E161" s="749">
        <f>IS!E68</f>
        <v>-18.300000000000026</v>
      </c>
      <c r="F161" s="749">
        <f>IS!F68</f>
        <v>26.500000000000021</v>
      </c>
      <c r="G161" s="749">
        <f>IS!G68</f>
        <v>-7.2999999999999545</v>
      </c>
      <c r="H161" s="749">
        <f>IS!H68</f>
        <v>23.699999999999989</v>
      </c>
      <c r="I161" s="749">
        <f>IS!I68</f>
        <v>48.100000000000009</v>
      </c>
      <c r="J161" s="749">
        <f>IS!J68</f>
        <v>43.499999999999972</v>
      </c>
      <c r="K161" s="749">
        <f>IS!K68</f>
        <v>34.600000000000023</v>
      </c>
      <c r="L161" s="749">
        <f>IS!L68</f>
        <v>32.299999999999983</v>
      </c>
      <c r="M161" s="749">
        <f>IS!M68</f>
        <v>36.300000000000004</v>
      </c>
      <c r="N161" s="749">
        <f>IS!N68</f>
        <v>42.200000000000017</v>
      </c>
      <c r="O161" s="749">
        <f>IS!O68</f>
        <v>56.800000000000018</v>
      </c>
      <c r="P161" s="749">
        <f>IS!P68</f>
        <v>52.899999999999991</v>
      </c>
      <c r="Q161" s="749">
        <f>IS!Q68</f>
        <v>80.700000000000017</v>
      </c>
      <c r="R161" s="749">
        <f>IS!R68</f>
        <v>88.199999999999989</v>
      </c>
      <c r="S161" s="749">
        <f>IS!S68</f>
        <v>95.200000000000017</v>
      </c>
      <c r="T161" s="749">
        <f>IS!T68</f>
        <v>62.699999999999989</v>
      </c>
      <c r="U161" s="749">
        <f>IS!U68</f>
        <v>71.5</v>
      </c>
      <c r="V161" s="749">
        <f>IS!V68</f>
        <v>73.19999999999996</v>
      </c>
      <c r="W161" s="749">
        <f>IS!W68</f>
        <v>69.799999999999983</v>
      </c>
      <c r="X161" s="749">
        <f>IS!X68</f>
        <v>30.799999999999969</v>
      </c>
      <c r="Y161" s="749">
        <f>IS!Y68</f>
        <v>33.400000000000006</v>
      </c>
      <c r="Z161" s="749">
        <f>IS!Z68</f>
        <v>73.600000000000023</v>
      </c>
      <c r="AA161" s="749">
        <f>IS!AA68</f>
        <v>-503.7000000000001</v>
      </c>
      <c r="AB161" s="749">
        <f>IS!AB68</f>
        <v>-4.5999999999999659</v>
      </c>
      <c r="AC161" s="749">
        <f>IS!AC68</f>
        <v>13.699999999999989</v>
      </c>
      <c r="AD161" s="749">
        <f>IS!AD68</f>
        <v>49.699999999999946</v>
      </c>
      <c r="AE161" s="749">
        <f>IS!AE68</f>
        <v>83.800000000000011</v>
      </c>
      <c r="AF161" s="749">
        <f>IS!AF68</f>
        <v>84.200000000000017</v>
      </c>
      <c r="AG161" s="749">
        <f>IS!AG68</f>
        <v>101.49999999999997</v>
      </c>
      <c r="AH161" s="749">
        <f>IS!AH68</f>
        <v>107.70000000000005</v>
      </c>
      <c r="AI161" s="749">
        <f>IS!AI68</f>
        <v>80.800000000000011</v>
      </c>
      <c r="AJ161" s="749">
        <f>IS!AJ68</f>
        <v>32.699999999999989</v>
      </c>
      <c r="AK161" s="749">
        <f>IS!AK68</f>
        <v>56.89999999999992</v>
      </c>
      <c r="AL161" s="749">
        <f>IS!AL68</f>
        <v>-6.6999999999999886</v>
      </c>
      <c r="AM161" s="749">
        <f>IS!AM68</f>
        <v>30.499999999999915</v>
      </c>
      <c r="AN161" s="749">
        <f>IS!AN68</f>
        <v>43.599999999999994</v>
      </c>
      <c r="AO161" s="749">
        <f>IS!AO68</f>
        <v>26.89999999999992</v>
      </c>
      <c r="AP161" s="749">
        <f>IS!AP68</f>
        <v>44.599999999999966</v>
      </c>
      <c r="AQ161" s="749">
        <f>IS!AQ68</f>
        <v>-131.39999999999998</v>
      </c>
      <c r="AR161" s="749">
        <f>IS!AR68</f>
        <v>37.700000000000017</v>
      </c>
      <c r="AS161" s="749">
        <f>IS!AS68</f>
        <v>50.899999999999949</v>
      </c>
      <c r="AT161" s="749">
        <f>IS!AT68</f>
        <v>67.300000000000011</v>
      </c>
      <c r="AU161" s="749">
        <f>IS!AU68</f>
        <v>62.299999999999983</v>
      </c>
      <c r="AV161" s="749">
        <f>IS!AV68</f>
        <v>73.300000000000011</v>
      </c>
      <c r="AW161" s="749">
        <f>IS!AW68</f>
        <v>81.699999999999989</v>
      </c>
      <c r="AX161" s="749">
        <f>IS!AX68</f>
        <v>57.600000000000023</v>
      </c>
      <c r="AY161" s="749">
        <f>IS!AY68</f>
        <v>20.10000000000008</v>
      </c>
      <c r="AZ161" s="749">
        <f>IS!AZ68</f>
        <v>68.400000000000006</v>
      </c>
      <c r="BA161" s="749">
        <f>IS!BA68</f>
        <v>67.799999999999955</v>
      </c>
      <c r="BB161" s="749">
        <f>IS!BB68</f>
        <v>69.400000000000006</v>
      </c>
      <c r="BC161" s="749">
        <f>IS!BC68</f>
        <v>55.499999999999972</v>
      </c>
      <c r="BD161" s="749">
        <f>IS!BD68</f>
        <v>58.400000000000006</v>
      </c>
      <c r="BE161" s="749">
        <f>IS!BE68</f>
        <v>75.299999999999983</v>
      </c>
      <c r="BF161" s="749">
        <f>IS!BF68</f>
        <v>46.700000000000045</v>
      </c>
      <c r="BG161" s="749">
        <f>IS!BG68</f>
        <v>55.699999999999989</v>
      </c>
      <c r="BH161" s="749">
        <f>IS!BH68</f>
        <v>183.40000000000009</v>
      </c>
      <c r="BI161" s="749">
        <f>IS!BI68</f>
        <v>154.19999999999999</v>
      </c>
      <c r="BJ161" s="749">
        <f>IS!BJ68</f>
        <v>177.30000000000007</v>
      </c>
      <c r="BK161" s="749">
        <f>IS!BK68</f>
        <v>166.00000000000006</v>
      </c>
      <c r="BL161" s="749">
        <f>IS!BL68</f>
        <v>186.18210511615223</v>
      </c>
      <c r="BM161" s="749">
        <f>IS!BM68</f>
        <v>236.20913112368061</v>
      </c>
      <c r="BN161" s="749">
        <f>IS!BN68</f>
        <v>246.57535071078769</v>
      </c>
      <c r="BO161" s="749">
        <f>IS!BO68</f>
        <v>236.31030375307745</v>
      </c>
      <c r="BP161" s="749">
        <f>IS!BP68</f>
        <v>233.11112687518317</v>
      </c>
      <c r="BQ161" s="749">
        <f>IS!BQ68</f>
        <v>254.58653623642681</v>
      </c>
      <c r="BR161" s="749">
        <f>IS!BR68</f>
        <v>273.52669741313429</v>
      </c>
      <c r="BS161" s="749">
        <f>IS!BS68</f>
        <v>265.57681913520321</v>
      </c>
      <c r="BT161" s="749">
        <f>IS!BT68</f>
        <v>254.4124236815901</v>
      </c>
      <c r="BU161" s="749">
        <f>IS!BU68</f>
        <v>277.00340065184201</v>
      </c>
      <c r="BV161" s="749">
        <f>IS!BV68</f>
        <v>296.67248998062723</v>
      </c>
      <c r="BW161" s="749">
        <f>IS!BW68</f>
        <v>288.37227877434469</v>
      </c>
      <c r="BX161" s="251"/>
      <c r="BY161" s="749">
        <f>IS!BY68</f>
        <v>15.899999999999807</v>
      </c>
      <c r="BZ161" s="749">
        <f>IS!BZ68</f>
        <v>149.90000000000009</v>
      </c>
      <c r="CA161" s="749">
        <f>IS!CA68</f>
        <v>167.60000000000011</v>
      </c>
      <c r="CB161" s="749">
        <f>IS!CB68</f>
        <v>316.99999999999977</v>
      </c>
      <c r="CC161" s="749">
        <f>IS!CC68</f>
        <v>277.19999999999987</v>
      </c>
      <c r="CD161" s="749">
        <f>IS!CD68</f>
        <v>-365.90000000000055</v>
      </c>
      <c r="CE161" s="749">
        <f>IS!CE68</f>
        <v>142.60000000000002</v>
      </c>
      <c r="CF161" s="749">
        <f>IS!CF68</f>
        <v>374.20000000000005</v>
      </c>
      <c r="CG161" s="749">
        <f>IS!CG68</f>
        <v>113.4000000000002</v>
      </c>
      <c r="CH161" s="749">
        <f>IS!CH68</f>
        <v>-16.300000000000409</v>
      </c>
      <c r="CI161" s="749">
        <f>IS!CI68</f>
        <v>218.19999999999959</v>
      </c>
      <c r="CJ161" s="749">
        <f>IS!CJ68</f>
        <v>232.70000000000039</v>
      </c>
      <c r="CK161" s="749">
        <f>IS!CK68</f>
        <v>261.10000000000036</v>
      </c>
      <c r="CL161" s="749">
        <f>IS!CL68</f>
        <v>236.09999999999991</v>
      </c>
      <c r="CM161" s="749">
        <f>IS!CM68</f>
        <v>680.90000000000032</v>
      </c>
      <c r="CN161" s="749">
        <f>IS!CN68</f>
        <v>905.27689070369797</v>
      </c>
      <c r="CO161" s="749">
        <f>IS!CO68</f>
        <v>1026.8011796599476</v>
      </c>
      <c r="CP161" s="749">
        <f>IS!CP68</f>
        <v>1116.4605930884031</v>
      </c>
    </row>
    <row r="162" spans="1:94" ht="14.25" hidden="1" customHeight="1" outlineLevel="1">
      <c r="A162" s="9"/>
      <c r="B162" s="368"/>
      <c r="C162" s="15"/>
      <c r="D162" s="749"/>
      <c r="E162" s="749"/>
      <c r="F162" s="749"/>
      <c r="G162" s="749"/>
      <c r="H162" s="749"/>
      <c r="I162" s="749"/>
      <c r="J162" s="749"/>
      <c r="K162" s="749"/>
      <c r="L162" s="749"/>
      <c r="M162" s="749"/>
      <c r="N162" s="749"/>
      <c r="O162" s="749"/>
      <c r="P162" s="749"/>
      <c r="Q162" s="749"/>
      <c r="R162" s="749"/>
      <c r="S162" s="749"/>
      <c r="T162" s="749"/>
      <c r="U162" s="749"/>
      <c r="V162" s="749"/>
      <c r="W162" s="749"/>
      <c r="X162" s="749"/>
      <c r="Y162" s="749"/>
      <c r="Z162" s="749"/>
      <c r="AA162" s="749"/>
      <c r="AB162" s="749"/>
      <c r="AC162" s="749"/>
      <c r="AD162" s="749"/>
      <c r="AE162" s="749"/>
      <c r="AF162" s="749"/>
      <c r="AG162" s="749"/>
      <c r="AH162" s="749"/>
      <c r="AI162" s="749"/>
      <c r="AJ162" s="749"/>
      <c r="AK162" s="749"/>
      <c r="AL162" s="749"/>
      <c r="AM162" s="749"/>
      <c r="AN162" s="749"/>
      <c r="AO162" s="749"/>
      <c r="AP162" s="749"/>
      <c r="AQ162" s="749"/>
      <c r="AR162" s="325"/>
      <c r="AS162" s="325"/>
      <c r="AT162" s="325"/>
      <c r="AU162" s="325"/>
      <c r="AV162" s="325"/>
      <c r="AW162" s="325"/>
      <c r="AX162" s="325"/>
      <c r="AY162" s="325"/>
      <c r="AZ162" s="325"/>
      <c r="BA162" s="325"/>
      <c r="BB162" s="325"/>
      <c r="BC162" s="325"/>
      <c r="BD162" s="325"/>
      <c r="BE162" s="325"/>
      <c r="BF162" s="325"/>
      <c r="BG162" s="325"/>
      <c r="BH162" s="325"/>
      <c r="BI162" s="325"/>
      <c r="BJ162" s="325"/>
      <c r="BK162" s="325"/>
      <c r="BL162" s="325"/>
      <c r="BM162" s="325"/>
      <c r="BN162" s="325"/>
      <c r="BO162" s="325"/>
      <c r="BP162" s="325"/>
      <c r="BQ162" s="325"/>
      <c r="BR162" s="325"/>
      <c r="BS162" s="325"/>
      <c r="BT162" s="325"/>
      <c r="BU162" s="325"/>
      <c r="BV162" s="325"/>
      <c r="BW162" s="325"/>
      <c r="BX162" s="251"/>
      <c r="BY162" s="749"/>
      <c r="BZ162" s="749"/>
      <c r="CA162" s="749"/>
      <c r="CB162" s="749"/>
      <c r="CC162" s="749"/>
      <c r="CD162" s="749"/>
      <c r="CE162" s="749"/>
      <c r="CF162" s="749"/>
      <c r="CG162" s="749"/>
      <c r="CH162" s="749"/>
      <c r="CI162" s="325"/>
      <c r="CJ162" s="325"/>
      <c r="CK162" s="325"/>
      <c r="CL162" s="325"/>
      <c r="CM162" s="325"/>
      <c r="CN162" s="325"/>
      <c r="CO162" s="325"/>
      <c r="CP162" s="325"/>
    </row>
    <row r="163" spans="1:94" ht="14.25" hidden="1" customHeight="1" outlineLevel="1">
      <c r="B163" s="726" t="s">
        <v>359</v>
      </c>
      <c r="C163" s="726"/>
      <c r="D163" s="727" t="str">
        <f t="shared" ref="D163:K163" si="644">IF(ROUND(D157,1)=1,"OK",D157)</f>
        <v>OK</v>
      </c>
      <c r="E163" s="727" t="str">
        <f t="shared" si="644"/>
        <v>OK</v>
      </c>
      <c r="F163" s="727" t="str">
        <f t="shared" si="644"/>
        <v>OK</v>
      </c>
      <c r="G163" s="727" t="str">
        <f t="shared" si="644"/>
        <v>OK</v>
      </c>
      <c r="H163" s="727" t="str">
        <f t="shared" si="644"/>
        <v>OK</v>
      </c>
      <c r="I163" s="727" t="str">
        <f t="shared" si="644"/>
        <v>OK</v>
      </c>
      <c r="J163" s="727" t="str">
        <f t="shared" si="644"/>
        <v>OK</v>
      </c>
      <c r="K163" s="727" t="str">
        <f t="shared" si="644"/>
        <v>OK</v>
      </c>
      <c r="L163" s="727" t="str">
        <f t="shared" ref="L163:AR163" si="645">IF(ROUND(L157,1)=1,"OK",L157)</f>
        <v>OK</v>
      </c>
      <c r="M163" s="727" t="str">
        <f t="shared" si="645"/>
        <v>OK</v>
      </c>
      <c r="N163" s="727" t="str">
        <f t="shared" si="645"/>
        <v>OK</v>
      </c>
      <c r="O163" s="727" t="str">
        <f t="shared" si="645"/>
        <v>OK</v>
      </c>
      <c r="P163" s="727" t="str">
        <f t="shared" si="645"/>
        <v>OK</v>
      </c>
      <c r="Q163" s="727" t="str">
        <f t="shared" si="645"/>
        <v>OK</v>
      </c>
      <c r="R163" s="727" t="str">
        <f t="shared" si="645"/>
        <v>OK</v>
      </c>
      <c r="S163" s="727" t="str">
        <f t="shared" si="645"/>
        <v>OK</v>
      </c>
      <c r="T163" s="727" t="str">
        <f t="shared" si="645"/>
        <v>OK</v>
      </c>
      <c r="U163" s="727" t="str">
        <f t="shared" si="645"/>
        <v>OK</v>
      </c>
      <c r="V163" s="727" t="str">
        <f t="shared" si="645"/>
        <v>OK</v>
      </c>
      <c r="W163" s="727" t="str">
        <f t="shared" si="645"/>
        <v>OK</v>
      </c>
      <c r="X163" s="727" t="str">
        <f t="shared" si="645"/>
        <v>OK</v>
      </c>
      <c r="Y163" s="727" t="str">
        <f t="shared" si="645"/>
        <v>OK</v>
      </c>
      <c r="Z163" s="727" t="str">
        <f t="shared" si="645"/>
        <v>OK</v>
      </c>
      <c r="AA163" s="727" t="str">
        <f t="shared" si="645"/>
        <v>OK</v>
      </c>
      <c r="AB163" s="727" t="str">
        <f t="shared" si="645"/>
        <v>OK</v>
      </c>
      <c r="AC163" s="727" t="str">
        <f t="shared" si="645"/>
        <v>OK</v>
      </c>
      <c r="AD163" s="727" t="str">
        <f t="shared" si="645"/>
        <v>OK</v>
      </c>
      <c r="AE163" s="727" t="str">
        <f t="shared" si="645"/>
        <v>OK</v>
      </c>
      <c r="AF163" s="727" t="str">
        <f t="shared" si="645"/>
        <v>OK</v>
      </c>
      <c r="AG163" s="727" t="str">
        <f t="shared" si="645"/>
        <v>OK</v>
      </c>
      <c r="AH163" s="727" t="str">
        <f t="shared" si="645"/>
        <v>OK</v>
      </c>
      <c r="AI163" s="727" t="str">
        <f t="shared" si="645"/>
        <v>OK</v>
      </c>
      <c r="AJ163" s="727" t="str">
        <f t="shared" si="645"/>
        <v>OK</v>
      </c>
      <c r="AK163" s="727" t="str">
        <f t="shared" si="645"/>
        <v>OK</v>
      </c>
      <c r="AL163" s="727" t="str">
        <f t="shared" si="645"/>
        <v>OK</v>
      </c>
      <c r="AM163" s="727" t="str">
        <f t="shared" si="645"/>
        <v>OK</v>
      </c>
      <c r="AN163" s="727" t="str">
        <f t="shared" si="645"/>
        <v>OK</v>
      </c>
      <c r="AO163" s="727" t="str">
        <f t="shared" si="645"/>
        <v>OK</v>
      </c>
      <c r="AP163" s="727" t="str">
        <f t="shared" si="645"/>
        <v>OK</v>
      </c>
      <c r="AQ163" s="727" t="str">
        <f t="shared" si="645"/>
        <v>OK</v>
      </c>
      <c r="AR163" s="727" t="str">
        <f t="shared" si="645"/>
        <v>OK</v>
      </c>
      <c r="AS163" s="727"/>
      <c r="AT163" s="727"/>
      <c r="AU163" s="727"/>
      <c r="AV163" s="727"/>
      <c r="AW163" s="727"/>
      <c r="AX163" s="727"/>
      <c r="AY163" s="727"/>
      <c r="AZ163" s="727"/>
      <c r="BA163" s="727"/>
      <c r="BB163" s="727"/>
      <c r="BC163" s="727"/>
      <c r="BD163" s="727"/>
      <c r="BE163" s="727"/>
      <c r="BF163" s="727"/>
      <c r="BG163" s="727"/>
      <c r="BH163" s="727"/>
      <c r="BI163" s="727"/>
      <c r="BJ163" s="727"/>
      <c r="BK163" s="727"/>
      <c r="BL163" s="727"/>
      <c r="BM163" s="727"/>
      <c r="BN163" s="727"/>
      <c r="BO163" s="727"/>
      <c r="BP163" s="727"/>
      <c r="BQ163" s="727"/>
      <c r="BR163" s="727"/>
      <c r="BS163" s="727"/>
      <c r="BT163" s="727"/>
      <c r="BU163" s="727"/>
      <c r="BV163" s="727"/>
      <c r="BW163" s="727"/>
      <c r="BX163" s="725"/>
      <c r="BY163" s="728" t="str">
        <f t="shared" ref="BY163:CI163" si="646">IF(ROUND(BY157,1)=1,"OK",BY157)</f>
        <v>OK</v>
      </c>
      <c r="BZ163" s="728" t="str">
        <f t="shared" si="646"/>
        <v>OK</v>
      </c>
      <c r="CA163" s="728" t="str">
        <f t="shared" si="646"/>
        <v>OK</v>
      </c>
      <c r="CB163" s="728" t="str">
        <f t="shared" si="646"/>
        <v>OK</v>
      </c>
      <c r="CC163" s="728" t="str">
        <f t="shared" si="646"/>
        <v>OK</v>
      </c>
      <c r="CD163" s="728" t="str">
        <f t="shared" si="646"/>
        <v>OK</v>
      </c>
      <c r="CE163" s="728" t="str">
        <f t="shared" si="646"/>
        <v>OK</v>
      </c>
      <c r="CF163" s="728" t="str">
        <f t="shared" si="646"/>
        <v>OK</v>
      </c>
      <c r="CG163" s="728" t="str">
        <f t="shared" si="646"/>
        <v>OK</v>
      </c>
      <c r="CH163" s="728" t="str">
        <f t="shared" si="646"/>
        <v>OK</v>
      </c>
      <c r="CI163" s="728" t="str">
        <f t="shared" si="646"/>
        <v>OK</v>
      </c>
      <c r="CJ163" s="728"/>
      <c r="CK163" s="728"/>
      <c r="CL163" s="728"/>
      <c r="CM163" s="728"/>
      <c r="CN163" s="728"/>
      <c r="CO163" s="728"/>
      <c r="CP163" s="728"/>
    </row>
    <row r="164" spans="1:94" ht="14.25" hidden="1" customHeight="1" outlineLevel="1">
      <c r="B164" s="302"/>
      <c r="BE164" s="1319"/>
      <c r="BF164" s="1319"/>
      <c r="BG164" s="1369"/>
      <c r="CJ164" s="302"/>
      <c r="CK164" s="302"/>
      <c r="CL164" s="302"/>
      <c r="CM164" s="302"/>
      <c r="CN164" s="302"/>
      <c r="CO164" s="302"/>
      <c r="CP164" s="302"/>
    </row>
    <row r="165" spans="1:94" ht="14.25" hidden="1" customHeight="1" outlineLevel="1">
      <c r="B165" s="251" t="s">
        <v>249</v>
      </c>
      <c r="D165" s="747"/>
      <c r="E165" s="747"/>
      <c r="F165" s="747"/>
      <c r="G165" s="747"/>
      <c r="H165" s="747">
        <f>H725</f>
        <v>308.2</v>
      </c>
      <c r="I165" s="747">
        <f>I725</f>
        <v>333.5</v>
      </c>
      <c r="J165" s="747">
        <f>J725</f>
        <v>318.39999999999998</v>
      </c>
      <c r="K165" s="747">
        <f>K725</f>
        <v>306.8</v>
      </c>
      <c r="L165" s="747">
        <f t="shared" ref="L165:W165" si="647">L663</f>
        <v>302.39999999999998</v>
      </c>
      <c r="M165" s="747">
        <f t="shared" si="647"/>
        <v>302.8</v>
      </c>
      <c r="N165" s="747">
        <f t="shared" si="647"/>
        <v>313.59999999999997</v>
      </c>
      <c r="O165" s="747">
        <f t="shared" si="647"/>
        <v>341.8</v>
      </c>
      <c r="P165" s="747">
        <f t="shared" si="647"/>
        <v>334</v>
      </c>
      <c r="Q165" s="747">
        <f t="shared" si="647"/>
        <v>375.3</v>
      </c>
      <c r="R165" s="747">
        <f t="shared" si="647"/>
        <v>420.90000000000003</v>
      </c>
      <c r="S165" s="747">
        <f t="shared" si="647"/>
        <v>401.6</v>
      </c>
      <c r="T165" s="747">
        <f t="shared" si="647"/>
        <v>374.2</v>
      </c>
      <c r="U165" s="747">
        <f t="shared" si="647"/>
        <v>381.2</v>
      </c>
      <c r="V165" s="747">
        <f t="shared" si="647"/>
        <v>402.90000000000003</v>
      </c>
      <c r="W165" s="747">
        <f t="shared" si="647"/>
        <v>407.90000000000003</v>
      </c>
      <c r="X165" s="747">
        <f t="shared" ref="X165:AI165" si="648">X562</f>
        <v>421.9</v>
      </c>
      <c r="Y165" s="747">
        <f t="shared" si="648"/>
        <v>562.70000000000005</v>
      </c>
      <c r="Z165" s="747">
        <f t="shared" si="648"/>
        <v>581.5</v>
      </c>
      <c r="AA165" s="747">
        <f t="shared" si="648"/>
        <v>488.70000000000005</v>
      </c>
      <c r="AB165" s="747">
        <f t="shared" si="648"/>
        <v>379.1</v>
      </c>
      <c r="AC165" s="747">
        <f t="shared" si="648"/>
        <v>419.79999999999995</v>
      </c>
      <c r="AD165" s="747">
        <f t="shared" si="648"/>
        <v>472.9</v>
      </c>
      <c r="AE165" s="747">
        <f t="shared" si="648"/>
        <v>497.1</v>
      </c>
      <c r="AF165" s="747">
        <f t="shared" si="648"/>
        <v>550.20000000000005</v>
      </c>
      <c r="AG165" s="747">
        <f t="shared" si="648"/>
        <v>583.29999999999995</v>
      </c>
      <c r="AH165" s="747">
        <f t="shared" si="648"/>
        <v>600.70000000000005</v>
      </c>
      <c r="AI165" s="747">
        <f t="shared" si="648"/>
        <v>579.20000000000005</v>
      </c>
      <c r="AJ165" s="747">
        <f t="shared" ref="AJ165:AX165" si="649">AJ368</f>
        <v>870.6</v>
      </c>
      <c r="AK165" s="747">
        <f t="shared" si="649"/>
        <v>905.7</v>
      </c>
      <c r="AL165" s="747">
        <f t="shared" si="649"/>
        <v>898.00000000000011</v>
      </c>
      <c r="AM165" s="747">
        <f t="shared" si="649"/>
        <v>768</v>
      </c>
      <c r="AN165" s="747">
        <f t="shared" si="649"/>
        <v>744.4</v>
      </c>
      <c r="AO165" s="747">
        <f t="shared" si="649"/>
        <v>744.8</v>
      </c>
      <c r="AP165" s="747">
        <f t="shared" si="649"/>
        <v>725.5</v>
      </c>
      <c r="AQ165" s="747">
        <f t="shared" si="649"/>
        <v>680.2</v>
      </c>
      <c r="AR165" s="747">
        <f t="shared" si="649"/>
        <v>661</v>
      </c>
      <c r="AS165" s="747">
        <f t="shared" si="649"/>
        <v>688.3</v>
      </c>
      <c r="AT165" s="747">
        <f t="shared" si="649"/>
        <v>715.40000000000009</v>
      </c>
      <c r="AU165" s="747">
        <f t="shared" si="649"/>
        <v>718</v>
      </c>
      <c r="AV165" s="747">
        <f t="shared" si="649"/>
        <v>706.5</v>
      </c>
      <c r="AW165" s="747">
        <f t="shared" si="649"/>
        <v>757.59999999999991</v>
      </c>
      <c r="AX165" s="747">
        <f t="shared" si="649"/>
        <v>833.5</v>
      </c>
      <c r="AY165" s="747">
        <f>AY76</f>
        <v>864.20000000000016</v>
      </c>
      <c r="AZ165" s="747">
        <f>AZ76</f>
        <v>870.8</v>
      </c>
      <c r="BA165" s="747">
        <f>BA76</f>
        <v>880.5</v>
      </c>
      <c r="BB165" s="747">
        <f>BB368</f>
        <v>904.2</v>
      </c>
      <c r="BC165" s="747">
        <f t="shared" ref="BC165:BO165" si="650">BC76</f>
        <v>840.3</v>
      </c>
      <c r="BD165" s="747">
        <f t="shared" si="650"/>
        <v>817.19999999999993</v>
      </c>
      <c r="BE165" s="747">
        <f t="shared" si="650"/>
        <v>877.8</v>
      </c>
      <c r="BF165" s="747">
        <f t="shared" si="650"/>
        <v>950.9</v>
      </c>
      <c r="BG165" s="747">
        <f t="shared" si="650"/>
        <v>1261</v>
      </c>
      <c r="BH165" s="747">
        <f t="shared" ref="BH165" si="651">BH76</f>
        <v>1281.6000000000001</v>
      </c>
      <c r="BI165" s="747">
        <f t="shared" si="650"/>
        <v>1337.9999999999998</v>
      </c>
      <c r="BJ165" s="747">
        <f t="shared" si="650"/>
        <v>1391</v>
      </c>
      <c r="BK165" s="747">
        <f t="shared" si="650"/>
        <v>1377.5</v>
      </c>
      <c r="BL165" s="747">
        <f t="shared" si="650"/>
        <v>1369.8570000000002</v>
      </c>
      <c r="BM165" s="747">
        <f t="shared" si="650"/>
        <v>1428.3854699999999</v>
      </c>
      <c r="BN165" s="747">
        <f t="shared" si="650"/>
        <v>1462.1209246000001</v>
      </c>
      <c r="BO165" s="747">
        <f t="shared" si="650"/>
        <v>1436.2157754979999</v>
      </c>
      <c r="BP165" s="747">
        <f t="shared" ref="BP165:BS165" si="652">BP76</f>
        <v>1428.2476192559</v>
      </c>
      <c r="BQ165" s="747">
        <f t="shared" si="652"/>
        <v>1481.625145527059</v>
      </c>
      <c r="BR165" s="747">
        <f t="shared" si="652"/>
        <v>1513.799568262451</v>
      </c>
      <c r="BS165" s="747">
        <f t="shared" si="652"/>
        <v>1487.5019898772639</v>
      </c>
      <c r="BT165" s="747">
        <f t="shared" ref="BT165:BW165" si="653">BT76</f>
        <v>1481.3892830431141</v>
      </c>
      <c r="BU165" s="747">
        <f t="shared" si="653"/>
        <v>1536.6192424277208</v>
      </c>
      <c r="BV165" s="747">
        <f t="shared" si="653"/>
        <v>1568.4983613978361</v>
      </c>
      <c r="BW165" s="747">
        <f t="shared" si="653"/>
        <v>1541.799580271286</v>
      </c>
      <c r="BZ165" s="748">
        <f>BZ725</f>
        <v>1266.9000000000001</v>
      </c>
      <c r="CA165" s="747">
        <f>CA663</f>
        <v>1260.5999999999999</v>
      </c>
      <c r="CB165" s="747">
        <f>CB663</f>
        <v>1531.8000000000002</v>
      </c>
      <c r="CC165" s="747">
        <f>CC663</f>
        <v>1566.2</v>
      </c>
      <c r="CD165" s="747">
        <f>CD562</f>
        <v>2054.8000000000002</v>
      </c>
      <c r="CE165" s="747">
        <f>CE562</f>
        <v>1768.9</v>
      </c>
      <c r="CF165" s="747">
        <f>CF562</f>
        <v>2313.4</v>
      </c>
      <c r="CG165" s="747">
        <f>CG368</f>
        <v>3442.3</v>
      </c>
      <c r="CH165" s="747">
        <f>CH368</f>
        <v>2894.8999999999996</v>
      </c>
      <c r="CI165" s="747">
        <f>CI368</f>
        <v>2782.7</v>
      </c>
      <c r="CJ165" s="747">
        <f>CJ368</f>
        <v>3122.7649999999999</v>
      </c>
      <c r="CK165" s="747">
        <f t="shared" ref="CK165:CP165" si="654">CK81</f>
        <v>3495.8</v>
      </c>
      <c r="CL165" s="747">
        <f t="shared" si="654"/>
        <v>3906.9</v>
      </c>
      <c r="CM165" s="747">
        <f t="shared" si="654"/>
        <v>5543.1</v>
      </c>
      <c r="CN165" s="747">
        <f t="shared" si="654"/>
        <v>5696.5791700979998</v>
      </c>
      <c r="CO165" s="747">
        <f t="shared" si="654"/>
        <v>5911.174322922674</v>
      </c>
      <c r="CP165" s="747">
        <f t="shared" si="654"/>
        <v>6128.3064671399561</v>
      </c>
    </row>
    <row r="166" spans="1:94" ht="14.25" hidden="1" customHeight="1" outlineLevel="1">
      <c r="B166" s="251" t="s">
        <v>318</v>
      </c>
      <c r="H166">
        <f>+IS!H8</f>
        <v>308.2</v>
      </c>
      <c r="I166">
        <f>+IS!I8</f>
        <v>333.5</v>
      </c>
      <c r="J166">
        <f>+IS!J8</f>
        <v>318.39999999999998</v>
      </c>
      <c r="K166">
        <f>+IS!K8</f>
        <v>306.8</v>
      </c>
      <c r="L166">
        <f>+IS!L8</f>
        <v>302.39999999999998</v>
      </c>
      <c r="M166">
        <f>+IS!M8</f>
        <v>302.8</v>
      </c>
      <c r="N166">
        <f>+IS!N8</f>
        <v>313.60000000000002</v>
      </c>
      <c r="O166">
        <f>+IS!O8</f>
        <v>341.8</v>
      </c>
      <c r="P166">
        <f>+IS!P8</f>
        <v>334</v>
      </c>
      <c r="Q166">
        <f>+IS!Q8</f>
        <v>375.3</v>
      </c>
      <c r="R166">
        <f>+IS!R8</f>
        <v>420.9</v>
      </c>
      <c r="S166">
        <f>+IS!S8</f>
        <v>401.6</v>
      </c>
      <c r="T166">
        <f>+IS!T8</f>
        <v>374.2</v>
      </c>
      <c r="U166">
        <f>+IS!U8</f>
        <v>381.2</v>
      </c>
      <c r="V166">
        <f>+IS!V8</f>
        <v>402.9</v>
      </c>
      <c r="W166">
        <f>+IS!W8</f>
        <v>407.9</v>
      </c>
      <c r="X166">
        <f>+IS!X8</f>
        <v>421.9</v>
      </c>
      <c r="Y166">
        <f>+IS!Y8</f>
        <v>562.70000000000005</v>
      </c>
      <c r="Z166">
        <f>+IS!Z8</f>
        <v>581.5</v>
      </c>
      <c r="AA166">
        <f>+IS!AA8</f>
        <v>488.7</v>
      </c>
      <c r="AB166">
        <f>+IS!AB8</f>
        <v>379.1</v>
      </c>
      <c r="AC166">
        <f>+IS!AC8</f>
        <v>419.8</v>
      </c>
      <c r="AD166">
        <f>+IS!AD8</f>
        <v>472.9</v>
      </c>
      <c r="AE166">
        <f>+IS!AE8</f>
        <v>497.1</v>
      </c>
      <c r="AF166">
        <f>+IS!AF8</f>
        <v>550.20000000000005</v>
      </c>
      <c r="AG166">
        <f>+IS!AG8</f>
        <v>583.29999999999995</v>
      </c>
      <c r="AH166">
        <f>+IS!AH8</f>
        <v>600.70000000000005</v>
      </c>
      <c r="AI166">
        <f>+IS!AI8</f>
        <v>579.20000000000005</v>
      </c>
      <c r="AJ166">
        <f>+IS!AJ8</f>
        <v>870.6</v>
      </c>
      <c r="AK166">
        <f>+IS!AK8</f>
        <v>905.8</v>
      </c>
      <c r="AL166">
        <f>+IS!AL8</f>
        <v>898</v>
      </c>
      <c r="AM166">
        <f>+IS!AM8</f>
        <v>767.9</v>
      </c>
      <c r="AN166">
        <f>+IS!AN8</f>
        <v>744.4</v>
      </c>
      <c r="AO166">
        <f>+IS!AO8</f>
        <v>744.8</v>
      </c>
      <c r="AP166">
        <f>+IS!AP8</f>
        <v>725.5</v>
      </c>
      <c r="AQ166">
        <f>+IS!AQ8</f>
        <v>680.2</v>
      </c>
      <c r="AR166" s="835">
        <f>+IS!AR8</f>
        <v>661</v>
      </c>
      <c r="AS166" s="835">
        <f>+IS!AS8</f>
        <v>688.3</v>
      </c>
      <c r="AT166" s="835">
        <f>+IS!AT8</f>
        <v>715.4</v>
      </c>
      <c r="AU166" s="835">
        <f>+IS!AU8</f>
        <v>718</v>
      </c>
      <c r="AV166" s="835">
        <f>+IS!AV8</f>
        <v>706.5</v>
      </c>
      <c r="AW166" s="835">
        <f>+IS!AW8</f>
        <v>757.6</v>
      </c>
      <c r="AX166" s="835">
        <f>+IS!AX8</f>
        <v>833.5</v>
      </c>
      <c r="AY166" s="835">
        <f>+IS!AY8</f>
        <v>864.2</v>
      </c>
      <c r="AZ166" s="835">
        <f>+IS!AZ8</f>
        <v>870.8</v>
      </c>
      <c r="BA166" s="835">
        <f>+IS!BA8</f>
        <v>880.5</v>
      </c>
      <c r="BB166" s="835">
        <f>+IS!BB8</f>
        <v>904.2</v>
      </c>
      <c r="BC166" s="835">
        <f>+IS!BC8</f>
        <v>840.3</v>
      </c>
      <c r="BD166" s="835">
        <f>+IS!BD8</f>
        <v>817.2</v>
      </c>
      <c r="BE166" s="835">
        <f>+IS!BE8</f>
        <v>877.8</v>
      </c>
      <c r="BF166" s="835">
        <f>+IS!BF8</f>
        <v>950.9</v>
      </c>
      <c r="BG166" s="835">
        <f>+IS!BG8</f>
        <v>1261</v>
      </c>
      <c r="BH166" s="835">
        <f>+IS!BH8</f>
        <v>1436.7</v>
      </c>
      <c r="BI166" s="835">
        <f>+IS!BI8</f>
        <v>1338</v>
      </c>
      <c r="BJ166" s="835">
        <f>+IS!BJ8</f>
        <v>1390.9</v>
      </c>
      <c r="BK166" s="835">
        <f>+IS!BK8</f>
        <v>1377.5</v>
      </c>
      <c r="BL166" s="835">
        <f>+IS!BL8</f>
        <v>1369.8570000000002</v>
      </c>
      <c r="BM166" s="835">
        <f>+IS!BM8</f>
        <v>1428.3854699999999</v>
      </c>
      <c r="BN166" s="835">
        <f>+IS!BN8</f>
        <v>1462.1209246000001</v>
      </c>
      <c r="BO166" s="835">
        <f>+IS!BO8</f>
        <v>1436.2157754979999</v>
      </c>
      <c r="BP166" s="835">
        <f>+IS!BP8</f>
        <v>1428.2476192559</v>
      </c>
      <c r="BQ166" s="835">
        <f>+IS!BQ8</f>
        <v>1481.625145527059</v>
      </c>
      <c r="BR166" s="835">
        <f>+IS!BR8</f>
        <v>1513.799568262451</v>
      </c>
      <c r="BS166" s="835">
        <f>+IS!BS8</f>
        <v>1487.5019898772639</v>
      </c>
      <c r="BT166" s="835">
        <f>+IS!BT8</f>
        <v>1481.3892830431141</v>
      </c>
      <c r="BU166" s="835">
        <f>+IS!BU8</f>
        <v>1536.6192424277208</v>
      </c>
      <c r="BV166" s="835">
        <f>+IS!BV8</f>
        <v>1568.4983613978361</v>
      </c>
      <c r="BW166" s="835">
        <f>+IS!BW8</f>
        <v>1541.799580271286</v>
      </c>
      <c r="BX166" s="835"/>
      <c r="BY166" s="835">
        <f>+IS!BY8</f>
        <v>1069.0999999999999</v>
      </c>
      <c r="BZ166" s="835">
        <f>+IS!BZ8</f>
        <v>1266.9000000000001</v>
      </c>
      <c r="CA166" s="835">
        <f>+IS!CA8</f>
        <v>1260.6000000000001</v>
      </c>
      <c r="CB166" s="835">
        <f>+IS!CB8</f>
        <v>1531.7999999999997</v>
      </c>
      <c r="CC166" s="835">
        <f>+IS!CC8</f>
        <v>1566.1999999999998</v>
      </c>
      <c r="CD166" s="835">
        <f>+IS!CD8</f>
        <v>2054.7999999999997</v>
      </c>
      <c r="CE166" s="835">
        <f>+IS!CE8</f>
        <v>1768.9</v>
      </c>
      <c r="CF166" s="835">
        <f>+IS!CF8</f>
        <v>2313.4</v>
      </c>
      <c r="CG166" s="835">
        <f>+IS!CG8</f>
        <v>3442.3</v>
      </c>
      <c r="CH166" s="835">
        <f>+IS!CH8</f>
        <v>2894.8999999999996</v>
      </c>
      <c r="CI166" s="835">
        <f>+IS!CI8</f>
        <v>2782.7</v>
      </c>
      <c r="CJ166" s="835">
        <f>+IS!CJ8</f>
        <v>3161.8</v>
      </c>
      <c r="CK166" s="835">
        <f>+IS!CK8</f>
        <v>3495.8</v>
      </c>
      <c r="CL166" s="835">
        <f>+IS!CL8</f>
        <v>3906.9</v>
      </c>
      <c r="CM166" s="835">
        <f>+IS!CM8</f>
        <v>5543.1</v>
      </c>
      <c r="CN166" s="835">
        <f>+IS!CN8</f>
        <v>5696.5791700979998</v>
      </c>
      <c r="CO166" s="835">
        <f>+IS!CO8</f>
        <v>5911.174322922674</v>
      </c>
      <c r="CP166" s="835">
        <f>+IS!CP8</f>
        <v>6128.3064671399561</v>
      </c>
    </row>
    <row r="167" spans="1:94" ht="14.25" hidden="1" customHeight="1" outlineLevel="1">
      <c r="B167" s="946" t="s">
        <v>166</v>
      </c>
      <c r="H167" s="767">
        <f t="shared" ref="H167:AQ167" si="655">H165-H166</f>
        <v>0</v>
      </c>
      <c r="I167" s="767">
        <f t="shared" si="655"/>
        <v>0</v>
      </c>
      <c r="J167" s="767">
        <f t="shared" si="655"/>
        <v>0</v>
      </c>
      <c r="K167" s="767">
        <f t="shared" si="655"/>
        <v>0</v>
      </c>
      <c r="L167" s="767">
        <f t="shared" si="655"/>
        <v>0</v>
      </c>
      <c r="M167" s="767">
        <f t="shared" si="655"/>
        <v>0</v>
      </c>
      <c r="N167" s="767">
        <f t="shared" si="655"/>
        <v>0</v>
      </c>
      <c r="O167" s="767">
        <f t="shared" si="655"/>
        <v>0</v>
      </c>
      <c r="P167" s="767">
        <f t="shared" si="655"/>
        <v>0</v>
      </c>
      <c r="Q167" s="767">
        <f t="shared" si="655"/>
        <v>0</v>
      </c>
      <c r="R167" s="767">
        <f t="shared" si="655"/>
        <v>0</v>
      </c>
      <c r="S167" s="767">
        <f t="shared" si="655"/>
        <v>0</v>
      </c>
      <c r="T167" s="767">
        <f t="shared" si="655"/>
        <v>0</v>
      </c>
      <c r="U167" s="767">
        <f t="shared" si="655"/>
        <v>0</v>
      </c>
      <c r="V167" s="767">
        <f t="shared" si="655"/>
        <v>0</v>
      </c>
      <c r="W167" s="767">
        <f t="shared" si="655"/>
        <v>0</v>
      </c>
      <c r="X167" s="767">
        <f t="shared" si="655"/>
        <v>0</v>
      </c>
      <c r="Y167" s="767">
        <f t="shared" si="655"/>
        <v>0</v>
      </c>
      <c r="Z167" s="767">
        <f t="shared" si="655"/>
        <v>0</v>
      </c>
      <c r="AA167" s="767">
        <f t="shared" si="655"/>
        <v>0</v>
      </c>
      <c r="AB167" s="767">
        <f t="shared" si="655"/>
        <v>0</v>
      </c>
      <c r="AC167" s="767">
        <f t="shared" si="655"/>
        <v>0</v>
      </c>
      <c r="AD167" s="767">
        <f t="shared" si="655"/>
        <v>0</v>
      </c>
      <c r="AE167" s="767">
        <f t="shared" si="655"/>
        <v>0</v>
      </c>
      <c r="AF167" s="767">
        <f t="shared" si="655"/>
        <v>0</v>
      </c>
      <c r="AG167" s="767">
        <f t="shared" si="655"/>
        <v>0</v>
      </c>
      <c r="AH167" s="767">
        <f t="shared" si="655"/>
        <v>0</v>
      </c>
      <c r="AI167" s="767">
        <f t="shared" si="655"/>
        <v>0</v>
      </c>
      <c r="AJ167" s="767">
        <f t="shared" si="655"/>
        <v>0</v>
      </c>
      <c r="AK167" s="767">
        <f t="shared" si="655"/>
        <v>-9.9999999999909051E-2</v>
      </c>
      <c r="AL167" s="767">
        <f t="shared" si="655"/>
        <v>0</v>
      </c>
      <c r="AM167" s="767">
        <f t="shared" si="655"/>
        <v>0.10000000000002274</v>
      </c>
      <c r="AN167" s="767">
        <f t="shared" si="655"/>
        <v>0</v>
      </c>
      <c r="AO167" s="767">
        <f t="shared" si="655"/>
        <v>0</v>
      </c>
      <c r="AP167" s="767">
        <f t="shared" si="655"/>
        <v>0</v>
      </c>
      <c r="AQ167" s="767">
        <f t="shared" si="655"/>
        <v>0</v>
      </c>
      <c r="AR167" s="767">
        <f t="shared" ref="AR167:AY167" si="656">AR165-AR166</f>
        <v>0</v>
      </c>
      <c r="AS167" s="767">
        <f t="shared" si="656"/>
        <v>0</v>
      </c>
      <c r="AT167" s="767">
        <f t="shared" si="656"/>
        <v>0</v>
      </c>
      <c r="AU167" s="767">
        <f t="shared" si="656"/>
        <v>0</v>
      </c>
      <c r="AV167" s="767">
        <f t="shared" si="656"/>
        <v>0</v>
      </c>
      <c r="AW167" s="767">
        <f>AW165-AW166</f>
        <v>0</v>
      </c>
      <c r="AX167" s="767">
        <f t="shared" si="656"/>
        <v>0</v>
      </c>
      <c r="AY167" s="767">
        <f t="shared" si="656"/>
        <v>0</v>
      </c>
      <c r="AZ167" s="767">
        <f t="shared" ref="AZ167:BC167" si="657">AZ165-AZ166</f>
        <v>0</v>
      </c>
      <c r="BA167" s="767">
        <f t="shared" si="657"/>
        <v>0</v>
      </c>
      <c r="BB167" s="767">
        <f t="shared" si="657"/>
        <v>0</v>
      </c>
      <c r="BC167" s="767">
        <f t="shared" si="657"/>
        <v>0</v>
      </c>
      <c r="BD167" s="767">
        <f>BD165-BD166</f>
        <v>0</v>
      </c>
      <c r="BE167" s="767">
        <f t="shared" ref="BE167:BG167" si="658">BE165-BE166</f>
        <v>0</v>
      </c>
      <c r="BF167" s="767">
        <f t="shared" si="658"/>
        <v>0</v>
      </c>
      <c r="BG167" s="767">
        <f t="shared" si="658"/>
        <v>0</v>
      </c>
      <c r="BH167" s="767">
        <f>BH165-BH166</f>
        <v>-155.09999999999991</v>
      </c>
      <c r="BI167" s="767">
        <f t="shared" ref="BI167:BO167" si="659">BI165-BI166</f>
        <v>0</v>
      </c>
      <c r="BJ167" s="767">
        <f t="shared" si="659"/>
        <v>9.9999999999909051E-2</v>
      </c>
      <c r="BK167" s="767">
        <f t="shared" si="659"/>
        <v>0</v>
      </c>
      <c r="BL167" s="767">
        <f t="shared" si="659"/>
        <v>0</v>
      </c>
      <c r="BM167" s="767">
        <f t="shared" si="659"/>
        <v>0</v>
      </c>
      <c r="BN167" s="767">
        <f t="shared" si="659"/>
        <v>0</v>
      </c>
      <c r="BO167" s="767">
        <f t="shared" si="659"/>
        <v>0</v>
      </c>
      <c r="BP167" s="767">
        <f t="shared" ref="BP167:BS167" si="660">BP165-BP166</f>
        <v>0</v>
      </c>
      <c r="BQ167" s="767">
        <f t="shared" si="660"/>
        <v>0</v>
      </c>
      <c r="BR167" s="767">
        <f t="shared" si="660"/>
        <v>0</v>
      </c>
      <c r="BS167" s="767">
        <f t="shared" si="660"/>
        <v>0</v>
      </c>
      <c r="BT167" s="767">
        <f t="shared" ref="BT167:BW167" si="661">BT165-BT166</f>
        <v>0</v>
      </c>
      <c r="BU167" s="767">
        <f t="shared" si="661"/>
        <v>0</v>
      </c>
      <c r="BV167" s="767">
        <f t="shared" si="661"/>
        <v>0</v>
      </c>
      <c r="BW167" s="767">
        <f t="shared" si="661"/>
        <v>0</v>
      </c>
      <c r="BZ167" s="767">
        <f t="shared" ref="BZ167:CH167" si="662">BZ165-BZ166</f>
        <v>0</v>
      </c>
      <c r="CA167" s="767">
        <f t="shared" si="662"/>
        <v>0</v>
      </c>
      <c r="CB167" s="767">
        <f t="shared" si="662"/>
        <v>0</v>
      </c>
      <c r="CC167" s="767">
        <f t="shared" si="662"/>
        <v>0</v>
      </c>
      <c r="CD167" s="767">
        <f t="shared" si="662"/>
        <v>0</v>
      </c>
      <c r="CE167" s="767">
        <f t="shared" si="662"/>
        <v>0</v>
      </c>
      <c r="CF167" s="767">
        <f t="shared" si="662"/>
        <v>0</v>
      </c>
      <c r="CG167" s="767">
        <f t="shared" si="662"/>
        <v>0</v>
      </c>
      <c r="CH167" s="767">
        <f t="shared" si="662"/>
        <v>0</v>
      </c>
      <c r="CI167" s="767">
        <f t="shared" ref="CI167:CN167" si="663">CI165-CI166</f>
        <v>0</v>
      </c>
      <c r="CJ167" s="767">
        <f t="shared" si="663"/>
        <v>-39.035000000000309</v>
      </c>
      <c r="CK167" s="767">
        <f t="shared" si="663"/>
        <v>0</v>
      </c>
      <c r="CL167" s="767">
        <f t="shared" si="663"/>
        <v>0</v>
      </c>
      <c r="CM167" s="767">
        <f t="shared" si="663"/>
        <v>0</v>
      </c>
      <c r="CN167" s="767">
        <f t="shared" si="663"/>
        <v>0</v>
      </c>
      <c r="CO167" s="767">
        <f t="shared" ref="CO167:CP167" si="664">CO165-CO166</f>
        <v>0</v>
      </c>
      <c r="CP167" s="767">
        <f t="shared" si="664"/>
        <v>0</v>
      </c>
    </row>
    <row r="168" spans="1:94" ht="14.25" hidden="1" customHeight="1" outlineLevel="1">
      <c r="A168" s="90"/>
      <c r="B168" s="750" t="s">
        <v>359</v>
      </c>
      <c r="C168" s="90"/>
      <c r="D168" s="751"/>
      <c r="E168" s="751"/>
      <c r="F168" s="751"/>
      <c r="G168" s="751"/>
      <c r="H168" s="751" t="str">
        <f>IF(ROUND(H702+H715,1)=1,"OK",H702+H715)</f>
        <v>OK</v>
      </c>
      <c r="I168" s="751" t="str">
        <f>IF(ROUND(I702+I715,1)=1,"OK",I702+I715)</f>
        <v>OK</v>
      </c>
      <c r="J168" s="751" t="str">
        <f>IF(ROUND(J702+J715,1)=1,"OK",J702+J715)</f>
        <v>OK</v>
      </c>
      <c r="K168" s="751" t="str">
        <f>IF(ROUND(K702+K715,1)=1,"OK",K702+K715)</f>
        <v>OK</v>
      </c>
      <c r="L168" s="751" t="str">
        <f t="shared" ref="L168:W168" si="665">IF(ROUND(L601+L614+L627+L640+L653,1)=1,"OK",L601+L614+L627+L640+L653)</f>
        <v>OK</v>
      </c>
      <c r="M168" s="751" t="str">
        <f t="shared" si="665"/>
        <v>OK</v>
      </c>
      <c r="N168" s="751" t="str">
        <f t="shared" si="665"/>
        <v>OK</v>
      </c>
      <c r="O168" s="751" t="str">
        <f t="shared" si="665"/>
        <v>OK</v>
      </c>
      <c r="P168" s="751" t="str">
        <f t="shared" si="665"/>
        <v>OK</v>
      </c>
      <c r="Q168" s="751" t="str">
        <f t="shared" si="665"/>
        <v>OK</v>
      </c>
      <c r="R168" s="751" t="str">
        <f t="shared" si="665"/>
        <v>OK</v>
      </c>
      <c r="S168" s="751" t="str">
        <f t="shared" si="665"/>
        <v>OK</v>
      </c>
      <c r="T168" s="751" t="str">
        <f t="shared" si="665"/>
        <v>OK</v>
      </c>
      <c r="U168" s="751" t="str">
        <f t="shared" si="665"/>
        <v>OK</v>
      </c>
      <c r="V168" s="751" t="str">
        <f t="shared" si="665"/>
        <v>OK</v>
      </c>
      <c r="W168" s="751" t="str">
        <f t="shared" si="665"/>
        <v>OK</v>
      </c>
      <c r="X168" s="751" t="str">
        <f t="shared" ref="X168:AI168" si="666">IF(ROUND(X500+X513+X526+X539,1)=1,"OK",X500+X513+X526+X539)</f>
        <v>OK</v>
      </c>
      <c r="Y168" s="751" t="str">
        <f t="shared" si="666"/>
        <v>OK</v>
      </c>
      <c r="Z168" s="751" t="str">
        <f t="shared" si="666"/>
        <v>OK</v>
      </c>
      <c r="AA168" s="751" t="str">
        <f t="shared" si="666"/>
        <v>OK</v>
      </c>
      <c r="AB168" s="751" t="str">
        <f t="shared" si="666"/>
        <v>OK</v>
      </c>
      <c r="AC168" s="751" t="str">
        <f t="shared" si="666"/>
        <v>OK</v>
      </c>
      <c r="AD168" s="751" t="str">
        <f t="shared" si="666"/>
        <v>OK</v>
      </c>
      <c r="AE168" s="751" t="str">
        <f t="shared" si="666"/>
        <v>OK</v>
      </c>
      <c r="AF168" s="751" t="str">
        <f t="shared" si="666"/>
        <v>OK</v>
      </c>
      <c r="AG168" s="751" t="str">
        <f t="shared" si="666"/>
        <v>OK</v>
      </c>
      <c r="AH168" s="751" t="str">
        <f t="shared" si="666"/>
        <v>OK</v>
      </c>
      <c r="AI168" s="751" t="str">
        <f t="shared" si="666"/>
        <v>OK</v>
      </c>
      <c r="AJ168" s="751" t="str">
        <f t="shared" ref="AJ168:BO168" si="667">IF(ROUND(AJ303+AJ320+AJ337,1)=1,"OK",AJ303+AJ320+AJ337)</f>
        <v>OK</v>
      </c>
      <c r="AK168" s="751" t="str">
        <f t="shared" si="667"/>
        <v>OK</v>
      </c>
      <c r="AL168" s="751" t="str">
        <f t="shared" si="667"/>
        <v>OK</v>
      </c>
      <c r="AM168" s="751" t="str">
        <f t="shared" si="667"/>
        <v>OK</v>
      </c>
      <c r="AN168" s="751" t="str">
        <f t="shared" si="667"/>
        <v>OK</v>
      </c>
      <c r="AO168" s="751" t="str">
        <f t="shared" si="667"/>
        <v>OK</v>
      </c>
      <c r="AP168" s="751" t="str">
        <f t="shared" si="667"/>
        <v>OK</v>
      </c>
      <c r="AQ168" s="751" t="str">
        <f t="shared" si="667"/>
        <v>OK</v>
      </c>
      <c r="AR168" s="751" t="str">
        <f t="shared" si="667"/>
        <v>OK</v>
      </c>
      <c r="AS168" s="751" t="str">
        <f t="shared" si="667"/>
        <v>OK</v>
      </c>
      <c r="AT168" s="751" t="str">
        <f t="shared" si="667"/>
        <v>OK</v>
      </c>
      <c r="AU168" s="751" t="str">
        <f t="shared" si="667"/>
        <v>OK</v>
      </c>
      <c r="AV168" s="751" t="str">
        <f t="shared" si="667"/>
        <v>OK</v>
      </c>
      <c r="AW168" s="751" t="str">
        <f t="shared" si="667"/>
        <v>OK</v>
      </c>
      <c r="AX168" s="751">
        <f t="shared" si="667"/>
        <v>0.87999999999999989</v>
      </c>
      <c r="AY168" s="751">
        <f t="shared" si="667"/>
        <v>0.8</v>
      </c>
      <c r="AZ168" s="751" t="str">
        <f t="shared" si="667"/>
        <v>OK</v>
      </c>
      <c r="BA168" s="751" t="str">
        <f t="shared" si="667"/>
        <v>OK</v>
      </c>
      <c r="BB168" s="751">
        <f t="shared" si="667"/>
        <v>0.79</v>
      </c>
      <c r="BC168" s="751" t="str">
        <f t="shared" si="667"/>
        <v>OK</v>
      </c>
      <c r="BD168" s="751" t="str">
        <f t="shared" si="667"/>
        <v>OK</v>
      </c>
      <c r="BE168" s="751" t="str">
        <f t="shared" si="667"/>
        <v>OK</v>
      </c>
      <c r="BF168" s="751" t="str">
        <f t="shared" si="667"/>
        <v>OK</v>
      </c>
      <c r="BG168" s="751" t="str">
        <f t="shared" si="667"/>
        <v>OK</v>
      </c>
      <c r="BH168" s="751" t="str">
        <f t="shared" ref="BH168" si="668">IF(ROUND(BH303+BH320+BH337,1)=1,"OK",BH303+BH320+BH337)</f>
        <v>OK</v>
      </c>
      <c r="BI168" s="751" t="str">
        <f t="shared" si="667"/>
        <v>OK</v>
      </c>
      <c r="BJ168" s="751" t="str">
        <f t="shared" si="667"/>
        <v>OK</v>
      </c>
      <c r="BK168" s="751" t="str">
        <f t="shared" si="667"/>
        <v>OK</v>
      </c>
      <c r="BL168" s="751">
        <f t="shared" si="667"/>
        <v>0</v>
      </c>
      <c r="BM168" s="751">
        <f t="shared" si="667"/>
        <v>0</v>
      </c>
      <c r="BN168" s="751">
        <f t="shared" si="667"/>
        <v>0</v>
      </c>
      <c r="BO168" s="751">
        <f t="shared" si="667"/>
        <v>0</v>
      </c>
      <c r="BP168" s="751">
        <f t="shared" ref="BP168:BS168" si="669">IF(ROUND(BP303+BP320+BP337,1)=1,"OK",BP303+BP320+BP337)</f>
        <v>0</v>
      </c>
      <c r="BQ168" s="751">
        <f t="shared" si="669"/>
        <v>0</v>
      </c>
      <c r="BR168" s="751">
        <f t="shared" si="669"/>
        <v>0</v>
      </c>
      <c r="BS168" s="751">
        <f t="shared" si="669"/>
        <v>0</v>
      </c>
      <c r="BT168" s="751">
        <f t="shared" ref="BT168:BW168" si="670">IF(ROUND(BT303+BT320+BT337,1)=1,"OK",BT303+BT320+BT337)</f>
        <v>0</v>
      </c>
      <c r="BU168" s="751">
        <f t="shared" si="670"/>
        <v>0</v>
      </c>
      <c r="BV168" s="751">
        <f t="shared" si="670"/>
        <v>0</v>
      </c>
      <c r="BW168" s="751">
        <f t="shared" si="670"/>
        <v>0</v>
      </c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736"/>
      <c r="CK168" s="736"/>
      <c r="CL168" s="736"/>
      <c r="CM168" s="736"/>
      <c r="CN168" s="736"/>
      <c r="CO168" s="736"/>
      <c r="CP168" s="736"/>
    </row>
    <row r="169" spans="1:94" ht="14.25" hidden="1" customHeight="1" outlineLevel="1">
      <c r="BE169" s="1319"/>
      <c r="BF169" s="1319"/>
      <c r="BG169" s="1369"/>
      <c r="CJ169" s="302"/>
      <c r="CK169" s="302"/>
      <c r="CL169" s="302"/>
      <c r="CM169" s="302"/>
      <c r="CN169" s="302"/>
      <c r="CO169" s="302"/>
      <c r="CP169" s="302"/>
    </row>
    <row r="170" spans="1:94" ht="14.25" hidden="1" customHeight="1" outlineLevel="1">
      <c r="A170" s="2"/>
      <c r="B170" s="268"/>
      <c r="C170" s="268"/>
      <c r="D170" s="268"/>
      <c r="E170" s="268"/>
      <c r="F170" s="268"/>
      <c r="G170" s="268"/>
      <c r="H170" s="268"/>
      <c r="I170" s="268"/>
      <c r="J170" s="268"/>
      <c r="K170" s="268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160"/>
      <c r="CK170" s="160"/>
      <c r="CL170" s="160"/>
      <c r="CM170" s="2"/>
      <c r="CN170" s="2"/>
      <c r="CO170" s="2"/>
      <c r="CP170" s="2"/>
    </row>
    <row r="171" spans="1:94" ht="14.25" hidden="1" customHeight="1" outlineLevel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160"/>
      <c r="CK171" s="160"/>
      <c r="CL171" s="160"/>
      <c r="CM171" s="2"/>
      <c r="CN171" s="2"/>
      <c r="CO171" s="2"/>
      <c r="CP171" s="2"/>
    </row>
    <row r="172" spans="1:94" ht="14.25" hidden="1" customHeight="1" outlineLevel="1">
      <c r="A172" s="4"/>
      <c r="B172" s="245"/>
      <c r="C172" s="245"/>
      <c r="D172" s="245" t="s">
        <v>250</v>
      </c>
      <c r="E172" s="245" t="s">
        <v>251</v>
      </c>
      <c r="F172" s="245" t="s">
        <v>252</v>
      </c>
      <c r="G172" s="245" t="s">
        <v>253</v>
      </c>
      <c r="H172" s="245" t="s">
        <v>254</v>
      </c>
      <c r="I172" s="245" t="s">
        <v>255</v>
      </c>
      <c r="J172" s="245" t="s">
        <v>256</v>
      </c>
      <c r="K172" s="245" t="s">
        <v>257</v>
      </c>
      <c r="L172" s="245" t="s">
        <v>321</v>
      </c>
      <c r="M172" s="245" t="s">
        <v>322</v>
      </c>
      <c r="N172" s="245" t="s">
        <v>323</v>
      </c>
      <c r="O172" s="245" t="s">
        <v>324</v>
      </c>
      <c r="P172" s="245" t="s">
        <v>325</v>
      </c>
      <c r="Q172" s="245" t="s">
        <v>326</v>
      </c>
      <c r="R172" s="245" t="s">
        <v>327</v>
      </c>
      <c r="S172" s="245" t="s">
        <v>328</v>
      </c>
      <c r="T172" s="245" t="s">
        <v>330</v>
      </c>
      <c r="U172" s="245" t="s">
        <v>331</v>
      </c>
      <c r="V172" s="245" t="s">
        <v>332</v>
      </c>
      <c r="W172" s="245" t="s">
        <v>333</v>
      </c>
      <c r="X172" s="245" t="s">
        <v>98</v>
      </c>
      <c r="Y172" s="245" t="s">
        <v>99</v>
      </c>
      <c r="Z172" s="245" t="s">
        <v>100</v>
      </c>
      <c r="AA172" s="245" t="s">
        <v>101</v>
      </c>
      <c r="AB172" s="245" t="s">
        <v>102</v>
      </c>
      <c r="AC172" s="245" t="s">
        <v>103</v>
      </c>
      <c r="AD172" s="245" t="s">
        <v>104</v>
      </c>
      <c r="AE172" s="245" t="s">
        <v>105</v>
      </c>
      <c r="AF172" s="245" t="s">
        <v>106</v>
      </c>
      <c r="AG172" s="245" t="s">
        <v>107</v>
      </c>
      <c r="AH172" s="245" t="s">
        <v>108</v>
      </c>
      <c r="AI172" s="245" t="s">
        <v>109</v>
      </c>
      <c r="AJ172" s="245" t="s">
        <v>110</v>
      </c>
      <c r="AK172" s="245" t="s">
        <v>111</v>
      </c>
      <c r="AL172" s="245" t="s">
        <v>112</v>
      </c>
      <c r="AM172" s="245" t="s">
        <v>113</v>
      </c>
      <c r="AN172" s="245" t="s">
        <v>114</v>
      </c>
      <c r="AO172" s="245" t="s">
        <v>115</v>
      </c>
      <c r="AP172" s="245" t="s">
        <v>116</v>
      </c>
      <c r="AQ172" s="245" t="s">
        <v>117</v>
      </c>
      <c r="AR172" s="245" t="s">
        <v>118</v>
      </c>
      <c r="AS172" s="245" t="s">
        <v>119</v>
      </c>
      <c r="AT172" s="245" t="s">
        <v>120</v>
      </c>
      <c r="AU172" s="245" t="s">
        <v>121</v>
      </c>
      <c r="AV172" s="245" t="s">
        <v>122</v>
      </c>
      <c r="AW172" s="245" t="s">
        <v>123</v>
      </c>
      <c r="AX172" s="245" t="s">
        <v>124</v>
      </c>
      <c r="AY172" s="245" t="s">
        <v>125</v>
      </c>
      <c r="AZ172" s="245" t="s">
        <v>147</v>
      </c>
      <c r="BA172" s="245" t="s">
        <v>148</v>
      </c>
      <c r="BB172" s="245" t="s">
        <v>149</v>
      </c>
      <c r="BC172" s="245" t="s">
        <v>150</v>
      </c>
      <c r="BD172" s="245" t="s">
        <v>151</v>
      </c>
      <c r="BE172" s="1086" t="s">
        <v>152</v>
      </c>
      <c r="BF172" s="245" t="s">
        <v>153</v>
      </c>
      <c r="BG172" s="245" t="s">
        <v>154</v>
      </c>
      <c r="BH172" s="245" t="s">
        <v>53</v>
      </c>
      <c r="BI172" s="245" t="s">
        <v>54</v>
      </c>
      <c r="BJ172" s="245" t="s">
        <v>55</v>
      </c>
      <c r="BK172" s="245" t="s">
        <v>56</v>
      </c>
      <c r="BL172" s="245" t="s">
        <v>57</v>
      </c>
      <c r="BM172" s="245" t="s">
        <v>58</v>
      </c>
      <c r="BN172" s="245" t="s">
        <v>59</v>
      </c>
      <c r="BO172" s="245" t="s">
        <v>60</v>
      </c>
      <c r="BP172" s="245" t="s">
        <v>655</v>
      </c>
      <c r="BQ172" s="245" t="s">
        <v>656</v>
      </c>
      <c r="BR172" s="245" t="s">
        <v>657</v>
      </c>
      <c r="BS172" s="245" t="s">
        <v>658</v>
      </c>
      <c r="BT172" s="245" t="s">
        <v>655</v>
      </c>
      <c r="BU172" s="245" t="s">
        <v>656</v>
      </c>
      <c r="BV172" s="245" t="s">
        <v>657</v>
      </c>
      <c r="BW172" s="245" t="s">
        <v>658</v>
      </c>
      <c r="BX172" s="4"/>
      <c r="BY172" s="4" t="s">
        <v>258</v>
      </c>
      <c r="BZ172" s="4" t="s">
        <v>259</v>
      </c>
      <c r="CA172" s="4" t="s">
        <v>260</v>
      </c>
      <c r="CB172" s="4" t="s">
        <v>329</v>
      </c>
      <c r="CC172" s="4" t="s">
        <v>126</v>
      </c>
      <c r="CD172" s="4" t="s">
        <v>127</v>
      </c>
      <c r="CE172" s="4" t="s">
        <v>128</v>
      </c>
      <c r="CF172" s="4" t="s">
        <v>129</v>
      </c>
      <c r="CG172" s="4" t="s">
        <v>130</v>
      </c>
      <c r="CH172" s="4" t="s">
        <v>131</v>
      </c>
      <c r="CI172" s="4" t="s">
        <v>132</v>
      </c>
      <c r="CJ172" s="4" t="s">
        <v>133</v>
      </c>
      <c r="CK172" s="4" t="s">
        <v>134</v>
      </c>
      <c r="CL172" s="92" t="s">
        <v>135</v>
      </c>
      <c r="CM172" s="844" t="s">
        <v>136</v>
      </c>
      <c r="CN172" s="844" t="s">
        <v>137</v>
      </c>
      <c r="CO172" s="844" t="s">
        <v>138</v>
      </c>
      <c r="CP172" s="245" t="s">
        <v>675</v>
      </c>
    </row>
    <row r="173" spans="1:94" ht="14.25" hidden="1" customHeight="1" outlineLevel="2">
      <c r="A173" s="6"/>
      <c r="B173" s="159" t="s">
        <v>139</v>
      </c>
      <c r="C173" s="159"/>
      <c r="D173" s="246" t="str">
        <f>IS!D$160</f>
        <v>A</v>
      </c>
      <c r="E173" s="246" t="str">
        <f>IS!E$160</f>
        <v>A</v>
      </c>
      <c r="F173" s="246" t="str">
        <f>IS!F$160</f>
        <v>A</v>
      </c>
      <c r="G173" s="246" t="str">
        <f>IS!G$160</f>
        <v>A</v>
      </c>
      <c r="H173" s="246" t="str">
        <f>IS!H$160</f>
        <v>A</v>
      </c>
      <c r="I173" s="246" t="str">
        <f>IS!I$160</f>
        <v>A</v>
      </c>
      <c r="J173" s="246" t="str">
        <f>IS!J$160</f>
        <v>A</v>
      </c>
      <c r="K173" s="246" t="str">
        <f>IS!K$160</f>
        <v>A</v>
      </c>
      <c r="L173" s="246" t="str">
        <f>IS!L$160</f>
        <v>A</v>
      </c>
      <c r="M173" s="246" t="str">
        <f>IS!M$160</f>
        <v>A</v>
      </c>
      <c r="N173" s="246" t="str">
        <f>IS!N$160</f>
        <v>A</v>
      </c>
      <c r="O173" s="246" t="str">
        <f>IS!O$160</f>
        <v>A</v>
      </c>
      <c r="P173" s="246" t="str">
        <f>IS!P$160</f>
        <v>A</v>
      </c>
      <c r="Q173" s="246" t="str">
        <f>IS!Q$160</f>
        <v>A</v>
      </c>
      <c r="R173" s="246" t="str">
        <f>IS!R$160</f>
        <v>A</v>
      </c>
      <c r="S173" s="246" t="str">
        <f>IS!S$160</f>
        <v>A</v>
      </c>
      <c r="T173" s="246" t="str">
        <f>IS!T$160</f>
        <v>A</v>
      </c>
      <c r="U173" s="246" t="str">
        <f>IS!U$160</f>
        <v>A</v>
      </c>
      <c r="V173" s="246" t="str">
        <f>IS!V$160</f>
        <v>A</v>
      </c>
      <c r="W173" s="246" t="str">
        <f>IS!W$160</f>
        <v>A</v>
      </c>
      <c r="X173" s="246" t="str">
        <f>IS!X$160</f>
        <v>A</v>
      </c>
      <c r="Y173" s="246" t="str">
        <f>IS!Y$160</f>
        <v>A</v>
      </c>
      <c r="Z173" s="246" t="str">
        <f>IS!Z$160</f>
        <v>A</v>
      </c>
      <c r="AA173" s="246" t="str">
        <f>IS!AA$160</f>
        <v>A</v>
      </c>
      <c r="AB173" s="246" t="str">
        <f>IS!AB$160</f>
        <v>A</v>
      </c>
      <c r="AC173" s="246" t="str">
        <f>IS!AC$160</f>
        <v>A</v>
      </c>
      <c r="AD173" s="246" t="str">
        <f>IS!AD$160</f>
        <v>A</v>
      </c>
      <c r="AE173" s="246" t="str">
        <f>IS!AE$160</f>
        <v>A</v>
      </c>
      <c r="AF173" s="246" t="str">
        <f>IS!AF$160</f>
        <v>A</v>
      </c>
      <c r="AG173" s="246" t="str">
        <f>IS!AG$160</f>
        <v>A</v>
      </c>
      <c r="AH173" s="246" t="str">
        <f>IS!AH$160</f>
        <v>A</v>
      </c>
      <c r="AI173" s="246" t="str">
        <f>IS!AI$160</f>
        <v>A</v>
      </c>
      <c r="AJ173" s="246" t="str">
        <f>IS!AJ$160</f>
        <v>A</v>
      </c>
      <c r="AK173" s="246" t="str">
        <f>IS!AK$160</f>
        <v>A</v>
      </c>
      <c r="AL173" s="246" t="str">
        <f>IS!AL$160</f>
        <v>A</v>
      </c>
      <c r="AM173" s="246" t="str">
        <f>IS!AM$160</f>
        <v>A</v>
      </c>
      <c r="AN173" s="246" t="str">
        <f>IS!AN$160</f>
        <v>A</v>
      </c>
      <c r="AO173" s="246" t="str">
        <f>IS!AO$160</f>
        <v>A</v>
      </c>
      <c r="AP173" s="246" t="str">
        <f>IS!AP$160</f>
        <v>A</v>
      </c>
      <c r="AQ173" s="246" t="str">
        <f>IS!AQ$160</f>
        <v>A</v>
      </c>
      <c r="AR173" s="246" t="str">
        <f>IS!AR$160</f>
        <v>A</v>
      </c>
      <c r="AS173" s="246" t="str">
        <f>IS!AS$160</f>
        <v>A</v>
      </c>
      <c r="AT173" s="246" t="str">
        <f>IS!AT$160</f>
        <v>A</v>
      </c>
      <c r="AU173" s="246" t="str">
        <f>IS!AU$160</f>
        <v>A</v>
      </c>
      <c r="AV173" s="246" t="str">
        <f>IS!AV$160</f>
        <v>A</v>
      </c>
      <c r="AW173" s="246" t="str">
        <f>IS!AW$160</f>
        <v>A</v>
      </c>
      <c r="AX173" s="246" t="str">
        <f>IS!AX$160</f>
        <v>A</v>
      </c>
      <c r="AY173" s="246" t="str">
        <f>IS!AY$160</f>
        <v>A</v>
      </c>
      <c r="AZ173" s="246" t="str">
        <f>IS!AZ$160</f>
        <v>A</v>
      </c>
      <c r="BA173" s="246" t="str">
        <f>IS!BA$160</f>
        <v>A</v>
      </c>
      <c r="BB173" s="246" t="str">
        <f>IS!BB$160</f>
        <v>A</v>
      </c>
      <c r="BC173" s="246" t="str">
        <f>IS!BC$160</f>
        <v>A</v>
      </c>
      <c r="BD173" s="246" t="str">
        <f>IS!BD$160</f>
        <v>A</v>
      </c>
      <c r="BE173" s="246" t="str">
        <f>IS!BE$160</f>
        <v>A</v>
      </c>
      <c r="BF173" s="246" t="str">
        <f>IS!BF$160</f>
        <v>A</v>
      </c>
      <c r="BG173" s="246" t="str">
        <f>IS!BG$160</f>
        <v>A</v>
      </c>
      <c r="BH173" s="246" t="str">
        <f>IS!BH$160</f>
        <v>A</v>
      </c>
      <c r="BI173" s="246" t="str">
        <f>IS!BI$160</f>
        <v>A</v>
      </c>
      <c r="BJ173" s="246" t="str">
        <f>IS!BJ$160</f>
        <v>A</v>
      </c>
      <c r="BK173" s="246" t="str">
        <f>IS!BK$160</f>
        <v>A</v>
      </c>
      <c r="BL173" s="246"/>
      <c r="BM173" s="246"/>
      <c r="BN173" s="246"/>
      <c r="BO173" s="246"/>
      <c r="BP173" s="246"/>
      <c r="BQ173" s="246"/>
      <c r="BR173" s="246"/>
      <c r="BS173" s="246"/>
      <c r="BT173" s="246"/>
      <c r="BU173" s="246"/>
      <c r="BV173" s="246"/>
      <c r="BW173" s="246"/>
      <c r="BX173" s="270"/>
      <c r="BY173" s="246" t="str">
        <f>IS!BY$160</f>
        <v>A</v>
      </c>
      <c r="BZ173" s="246" t="str">
        <f>IS!BZ$160</f>
        <v>A</v>
      </c>
      <c r="CA173" s="246" t="str">
        <f>IS!CA$160</f>
        <v>A</v>
      </c>
      <c r="CB173" s="246" t="str">
        <f>IS!CB$160</f>
        <v>A</v>
      </c>
      <c r="CC173" s="246" t="str">
        <f>IS!CC$160</f>
        <v>A</v>
      </c>
      <c r="CD173" s="246" t="str">
        <f>IS!CD$160</f>
        <v>A</v>
      </c>
      <c r="CE173" s="246" t="str">
        <f>IS!CE$160</f>
        <v>A</v>
      </c>
      <c r="CF173" s="246" t="str">
        <f>IS!CF$160</f>
        <v>A</v>
      </c>
      <c r="CG173" s="246" t="str">
        <f>IS!CG$160</f>
        <v>A</v>
      </c>
      <c r="CH173" s="246" t="str">
        <f>IS!CH$160</f>
        <v>A</v>
      </c>
      <c r="CI173" s="246" t="str">
        <f>IS!CI$160</f>
        <v>A</v>
      </c>
      <c r="CJ173" s="246" t="str">
        <f>IS!CJ$160</f>
        <v>A</v>
      </c>
      <c r="CK173" s="246" t="str">
        <f>IS!CK$160</f>
        <v>A</v>
      </c>
      <c r="CL173" s="246" t="str">
        <f>IS!CL$160</f>
        <v>E</v>
      </c>
      <c r="CM173" s="246" t="str">
        <f>IS!CM$160</f>
        <v>A</v>
      </c>
      <c r="CN173" s="246" t="str">
        <f>IS!CN$160</f>
        <v>E</v>
      </c>
      <c r="CO173" s="246" t="str">
        <f>IS!CO$160</f>
        <v>E</v>
      </c>
      <c r="CP173" s="246" t="str">
        <f>IS!CP$160</f>
        <v>E</v>
      </c>
    </row>
    <row r="174" spans="1:94" ht="14.25" customHeight="1" collapsed="1">
      <c r="A174" s="1367"/>
      <c r="B174" s="368"/>
      <c r="C174" s="251"/>
      <c r="D174" s="883"/>
      <c r="E174" s="883"/>
      <c r="F174" s="883"/>
      <c r="G174" s="883"/>
      <c r="H174" s="883"/>
      <c r="I174" s="883"/>
      <c r="J174" s="883"/>
      <c r="K174" s="883"/>
      <c r="L174" s="883"/>
      <c r="M174" s="883"/>
      <c r="N174" s="883"/>
      <c r="O174" s="883"/>
      <c r="P174" s="883"/>
      <c r="Q174" s="883"/>
      <c r="R174" s="883"/>
      <c r="S174" s="883"/>
      <c r="T174" s="883"/>
      <c r="U174" s="883"/>
      <c r="V174" s="883"/>
      <c r="W174" s="883"/>
      <c r="X174" s="883"/>
      <c r="Y174" s="883"/>
      <c r="Z174" s="883"/>
      <c r="AA174" s="883"/>
      <c r="AB174" s="883"/>
      <c r="AC174" s="883"/>
      <c r="AD174" s="883"/>
      <c r="AE174" s="883"/>
      <c r="AF174" s="883"/>
      <c r="AG174" s="883"/>
      <c r="AH174" s="883"/>
      <c r="AI174" s="883"/>
      <c r="AJ174" s="883"/>
      <c r="AK174" s="883"/>
      <c r="AL174" s="883"/>
      <c r="AM174" s="883"/>
      <c r="AN174" s="883"/>
      <c r="AO174" s="883"/>
      <c r="AP174" s="883"/>
      <c r="AQ174" s="883"/>
      <c r="BY174" s="325"/>
      <c r="BZ174" s="325"/>
      <c r="CA174" s="325"/>
      <c r="CB174" s="325"/>
      <c r="CC174" s="325"/>
      <c r="CD174" s="325"/>
      <c r="CE174" s="325"/>
      <c r="CF174" s="325"/>
      <c r="CG174" s="325"/>
      <c r="CH174" s="325"/>
      <c r="CI174" s="325"/>
      <c r="CJ174" s="325"/>
      <c r="CK174" s="325"/>
      <c r="CL174" s="325"/>
      <c r="CM174" s="325"/>
      <c r="CN174" s="325"/>
      <c r="CO174" s="325"/>
      <c r="CP174" s="325"/>
    </row>
    <row r="175" spans="1:94" s="1361" customFormat="1" ht="14.25" hidden="1" customHeight="1" outlineLevel="1">
      <c r="A175" s="1367"/>
      <c r="B175" s="1368" t="s">
        <v>645</v>
      </c>
      <c r="C175" s="251"/>
      <c r="D175" s="883"/>
      <c r="E175" s="883"/>
      <c r="F175" s="883"/>
      <c r="G175" s="883"/>
      <c r="H175" s="883"/>
      <c r="I175" s="883"/>
      <c r="J175" s="883"/>
      <c r="K175" s="883"/>
      <c r="L175" s="883"/>
      <c r="M175" s="883"/>
      <c r="N175" s="883"/>
      <c r="O175" s="883"/>
      <c r="P175" s="883"/>
      <c r="Q175" s="883"/>
      <c r="R175" s="883"/>
      <c r="S175" s="883"/>
      <c r="T175" s="883"/>
      <c r="U175" s="883"/>
      <c r="V175" s="883"/>
      <c r="W175" s="883"/>
      <c r="X175" s="883"/>
      <c r="Y175" s="883"/>
      <c r="Z175" s="883"/>
      <c r="AA175" s="883"/>
      <c r="AB175" s="883"/>
      <c r="AC175" s="883"/>
      <c r="AD175" s="883"/>
      <c r="AE175" s="883"/>
      <c r="AF175" s="883"/>
      <c r="AG175" s="883"/>
      <c r="AH175" s="883"/>
      <c r="AI175" s="883"/>
      <c r="AJ175" s="883"/>
      <c r="AK175" s="883"/>
      <c r="AL175" s="883"/>
      <c r="AM175" s="883"/>
      <c r="AN175" s="883"/>
      <c r="AO175" s="883"/>
      <c r="AP175" s="883"/>
      <c r="AQ175" s="883"/>
      <c r="BL175" s="1372"/>
      <c r="BM175" s="1372"/>
      <c r="BN175" s="1372"/>
      <c r="BO175" s="1372"/>
      <c r="BP175" s="1372"/>
      <c r="BQ175" s="1372"/>
      <c r="BR175" s="1372"/>
      <c r="BS175" s="1372"/>
      <c r="BT175" s="1463"/>
      <c r="BU175" s="1463"/>
      <c r="BV175" s="1463"/>
      <c r="BW175" s="1463"/>
      <c r="BY175" s="325"/>
      <c r="BZ175" s="325"/>
      <c r="CA175" s="325"/>
      <c r="CB175" s="325"/>
      <c r="CC175" s="325"/>
      <c r="CD175" s="325"/>
      <c r="CE175" s="325"/>
      <c r="CF175" s="325"/>
      <c r="CG175" s="325"/>
      <c r="CH175" s="325"/>
      <c r="CI175" s="325"/>
      <c r="CJ175" s="325"/>
      <c r="CK175" s="325"/>
      <c r="CL175" s="325"/>
      <c r="CM175" s="325"/>
      <c r="CN175" s="325"/>
      <c r="CO175" s="325"/>
      <c r="CP175" s="325"/>
    </row>
    <row r="176" spans="1:94" s="1361" customFormat="1" ht="14.25" hidden="1" customHeight="1" outlineLevel="2">
      <c r="A176" s="1362"/>
      <c r="B176" s="863" t="s">
        <v>547</v>
      </c>
      <c r="C176" s="877"/>
      <c r="D176" s="1260"/>
      <c r="E176" s="1260"/>
      <c r="F176" s="1260"/>
      <c r="G176" s="1260"/>
      <c r="H176" s="1260"/>
      <c r="I176" s="1260"/>
      <c r="J176" s="1260"/>
      <c r="K176" s="1260"/>
      <c r="L176" s="1260"/>
      <c r="M176" s="1260"/>
      <c r="N176" s="1260"/>
      <c r="O176" s="1260"/>
      <c r="P176" s="1260"/>
      <c r="Q176" s="1260"/>
      <c r="R176" s="1260"/>
      <c r="S176" s="1260"/>
      <c r="T176" s="1260"/>
      <c r="U176" s="1260"/>
      <c r="V176" s="1260"/>
      <c r="W176" s="1260"/>
      <c r="X176" s="1260"/>
      <c r="Y176" s="1260"/>
      <c r="Z176" s="1260"/>
      <c r="AA176" s="1260"/>
      <c r="AB176" s="1260"/>
      <c r="AC176" s="1260"/>
      <c r="AD176" s="1260"/>
      <c r="AE176" s="1260"/>
      <c r="AF176" s="1260"/>
      <c r="AG176" s="1260"/>
      <c r="AH176" s="1260"/>
      <c r="AI176" s="1260"/>
      <c r="AJ176" s="1260"/>
      <c r="AK176" s="1260"/>
      <c r="AL176" s="1260"/>
      <c r="AM176" s="1260"/>
      <c r="AN176" s="1260"/>
      <c r="AO176" s="1260"/>
      <c r="AP176" s="1260"/>
      <c r="AQ176" s="1260"/>
      <c r="AR176" s="1260"/>
      <c r="AS176" s="1260"/>
      <c r="AT176" s="1260"/>
      <c r="AU176" s="1260"/>
      <c r="AV176" s="1260"/>
      <c r="AW176" s="1260"/>
      <c r="AX176" s="1260"/>
      <c r="AY176" s="1260"/>
      <c r="AZ176" s="1089"/>
      <c r="BA176" s="1260"/>
      <c r="BB176" s="1260"/>
      <c r="BC176" s="1261"/>
      <c r="BD176" s="1089"/>
      <c r="BE176" s="1260"/>
      <c r="BF176" s="1260"/>
      <c r="BG176" s="1260"/>
      <c r="BH176" s="1260"/>
      <c r="BI176" s="1260"/>
      <c r="BJ176" s="1260"/>
      <c r="BK176" s="1261"/>
      <c r="BL176" s="1260"/>
      <c r="BM176" s="1260"/>
      <c r="BN176" s="1260"/>
      <c r="BO176" s="1261"/>
      <c r="BP176" s="1260"/>
      <c r="BQ176" s="1260"/>
      <c r="BR176" s="1260"/>
      <c r="BS176" s="1261"/>
      <c r="BT176" s="1260"/>
      <c r="BU176" s="1260"/>
      <c r="BV176" s="1260"/>
      <c r="BW176" s="1261"/>
      <c r="BX176" s="346"/>
      <c r="BY176" s="938"/>
      <c r="BZ176" s="911"/>
      <c r="CA176" s="911"/>
      <c r="CB176" s="911"/>
      <c r="CC176" s="911"/>
      <c r="CD176" s="911"/>
      <c r="CE176" s="911"/>
      <c r="CF176" s="911"/>
      <c r="CG176" s="911"/>
      <c r="CH176" s="911"/>
      <c r="CI176" s="911"/>
      <c r="CJ176" s="911"/>
      <c r="CK176" s="911"/>
      <c r="CL176" s="911"/>
      <c r="CM176" s="911"/>
      <c r="CN176" s="911"/>
      <c r="CO176" s="911"/>
      <c r="CP176" s="912"/>
    </row>
    <row r="177" spans="1:94" s="1361" customFormat="1" ht="14.25" hidden="1" customHeight="1" outlineLevel="2">
      <c r="A177" s="1363"/>
      <c r="B177" s="297" t="s">
        <v>634</v>
      </c>
      <c r="C177" s="287"/>
      <c r="D177" s="879">
        <v>0</v>
      </c>
      <c r="E177" s="495">
        <v>64.05</v>
      </c>
      <c r="F177" s="495">
        <v>55.607999999999997</v>
      </c>
      <c r="G177" s="496">
        <v>55.720000000000006</v>
      </c>
      <c r="H177" s="879">
        <v>67.804000000000002</v>
      </c>
      <c r="I177" s="495">
        <v>66.7</v>
      </c>
      <c r="J177" s="495">
        <v>60.495999999999995</v>
      </c>
      <c r="K177" s="496">
        <v>58.292000000000002</v>
      </c>
      <c r="L177" s="879">
        <v>63.503999999999991</v>
      </c>
      <c r="M177" s="495">
        <v>57.532000000000004</v>
      </c>
      <c r="N177" s="495">
        <v>56.448</v>
      </c>
      <c r="O177" s="496">
        <v>58.106000000000009</v>
      </c>
      <c r="P177" s="879">
        <v>56.78</v>
      </c>
      <c r="Q177" s="495">
        <v>60.048000000000002</v>
      </c>
      <c r="R177" s="495">
        <v>63.134999999999991</v>
      </c>
      <c r="S177" s="496">
        <v>60.24</v>
      </c>
      <c r="T177" s="879">
        <v>63.614000000000004</v>
      </c>
      <c r="U177" s="495">
        <v>68.616</v>
      </c>
      <c r="V177" s="495">
        <v>64.463999999999999</v>
      </c>
      <c r="W177" s="496">
        <v>61.184999999999995</v>
      </c>
      <c r="X177" s="879">
        <v>71.722999999999999</v>
      </c>
      <c r="Y177" s="495">
        <v>118.167</v>
      </c>
      <c r="Z177" s="495">
        <v>98.855000000000004</v>
      </c>
      <c r="AA177" s="496">
        <v>78.191999999999993</v>
      </c>
      <c r="AB177" s="879">
        <v>64.447000000000003</v>
      </c>
      <c r="AC177" s="495">
        <v>71.366000000000014</v>
      </c>
      <c r="AD177" s="495">
        <v>85.121999999999986</v>
      </c>
      <c r="AE177" s="496">
        <v>94.449000000000012</v>
      </c>
      <c r="AF177" s="879">
        <v>104.53800000000001</v>
      </c>
      <c r="AG177" s="495">
        <v>116.66</v>
      </c>
      <c r="AH177" s="495">
        <v>114.13300000000001</v>
      </c>
      <c r="AI177" s="496">
        <v>127.42400000000001</v>
      </c>
      <c r="AJ177" s="879">
        <v>191.53200000000001</v>
      </c>
      <c r="AK177" s="495">
        <v>199.27599999999998</v>
      </c>
      <c r="AL177" s="495">
        <v>197.56</v>
      </c>
      <c r="AM177" s="496">
        <v>191.97499999999999</v>
      </c>
      <c r="AN177" s="879">
        <v>193.54400000000001</v>
      </c>
      <c r="AO177" s="495">
        <v>193.648</v>
      </c>
      <c r="AP177" s="495">
        <v>181.375</v>
      </c>
      <c r="AQ177" s="496">
        <v>176.852</v>
      </c>
      <c r="AR177" s="879">
        <v>185.08</v>
      </c>
      <c r="AS177" s="495">
        <v>192.72400000000002</v>
      </c>
      <c r="AT177" s="495">
        <v>186.00399999999999</v>
      </c>
      <c r="AU177" s="496">
        <v>193.86</v>
      </c>
      <c r="AV177" s="879">
        <v>211.95</v>
      </c>
      <c r="AW177" s="495">
        <v>219.70399999999998</v>
      </c>
      <c r="AX177" s="495">
        <v>241.71499999999997</v>
      </c>
      <c r="AY177" s="495">
        <v>276.54400000000004</v>
      </c>
      <c r="AZ177" s="1161">
        <v>289.45</v>
      </c>
      <c r="BA177" s="495">
        <v>280.3</v>
      </c>
      <c r="BB177" s="495">
        <v>280.2</v>
      </c>
      <c r="BC177" s="496">
        <v>296.89999999999998</v>
      </c>
      <c r="BD177" s="1161">
        <v>323.2</v>
      </c>
      <c r="BE177" s="495">
        <v>319.62</v>
      </c>
      <c r="BF177" s="495">
        <v>318.52</v>
      </c>
      <c r="BG177" s="1373">
        <v>359.92759999999993</v>
      </c>
      <c r="BH177" s="940">
        <v>370.72542799999991</v>
      </c>
      <c r="BI177" s="800">
        <v>383.7008179799999</v>
      </c>
      <c r="BJ177" s="800">
        <v>376.02680162039991</v>
      </c>
      <c r="BK177" s="896">
        <v>379.78706963660392</v>
      </c>
      <c r="BL177" s="940">
        <v>389.28174637751897</v>
      </c>
      <c r="BM177" s="800">
        <v>406.7994249645073</v>
      </c>
      <c r="BN177" s="800">
        <v>400.69743359003968</v>
      </c>
      <c r="BO177" s="896">
        <v>402.70092075798982</v>
      </c>
      <c r="BP177" s="940">
        <v>389.28174637751897</v>
      </c>
      <c r="BQ177" s="800">
        <v>406.7994249645073</v>
      </c>
      <c r="BR177" s="800">
        <v>400.69743359003968</v>
      </c>
      <c r="BS177" s="896">
        <v>402.70092075798982</v>
      </c>
      <c r="BT177" s="940">
        <v>389.28174637751897</v>
      </c>
      <c r="BU177" s="800">
        <v>406.7994249645073</v>
      </c>
      <c r="BV177" s="800">
        <v>400.69743359003968</v>
      </c>
      <c r="BW177" s="896">
        <v>402.70092075798982</v>
      </c>
      <c r="BX177" s="346"/>
      <c r="BY177" s="334">
        <v>175.37799999999999</v>
      </c>
      <c r="BZ177" s="325">
        <v>253.292</v>
      </c>
      <c r="CA177" s="325">
        <v>235.59000000000003</v>
      </c>
      <c r="CB177" s="325">
        <v>240.203</v>
      </c>
      <c r="CC177" s="325">
        <v>257.87900000000002</v>
      </c>
      <c r="CD177" s="325">
        <v>366.93700000000001</v>
      </c>
      <c r="CE177" s="325">
        <v>315.38400000000001</v>
      </c>
      <c r="CF177" s="325">
        <v>462.755</v>
      </c>
      <c r="CG177" s="325">
        <v>780.34299999999996</v>
      </c>
      <c r="CH177" s="325">
        <v>745.41899999999998</v>
      </c>
      <c r="CI177" s="325">
        <v>757.66800000000001</v>
      </c>
      <c r="CJ177" s="325">
        <v>949.91300000000001</v>
      </c>
      <c r="CK177" s="325">
        <v>1146.8499999999999</v>
      </c>
      <c r="CL177" s="325">
        <v>1321.2675999999999</v>
      </c>
      <c r="CM177" s="387">
        <v>1510.2401172370037</v>
      </c>
      <c r="CN177" s="387">
        <v>1599.4795256900557</v>
      </c>
      <c r="CO177" s="387">
        <v>1599.4795256900557</v>
      </c>
      <c r="CP177" s="326">
        <v>1599.4795256900557</v>
      </c>
    </row>
    <row r="178" spans="1:94" s="1361" customFormat="1" ht="14.25" hidden="1" customHeight="1" outlineLevel="2">
      <c r="A178" s="1364"/>
      <c r="B178" s="32" t="s">
        <v>297</v>
      </c>
      <c r="C178" s="218"/>
      <c r="D178" s="134"/>
      <c r="E178" s="78"/>
      <c r="F178" s="78">
        <v>-0.13180327868852459</v>
      </c>
      <c r="G178" s="79">
        <v>2.0140986908359082E-3</v>
      </c>
      <c r="H178" s="134">
        <v>0.21687006460875802</v>
      </c>
      <c r="I178" s="78">
        <v>-1.6282225237449155E-2</v>
      </c>
      <c r="J178" s="78">
        <v>-9.301349325337338E-2</v>
      </c>
      <c r="K178" s="79">
        <v>-3.6432160804020008E-2</v>
      </c>
      <c r="L178" s="134">
        <v>8.9411926164825184E-2</v>
      </c>
      <c r="M178" s="78">
        <v>-9.4041320231796233E-2</v>
      </c>
      <c r="N178" s="78">
        <v>-1.8841688104011767E-2</v>
      </c>
      <c r="O178" s="79">
        <v>2.9372165532880024E-2</v>
      </c>
      <c r="P178" s="134">
        <v>-2.2820362785254678E-2</v>
      </c>
      <c r="Q178" s="78">
        <v>5.7555477280732736E-2</v>
      </c>
      <c r="R178" s="78">
        <v>5.1408872901678393E-2</v>
      </c>
      <c r="S178" s="79">
        <v>-4.5854122119268093E-2</v>
      </c>
      <c r="T178" s="134">
        <v>5.6009296148738397E-2</v>
      </c>
      <c r="U178" s="78">
        <v>7.8630490143678955E-2</v>
      </c>
      <c r="V178" s="78">
        <v>-6.0510668065757223E-2</v>
      </c>
      <c r="W178" s="79">
        <v>-5.0865599404318784E-2</v>
      </c>
      <c r="X178" s="134">
        <v>0.17223175614938313</v>
      </c>
      <c r="Y178" s="78">
        <v>0.64754681204076792</v>
      </c>
      <c r="Z178" s="78">
        <v>-0.16342972234210906</v>
      </c>
      <c r="AA178" s="79">
        <v>-0.20902331697941434</v>
      </c>
      <c r="AB178" s="134">
        <v>-0.17578524657253924</v>
      </c>
      <c r="AC178" s="78">
        <v>0.10735953574254831</v>
      </c>
      <c r="AD178" s="78">
        <v>0.19275285149791177</v>
      </c>
      <c r="AE178" s="79">
        <v>0.10957214351166589</v>
      </c>
      <c r="AF178" s="134">
        <v>0.10681955340977667</v>
      </c>
      <c r="AG178" s="78">
        <v>0.11595783351508526</v>
      </c>
      <c r="AH178" s="78">
        <v>-2.1661237785016163E-2</v>
      </c>
      <c r="AI178" s="79">
        <v>0.11645185879631659</v>
      </c>
      <c r="AJ178" s="134">
        <v>0.50310773480662974</v>
      </c>
      <c r="AK178" s="78">
        <v>4.0431886055593669E-2</v>
      </c>
      <c r="AL178" s="78">
        <v>-8.6111724442480275E-3</v>
      </c>
      <c r="AM178" s="79">
        <v>-2.8269892690828136E-2</v>
      </c>
      <c r="AN178" s="134">
        <v>8.1729391847897848E-3</v>
      </c>
      <c r="AO178" s="78">
        <v>5.3734551316497736E-4</v>
      </c>
      <c r="AP178" s="78">
        <v>-6.3377881516979206E-2</v>
      </c>
      <c r="AQ178" s="79">
        <v>-2.4937284631288748E-2</v>
      </c>
      <c r="AR178" s="134">
        <v>4.6524777780290849E-2</v>
      </c>
      <c r="AS178" s="78">
        <v>4.1301059001512819E-2</v>
      </c>
      <c r="AT178" s="78">
        <v>-3.4868516635188307E-2</v>
      </c>
      <c r="AU178" s="79">
        <v>4.2235650846218498E-2</v>
      </c>
      <c r="AV178" s="134">
        <v>9.3314763231197695E-2</v>
      </c>
      <c r="AW178" s="78">
        <v>3.6584100023590471E-2</v>
      </c>
      <c r="AX178" s="78">
        <v>0.1001847940865892</v>
      </c>
      <c r="AY178" s="78">
        <v>0.14409118176364766</v>
      </c>
      <c r="AZ178" s="134">
        <v>4.6668884517472531E-2</v>
      </c>
      <c r="BA178" s="78">
        <v>-3.1611677319053344E-2</v>
      </c>
      <c r="BB178" s="78">
        <v>-3.5676061362832634E-4</v>
      </c>
      <c r="BC178" s="79">
        <v>5.9600285510349682E-2</v>
      </c>
      <c r="BD178" s="134">
        <v>8.8582014146177279E-2</v>
      </c>
      <c r="BE178" s="78">
        <v>-1.1076732673267253E-2</v>
      </c>
      <c r="BF178" s="78">
        <v>-3.4415868844253072E-3</v>
      </c>
      <c r="BG178" s="1374">
        <v>0.13</v>
      </c>
      <c r="BH178" s="82">
        <v>0.03</v>
      </c>
      <c r="BI178" s="80">
        <v>3.5000000000000003E-2</v>
      </c>
      <c r="BJ178" s="80">
        <v>-0.02</v>
      </c>
      <c r="BK178" s="81">
        <v>0.01</v>
      </c>
      <c r="BL178" s="82">
        <v>2.5000000000000001E-2</v>
      </c>
      <c r="BM178" s="80">
        <v>4.4999999999999998E-2</v>
      </c>
      <c r="BN178" s="80">
        <v>-1.4999999999999999E-2</v>
      </c>
      <c r="BO178" s="81">
        <v>5.0000000000000001E-3</v>
      </c>
      <c r="BP178" s="82">
        <v>2.5000000000000001E-2</v>
      </c>
      <c r="BQ178" s="80">
        <v>4.4999999999999998E-2</v>
      </c>
      <c r="BR178" s="80">
        <v>-1.4999999999999999E-2</v>
      </c>
      <c r="BS178" s="81">
        <v>5.0000000000000001E-3</v>
      </c>
      <c r="BT178" s="82">
        <v>2.5000000000000001E-2</v>
      </c>
      <c r="BU178" s="80">
        <v>4.4999999999999998E-2</v>
      </c>
      <c r="BV178" s="80">
        <v>-1.4999999999999999E-2</v>
      </c>
      <c r="BW178" s="81">
        <v>5.0000000000000001E-3</v>
      </c>
      <c r="BX178" s="346"/>
      <c r="BY178" s="219"/>
      <c r="BZ178" s="220"/>
      <c r="CA178" s="220"/>
      <c r="CB178" s="220"/>
      <c r="CC178" s="220"/>
      <c r="CD178" s="220"/>
      <c r="CE178" s="220"/>
      <c r="CF178" s="220"/>
      <c r="CG178" s="220"/>
      <c r="CH178" s="220"/>
      <c r="CI178" s="220"/>
      <c r="CJ178" s="220"/>
      <c r="CK178" s="220"/>
      <c r="CL178" s="220"/>
      <c r="CM178" s="220"/>
      <c r="CN178" s="220"/>
      <c r="CO178" s="220"/>
      <c r="CP178" s="258"/>
    </row>
    <row r="179" spans="1:94" s="1361" customFormat="1" ht="14.25" hidden="1" customHeight="1" outlineLevel="2">
      <c r="A179" s="1364"/>
      <c r="B179" s="32" t="s">
        <v>548</v>
      </c>
      <c r="C179" s="218"/>
      <c r="D179" s="134"/>
      <c r="E179" s="78"/>
      <c r="F179" s="78"/>
      <c r="G179" s="79"/>
      <c r="H179" s="134"/>
      <c r="I179" s="78"/>
      <c r="J179" s="78"/>
      <c r="K179" s="79"/>
      <c r="L179" s="134"/>
      <c r="M179" s="78"/>
      <c r="N179" s="78"/>
      <c r="O179" s="79"/>
      <c r="P179" s="134"/>
      <c r="Q179" s="78"/>
      <c r="R179" s="78"/>
      <c r="S179" s="79"/>
      <c r="T179" s="134"/>
      <c r="U179" s="78"/>
      <c r="V179" s="78"/>
      <c r="W179" s="79"/>
      <c r="X179" s="134"/>
      <c r="Y179" s="78">
        <v>6.4656054887915759E-3</v>
      </c>
      <c r="Z179" s="78">
        <v>-5.0552051041997711E-2</v>
      </c>
      <c r="AA179" s="79">
        <v>-2.035312362077819E-2</v>
      </c>
      <c r="AB179" s="134">
        <v>0.10234053605729002</v>
      </c>
      <c r="AC179" s="78">
        <v>0.13468184679918685</v>
      </c>
      <c r="AD179" s="78">
        <v>-5.6877339772714607E-2</v>
      </c>
      <c r="AE179" s="79">
        <v>-6.2560606754828246E-2</v>
      </c>
      <c r="AF179" s="134">
        <v>2.3809473821030557E-2</v>
      </c>
      <c r="AG179" s="78">
        <v>0.15941019899518633</v>
      </c>
      <c r="AH179" s="78">
        <v>2.7592917754242218E-4</v>
      </c>
      <c r="AI179" s="79">
        <v>-3.3359745891691064E-2</v>
      </c>
      <c r="AJ179" s="134">
        <v>2.7290999270020856E-2</v>
      </c>
      <c r="AK179" s="78">
        <v>0.20141002974456262</v>
      </c>
      <c r="AL179" s="78">
        <v>-2.8798075865845709E-4</v>
      </c>
      <c r="AM179" s="79">
        <v>-1.5943807239003748E-2</v>
      </c>
      <c r="AN179" s="134">
        <v>0.13247661878839773</v>
      </c>
      <c r="AO179" s="78">
        <v>0.19798531149953483</v>
      </c>
      <c r="AP179" s="78">
        <v>-1.2291989827843741E-2</v>
      </c>
      <c r="AQ179" s="79">
        <v>-1.2426961353315757E-2</v>
      </c>
      <c r="AR179" s="134">
        <v>0.12290934739560802</v>
      </c>
      <c r="AS179" s="78">
        <v>0.18236668257343203</v>
      </c>
      <c r="AT179" s="78">
        <v>-1.2865432518088138E-2</v>
      </c>
      <c r="AU179" s="79">
        <v>-7.2412983987097503E-3</v>
      </c>
      <c r="AV179" s="134">
        <v>9.7767951721789564E-2</v>
      </c>
      <c r="AW179" s="78">
        <v>6.1117531965581007E-2</v>
      </c>
      <c r="AX179" s="78">
        <v>1.2846808623296013E-2</v>
      </c>
      <c r="AY179" s="78">
        <v>4.3010495166416821E-2</v>
      </c>
      <c r="AZ179" s="134">
        <v>0.15158795368253694</v>
      </c>
      <c r="BA179" s="78">
        <v>4.6962444821789441E-2</v>
      </c>
      <c r="BB179" s="78">
        <v>-5.6668028589685008E-3</v>
      </c>
      <c r="BC179" s="79">
        <v>4.9914302816813173E-2</v>
      </c>
      <c r="BD179" s="134">
        <v>0.13955781990407612</v>
      </c>
      <c r="BE179" s="78">
        <v>1.7448542654961718E-2</v>
      </c>
      <c r="BF179" s="78">
        <v>-1.4059074246909331E-3</v>
      </c>
      <c r="BG179" s="1375">
        <v>3.8543988159619791E-2</v>
      </c>
      <c r="BH179" s="134">
        <v>5.6652675771985628E-2</v>
      </c>
      <c r="BI179" s="78">
        <v>7.1468189091895337E-3</v>
      </c>
      <c r="BJ179" s="78">
        <v>-3.7199031272638905E-4</v>
      </c>
      <c r="BK179" s="79">
        <v>7.0197966697785413E-2</v>
      </c>
      <c r="BL179" s="134">
        <v>6.1018087935027679E-2</v>
      </c>
      <c r="BM179" s="78">
        <v>1.403934980655654E-2</v>
      </c>
      <c r="BN179" s="78">
        <v>8.3035859906694515E-3</v>
      </c>
      <c r="BO179" s="79">
        <v>7.7185423624043167E-2</v>
      </c>
      <c r="BP179" s="134">
        <v>6.1018087935027679E-2</v>
      </c>
      <c r="BQ179" s="78">
        <v>1.403934980655654E-2</v>
      </c>
      <c r="BR179" s="78">
        <v>8.3035859906694515E-3</v>
      </c>
      <c r="BS179" s="79">
        <v>7.7185423624043167E-2</v>
      </c>
      <c r="BT179" s="134">
        <v>6.1018087935027679E-2</v>
      </c>
      <c r="BU179" s="78">
        <v>1.403934980655654E-2</v>
      </c>
      <c r="BV179" s="78">
        <v>8.3035859906694515E-3</v>
      </c>
      <c r="BW179" s="79">
        <v>7.7185423624043167E-2</v>
      </c>
      <c r="BX179" s="346"/>
      <c r="BY179" s="219"/>
      <c r="BZ179" s="220"/>
      <c r="CA179" s="220"/>
      <c r="CB179" s="220"/>
      <c r="CC179" s="220"/>
      <c r="CD179" s="220"/>
      <c r="CE179" s="220"/>
      <c r="CF179" s="220"/>
      <c r="CG179" s="220"/>
      <c r="CH179" s="220"/>
      <c r="CI179" s="220"/>
      <c r="CJ179" s="220"/>
      <c r="CK179" s="220"/>
      <c r="CL179" s="220"/>
      <c r="CM179" s="220"/>
      <c r="CN179" s="220"/>
      <c r="CO179" s="220"/>
      <c r="CP179" s="258"/>
    </row>
    <row r="180" spans="1:94" s="1361" customFormat="1" ht="14.25" hidden="1" customHeight="1" outlineLevel="2">
      <c r="A180" s="1365"/>
      <c r="B180" s="867" t="s">
        <v>298</v>
      </c>
      <c r="C180" s="880"/>
      <c r="D180" s="377"/>
      <c r="E180" s="370"/>
      <c r="F180" s="370"/>
      <c r="G180" s="335"/>
      <c r="H180" s="377"/>
      <c r="I180" s="370">
        <v>4.1373926619828305E-2</v>
      </c>
      <c r="J180" s="370">
        <v>8.7901021435764504E-2</v>
      </c>
      <c r="K180" s="335">
        <v>4.6159368269920842E-2</v>
      </c>
      <c r="L180" s="377">
        <v>-6.3418087428470438E-2</v>
      </c>
      <c r="M180" s="370">
        <v>-0.13745127436281857</v>
      </c>
      <c r="N180" s="370">
        <v>-6.6913514943136687E-2</v>
      </c>
      <c r="O180" s="335">
        <v>-3.1908323612158673E-3</v>
      </c>
      <c r="P180" s="377">
        <v>-0.10588309397833195</v>
      </c>
      <c r="Q180" s="370">
        <v>4.3732183828130378E-2</v>
      </c>
      <c r="R180" s="370">
        <v>0.11846301020408156</v>
      </c>
      <c r="S180" s="335">
        <v>3.6725983547309937E-2</v>
      </c>
      <c r="T180" s="377">
        <v>0.12035928143712571</v>
      </c>
      <c r="U180" s="370">
        <v>0.14268585131894485</v>
      </c>
      <c r="V180" s="370">
        <v>2.1050130672368939E-2</v>
      </c>
      <c r="W180" s="335">
        <v>1.5687250996015756E-2</v>
      </c>
      <c r="X180" s="377">
        <v>0.12747194013896301</v>
      </c>
      <c r="Y180" s="370">
        <v>0.72214935292060156</v>
      </c>
      <c r="Z180" s="370">
        <v>0.53349156118143459</v>
      </c>
      <c r="AA180" s="335">
        <v>0.27796028438342724</v>
      </c>
      <c r="AB180" s="377">
        <v>-0.10144584024650383</v>
      </c>
      <c r="AC180" s="370">
        <v>-0.39605812113364969</v>
      </c>
      <c r="AD180" s="370">
        <v>-0.13892064134338189</v>
      </c>
      <c r="AE180" s="335">
        <v>0.20791129527317409</v>
      </c>
      <c r="AF180" s="377">
        <v>0.62207705556503812</v>
      </c>
      <c r="AG180" s="370">
        <v>0.63467197264803921</v>
      </c>
      <c r="AH180" s="370">
        <v>0.34081671013369075</v>
      </c>
      <c r="AI180" s="335">
        <v>0.34913021842475822</v>
      </c>
      <c r="AJ180" s="377">
        <v>0.83217585949606843</v>
      </c>
      <c r="AK180" s="370">
        <v>0.70817761014915126</v>
      </c>
      <c r="AL180" s="370">
        <v>0.73096299930782505</v>
      </c>
      <c r="AM180" s="335">
        <v>0.50658431692616768</v>
      </c>
      <c r="AN180" s="377">
        <v>1.0504772048534949E-2</v>
      </c>
      <c r="AO180" s="370">
        <v>-2.8242236897569106E-2</v>
      </c>
      <c r="AP180" s="370">
        <v>-8.1924478639400666E-2</v>
      </c>
      <c r="AQ180" s="335">
        <v>-7.8775882276338027E-2</v>
      </c>
      <c r="AR180" s="377">
        <v>-4.3731657917579492E-2</v>
      </c>
      <c r="AS180" s="370">
        <v>-4.7715442452282986E-3</v>
      </c>
      <c r="AT180" s="370">
        <v>2.5521709166092199E-2</v>
      </c>
      <c r="AU180" s="335">
        <v>9.6170809490421449E-2</v>
      </c>
      <c r="AV180" s="377">
        <v>0.14518046250270134</v>
      </c>
      <c r="AW180" s="370">
        <v>0.13999294327639511</v>
      </c>
      <c r="AX180" s="370">
        <v>0.29951506419216778</v>
      </c>
      <c r="AY180" s="370">
        <v>0.42651397916021883</v>
      </c>
      <c r="AZ180" s="377">
        <v>0.36565227648030207</v>
      </c>
      <c r="BA180" s="370">
        <v>0.27580745002366847</v>
      </c>
      <c r="BB180" s="370">
        <v>0.15921643257555385</v>
      </c>
      <c r="BC180" s="335">
        <v>7.3608539689886454E-2</v>
      </c>
      <c r="BD180" s="377">
        <v>0.11660044912765599</v>
      </c>
      <c r="BE180" s="370">
        <v>0.14027827327863007</v>
      </c>
      <c r="BF180" s="370">
        <v>0.13675945753033547</v>
      </c>
      <c r="BG180" s="1376">
        <v>0.21228561805321644</v>
      </c>
      <c r="BH180" s="377">
        <v>0.1470464975247523</v>
      </c>
      <c r="BI180" s="370">
        <v>0.20049063882109963</v>
      </c>
      <c r="BJ180" s="370">
        <v>0.18054376999999988</v>
      </c>
      <c r="BK180" s="335">
        <v>5.5176289999999906E-2</v>
      </c>
      <c r="BL180" s="377">
        <v>5.0054074999999809E-2</v>
      </c>
      <c r="BM180" s="370">
        <v>6.0199524999999809E-2</v>
      </c>
      <c r="BN180" s="370">
        <v>6.5608706249999704E-2</v>
      </c>
      <c r="BO180" s="335">
        <v>6.033341562499972E-2</v>
      </c>
      <c r="BP180" s="377">
        <v>5.0054074999999809E-2</v>
      </c>
      <c r="BQ180" s="370">
        <v>6.0199524999999809E-2</v>
      </c>
      <c r="BR180" s="370">
        <v>6.5608706249999704E-2</v>
      </c>
      <c r="BS180" s="335">
        <v>6.033341562499972E-2</v>
      </c>
      <c r="BT180" s="377">
        <v>5.0054074999999809E-2</v>
      </c>
      <c r="BU180" s="370">
        <v>6.0199524999999809E-2</v>
      </c>
      <c r="BV180" s="370">
        <v>6.5608706249999704E-2</v>
      </c>
      <c r="BW180" s="335">
        <v>6.033341562499972E-2</v>
      </c>
      <c r="BX180" s="346"/>
      <c r="BY180" s="359"/>
      <c r="BZ180" s="338">
        <v>0.44426324852604093</v>
      </c>
      <c r="CA180" s="338">
        <v>-6.9887718522495645E-2</v>
      </c>
      <c r="CB180" s="338">
        <v>1.9580627361093228E-2</v>
      </c>
      <c r="CC180" s="338">
        <v>7.3587757022185452E-2</v>
      </c>
      <c r="CD180" s="338">
        <v>0.42290376494402415</v>
      </c>
      <c r="CE180" s="338">
        <v>-0.14049550740317818</v>
      </c>
      <c r="CF180" s="338">
        <v>0.46727481419475936</v>
      </c>
      <c r="CG180" s="338">
        <v>0.68629836522565935</v>
      </c>
      <c r="CH180" s="338">
        <v>-4.4754678391425329E-2</v>
      </c>
      <c r="CI180" s="338">
        <v>1.6432368909298001E-2</v>
      </c>
      <c r="CJ180" s="338">
        <v>0.25373250553012672</v>
      </c>
      <c r="CK180" s="338">
        <v>0.2073210915104855</v>
      </c>
      <c r="CL180" s="338">
        <v>0.15208405632820332</v>
      </c>
      <c r="CM180" s="338">
        <v>0.14302365186053434</v>
      </c>
      <c r="CN180" s="338">
        <v>5.9089549691155208E-2</v>
      </c>
      <c r="CO180" s="338">
        <v>5.9089549691155208E-2</v>
      </c>
      <c r="CP180" s="337">
        <v>5.9089549691155208E-2</v>
      </c>
    </row>
    <row r="181" spans="1:94" s="1361" customFormat="1" ht="14.25" hidden="1" customHeight="1" outlineLevel="2">
      <c r="A181" s="1364"/>
      <c r="B181" s="32" t="s">
        <v>299</v>
      </c>
      <c r="C181" s="218"/>
      <c r="D181" s="134"/>
      <c r="E181" s="78">
        <v>0.25</v>
      </c>
      <c r="F181" s="78">
        <v>0.21</v>
      </c>
      <c r="G181" s="79">
        <v>0.2</v>
      </c>
      <c r="H181" s="134">
        <v>0.21999999999999997</v>
      </c>
      <c r="I181" s="78">
        <v>0.2</v>
      </c>
      <c r="J181" s="78">
        <v>0.19</v>
      </c>
      <c r="K181" s="79">
        <v>0.18999999999999997</v>
      </c>
      <c r="L181" s="134">
        <v>0.21</v>
      </c>
      <c r="M181" s="78">
        <v>0.19</v>
      </c>
      <c r="N181" s="78">
        <v>0.18</v>
      </c>
      <c r="O181" s="79">
        <v>0.17</v>
      </c>
      <c r="P181" s="134">
        <v>0.17</v>
      </c>
      <c r="Q181" s="78">
        <v>0.16</v>
      </c>
      <c r="R181" s="78">
        <v>0.15</v>
      </c>
      <c r="S181" s="79">
        <v>0.15</v>
      </c>
      <c r="T181" s="134">
        <v>0.16999999999999998</v>
      </c>
      <c r="U181" s="78">
        <v>0.18</v>
      </c>
      <c r="V181" s="78">
        <v>0.16</v>
      </c>
      <c r="W181" s="79">
        <v>0.15</v>
      </c>
      <c r="X181" s="134">
        <v>0.17</v>
      </c>
      <c r="Y181" s="78">
        <v>0.20999999999999994</v>
      </c>
      <c r="Z181" s="78">
        <v>0.17</v>
      </c>
      <c r="AA181" s="79">
        <v>0.16</v>
      </c>
      <c r="AB181" s="134">
        <v>0.17</v>
      </c>
      <c r="AC181" s="78">
        <v>0.17000000000000004</v>
      </c>
      <c r="AD181" s="78">
        <v>0.17999999999999997</v>
      </c>
      <c r="AE181" s="79">
        <v>0.19</v>
      </c>
      <c r="AF181" s="134">
        <v>0.19</v>
      </c>
      <c r="AG181" s="78">
        <v>0.19999999999999998</v>
      </c>
      <c r="AH181" s="78">
        <v>0.19</v>
      </c>
      <c r="AI181" s="79">
        <v>0.22</v>
      </c>
      <c r="AJ181" s="134">
        <v>0.22</v>
      </c>
      <c r="AK181" s="78">
        <v>0.22</v>
      </c>
      <c r="AL181" s="78">
        <v>0.21999999999999997</v>
      </c>
      <c r="AM181" s="79">
        <v>0.25</v>
      </c>
      <c r="AN181" s="134">
        <v>0.26</v>
      </c>
      <c r="AO181" s="78">
        <v>0.26</v>
      </c>
      <c r="AP181" s="78">
        <v>0.24999999999999997</v>
      </c>
      <c r="AQ181" s="79">
        <v>0.26</v>
      </c>
      <c r="AR181" s="134">
        <v>0.28000000000000003</v>
      </c>
      <c r="AS181" s="78">
        <v>0.27999999999999997</v>
      </c>
      <c r="AT181" s="78">
        <v>0.25999999999999995</v>
      </c>
      <c r="AU181" s="79">
        <v>0.27</v>
      </c>
      <c r="AV181" s="134">
        <v>0.3</v>
      </c>
      <c r="AW181" s="78">
        <v>0.28999999999999998</v>
      </c>
      <c r="AX181" s="78">
        <v>0.28999999999999998</v>
      </c>
      <c r="AY181" s="78">
        <v>0.32</v>
      </c>
      <c r="AZ181" s="134">
        <v>0.33239549839228294</v>
      </c>
      <c r="BA181" s="78">
        <v>0.31834185122089725</v>
      </c>
      <c r="BB181" s="78">
        <v>0.3098186643078284</v>
      </c>
      <c r="BC181" s="79">
        <v>0.35332619302630014</v>
      </c>
      <c r="BD181" s="134">
        <v>0.39549681840430739</v>
      </c>
      <c r="BE181" s="78">
        <v>0.36411483253588517</v>
      </c>
      <c r="BF181" s="78">
        <v>0.33496687348827425</v>
      </c>
      <c r="BG181" s="1375">
        <v>0.29661747677244604</v>
      </c>
      <c r="BH181" s="134">
        <v>0.30952496594350554</v>
      </c>
      <c r="BI181" s="78">
        <v>0.3096527337803146</v>
      </c>
      <c r="BJ181" s="78">
        <v>0.29683317474407661</v>
      </c>
      <c r="BK181" s="79">
        <v>0.3053362366107365</v>
      </c>
      <c r="BL181" s="134">
        <v>0.3169641537345132</v>
      </c>
      <c r="BM181" s="78">
        <v>0.31721241106849213</v>
      </c>
      <c r="BN181" s="78">
        <v>0.3056738830768912</v>
      </c>
      <c r="BO181" s="79">
        <v>0.31317949453700178</v>
      </c>
      <c r="BP181" s="134">
        <v>0.3169641537345132</v>
      </c>
      <c r="BQ181" s="78">
        <v>0.31721241106849213</v>
      </c>
      <c r="BR181" s="78">
        <v>0.3056738830768912</v>
      </c>
      <c r="BS181" s="79">
        <v>0.31317949453700178</v>
      </c>
      <c r="BT181" s="134">
        <v>0.3169641537345132</v>
      </c>
      <c r="BU181" s="78">
        <v>0.31721241106849213</v>
      </c>
      <c r="BV181" s="78">
        <v>0.3056738830768912</v>
      </c>
      <c r="BW181" s="79">
        <v>0.31317949453700178</v>
      </c>
      <c r="BX181" s="346"/>
      <c r="BY181" s="359">
        <v>0.2192584035635835</v>
      </c>
      <c r="BZ181" s="338">
        <v>0.19993053911121633</v>
      </c>
      <c r="CA181" s="338">
        <v>0.18688719657306049</v>
      </c>
      <c r="CB181" s="338">
        <v>0.15681094137615875</v>
      </c>
      <c r="CC181" s="338">
        <v>0.16465266249521135</v>
      </c>
      <c r="CD181" s="338">
        <v>0.17857553046525207</v>
      </c>
      <c r="CE181" s="338">
        <v>0.17829385493809713</v>
      </c>
      <c r="CF181" s="338">
        <v>0.20003241981499092</v>
      </c>
      <c r="CG181" s="338">
        <v>0.22669232780408446</v>
      </c>
      <c r="CH181" s="338">
        <v>0.2574938685274103</v>
      </c>
      <c r="CI181" s="338">
        <v>0.27227800337801411</v>
      </c>
      <c r="CJ181" s="338">
        <v>0.30043424631538995</v>
      </c>
      <c r="CK181" s="338">
        <v>0.32804633867276883</v>
      </c>
      <c r="CL181" s="338">
        <v>0.34235581661456488</v>
      </c>
      <c r="CM181" s="338">
        <v>0.30525417808405064</v>
      </c>
      <c r="CN181" s="338">
        <v>0.31317581309973541</v>
      </c>
      <c r="CO181" s="338">
        <v>0.31317581309973541</v>
      </c>
      <c r="CP181" s="337">
        <v>0.31317581309973541</v>
      </c>
    </row>
    <row r="182" spans="1:94" s="1361" customFormat="1" ht="14.25" hidden="1" customHeight="1" outlineLevel="2">
      <c r="A182" s="1364"/>
      <c r="B182" s="32"/>
      <c r="C182" s="218"/>
      <c r="D182" s="134"/>
      <c r="E182" s="78"/>
      <c r="F182" s="78"/>
      <c r="G182" s="79"/>
      <c r="H182" s="134"/>
      <c r="I182" s="78"/>
      <c r="J182" s="78"/>
      <c r="K182" s="79"/>
      <c r="L182" s="134"/>
      <c r="M182" s="78"/>
      <c r="N182" s="78"/>
      <c r="O182" s="79"/>
      <c r="P182" s="134"/>
      <c r="Q182" s="78"/>
      <c r="R182" s="78"/>
      <c r="S182" s="79"/>
      <c r="T182" s="134"/>
      <c r="U182" s="78"/>
      <c r="V182" s="78"/>
      <c r="W182" s="79"/>
      <c r="X182" s="134"/>
      <c r="Y182" s="78"/>
      <c r="Z182" s="78"/>
      <c r="AA182" s="79"/>
      <c r="AB182" s="134"/>
      <c r="AC182" s="78"/>
      <c r="AD182" s="78"/>
      <c r="AE182" s="79"/>
      <c r="AF182" s="134"/>
      <c r="AG182" s="78"/>
      <c r="AH182" s="78"/>
      <c r="AI182" s="79"/>
      <c r="AJ182" s="134"/>
      <c r="AK182" s="78"/>
      <c r="AL182" s="78"/>
      <c r="AM182" s="79"/>
      <c r="AN182" s="134"/>
      <c r="AO182" s="78"/>
      <c r="AP182" s="78"/>
      <c r="AQ182" s="79"/>
      <c r="AR182" s="134"/>
      <c r="AS182" s="78"/>
      <c r="AT182" s="78"/>
      <c r="AU182" s="79"/>
      <c r="AV182" s="134"/>
      <c r="AW182" s="78"/>
      <c r="AX182" s="78"/>
      <c r="AY182" s="78"/>
      <c r="AZ182" s="134"/>
      <c r="BA182" s="78"/>
      <c r="BB182" s="78"/>
      <c r="BC182" s="79"/>
      <c r="BD182" s="134"/>
      <c r="BE182" s="78"/>
      <c r="BF182" s="78"/>
      <c r="BG182" s="81"/>
      <c r="BH182" s="82"/>
      <c r="BI182" s="80"/>
      <c r="BJ182" s="80"/>
      <c r="BK182" s="81"/>
      <c r="BL182" s="82"/>
      <c r="BM182" s="80"/>
      <c r="BN182" s="80"/>
      <c r="BO182" s="81"/>
      <c r="BP182" s="82"/>
      <c r="BQ182" s="80"/>
      <c r="BR182" s="80"/>
      <c r="BS182" s="81"/>
      <c r="BT182" s="82"/>
      <c r="BU182" s="80"/>
      <c r="BV182" s="80"/>
      <c r="BW182" s="81"/>
      <c r="BX182" s="346"/>
      <c r="BY182" s="219"/>
      <c r="BZ182" s="220"/>
      <c r="CA182" s="220"/>
      <c r="CB182" s="220"/>
      <c r="CC182" s="220"/>
      <c r="CD182" s="220"/>
      <c r="CE182" s="220"/>
      <c r="CF182" s="220"/>
      <c r="CG182" s="220"/>
      <c r="CH182" s="220"/>
      <c r="CI182" s="220"/>
      <c r="CJ182" s="220"/>
      <c r="CK182" s="220"/>
      <c r="CL182" s="220"/>
      <c r="CM182" s="220"/>
      <c r="CN182" s="220"/>
      <c r="CO182" s="220"/>
      <c r="CP182" s="258"/>
    </row>
    <row r="183" spans="1:94" s="1361" customFormat="1" ht="14.25" hidden="1" customHeight="1" outlineLevel="2">
      <c r="A183" s="1364"/>
      <c r="B183" s="45" t="s">
        <v>635</v>
      </c>
      <c r="C183" s="218"/>
      <c r="D183" s="374"/>
      <c r="E183" s="341">
        <v>18.474999999999994</v>
      </c>
      <c r="F183" s="341">
        <v>15.456000000000005</v>
      </c>
      <c r="G183" s="342">
        <v>15.680000000000007</v>
      </c>
      <c r="H183" s="374">
        <v>21.097999999999992</v>
      </c>
      <c r="I183" s="341">
        <v>22.480000000000004</v>
      </c>
      <c r="J183" s="341">
        <v>19.569999999999993</v>
      </c>
      <c r="K183" s="342">
        <v>18.734000000000002</v>
      </c>
      <c r="L183" s="374">
        <v>20.201999999999998</v>
      </c>
      <c r="M183" s="341">
        <v>18.715</v>
      </c>
      <c r="N183" s="341">
        <v>18.738000000000003</v>
      </c>
      <c r="O183" s="342">
        <v>20.349000000000004</v>
      </c>
      <c r="P183" s="374">
        <v>20.009</v>
      </c>
      <c r="Q183" s="341">
        <v>24.512000000000004</v>
      </c>
      <c r="R183" s="341">
        <v>24.059999999999995</v>
      </c>
      <c r="S183" s="342">
        <v>23.655000000000001</v>
      </c>
      <c r="T183" s="374">
        <v>23.221999999999998</v>
      </c>
      <c r="U183" s="341">
        <v>26.279999999999998</v>
      </c>
      <c r="V183" s="341">
        <v>24.895999999999994</v>
      </c>
      <c r="W183" s="342">
        <v>22.844999999999995</v>
      </c>
      <c r="X183" s="374">
        <v>24.921999999999997</v>
      </c>
      <c r="Y183" s="341">
        <v>40.23599999999999</v>
      </c>
      <c r="Z183" s="341">
        <v>37.672000000000004</v>
      </c>
      <c r="AA183" s="342">
        <v>29.712</v>
      </c>
      <c r="AB183" s="374">
        <v>19.057000000000006</v>
      </c>
      <c r="AC183" s="341">
        <v>23.494000000000003</v>
      </c>
      <c r="AD183" s="341">
        <v>31.643999999999984</v>
      </c>
      <c r="AE183" s="342">
        <v>36.974000000000004</v>
      </c>
      <c r="AF183" s="374">
        <v>43.339000000000006</v>
      </c>
      <c r="AG183" s="341">
        <v>48.759999999999984</v>
      </c>
      <c r="AH183" s="341">
        <v>46.835000000000008</v>
      </c>
      <c r="AI183" s="342">
        <v>52.272000000000006</v>
      </c>
      <c r="AJ183" s="374">
        <v>53.327999999999996</v>
      </c>
      <c r="AK183" s="341">
        <v>58.54199999999998</v>
      </c>
      <c r="AL183" s="341">
        <v>57.442</v>
      </c>
      <c r="AM183" s="342">
        <v>59.799999999999983</v>
      </c>
      <c r="AN183" s="374">
        <v>63.752000000000002</v>
      </c>
      <c r="AO183" s="341">
        <v>67.157999999999987</v>
      </c>
      <c r="AP183" s="341">
        <v>59.499999999999993</v>
      </c>
      <c r="AQ183" s="342">
        <v>54.704000000000008</v>
      </c>
      <c r="AR183" s="374">
        <v>57.260000000000005</v>
      </c>
      <c r="AS183" s="341">
        <v>64.903999999999982</v>
      </c>
      <c r="AT183" s="341">
        <v>64.791999999999987</v>
      </c>
      <c r="AU183" s="342">
        <v>68.283000000000001</v>
      </c>
      <c r="AV183" s="374">
        <v>75.239999999999995</v>
      </c>
      <c r="AW183" s="341">
        <v>79.169999999999987</v>
      </c>
      <c r="AX183" s="341">
        <v>82.388999999999996</v>
      </c>
      <c r="AY183" s="341">
        <v>88.864000000000019</v>
      </c>
      <c r="AZ183" s="374">
        <v>99.851607717041787</v>
      </c>
      <c r="BA183" s="341">
        <v>96.90325951164111</v>
      </c>
      <c r="BB183" s="341">
        <v>95.579057938965065</v>
      </c>
      <c r="BC183" s="342">
        <v>98.896001428061396</v>
      </c>
      <c r="BD183" s="374">
        <v>108.95937347038668</v>
      </c>
      <c r="BE183" s="341">
        <v>112.11095693779903</v>
      </c>
      <c r="BF183" s="341">
        <v>110.20410137764223</v>
      </c>
      <c r="BG183" s="1377">
        <v>125.97465999999997</v>
      </c>
      <c r="BH183" s="374">
        <v>131.23680151199997</v>
      </c>
      <c r="BI183" s="341">
        <v>138.32414488178995</v>
      </c>
      <c r="BJ183" s="341">
        <v>135.93368878577456</v>
      </c>
      <c r="BK183" s="342">
        <v>138.81217395217874</v>
      </c>
      <c r="BL183" s="374">
        <v>143.83960528649325</v>
      </c>
      <c r="BM183" s="341">
        <v>153.15998349913698</v>
      </c>
      <c r="BN183" s="341">
        <v>151.26328118023997</v>
      </c>
      <c r="BO183" s="342">
        <v>152.10013777029275</v>
      </c>
      <c r="BP183" s="374">
        <v>143.83960528649325</v>
      </c>
      <c r="BQ183" s="341">
        <v>153.15998349913698</v>
      </c>
      <c r="BR183" s="341">
        <v>151.26328118023997</v>
      </c>
      <c r="BS183" s="342">
        <v>152.10013777029275</v>
      </c>
      <c r="BT183" s="374">
        <v>143.83960528649325</v>
      </c>
      <c r="BU183" s="341">
        <v>153.15998349913698</v>
      </c>
      <c r="BV183" s="341">
        <v>151.26328118023997</v>
      </c>
      <c r="BW183" s="342">
        <v>152.10013777029275</v>
      </c>
      <c r="BX183" s="346"/>
      <c r="BY183" s="334">
        <v>49.611000000000004</v>
      </c>
      <c r="BZ183" s="325">
        <v>81.881999999999991</v>
      </c>
      <c r="CA183" s="325">
        <v>78.004000000000005</v>
      </c>
      <c r="CB183" s="325">
        <v>92.23599999999999</v>
      </c>
      <c r="CC183" s="325">
        <v>97.242999999999995</v>
      </c>
      <c r="CD183" s="325">
        <v>132.54199999999997</v>
      </c>
      <c r="CE183" s="325">
        <v>111.169</v>
      </c>
      <c r="CF183" s="325">
        <v>191.20600000000002</v>
      </c>
      <c r="CG183" s="325">
        <v>229.11199999999997</v>
      </c>
      <c r="CH183" s="325">
        <v>245.114</v>
      </c>
      <c r="CI183" s="325">
        <v>255.23899999999998</v>
      </c>
      <c r="CJ183" s="325">
        <v>325.66300000000001</v>
      </c>
      <c r="CK183" s="325">
        <v>391.22992659570934</v>
      </c>
      <c r="CL183" s="325">
        <v>457.24909178582794</v>
      </c>
      <c r="CM183" s="325">
        <v>544.30680913174319</v>
      </c>
      <c r="CN183" s="325">
        <v>600.3630077361629</v>
      </c>
      <c r="CO183" s="325">
        <v>600.3630077361629</v>
      </c>
      <c r="CP183" s="326">
        <v>600.3630077361629</v>
      </c>
    </row>
    <row r="184" spans="1:94" s="1361" customFormat="1" ht="14.25" hidden="1" customHeight="1" outlineLevel="2">
      <c r="A184" s="1364"/>
      <c r="B184" s="32" t="s">
        <v>297</v>
      </c>
      <c r="C184" s="218"/>
      <c r="D184" s="134"/>
      <c r="E184" s="78"/>
      <c r="F184" s="78">
        <v>-0.16341001353179918</v>
      </c>
      <c r="G184" s="79">
        <v>1.449275362318847E-2</v>
      </c>
      <c r="H184" s="134">
        <v>0.34553571428571317</v>
      </c>
      <c r="I184" s="78">
        <v>6.550383922646752E-2</v>
      </c>
      <c r="J184" s="78">
        <v>-0.12944839857651291</v>
      </c>
      <c r="K184" s="79">
        <v>-4.2718446601941351E-2</v>
      </c>
      <c r="L184" s="134">
        <v>7.8360200704601146E-2</v>
      </c>
      <c r="M184" s="78">
        <v>-7.3606573606573522E-2</v>
      </c>
      <c r="N184" s="78">
        <v>1.2289607266899871E-3</v>
      </c>
      <c r="O184" s="79">
        <v>8.5975024015369828E-2</v>
      </c>
      <c r="P184" s="134">
        <v>-1.670843776106945E-2</v>
      </c>
      <c r="Q184" s="78">
        <v>0.22504872807236764</v>
      </c>
      <c r="R184" s="78">
        <v>-1.8439947780679256E-2</v>
      </c>
      <c r="S184" s="79">
        <v>-1.6832917705735362E-2</v>
      </c>
      <c r="T184" s="134">
        <v>-1.8304798139928247E-2</v>
      </c>
      <c r="U184" s="78">
        <v>0.13168547067436043</v>
      </c>
      <c r="V184" s="78">
        <v>-5.2663622526636367E-2</v>
      </c>
      <c r="W184" s="79">
        <v>-8.2382712082262222E-2</v>
      </c>
      <c r="X184" s="134">
        <v>9.0917049682643913E-2</v>
      </c>
      <c r="Y184" s="78">
        <v>0.61447716876655134</v>
      </c>
      <c r="Z184" s="78">
        <v>-6.3724028233422492E-2</v>
      </c>
      <c r="AA184" s="79">
        <v>-0.21129751539605024</v>
      </c>
      <c r="AB184" s="134">
        <v>-0.35860931610123836</v>
      </c>
      <c r="AC184" s="78">
        <v>0.23282783229259563</v>
      </c>
      <c r="AD184" s="78">
        <v>0.34689708010555798</v>
      </c>
      <c r="AE184" s="79">
        <v>0.16843635444318106</v>
      </c>
      <c r="AF184" s="134">
        <v>0.17214799588900309</v>
      </c>
      <c r="AG184" s="78">
        <v>0.12508364290823448</v>
      </c>
      <c r="AH184" s="78">
        <v>-3.9479081214109479E-2</v>
      </c>
      <c r="AI184" s="79">
        <v>0.11608839543076743</v>
      </c>
      <c r="AJ184" s="134">
        <v>2.020202020202011E-2</v>
      </c>
      <c r="AK184" s="78">
        <v>9.7772277227722526E-2</v>
      </c>
      <c r="AL184" s="78">
        <v>-1.8789928598271E-2</v>
      </c>
      <c r="AM184" s="79">
        <v>4.1050102712300696E-2</v>
      </c>
      <c r="AN184" s="134">
        <v>6.6086956521739459E-2</v>
      </c>
      <c r="AO184" s="78">
        <v>5.3425774877650545E-2</v>
      </c>
      <c r="AP184" s="78">
        <v>-0.11402960183447985</v>
      </c>
      <c r="AQ184" s="79">
        <v>-8.0605042016806516E-2</v>
      </c>
      <c r="AR184" s="134">
        <v>4.6724188359169361E-2</v>
      </c>
      <c r="AS184" s="78">
        <v>0.13349633251833692</v>
      </c>
      <c r="AT184" s="78">
        <v>-1.7256255392579245E-3</v>
      </c>
      <c r="AU184" s="79">
        <v>5.3880108655389725E-2</v>
      </c>
      <c r="AV184" s="134">
        <v>0.10188480295241842</v>
      </c>
      <c r="AW184" s="78">
        <v>5.2232854864433742E-2</v>
      </c>
      <c r="AX184" s="78">
        <v>4.0659340659340737E-2</v>
      </c>
      <c r="AY184" s="78">
        <v>7.8590588549442453E-2</v>
      </c>
      <c r="AZ184" s="134">
        <v>0.12364520747481289</v>
      </c>
      <c r="BA184" s="78">
        <v>-2.9527298286029291E-2</v>
      </c>
      <c r="BB184" s="78">
        <v>-1.3665191236595819E-2</v>
      </c>
      <c r="BC184" s="79">
        <v>3.4703663758796077E-2</v>
      </c>
      <c r="BD184" s="134">
        <v>0.10175711754782668</v>
      </c>
      <c r="BE184" s="78">
        <v>2.8924390504768249E-2</v>
      </c>
      <c r="BF184" s="78">
        <v>-1.7008645829459379E-2</v>
      </c>
      <c r="BG184" s="1375">
        <v>0.14310319148936146</v>
      </c>
      <c r="BH184" s="134">
        <v>4.177142857142857E-2</v>
      </c>
      <c r="BI184" s="78">
        <v>5.4004237288135526E-2</v>
      </c>
      <c r="BJ184" s="78">
        <v>-1.7281553398058147E-2</v>
      </c>
      <c r="BK184" s="79">
        <v>2.1175656984785629E-2</v>
      </c>
      <c r="BL184" s="134">
        <v>3.6217510259917596E-2</v>
      </c>
      <c r="BM184" s="78">
        <v>6.479702300405954E-2</v>
      </c>
      <c r="BN184" s="78">
        <v>-1.2383798140770286E-2</v>
      </c>
      <c r="BO184" s="79">
        <v>5.5324503311255935E-3</v>
      </c>
      <c r="BP184" s="134">
        <v>3.6217510259917596E-2</v>
      </c>
      <c r="BQ184" s="78">
        <v>6.479702300405954E-2</v>
      </c>
      <c r="BR184" s="78">
        <v>-1.2383798140770286E-2</v>
      </c>
      <c r="BS184" s="79">
        <v>5.5324503311255935E-3</v>
      </c>
      <c r="BT184" s="134">
        <v>3.6217510259917596E-2</v>
      </c>
      <c r="BU184" s="78">
        <v>6.479702300405954E-2</v>
      </c>
      <c r="BV184" s="78">
        <v>-1.2383798140770286E-2</v>
      </c>
      <c r="BW184" s="79">
        <v>5.5324503311255935E-3</v>
      </c>
      <c r="BX184" s="346"/>
      <c r="BY184" s="219"/>
      <c r="BZ184" s="220"/>
      <c r="CA184" s="220"/>
      <c r="CB184" s="220"/>
      <c r="CC184" s="220"/>
      <c r="CD184" s="220"/>
      <c r="CE184" s="220"/>
      <c r="CF184" s="220"/>
      <c r="CG184" s="220"/>
      <c r="CH184" s="220"/>
      <c r="CI184" s="220"/>
      <c r="CJ184" s="220"/>
      <c r="CK184" s="220"/>
      <c r="CL184" s="220"/>
      <c r="CM184" s="220"/>
      <c r="CN184" s="220"/>
      <c r="CO184" s="220"/>
      <c r="CP184" s="258"/>
    </row>
    <row r="185" spans="1:94" s="1361" customFormat="1" ht="14.25" hidden="1" customHeight="1" outlineLevel="2">
      <c r="A185" s="1364"/>
      <c r="B185" s="32" t="s">
        <v>298</v>
      </c>
      <c r="C185" s="218"/>
      <c r="D185" s="134"/>
      <c r="E185" s="78"/>
      <c r="F185" s="78"/>
      <c r="G185" s="79"/>
      <c r="H185" s="134"/>
      <c r="I185" s="78">
        <v>0.21677943166441205</v>
      </c>
      <c r="J185" s="78">
        <v>0.26617494824016474</v>
      </c>
      <c r="K185" s="79">
        <v>0.19477040816326485</v>
      </c>
      <c r="L185" s="134">
        <v>-4.246848042468454E-2</v>
      </c>
      <c r="M185" s="78">
        <v>-0.16748220640569411</v>
      </c>
      <c r="N185" s="78">
        <v>-4.2514052120592227E-2</v>
      </c>
      <c r="O185" s="79">
        <v>8.6206896551724199E-2</v>
      </c>
      <c r="P185" s="134">
        <v>-9.5535095535094205E-3</v>
      </c>
      <c r="Q185" s="78">
        <v>0.30975153620090867</v>
      </c>
      <c r="R185" s="78">
        <v>0.28402177393531813</v>
      </c>
      <c r="S185" s="79">
        <v>0.16246498599439763</v>
      </c>
      <c r="T185" s="134">
        <v>0.16057774001699232</v>
      </c>
      <c r="U185" s="78">
        <v>7.2127937336814441E-2</v>
      </c>
      <c r="V185" s="78">
        <v>3.4746467165419626E-2</v>
      </c>
      <c r="W185" s="79">
        <v>-3.4242232086239888E-2</v>
      </c>
      <c r="X185" s="134">
        <v>7.3206442166910746E-2</v>
      </c>
      <c r="Y185" s="78">
        <v>0.53105022831050208</v>
      </c>
      <c r="Z185" s="78">
        <v>0.51317480719794406</v>
      </c>
      <c r="AA185" s="79">
        <v>0.30059093893631017</v>
      </c>
      <c r="AB185" s="134">
        <v>-0.23533424283765314</v>
      </c>
      <c r="AC185" s="78">
        <v>-0.4160950392683167</v>
      </c>
      <c r="AD185" s="78">
        <v>-0.16001274155871781</v>
      </c>
      <c r="AE185" s="79">
        <v>0.24441303177167484</v>
      </c>
      <c r="AF185" s="134">
        <v>1.274177467597208</v>
      </c>
      <c r="AG185" s="78">
        <v>1.07542351238614</v>
      </c>
      <c r="AH185" s="78">
        <v>0.48005941094678395</v>
      </c>
      <c r="AI185" s="79">
        <v>0.41375020284524267</v>
      </c>
      <c r="AJ185" s="134">
        <v>0.23048524423729178</v>
      </c>
      <c r="AK185" s="78">
        <v>0.20061525840853167</v>
      </c>
      <c r="AL185" s="78">
        <v>0.22647592612362533</v>
      </c>
      <c r="AM185" s="79">
        <v>0.14401591674318892</v>
      </c>
      <c r="AN185" s="134">
        <v>0.19546954695469565</v>
      </c>
      <c r="AO185" s="78">
        <v>0.14717638618427809</v>
      </c>
      <c r="AP185" s="78">
        <v>3.582744333414567E-2</v>
      </c>
      <c r="AQ185" s="79">
        <v>-8.5217391304347467E-2</v>
      </c>
      <c r="AR185" s="134">
        <v>-0.10183209938511728</v>
      </c>
      <c r="AS185" s="78">
        <v>-3.3562643318740926E-2</v>
      </c>
      <c r="AT185" s="78">
        <v>8.8941176470588079E-2</v>
      </c>
      <c r="AU185" s="79">
        <v>0.2482268207078091</v>
      </c>
      <c r="AV185" s="134">
        <v>0.31400628711142131</v>
      </c>
      <c r="AW185" s="78">
        <v>0.21980155306298554</v>
      </c>
      <c r="AX185" s="78">
        <v>0.27159217187307094</v>
      </c>
      <c r="AY185" s="78">
        <v>0.30140737811754059</v>
      </c>
      <c r="AZ185" s="134">
        <v>0.32710802388412796</v>
      </c>
      <c r="BA185" s="78">
        <v>0.22398963637288283</v>
      </c>
      <c r="BB185" s="78">
        <v>0.16009489056749171</v>
      </c>
      <c r="BC185" s="79">
        <v>0.11289162572089229</v>
      </c>
      <c r="BD185" s="134">
        <v>9.1213010602236411E-2</v>
      </c>
      <c r="BE185" s="78">
        <v>0.15693690287405659</v>
      </c>
      <c r="BF185" s="78">
        <v>0.15301514530532878</v>
      </c>
      <c r="BG185" s="1375">
        <v>0.27380943800479174</v>
      </c>
      <c r="BH185" s="134">
        <v>0.20445627881356998</v>
      </c>
      <c r="BI185" s="78">
        <v>0.23381468377381176</v>
      </c>
      <c r="BJ185" s="78">
        <v>0.23347214020613793</v>
      </c>
      <c r="BK185" s="79">
        <v>0.10190552570000011</v>
      </c>
      <c r="BL185" s="134">
        <v>9.6031018961864278E-2</v>
      </c>
      <c r="BM185" s="78">
        <v>0.10725415024271823</v>
      </c>
      <c r="BN185" s="78">
        <v>0.11277257706604393</v>
      </c>
      <c r="BO185" s="79">
        <v>9.5726213629445445E-2</v>
      </c>
      <c r="BP185" s="134">
        <v>9.6031018961864278E-2</v>
      </c>
      <c r="BQ185" s="78">
        <v>0.10725415024271823</v>
      </c>
      <c r="BR185" s="78">
        <v>0.11277257706604393</v>
      </c>
      <c r="BS185" s="79">
        <v>9.5726213629445445E-2</v>
      </c>
      <c r="BT185" s="134">
        <v>9.6031018961864278E-2</v>
      </c>
      <c r="BU185" s="78">
        <v>0.10725415024271823</v>
      </c>
      <c r="BV185" s="78">
        <v>0.11277257706604393</v>
      </c>
      <c r="BW185" s="79">
        <v>9.5726213629445445E-2</v>
      </c>
      <c r="BX185" s="346"/>
      <c r="BY185" s="377"/>
      <c r="BZ185" s="338">
        <v>0.65048074015843227</v>
      </c>
      <c r="CA185" s="338">
        <v>-4.7360836325443745E-2</v>
      </c>
      <c r="CB185" s="338">
        <v>0.18245218193938761</v>
      </c>
      <c r="CC185" s="338">
        <v>5.4284661086777541E-2</v>
      </c>
      <c r="CD185" s="338">
        <v>0.36299785074504065</v>
      </c>
      <c r="CE185" s="338">
        <v>-0.16125454572890086</v>
      </c>
      <c r="CF185" s="338">
        <v>0.71995790193309306</v>
      </c>
      <c r="CG185" s="338">
        <v>0.19824691693775276</v>
      </c>
      <c r="CH185" s="338">
        <v>6.9843569957051654E-2</v>
      </c>
      <c r="CI185" s="338">
        <v>4.1307310067968173E-2</v>
      </c>
      <c r="CJ185" s="338">
        <v>0.27591394731996299</v>
      </c>
      <c r="CK185" s="338">
        <v>0.20133366884082426</v>
      </c>
      <c r="CL185" s="338">
        <v>0.16874773810016253</v>
      </c>
      <c r="CM185" s="338">
        <v>0.19039451124091555</v>
      </c>
      <c r="CN185" s="338">
        <v>0.10298639969953416</v>
      </c>
      <c r="CO185" s="338">
        <v>0.10298639969953416</v>
      </c>
      <c r="CP185" s="337">
        <v>0.10298639969953416</v>
      </c>
    </row>
    <row r="186" spans="1:94" s="1361" customFormat="1" ht="14.25" hidden="1" customHeight="1" outlineLevel="2">
      <c r="A186" s="1364"/>
      <c r="B186" s="32" t="s">
        <v>549</v>
      </c>
      <c r="C186" s="218"/>
      <c r="D186" s="134"/>
      <c r="E186" s="78">
        <v>0.28844652615144412</v>
      </c>
      <c r="F186" s="78">
        <v>0.27794561933534756</v>
      </c>
      <c r="G186" s="79">
        <v>0.28140703517587951</v>
      </c>
      <c r="H186" s="134">
        <v>0.31116158338741062</v>
      </c>
      <c r="I186" s="78">
        <v>0.33703148425787111</v>
      </c>
      <c r="J186" s="78">
        <v>0.3234924623115577</v>
      </c>
      <c r="K186" s="79">
        <v>0.32138200782268583</v>
      </c>
      <c r="L186" s="134">
        <v>0.31812169312169314</v>
      </c>
      <c r="M186" s="78">
        <v>0.32529722589167764</v>
      </c>
      <c r="N186" s="78">
        <v>0.33195153061224497</v>
      </c>
      <c r="O186" s="79">
        <v>0.35020479812756</v>
      </c>
      <c r="P186" s="134">
        <v>0.35239520958083831</v>
      </c>
      <c r="Q186" s="78">
        <v>0.40820676791899818</v>
      </c>
      <c r="R186" s="78">
        <v>0.38108814445236394</v>
      </c>
      <c r="S186" s="79">
        <v>0.39267928286852588</v>
      </c>
      <c r="T186" s="134">
        <v>0.36504543025120251</v>
      </c>
      <c r="U186" s="78">
        <v>0.38300104931794332</v>
      </c>
      <c r="V186" s="78">
        <v>0.38620004964010912</v>
      </c>
      <c r="W186" s="79">
        <v>0.37337582740867853</v>
      </c>
      <c r="X186" s="134">
        <v>0.34747570514339887</v>
      </c>
      <c r="Y186" s="78">
        <v>0.34050115514483731</v>
      </c>
      <c r="Z186" s="78">
        <v>0.38108340498710236</v>
      </c>
      <c r="AA186" s="79">
        <v>0.37998772252915902</v>
      </c>
      <c r="AB186" s="134">
        <v>0.29570034291743613</v>
      </c>
      <c r="AC186" s="78">
        <v>0.32920438303954264</v>
      </c>
      <c r="AD186" s="78">
        <v>0.37174878409811785</v>
      </c>
      <c r="AE186" s="79">
        <v>0.39147052906859786</v>
      </c>
      <c r="AF186" s="134">
        <v>0.41457651762995273</v>
      </c>
      <c r="AG186" s="78">
        <v>0.41796674095662595</v>
      </c>
      <c r="AH186" s="78">
        <v>0.41035458631596472</v>
      </c>
      <c r="AI186" s="79">
        <v>0.41022099447513816</v>
      </c>
      <c r="AJ186" s="134">
        <v>0.27842866988283937</v>
      </c>
      <c r="AK186" s="78">
        <v>0.29377345992492815</v>
      </c>
      <c r="AL186" s="78">
        <v>0.29075723830734967</v>
      </c>
      <c r="AM186" s="79">
        <v>0.31149889308503703</v>
      </c>
      <c r="AN186" s="134">
        <v>0.32939279957012357</v>
      </c>
      <c r="AO186" s="78">
        <v>0.34680451127819545</v>
      </c>
      <c r="AP186" s="78">
        <v>0.32804962095106821</v>
      </c>
      <c r="AQ186" s="79">
        <v>0.30932078800352841</v>
      </c>
      <c r="AR186" s="134">
        <v>0.30937972768532529</v>
      </c>
      <c r="AS186" s="78">
        <v>0.33677175650152535</v>
      </c>
      <c r="AT186" s="78">
        <v>0.3483365949119373</v>
      </c>
      <c r="AU186" s="79">
        <v>0.35222841225626739</v>
      </c>
      <c r="AV186" s="134">
        <v>0.35498938428874732</v>
      </c>
      <c r="AW186" s="78">
        <v>0.36034846884899679</v>
      </c>
      <c r="AX186" s="78">
        <v>0.34085182963407318</v>
      </c>
      <c r="AY186" s="78">
        <v>0.32133765332099051</v>
      </c>
      <c r="AZ186" s="134">
        <v>0.34497014239779511</v>
      </c>
      <c r="BA186" s="78">
        <v>0.34571266325951161</v>
      </c>
      <c r="BB186" s="78">
        <v>0.34111012826183107</v>
      </c>
      <c r="BC186" s="79">
        <v>0.33309532309889323</v>
      </c>
      <c r="BD186" s="134">
        <v>0.33712677435144395</v>
      </c>
      <c r="BE186" s="78">
        <v>0.35076327181590333</v>
      </c>
      <c r="BF186" s="78">
        <v>0.34598801135766116</v>
      </c>
      <c r="BG186" s="1374">
        <v>0.35</v>
      </c>
      <c r="BH186" s="82">
        <v>0.35399999999999998</v>
      </c>
      <c r="BI186" s="80">
        <v>0.36049999999999999</v>
      </c>
      <c r="BJ186" s="80">
        <v>0.36149999999999999</v>
      </c>
      <c r="BK186" s="81">
        <v>0.36549999999999999</v>
      </c>
      <c r="BL186" s="82">
        <v>0.3695</v>
      </c>
      <c r="BM186" s="80">
        <v>0.3765</v>
      </c>
      <c r="BN186" s="80">
        <v>0.3775</v>
      </c>
      <c r="BO186" s="81">
        <v>0.37769999999999998</v>
      </c>
      <c r="BP186" s="82">
        <v>0.3695</v>
      </c>
      <c r="BQ186" s="80">
        <v>0.3765</v>
      </c>
      <c r="BR186" s="80">
        <v>0.3775</v>
      </c>
      <c r="BS186" s="81">
        <v>0.37769999999999998</v>
      </c>
      <c r="BT186" s="82">
        <v>0.3695</v>
      </c>
      <c r="BU186" s="80">
        <v>0.3765</v>
      </c>
      <c r="BV186" s="80">
        <v>0.3775</v>
      </c>
      <c r="BW186" s="81">
        <v>0.37769999999999998</v>
      </c>
      <c r="BX186" s="346"/>
      <c r="BY186" s="219">
        <v>0.28288040689254074</v>
      </c>
      <c r="BZ186" s="220">
        <v>0.32327116529539024</v>
      </c>
      <c r="CA186" s="220">
        <v>0.33110064094401287</v>
      </c>
      <c r="CB186" s="220">
        <v>0.38399187354029712</v>
      </c>
      <c r="CC186" s="220">
        <v>0.37708770392315771</v>
      </c>
      <c r="CD186" s="220">
        <v>0.36121187015754741</v>
      </c>
      <c r="CE186" s="220">
        <v>0.35248776095172868</v>
      </c>
      <c r="CF186" s="220">
        <v>0.41319056520188874</v>
      </c>
      <c r="CG186" s="220">
        <v>0.2936042227584536</v>
      </c>
      <c r="CH186" s="220">
        <v>0.32882714285522641</v>
      </c>
      <c r="CI186" s="220">
        <v>0.33687446216548672</v>
      </c>
      <c r="CJ186" s="220">
        <v>0.34283455432234322</v>
      </c>
      <c r="CK186" s="220">
        <v>0.34113434764416389</v>
      </c>
      <c r="CL186" s="220">
        <v>0.34606849648460913</v>
      </c>
      <c r="CM186" s="220">
        <v>0.36041077370369212</v>
      </c>
      <c r="CN186" s="220">
        <v>0.37534897952329288</v>
      </c>
      <c r="CO186" s="220">
        <v>0.37534897952329288</v>
      </c>
      <c r="CP186" s="258">
        <v>0.37534897952329288</v>
      </c>
    </row>
    <row r="187" spans="1:94" s="1361" customFormat="1" ht="14.25" hidden="1" customHeight="1" outlineLevel="2">
      <c r="A187" s="1364"/>
      <c r="B187" s="840"/>
      <c r="C187" s="237"/>
      <c r="D187" s="318"/>
      <c r="E187" s="221"/>
      <c r="F187" s="221"/>
      <c r="G187" s="614"/>
      <c r="H187" s="318"/>
      <c r="I187" s="221"/>
      <c r="J187" s="221"/>
      <c r="K187" s="614"/>
      <c r="L187" s="318"/>
      <c r="M187" s="221"/>
      <c r="N187" s="221"/>
      <c r="O187" s="614"/>
      <c r="P187" s="318"/>
      <c r="Q187" s="221"/>
      <c r="R187" s="221"/>
      <c r="S187" s="614"/>
      <c r="T187" s="318"/>
      <c r="U187" s="221"/>
      <c r="V187" s="221"/>
      <c r="W187" s="614"/>
      <c r="X187" s="318"/>
      <c r="Y187" s="221"/>
      <c r="Z187" s="221"/>
      <c r="AA187" s="614"/>
      <c r="AB187" s="318"/>
      <c r="AC187" s="221"/>
      <c r="AD187" s="221"/>
      <c r="AE187" s="614"/>
      <c r="AF187" s="318"/>
      <c r="AG187" s="221"/>
      <c r="AH187" s="221"/>
      <c r="AI187" s="614"/>
      <c r="AJ187" s="318"/>
      <c r="AK187" s="221"/>
      <c r="AL187" s="221"/>
      <c r="AM187" s="614"/>
      <c r="AN187" s="318"/>
      <c r="AO187" s="221"/>
      <c r="AP187" s="221"/>
      <c r="AQ187" s="614"/>
      <c r="AR187" s="318"/>
      <c r="AS187" s="221"/>
      <c r="AT187" s="221"/>
      <c r="AU187" s="614"/>
      <c r="AV187" s="318"/>
      <c r="AW187" s="221"/>
      <c r="AX187" s="221"/>
      <c r="AY187" s="221"/>
      <c r="AZ187" s="54"/>
      <c r="BA187" s="60"/>
      <c r="BB187" s="221"/>
      <c r="BC187" s="614"/>
      <c r="BD187" s="54"/>
      <c r="BE187" s="60"/>
      <c r="BF187" s="221"/>
      <c r="BG187" s="55"/>
      <c r="BH187" s="54"/>
      <c r="BI187" s="60"/>
      <c r="BJ187" s="60"/>
      <c r="BK187" s="55"/>
      <c r="BL187" s="54"/>
      <c r="BM187" s="60"/>
      <c r="BN187" s="60"/>
      <c r="BO187" s="55"/>
      <c r="BP187" s="54"/>
      <c r="BQ187" s="60"/>
      <c r="BR187" s="60"/>
      <c r="BS187" s="55"/>
      <c r="BT187" s="54"/>
      <c r="BU187" s="60"/>
      <c r="BV187" s="60"/>
      <c r="BW187" s="55"/>
      <c r="BX187" s="346"/>
      <c r="BY187" s="16"/>
      <c r="BZ187" s="203"/>
      <c r="CA187" s="203"/>
      <c r="CB187" s="203"/>
      <c r="CC187" s="203"/>
      <c r="CD187" s="203"/>
      <c r="CE187" s="203"/>
      <c r="CF187" s="203"/>
      <c r="CG187" s="203"/>
      <c r="CH187" s="203"/>
      <c r="CI187" s="203"/>
      <c r="CJ187" s="203"/>
      <c r="CK187" s="203"/>
      <c r="CL187" s="203"/>
      <c r="CM187" s="203"/>
      <c r="CN187" s="203"/>
      <c r="CO187" s="203"/>
      <c r="CP187" s="17"/>
    </row>
    <row r="188" spans="1:94" s="1361" customFormat="1" ht="14.25" hidden="1" customHeight="1" outlineLevel="2">
      <c r="A188" s="1363"/>
      <c r="B188" s="297" t="s">
        <v>636</v>
      </c>
      <c r="C188" s="287"/>
      <c r="D188" s="495">
        <v>0</v>
      </c>
      <c r="E188" s="495">
        <v>0</v>
      </c>
      <c r="F188" s="495">
        <v>0</v>
      </c>
      <c r="G188" s="496">
        <v>0</v>
      </c>
      <c r="H188" s="495">
        <v>0</v>
      </c>
      <c r="I188" s="495">
        <v>0</v>
      </c>
      <c r="J188" s="495">
        <v>0</v>
      </c>
      <c r="K188" s="496">
        <v>0</v>
      </c>
      <c r="L188" s="495">
        <v>0</v>
      </c>
      <c r="M188" s="495">
        <v>0</v>
      </c>
      <c r="N188" s="495">
        <v>0</v>
      </c>
      <c r="O188" s="496">
        <v>0</v>
      </c>
      <c r="P188" s="495">
        <v>0</v>
      </c>
      <c r="Q188" s="495">
        <v>0</v>
      </c>
      <c r="R188" s="495">
        <v>0</v>
      </c>
      <c r="S188" s="496">
        <v>0</v>
      </c>
      <c r="T188" s="495">
        <v>0</v>
      </c>
      <c r="U188" s="495">
        <v>0</v>
      </c>
      <c r="V188" s="495">
        <v>0</v>
      </c>
      <c r="W188" s="496">
        <v>0</v>
      </c>
      <c r="X188" s="495">
        <v>0</v>
      </c>
      <c r="Y188" s="495">
        <v>106.91300000000001</v>
      </c>
      <c r="Z188" s="495">
        <v>122.11499999999999</v>
      </c>
      <c r="AA188" s="496">
        <v>97.740000000000009</v>
      </c>
      <c r="AB188" s="495">
        <v>75.820000000000007</v>
      </c>
      <c r="AC188" s="495">
        <v>83.960000000000008</v>
      </c>
      <c r="AD188" s="495">
        <v>80.393000000000001</v>
      </c>
      <c r="AE188" s="496">
        <v>74.564999999999998</v>
      </c>
      <c r="AF188" s="495">
        <v>88.032000000000011</v>
      </c>
      <c r="AG188" s="495">
        <v>87.49499999999999</v>
      </c>
      <c r="AH188" s="495">
        <v>102.11900000000001</v>
      </c>
      <c r="AI188" s="496">
        <v>92.672000000000011</v>
      </c>
      <c r="AJ188" s="495">
        <v>121.88400000000001</v>
      </c>
      <c r="AK188" s="495">
        <v>126.81200000000001</v>
      </c>
      <c r="AL188" s="495">
        <v>125.72000000000001</v>
      </c>
      <c r="AM188" s="496">
        <v>107.506</v>
      </c>
      <c r="AN188" s="495">
        <v>119.104</v>
      </c>
      <c r="AO188" s="495">
        <v>119.16799999999999</v>
      </c>
      <c r="AP188" s="495">
        <v>123.33500000000001</v>
      </c>
      <c r="AQ188" s="496">
        <v>115.63400000000001</v>
      </c>
      <c r="AR188" s="495">
        <v>105.76</v>
      </c>
      <c r="AS188" s="495">
        <v>117.011</v>
      </c>
      <c r="AT188" s="495">
        <v>128.77199999999999</v>
      </c>
      <c r="AU188" s="496">
        <v>129.24</v>
      </c>
      <c r="AV188" s="495">
        <v>120.105</v>
      </c>
      <c r="AW188" s="495">
        <v>128.792</v>
      </c>
      <c r="AX188" s="495">
        <v>158.36500000000001</v>
      </c>
      <c r="AY188" s="495">
        <v>155.55600000000001</v>
      </c>
      <c r="AZ188" s="1161">
        <v>140.30000000000001</v>
      </c>
      <c r="BA188" s="495">
        <v>164.2</v>
      </c>
      <c r="BB188" s="495">
        <v>168</v>
      </c>
      <c r="BC188" s="496">
        <v>156.9</v>
      </c>
      <c r="BD188" s="1161">
        <v>140.6</v>
      </c>
      <c r="BE188" s="495">
        <v>155.91999999999999</v>
      </c>
      <c r="BF188" s="495">
        <v>192.42</v>
      </c>
      <c r="BG188" s="1378">
        <v>234.75239999999997</v>
      </c>
      <c r="BH188" s="801">
        <v>213.62468399999997</v>
      </c>
      <c r="BI188" s="801">
        <v>221.10154793999996</v>
      </c>
      <c r="BJ188" s="801">
        <v>243.21170273399997</v>
      </c>
      <c r="BK188" s="810">
        <v>235.91535165197996</v>
      </c>
      <c r="BL188" s="801">
        <v>217.04212351982159</v>
      </c>
      <c r="BM188" s="801">
        <v>227.89422969581267</v>
      </c>
      <c r="BN188" s="801">
        <v>250.68365266539396</v>
      </c>
      <c r="BO188" s="810">
        <v>240.6563065587782</v>
      </c>
      <c r="BP188" s="801">
        <v>217.04212351982159</v>
      </c>
      <c r="BQ188" s="801">
        <v>227.89422969581267</v>
      </c>
      <c r="BR188" s="801">
        <v>250.68365266539396</v>
      </c>
      <c r="BS188" s="810">
        <v>240.6563065587782</v>
      </c>
      <c r="BT188" s="801">
        <v>217.04212351982159</v>
      </c>
      <c r="BU188" s="801">
        <v>227.89422969581267</v>
      </c>
      <c r="BV188" s="801">
        <v>250.68365266539396</v>
      </c>
      <c r="BW188" s="810">
        <v>240.6563065587782</v>
      </c>
      <c r="BX188" s="346"/>
      <c r="BY188" s="334">
        <v>0</v>
      </c>
      <c r="BZ188" s="325">
        <v>0</v>
      </c>
      <c r="CA188" s="325">
        <v>0</v>
      </c>
      <c r="CB188" s="325">
        <v>0</v>
      </c>
      <c r="CC188" s="325">
        <v>0</v>
      </c>
      <c r="CD188" s="325">
        <v>326.76800000000003</v>
      </c>
      <c r="CE188" s="325">
        <v>314.73800000000006</v>
      </c>
      <c r="CF188" s="325">
        <v>370.31800000000004</v>
      </c>
      <c r="CG188" s="325">
        <v>481.92200000000003</v>
      </c>
      <c r="CH188" s="325">
        <v>477.24099999999999</v>
      </c>
      <c r="CI188" s="325">
        <v>480.78300000000002</v>
      </c>
      <c r="CJ188" s="325">
        <v>562.81799999999998</v>
      </c>
      <c r="CK188" s="325">
        <v>629.4</v>
      </c>
      <c r="CL188" s="325">
        <v>723.69239999999991</v>
      </c>
      <c r="CM188" s="325">
        <v>913.85328632597998</v>
      </c>
      <c r="CN188" s="325">
        <v>936.27631243980636</v>
      </c>
      <c r="CO188" s="325">
        <v>936.27631243980636</v>
      </c>
      <c r="CP188" s="326">
        <v>936.27631243980636</v>
      </c>
    </row>
    <row r="189" spans="1:94" s="1361" customFormat="1" ht="14.25" hidden="1" customHeight="1" outlineLevel="2">
      <c r="A189" s="1364"/>
      <c r="B189" s="32" t="s">
        <v>297</v>
      </c>
      <c r="C189" s="218"/>
      <c r="D189" s="134"/>
      <c r="E189" s="78"/>
      <c r="F189" s="78"/>
      <c r="G189" s="79"/>
      <c r="H189" s="134"/>
      <c r="I189" s="78"/>
      <c r="J189" s="78"/>
      <c r="K189" s="79"/>
      <c r="L189" s="134"/>
      <c r="M189" s="78"/>
      <c r="N189" s="78"/>
      <c r="O189" s="79"/>
      <c r="P189" s="134"/>
      <c r="Q189" s="78"/>
      <c r="R189" s="78"/>
      <c r="S189" s="79"/>
      <c r="T189" s="134"/>
      <c r="U189" s="78"/>
      <c r="V189" s="78"/>
      <c r="W189" s="79"/>
      <c r="X189" s="134"/>
      <c r="Y189" s="78"/>
      <c r="Z189" s="78">
        <v>0.14219037909328125</v>
      </c>
      <c r="AA189" s="79">
        <v>-0.19960692789583578</v>
      </c>
      <c r="AB189" s="134">
        <v>-0.22426846736239003</v>
      </c>
      <c r="AC189" s="78">
        <v>0.10735953574254808</v>
      </c>
      <c r="AD189" s="78">
        <v>-4.248451643639839E-2</v>
      </c>
      <c r="AE189" s="79">
        <v>-7.2493873844737711E-2</v>
      </c>
      <c r="AF189" s="134">
        <v>0.18060752363709542</v>
      </c>
      <c r="AG189" s="78">
        <v>-6.1000545256272298E-3</v>
      </c>
      <c r="AH189" s="78">
        <v>0.16714097948454221</v>
      </c>
      <c r="AI189" s="79">
        <v>-9.2509719053261441E-2</v>
      </c>
      <c r="AJ189" s="134">
        <v>0.31521926795580102</v>
      </c>
      <c r="AK189" s="78">
        <v>4.0431886055593891E-2</v>
      </c>
      <c r="AL189" s="78">
        <v>-8.6111724442481385E-3</v>
      </c>
      <c r="AM189" s="79">
        <v>-0.14487750556792878</v>
      </c>
      <c r="AN189" s="134">
        <v>0.10788235075251618</v>
      </c>
      <c r="AO189" s="78">
        <v>5.3734551316497736E-4</v>
      </c>
      <c r="AP189" s="78">
        <v>3.4967440923738158E-2</v>
      </c>
      <c r="AQ189" s="79">
        <v>-6.243969676085448E-2</v>
      </c>
      <c r="AR189" s="134">
        <v>-8.5390110175208034E-2</v>
      </c>
      <c r="AS189" s="78">
        <v>0.10638237518910731</v>
      </c>
      <c r="AT189" s="78">
        <v>0.10051191768295276</v>
      </c>
      <c r="AU189" s="79">
        <v>3.6343304445067837E-3</v>
      </c>
      <c r="AV189" s="134">
        <v>-7.0682451253481937E-2</v>
      </c>
      <c r="AW189" s="78">
        <v>7.2328379334748671E-2</v>
      </c>
      <c r="AX189" s="78">
        <v>0.22961829927324695</v>
      </c>
      <c r="AY189" s="78">
        <v>-1.7737505130552833E-2</v>
      </c>
      <c r="AZ189" s="134">
        <v>-9.8074005502841399E-2</v>
      </c>
      <c r="BA189" s="78">
        <v>0.17034925160370618</v>
      </c>
      <c r="BB189" s="78">
        <v>2.3142509135201106E-2</v>
      </c>
      <c r="BC189" s="79">
        <v>-6.6071428571428559E-2</v>
      </c>
      <c r="BD189" s="134">
        <v>-0.1038878266411728</v>
      </c>
      <c r="BE189" s="78">
        <v>0.10896159317211951</v>
      </c>
      <c r="BF189" s="78">
        <v>0.23409440738840437</v>
      </c>
      <c r="BG189" s="1374">
        <v>0.22</v>
      </c>
      <c r="BH189" s="80">
        <v>-0.09</v>
      </c>
      <c r="BI189" s="80">
        <v>3.5000000000000003E-2</v>
      </c>
      <c r="BJ189" s="80">
        <v>0.1</v>
      </c>
      <c r="BK189" s="81">
        <v>-0.03</v>
      </c>
      <c r="BL189" s="80">
        <v>-0.08</v>
      </c>
      <c r="BM189" s="80">
        <v>0.05</v>
      </c>
      <c r="BN189" s="80">
        <v>0.1</v>
      </c>
      <c r="BO189" s="81">
        <v>-0.04</v>
      </c>
      <c r="BP189" s="80">
        <v>-0.08</v>
      </c>
      <c r="BQ189" s="80">
        <v>0.05</v>
      </c>
      <c r="BR189" s="80">
        <v>0.1</v>
      </c>
      <c r="BS189" s="81">
        <v>-0.04</v>
      </c>
      <c r="BT189" s="80">
        <v>-0.08</v>
      </c>
      <c r="BU189" s="80">
        <v>0.05</v>
      </c>
      <c r="BV189" s="80">
        <v>0.1</v>
      </c>
      <c r="BW189" s="81">
        <v>-0.04</v>
      </c>
      <c r="BX189" s="346"/>
      <c r="BY189" s="219"/>
      <c r="BZ189" s="220"/>
      <c r="CA189" s="220"/>
      <c r="CB189" s="220"/>
      <c r="CC189" s="220"/>
      <c r="CD189" s="220"/>
      <c r="CE189" s="220"/>
      <c r="CF189" s="220"/>
      <c r="CG189" s="220"/>
      <c r="CH189" s="220"/>
      <c r="CI189" s="220"/>
      <c r="CJ189" s="220"/>
      <c r="CK189" s="220"/>
      <c r="CL189" s="220"/>
      <c r="CM189" s="220"/>
      <c r="CN189" s="220"/>
      <c r="CO189" s="220"/>
      <c r="CP189" s="258"/>
    </row>
    <row r="190" spans="1:94" s="1361" customFormat="1" ht="14.25" hidden="1" customHeight="1" outlineLevel="2">
      <c r="A190" s="1364"/>
      <c r="B190" s="32" t="s">
        <v>548</v>
      </c>
      <c r="C190" s="218"/>
      <c r="D190" s="134"/>
      <c r="E190" s="78"/>
      <c r="F190" s="78"/>
      <c r="G190" s="79"/>
      <c r="H190" s="134"/>
      <c r="I190" s="78"/>
      <c r="J190" s="78"/>
      <c r="K190" s="79"/>
      <c r="L190" s="134"/>
      <c r="M190" s="78"/>
      <c r="N190" s="78"/>
      <c r="O190" s="79"/>
      <c r="P190" s="134"/>
      <c r="Q190" s="78"/>
      <c r="R190" s="78"/>
      <c r="S190" s="79"/>
      <c r="T190" s="134"/>
      <c r="U190" s="78"/>
      <c r="V190" s="78"/>
      <c r="W190" s="79"/>
      <c r="X190" s="134"/>
      <c r="Y190" s="78"/>
      <c r="Z190" s="78"/>
      <c r="AA190" s="79"/>
      <c r="AB190" s="134"/>
      <c r="AC190" s="78"/>
      <c r="AD190" s="78"/>
      <c r="AE190" s="79"/>
      <c r="AF190" s="134"/>
      <c r="AG190" s="78"/>
      <c r="AH190" s="78"/>
      <c r="AI190" s="79"/>
      <c r="AJ190" s="134"/>
      <c r="AK190" s="78"/>
      <c r="AL190" s="78"/>
      <c r="AM190" s="79"/>
      <c r="AN190" s="134"/>
      <c r="AO190" s="78"/>
      <c r="AP190" s="78"/>
      <c r="AQ190" s="79"/>
      <c r="AR190" s="134"/>
      <c r="AS190" s="78"/>
      <c r="AT190" s="78"/>
      <c r="AU190" s="79"/>
      <c r="AV190" s="78">
        <v>5.881011296156291E-2</v>
      </c>
      <c r="AW190" s="78">
        <v>4.9722217594957409E-2</v>
      </c>
      <c r="AX190" s="78">
        <v>5.0304929842117319E-2</v>
      </c>
      <c r="AY190" s="79">
        <v>-7.3737292956455119E-2</v>
      </c>
      <c r="AZ190" s="134">
        <v>8.952731618334453E-2</v>
      </c>
      <c r="BA190" s="78">
        <v>4.2715986313397528E-2</v>
      </c>
      <c r="BB190" s="78">
        <v>0.10472549298404639</v>
      </c>
      <c r="BC190" s="79">
        <v>-6.2786019213618149E-2</v>
      </c>
      <c r="BD190" s="134">
        <v>3.3791010355357164E-2</v>
      </c>
      <c r="BE190" s="78">
        <v>7.8005847539264206E-2</v>
      </c>
      <c r="BF190" s="78">
        <v>7.5925798914178166E-2</v>
      </c>
      <c r="BG190" s="1375">
        <v>-5.7498361117251574E-2</v>
      </c>
      <c r="BH190" s="78">
        <v>-5.00304085640376E-2</v>
      </c>
      <c r="BI190" s="78">
        <v>9.1711788962569332E-2</v>
      </c>
      <c r="BJ190" s="78">
        <v>0.12446691488070867</v>
      </c>
      <c r="BK190" s="79">
        <v>1.5477139996334183E-2</v>
      </c>
      <c r="BL190" s="78">
        <v>-8.960687871454083E-2</v>
      </c>
      <c r="BM190" s="78">
        <v>9.860431985993634E-2</v>
      </c>
      <c r="BN190" s="78">
        <v>0.13747342669596102</v>
      </c>
      <c r="BO190" s="79">
        <v>2.1965079348505077E-2</v>
      </c>
      <c r="BP190" s="78">
        <v>-8.960687871454083E-2</v>
      </c>
      <c r="BQ190" s="78">
        <v>9.860431985993634E-2</v>
      </c>
      <c r="BR190" s="78">
        <v>0.13747342669596102</v>
      </c>
      <c r="BS190" s="79">
        <v>2.1965079348505077E-2</v>
      </c>
      <c r="BT190" s="78">
        <v>-8.960687871454083E-2</v>
      </c>
      <c r="BU190" s="78">
        <v>9.860431985993634E-2</v>
      </c>
      <c r="BV190" s="78">
        <v>0.13747342669596102</v>
      </c>
      <c r="BW190" s="79">
        <v>2.1965079348505077E-2</v>
      </c>
      <c r="BX190" s="346"/>
      <c r="BY190" s="219"/>
      <c r="BZ190" s="220"/>
      <c r="CA190" s="220"/>
      <c r="CB190" s="220"/>
      <c r="CC190" s="220"/>
      <c r="CD190" s="220"/>
      <c r="CE190" s="220"/>
      <c r="CF190" s="220"/>
      <c r="CG190" s="220"/>
      <c r="CH190" s="220"/>
      <c r="CI190" s="220"/>
      <c r="CJ190" s="220"/>
      <c r="CK190" s="220"/>
      <c r="CL190" s="220"/>
      <c r="CM190" s="220"/>
      <c r="CN190" s="220"/>
      <c r="CO190" s="220"/>
      <c r="CP190" s="258"/>
    </row>
    <row r="191" spans="1:94" s="1361" customFormat="1" ht="14.25" hidden="1" customHeight="1" outlineLevel="2">
      <c r="A191" s="1365"/>
      <c r="B191" s="867" t="s">
        <v>298</v>
      </c>
      <c r="C191" s="880"/>
      <c r="D191" s="377"/>
      <c r="E191" s="370"/>
      <c r="F191" s="370"/>
      <c r="G191" s="335"/>
      <c r="H191" s="377"/>
      <c r="I191" s="370"/>
      <c r="J191" s="370"/>
      <c r="K191" s="335"/>
      <c r="L191" s="377"/>
      <c r="M191" s="370"/>
      <c r="N191" s="370"/>
      <c r="O191" s="335"/>
      <c r="P191" s="377"/>
      <c r="Q191" s="370"/>
      <c r="R191" s="370"/>
      <c r="S191" s="335"/>
      <c r="T191" s="377"/>
      <c r="U191" s="370"/>
      <c r="V191" s="370"/>
      <c r="W191" s="335"/>
      <c r="X191" s="377"/>
      <c r="Y191" s="370"/>
      <c r="Z191" s="370"/>
      <c r="AA191" s="335"/>
      <c r="AB191" s="377"/>
      <c r="AC191" s="370">
        <v>-0.21468857856387902</v>
      </c>
      <c r="AD191" s="370">
        <v>-0.34166154854031028</v>
      </c>
      <c r="AE191" s="335">
        <v>-0.23710865561694305</v>
      </c>
      <c r="AF191" s="377">
        <v>0.16106568187813242</v>
      </c>
      <c r="AG191" s="370">
        <v>4.210338256312518E-2</v>
      </c>
      <c r="AH191" s="370">
        <v>0.27024740960033844</v>
      </c>
      <c r="AI191" s="335">
        <v>0.24283511030644434</v>
      </c>
      <c r="AJ191" s="377">
        <v>0.38454198473282442</v>
      </c>
      <c r="AK191" s="370">
        <v>0.44936282073261369</v>
      </c>
      <c r="AL191" s="370">
        <v>0.23111272143283812</v>
      </c>
      <c r="AM191" s="335">
        <v>0.16006992403314912</v>
      </c>
      <c r="AN191" s="377">
        <v>-2.2808572084933365E-2</v>
      </c>
      <c r="AO191" s="370">
        <v>-6.0278207109737414E-2</v>
      </c>
      <c r="AP191" s="370">
        <v>-1.8970728603245335E-2</v>
      </c>
      <c r="AQ191" s="335">
        <v>7.5605082507022914E-2</v>
      </c>
      <c r="AR191" s="377">
        <v>-0.11203653949489512</v>
      </c>
      <c r="AS191" s="370">
        <v>-1.8100496777658348E-2</v>
      </c>
      <c r="AT191" s="370">
        <v>4.4083188065026091E-2</v>
      </c>
      <c r="AU191" s="335">
        <v>0.11766435477454729</v>
      </c>
      <c r="AV191" s="377">
        <v>0.1356372919818456</v>
      </c>
      <c r="AW191" s="370">
        <v>0.10068284178410591</v>
      </c>
      <c r="AX191" s="370">
        <v>0.22980927530829698</v>
      </c>
      <c r="AY191" s="370">
        <v>0.20362116991643453</v>
      </c>
      <c r="AZ191" s="377">
        <v>0.16814454019399694</v>
      </c>
      <c r="BA191" s="370">
        <v>0.27492390831728675</v>
      </c>
      <c r="BB191" s="370">
        <v>6.0840463486250052E-2</v>
      </c>
      <c r="BC191" s="335">
        <v>8.6399753143562297E-3</v>
      </c>
      <c r="BD191" s="377">
        <v>2.1382751247325249E-3</v>
      </c>
      <c r="BE191" s="370">
        <v>-5.0426309378806322E-2</v>
      </c>
      <c r="BF191" s="370">
        <v>0.14535714285714274</v>
      </c>
      <c r="BG191" s="1376">
        <v>0.49619120458890986</v>
      </c>
      <c r="BH191" s="370">
        <v>0.51937897581792303</v>
      </c>
      <c r="BI191" s="370">
        <v>0.4180448174704976</v>
      </c>
      <c r="BJ191" s="370">
        <v>0.26396269999999999</v>
      </c>
      <c r="BK191" s="335">
        <v>4.9539499999999848E-3</v>
      </c>
      <c r="BL191" s="370">
        <v>1.599740000000005E-2</v>
      </c>
      <c r="BM191" s="370">
        <v>3.0722000000000138E-2</v>
      </c>
      <c r="BN191" s="370">
        <v>3.0722000000000138E-2</v>
      </c>
      <c r="BO191" s="335">
        <v>2.0096000000000114E-2</v>
      </c>
      <c r="BP191" s="370">
        <v>1.599740000000005E-2</v>
      </c>
      <c r="BQ191" s="370">
        <v>3.0722000000000138E-2</v>
      </c>
      <c r="BR191" s="370">
        <v>3.0722000000000138E-2</v>
      </c>
      <c r="BS191" s="335">
        <v>2.0096000000000114E-2</v>
      </c>
      <c r="BT191" s="370">
        <v>1.599740000000005E-2</v>
      </c>
      <c r="BU191" s="370">
        <v>3.0722000000000138E-2</v>
      </c>
      <c r="BV191" s="370">
        <v>3.0722000000000138E-2</v>
      </c>
      <c r="BW191" s="335">
        <v>2.0096000000000114E-2</v>
      </c>
      <c r="BX191" s="346"/>
      <c r="BY191" s="377"/>
      <c r="BZ191" s="338"/>
      <c r="CA191" s="338"/>
      <c r="CB191" s="338"/>
      <c r="CC191" s="338"/>
      <c r="CD191" s="338"/>
      <c r="CE191" s="338">
        <v>-3.6815110414728403E-2</v>
      </c>
      <c r="CF191" s="338">
        <v>0.17659132357707041</v>
      </c>
      <c r="CG191" s="338">
        <v>0.30137341420076802</v>
      </c>
      <c r="CH191" s="338">
        <v>-9.7131901013027822E-3</v>
      </c>
      <c r="CI191" s="338">
        <v>7.4218267080994327E-3</v>
      </c>
      <c r="CJ191" s="338">
        <v>0.17062791321656534</v>
      </c>
      <c r="CK191" s="338">
        <v>0.11830112043324847</v>
      </c>
      <c r="CL191" s="338">
        <v>0.14981315538608198</v>
      </c>
      <c r="CM191" s="338">
        <v>0.26276479665390995</v>
      </c>
      <c r="CN191" s="338">
        <v>2.4536789930443836E-2</v>
      </c>
      <c r="CO191" s="338">
        <v>2.4536789930443836E-2</v>
      </c>
      <c r="CP191" s="337">
        <v>2.4536789930443836E-2</v>
      </c>
    </row>
    <row r="192" spans="1:94" s="1361" customFormat="1" ht="14.25" hidden="1" customHeight="1" outlineLevel="2">
      <c r="A192" s="1364"/>
      <c r="B192" s="32" t="s">
        <v>299</v>
      </c>
      <c r="C192" s="218"/>
      <c r="D192" s="78"/>
      <c r="E192" s="78"/>
      <c r="F192" s="78"/>
      <c r="G192" s="79"/>
      <c r="H192" s="78"/>
      <c r="I192" s="78"/>
      <c r="J192" s="78"/>
      <c r="K192" s="79"/>
      <c r="L192" s="78"/>
      <c r="M192" s="78"/>
      <c r="N192" s="78"/>
      <c r="O192" s="79"/>
      <c r="P192" s="78"/>
      <c r="Q192" s="78"/>
      <c r="R192" s="78"/>
      <c r="S192" s="79"/>
      <c r="T192" s="78"/>
      <c r="U192" s="78"/>
      <c r="V192" s="78"/>
      <c r="W192" s="79"/>
      <c r="X192" s="78"/>
      <c r="Y192" s="78">
        <v>0.18999999999999997</v>
      </c>
      <c r="Z192" s="78">
        <v>0.21</v>
      </c>
      <c r="AA192" s="79">
        <v>0.2</v>
      </c>
      <c r="AB192" s="78">
        <v>0.20000000000000004</v>
      </c>
      <c r="AC192" s="78">
        <v>0.2</v>
      </c>
      <c r="AD192" s="78">
        <v>0.17</v>
      </c>
      <c r="AE192" s="79">
        <v>0.15</v>
      </c>
      <c r="AF192" s="78">
        <v>0.16</v>
      </c>
      <c r="AG192" s="78">
        <v>0.14999999999999997</v>
      </c>
      <c r="AH192" s="78">
        <v>0.17</v>
      </c>
      <c r="AI192" s="79">
        <v>0.16</v>
      </c>
      <c r="AJ192" s="78">
        <v>0.14000000000000001</v>
      </c>
      <c r="AK192" s="78">
        <v>0.14000000000000001</v>
      </c>
      <c r="AL192" s="78">
        <v>0.13999999999999999</v>
      </c>
      <c r="AM192" s="79">
        <v>0.14000000000000001</v>
      </c>
      <c r="AN192" s="78">
        <v>0.16</v>
      </c>
      <c r="AO192" s="78">
        <v>0.16</v>
      </c>
      <c r="AP192" s="78">
        <v>0.16999999999999998</v>
      </c>
      <c r="AQ192" s="79">
        <v>0.17</v>
      </c>
      <c r="AR192" s="78">
        <v>0.16</v>
      </c>
      <c r="AS192" s="78">
        <v>0.16999999999999998</v>
      </c>
      <c r="AT192" s="78">
        <v>0.17999999999999997</v>
      </c>
      <c r="AU192" s="79">
        <v>0.18000000000000002</v>
      </c>
      <c r="AV192" s="78">
        <v>0.17</v>
      </c>
      <c r="AW192" s="78">
        <v>0.17</v>
      </c>
      <c r="AX192" s="78">
        <v>0.19</v>
      </c>
      <c r="AY192" s="78">
        <v>0.18</v>
      </c>
      <c r="AZ192" s="134">
        <v>0.16111621497473588</v>
      </c>
      <c r="BA192" s="78">
        <v>0.18648495173197047</v>
      </c>
      <c r="BB192" s="78">
        <v>0.18575851393188855</v>
      </c>
      <c r="BC192" s="79">
        <v>0.18671902891824349</v>
      </c>
      <c r="BD192" s="134">
        <v>0.17205090553108174</v>
      </c>
      <c r="BE192" s="78">
        <v>0.17762588288904077</v>
      </c>
      <c r="BF192" s="78">
        <v>0.20235566305605215</v>
      </c>
      <c r="BG192" s="1375">
        <v>0.19346019742380402</v>
      </c>
      <c r="BH192" s="78">
        <v>0.17835888246595305</v>
      </c>
      <c r="BI192" s="78">
        <v>0.17843250666786159</v>
      </c>
      <c r="BJ192" s="78">
        <v>0.19198977718169452</v>
      </c>
      <c r="BK192" s="79">
        <v>0.18966813615070863</v>
      </c>
      <c r="BL192" s="78">
        <v>0.17672180534117851</v>
      </c>
      <c r="BM192" s="78">
        <v>0.17770644114532064</v>
      </c>
      <c r="BN192" s="78">
        <v>0.19123517924132369</v>
      </c>
      <c r="BO192" s="79">
        <v>0.18715780511093988</v>
      </c>
      <c r="BP192" s="78">
        <v>0.17672180534117851</v>
      </c>
      <c r="BQ192" s="78">
        <v>0.17770644114532064</v>
      </c>
      <c r="BR192" s="78">
        <v>0.19123517924132369</v>
      </c>
      <c r="BS192" s="79">
        <v>0.18715780511093988</v>
      </c>
      <c r="BT192" s="78">
        <v>0.17672180534117851</v>
      </c>
      <c r="BU192" s="78">
        <v>0.17770644114532064</v>
      </c>
      <c r="BV192" s="78">
        <v>0.19123517924132369</v>
      </c>
      <c r="BW192" s="79">
        <v>0.18715780511093988</v>
      </c>
      <c r="BX192" s="346"/>
      <c r="BY192" s="359"/>
      <c r="BZ192" s="338"/>
      <c r="CA192" s="338"/>
      <c r="CB192" s="338"/>
      <c r="CC192" s="338"/>
      <c r="CD192" s="338">
        <v>0.15902666926221531</v>
      </c>
      <c r="CE192" s="338">
        <v>0.17792865622703377</v>
      </c>
      <c r="CF192" s="338">
        <v>0.16007521397077895</v>
      </c>
      <c r="CG192" s="338">
        <v>0.14000000000000001</v>
      </c>
      <c r="CH192" s="338">
        <v>0.16485578085598812</v>
      </c>
      <c r="CI192" s="338">
        <v>0.17277572142164085</v>
      </c>
      <c r="CJ192" s="338">
        <v>0.17800556644949078</v>
      </c>
      <c r="CK192" s="338">
        <v>0.18003432494279176</v>
      </c>
      <c r="CL192" s="338">
        <v>0.18751712566005124</v>
      </c>
      <c r="CM192" s="338">
        <v>0.18471071627815094</v>
      </c>
      <c r="CN192" s="338">
        <v>0.1833215685007635</v>
      </c>
      <c r="CO192" s="338">
        <v>0.1833215685007635</v>
      </c>
      <c r="CP192" s="337">
        <v>0.1833215685007635</v>
      </c>
    </row>
    <row r="193" spans="1:94" s="1361" customFormat="1" ht="14.25" hidden="1" customHeight="1" outlineLevel="2">
      <c r="A193" s="1364"/>
      <c r="B193" s="32"/>
      <c r="C193" s="218"/>
      <c r="D193" s="78"/>
      <c r="E193" s="78"/>
      <c r="F193" s="78"/>
      <c r="G193" s="79"/>
      <c r="H193" s="78"/>
      <c r="I193" s="78"/>
      <c r="J193" s="78"/>
      <c r="K193" s="79"/>
      <c r="L193" s="78"/>
      <c r="M193" s="78"/>
      <c r="N193" s="78"/>
      <c r="O193" s="79"/>
      <c r="P193" s="78"/>
      <c r="Q193" s="78"/>
      <c r="R193" s="78"/>
      <c r="S193" s="79"/>
      <c r="T193" s="78"/>
      <c r="U193" s="78"/>
      <c r="V193" s="78"/>
      <c r="W193" s="79"/>
      <c r="X193" s="78"/>
      <c r="Y193" s="78"/>
      <c r="Z193" s="78"/>
      <c r="AA193" s="79"/>
      <c r="AB193" s="78"/>
      <c r="AC193" s="78"/>
      <c r="AD193" s="78"/>
      <c r="AE193" s="79"/>
      <c r="AF193" s="78"/>
      <c r="AG193" s="78"/>
      <c r="AH193" s="78"/>
      <c r="AI193" s="79"/>
      <c r="AJ193" s="78"/>
      <c r="AK193" s="78"/>
      <c r="AL193" s="78"/>
      <c r="AM193" s="79"/>
      <c r="AN193" s="78"/>
      <c r="AO193" s="78"/>
      <c r="AP193" s="78"/>
      <c r="AQ193" s="79"/>
      <c r="AR193" s="78"/>
      <c r="AS193" s="78"/>
      <c r="AT193" s="78"/>
      <c r="AU193" s="79"/>
      <c r="AV193" s="78"/>
      <c r="AW193" s="78"/>
      <c r="AX193" s="78"/>
      <c r="AY193" s="78"/>
      <c r="AZ193" s="134"/>
      <c r="BA193" s="78"/>
      <c r="BB193" s="78"/>
      <c r="BC193" s="79"/>
      <c r="BD193" s="134"/>
      <c r="BE193" s="78"/>
      <c r="BF193" s="78"/>
      <c r="BG193" s="81"/>
      <c r="BH193" s="80"/>
      <c r="BI193" s="80"/>
      <c r="BJ193" s="80"/>
      <c r="BK193" s="81"/>
      <c r="BL193" s="80"/>
      <c r="BM193" s="80"/>
      <c r="BN193" s="80"/>
      <c r="BO193" s="81"/>
      <c r="BP193" s="80"/>
      <c r="BQ193" s="80"/>
      <c r="BR193" s="80"/>
      <c r="BS193" s="81"/>
      <c r="BT193" s="80"/>
      <c r="BU193" s="80"/>
      <c r="BV193" s="80"/>
      <c r="BW193" s="81"/>
      <c r="BX193" s="346"/>
      <c r="BY193" s="219"/>
      <c r="BZ193" s="220"/>
      <c r="CA193" s="220"/>
      <c r="CB193" s="220"/>
      <c r="CC193" s="220"/>
      <c r="CD193" s="220"/>
      <c r="CE193" s="220"/>
      <c r="CF193" s="220"/>
      <c r="CG193" s="220"/>
      <c r="CH193" s="220"/>
      <c r="CI193" s="220"/>
      <c r="CJ193" s="220"/>
      <c r="CK193" s="220"/>
      <c r="CL193" s="220"/>
      <c r="CM193" s="220"/>
      <c r="CN193" s="220"/>
      <c r="CO193" s="220"/>
      <c r="CP193" s="258"/>
    </row>
    <row r="194" spans="1:94" s="1361" customFormat="1" ht="14.25" hidden="1" customHeight="1" outlineLevel="2">
      <c r="A194" s="1364"/>
      <c r="B194" s="45" t="s">
        <v>637</v>
      </c>
      <c r="C194" s="218"/>
      <c r="D194" s="374"/>
      <c r="E194" s="341">
        <v>0</v>
      </c>
      <c r="F194" s="341">
        <v>0</v>
      </c>
      <c r="G194" s="342">
        <v>0</v>
      </c>
      <c r="H194" s="374">
        <v>0</v>
      </c>
      <c r="I194" s="341">
        <v>0</v>
      </c>
      <c r="J194" s="341">
        <v>0</v>
      </c>
      <c r="K194" s="342">
        <v>0</v>
      </c>
      <c r="L194" s="374">
        <v>0</v>
      </c>
      <c r="M194" s="341">
        <v>0</v>
      </c>
      <c r="N194" s="341">
        <v>0</v>
      </c>
      <c r="O194" s="342">
        <v>0</v>
      </c>
      <c r="P194" s="374">
        <v>0</v>
      </c>
      <c r="Q194" s="341">
        <v>0</v>
      </c>
      <c r="R194" s="341">
        <v>0</v>
      </c>
      <c r="S194" s="342">
        <v>0</v>
      </c>
      <c r="T194" s="374">
        <v>0</v>
      </c>
      <c r="U194" s="341">
        <v>0</v>
      </c>
      <c r="V194" s="341">
        <v>0</v>
      </c>
      <c r="W194" s="342">
        <v>0</v>
      </c>
      <c r="X194" s="374">
        <v>0</v>
      </c>
      <c r="Y194" s="341">
        <v>36.403999999999996</v>
      </c>
      <c r="Z194" s="341">
        <v>46.536000000000001</v>
      </c>
      <c r="AA194" s="342">
        <v>37.14</v>
      </c>
      <c r="AB194" s="374">
        <v>22.420000000000009</v>
      </c>
      <c r="AC194" s="341">
        <v>27.64</v>
      </c>
      <c r="AD194" s="341">
        <v>29.885999999999996</v>
      </c>
      <c r="AE194" s="342">
        <v>29.19</v>
      </c>
      <c r="AF194" s="374">
        <v>36.496000000000002</v>
      </c>
      <c r="AG194" s="341">
        <v>36.569999999999986</v>
      </c>
      <c r="AH194" s="341">
        <v>41.905000000000015</v>
      </c>
      <c r="AI194" s="342">
        <v>38.016000000000005</v>
      </c>
      <c r="AJ194" s="374">
        <v>33.936</v>
      </c>
      <c r="AK194" s="341">
        <v>37.253999999999991</v>
      </c>
      <c r="AL194" s="341">
        <v>36.554000000000002</v>
      </c>
      <c r="AM194" s="342">
        <v>33.487999999999992</v>
      </c>
      <c r="AN194" s="374">
        <v>39.231999999999999</v>
      </c>
      <c r="AO194" s="341">
        <v>41.327999999999996</v>
      </c>
      <c r="AP194" s="341">
        <v>40.459999999999994</v>
      </c>
      <c r="AQ194" s="342">
        <v>35.768000000000008</v>
      </c>
      <c r="AR194" s="374">
        <v>32.72</v>
      </c>
      <c r="AS194" s="341">
        <v>39.405999999999992</v>
      </c>
      <c r="AT194" s="341">
        <v>44.855999999999987</v>
      </c>
      <c r="AU194" s="342">
        <v>45.521999999999998</v>
      </c>
      <c r="AV194" s="374">
        <v>42.636000000000003</v>
      </c>
      <c r="AW194" s="341">
        <v>46.410000000000004</v>
      </c>
      <c r="AX194" s="341">
        <v>53.979000000000006</v>
      </c>
      <c r="AY194" s="341">
        <v>49.986000000000004</v>
      </c>
      <c r="AZ194" s="374">
        <v>48.399310978410654</v>
      </c>
      <c r="BA194" s="341">
        <v>56.766019307211806</v>
      </c>
      <c r="BB194" s="341">
        <v>57.306501547987615</v>
      </c>
      <c r="BC194" s="342">
        <v>52.262656194216348</v>
      </c>
      <c r="BD194" s="374">
        <v>47.400024473813019</v>
      </c>
      <c r="BE194" s="341">
        <v>54.691009341535647</v>
      </c>
      <c r="BF194" s="341">
        <v>66.575013145441162</v>
      </c>
      <c r="BG194" s="1377">
        <v>82.632844799999987</v>
      </c>
      <c r="BH194" s="341">
        <v>74.127765347999983</v>
      </c>
      <c r="BI194" s="341">
        <v>78.048846422819977</v>
      </c>
      <c r="BJ194" s="341">
        <v>87.677818835606985</v>
      </c>
      <c r="BK194" s="342">
        <v>85.755230325494708</v>
      </c>
      <c r="BL194" s="341">
        <v>78.677769775935317</v>
      </c>
      <c r="BM194" s="341">
        <v>83.75112941321116</v>
      </c>
      <c r="BN194" s="341">
        <v>93.379660617859244</v>
      </c>
      <c r="BO194" s="342">
        <v>90.366443112821216</v>
      </c>
      <c r="BP194" s="341">
        <v>78.677769775935317</v>
      </c>
      <c r="BQ194" s="341">
        <v>83.75112941321116</v>
      </c>
      <c r="BR194" s="341">
        <v>93.379660617859244</v>
      </c>
      <c r="BS194" s="342">
        <v>90.366443112821216</v>
      </c>
      <c r="BT194" s="341">
        <v>78.677769775935317</v>
      </c>
      <c r="BU194" s="341">
        <v>83.75112941321116</v>
      </c>
      <c r="BV194" s="341">
        <v>93.379660617859244</v>
      </c>
      <c r="BW194" s="342">
        <v>90.366443112821216</v>
      </c>
      <c r="BX194" s="346"/>
      <c r="BY194" s="334">
        <v>0</v>
      </c>
      <c r="BZ194" s="325">
        <v>0</v>
      </c>
      <c r="CA194" s="325">
        <v>0</v>
      </c>
      <c r="CB194" s="325">
        <v>0</v>
      </c>
      <c r="CC194" s="325">
        <v>0</v>
      </c>
      <c r="CD194" s="325">
        <v>120.08</v>
      </c>
      <c r="CE194" s="325">
        <v>109.136</v>
      </c>
      <c r="CF194" s="325">
        <v>152.98700000000002</v>
      </c>
      <c r="CG194" s="325">
        <v>141.232</v>
      </c>
      <c r="CH194" s="325">
        <v>156.78800000000001</v>
      </c>
      <c r="CI194" s="325">
        <v>162.50399999999996</v>
      </c>
      <c r="CJ194" s="325">
        <v>193.01100000000002</v>
      </c>
      <c r="CK194" s="325">
        <v>214.73448802782644</v>
      </c>
      <c r="CL194" s="325">
        <v>251.29889176078981</v>
      </c>
      <c r="CM194" s="325">
        <v>325.60966093192167</v>
      </c>
      <c r="CN194" s="325">
        <v>346.17500291982697</v>
      </c>
      <c r="CO194" s="325">
        <v>346.17500291982697</v>
      </c>
      <c r="CP194" s="326">
        <v>346.17500291982697</v>
      </c>
    </row>
    <row r="195" spans="1:94" s="1361" customFormat="1" ht="14.25" hidden="1" customHeight="1" outlineLevel="2">
      <c r="A195" s="1364"/>
      <c r="B195" s="32" t="s">
        <v>297</v>
      </c>
      <c r="C195" s="218"/>
      <c r="D195" s="134"/>
      <c r="E195" s="78"/>
      <c r="F195" s="78"/>
      <c r="G195" s="79"/>
      <c r="H195" s="134"/>
      <c r="I195" s="78"/>
      <c r="J195" s="78"/>
      <c r="K195" s="79"/>
      <c r="L195" s="134"/>
      <c r="M195" s="78"/>
      <c r="N195" s="78"/>
      <c r="O195" s="79"/>
      <c r="P195" s="134"/>
      <c r="Q195" s="78"/>
      <c r="R195" s="78"/>
      <c r="S195" s="79"/>
      <c r="T195" s="134"/>
      <c r="U195" s="78"/>
      <c r="V195" s="78"/>
      <c r="W195" s="79"/>
      <c r="X195" s="134"/>
      <c r="Y195" s="78"/>
      <c r="Z195" s="78">
        <v>0.27832106361938269</v>
      </c>
      <c r="AA195" s="79">
        <v>-0.20190820010314592</v>
      </c>
      <c r="AB195" s="134">
        <v>-0.39633817985998898</v>
      </c>
      <c r="AC195" s="78">
        <v>0.2328278322925954</v>
      </c>
      <c r="AD195" s="78">
        <v>8.1259044862517893E-2</v>
      </c>
      <c r="AE195" s="79">
        <v>-2.328849628588614E-2</v>
      </c>
      <c r="AF195" s="134">
        <v>0.25029119561493673</v>
      </c>
      <c r="AG195" s="78">
        <v>2.0276194651465129E-3</v>
      </c>
      <c r="AH195" s="78">
        <v>0.14588460486737853</v>
      </c>
      <c r="AI195" s="79">
        <v>-9.2805154516167776E-2</v>
      </c>
      <c r="AJ195" s="134">
        <v>-0.10732323232323249</v>
      </c>
      <c r="AK195" s="78">
        <v>9.7772277227722526E-2</v>
      </c>
      <c r="AL195" s="78">
        <v>-1.8789928598271E-2</v>
      </c>
      <c r="AM195" s="79">
        <v>-8.3875909613175259E-2</v>
      </c>
      <c r="AN195" s="134">
        <v>0.17152412804586747</v>
      </c>
      <c r="AO195" s="78">
        <v>5.3425774877650767E-2</v>
      </c>
      <c r="AP195" s="78">
        <v>-2.1002710027100302E-2</v>
      </c>
      <c r="AQ195" s="79">
        <v>-0.11596638655462155</v>
      </c>
      <c r="AR195" s="134">
        <v>-8.5215835383583349E-2</v>
      </c>
      <c r="AS195" s="78">
        <v>0.20433985330073323</v>
      </c>
      <c r="AT195" s="78">
        <v>0.13830381160229388</v>
      </c>
      <c r="AU195" s="79">
        <v>1.4847512038523414E-2</v>
      </c>
      <c r="AV195" s="134">
        <v>-6.33979174904441E-2</v>
      </c>
      <c r="AW195" s="78">
        <v>8.8516746411483327E-2</v>
      </c>
      <c r="AX195" s="78">
        <v>0.16308985132514553</v>
      </c>
      <c r="AY195" s="78">
        <v>-7.3973211804590711E-2</v>
      </c>
      <c r="AZ195" s="134">
        <v>-3.1742668378933137E-2</v>
      </c>
      <c r="BA195" s="78">
        <v>0.17286833551273628</v>
      </c>
      <c r="BB195" s="78">
        <v>9.5212284985279894E-3</v>
      </c>
      <c r="BC195" s="79">
        <v>-8.8015237669806567E-2</v>
      </c>
      <c r="BD195" s="134">
        <v>-9.3042184888824209E-2</v>
      </c>
      <c r="BE195" s="78">
        <v>0.15381816673429483</v>
      </c>
      <c r="BF195" s="78">
        <v>0.2172935542237302</v>
      </c>
      <c r="BG195" s="1375">
        <v>0.24119907598784174</v>
      </c>
      <c r="BH195" s="78">
        <v>-0.10292613636363646</v>
      </c>
      <c r="BI195" s="78">
        <v>5.2896253602305432E-2</v>
      </c>
      <c r="BJ195" s="78">
        <v>0.12337110481586411</v>
      </c>
      <c r="BK195" s="79">
        <v>-2.192787794729556E-2</v>
      </c>
      <c r="BL195" s="78">
        <v>-8.2530949105914631E-2</v>
      </c>
      <c r="BM195" s="78">
        <v>6.4482758620689751E-2</v>
      </c>
      <c r="BN195" s="78">
        <v>0.1149659863945578</v>
      </c>
      <c r="BO195" s="79">
        <v>-3.2268456375838861E-2</v>
      </c>
      <c r="BP195" s="78">
        <v>-8.2530949105914631E-2</v>
      </c>
      <c r="BQ195" s="78">
        <v>6.4482758620689751E-2</v>
      </c>
      <c r="BR195" s="78">
        <v>0.1149659863945578</v>
      </c>
      <c r="BS195" s="79">
        <v>-3.2268456375838861E-2</v>
      </c>
      <c r="BT195" s="78">
        <v>-8.2530949105914631E-2</v>
      </c>
      <c r="BU195" s="78">
        <v>6.4482758620689751E-2</v>
      </c>
      <c r="BV195" s="78">
        <v>0.1149659863945578</v>
      </c>
      <c r="BW195" s="79">
        <v>-3.2268456375838861E-2</v>
      </c>
      <c r="BX195" s="346"/>
      <c r="BY195" s="219"/>
      <c r="BZ195" s="220"/>
      <c r="CA195" s="220"/>
      <c r="CB195" s="220"/>
      <c r="CC195" s="220"/>
      <c r="CD195" s="220"/>
      <c r="CE195" s="220"/>
      <c r="CF195" s="220"/>
      <c r="CG195" s="220"/>
      <c r="CH195" s="220"/>
      <c r="CI195" s="220"/>
      <c r="CJ195" s="220"/>
      <c r="CK195" s="220"/>
      <c r="CL195" s="220"/>
      <c r="CM195" s="220"/>
      <c r="CN195" s="220"/>
      <c r="CO195" s="220"/>
      <c r="CP195" s="258"/>
    </row>
    <row r="196" spans="1:94" s="1361" customFormat="1" ht="14.25" hidden="1" customHeight="1" outlineLevel="2">
      <c r="A196" s="1364"/>
      <c r="B196" s="32" t="s">
        <v>298</v>
      </c>
      <c r="C196" s="218"/>
      <c r="D196" s="134"/>
      <c r="E196" s="78"/>
      <c r="F196" s="78"/>
      <c r="G196" s="79"/>
      <c r="H196" s="134"/>
      <c r="I196" s="78"/>
      <c r="J196" s="78"/>
      <c r="K196" s="79"/>
      <c r="L196" s="134"/>
      <c r="M196" s="78"/>
      <c r="N196" s="78"/>
      <c r="O196" s="79"/>
      <c r="P196" s="134"/>
      <c r="Q196" s="78"/>
      <c r="R196" s="78"/>
      <c r="S196" s="79"/>
      <c r="T196" s="134"/>
      <c r="U196" s="78"/>
      <c r="V196" s="78"/>
      <c r="W196" s="79"/>
      <c r="X196" s="134"/>
      <c r="Y196" s="78"/>
      <c r="Z196" s="78"/>
      <c r="AA196" s="79"/>
      <c r="AB196" s="134"/>
      <c r="AC196" s="78">
        <v>-0.24074277551917367</v>
      </c>
      <c r="AD196" s="78">
        <v>-0.35778751933986597</v>
      </c>
      <c r="AE196" s="79">
        <v>-0.21405492730210018</v>
      </c>
      <c r="AF196" s="134">
        <v>0.6278322925958959</v>
      </c>
      <c r="AG196" s="78">
        <v>0.32308248914616455</v>
      </c>
      <c r="AH196" s="78">
        <v>0.40216154721274244</v>
      </c>
      <c r="AI196" s="79">
        <v>0.30236382322713262</v>
      </c>
      <c r="AJ196" s="134">
        <v>-7.0144673388864542E-2</v>
      </c>
      <c r="AK196" s="78">
        <v>1.8703855619360166E-2</v>
      </c>
      <c r="AL196" s="78">
        <v>-0.12769359265004199</v>
      </c>
      <c r="AM196" s="79">
        <v>-0.11910774410774438</v>
      </c>
      <c r="AN196" s="134">
        <v>0.15605846298915593</v>
      </c>
      <c r="AO196" s="78">
        <v>0.10935738444193932</v>
      </c>
      <c r="AP196" s="78">
        <v>0.10685561087705842</v>
      </c>
      <c r="AQ196" s="79">
        <v>6.8084089823220673E-2</v>
      </c>
      <c r="AR196" s="134">
        <v>-0.16598694942903758</v>
      </c>
      <c r="AS196" s="78">
        <v>-4.6506000774293565E-2</v>
      </c>
      <c r="AT196" s="78">
        <v>0.10865051903114176</v>
      </c>
      <c r="AU196" s="79">
        <v>0.27270185640796218</v>
      </c>
      <c r="AV196" s="134">
        <v>0.30305623471882659</v>
      </c>
      <c r="AW196" s="78">
        <v>0.17773943054357244</v>
      </c>
      <c r="AX196" s="78">
        <v>0.20338416265382597</v>
      </c>
      <c r="AY196" s="78">
        <v>9.8062475286674777E-2</v>
      </c>
      <c r="AZ196" s="134">
        <v>0.13517475791375011</v>
      </c>
      <c r="BA196" s="78">
        <v>0.22314198033207933</v>
      </c>
      <c r="BB196" s="78">
        <v>6.1644371848081914E-2</v>
      </c>
      <c r="BC196" s="79">
        <v>4.5545876729811141E-2</v>
      </c>
      <c r="BD196" s="134">
        <v>-2.0646709310456535E-2</v>
      </c>
      <c r="BE196" s="78">
        <v>-3.6553733923924137E-2</v>
      </c>
      <c r="BF196" s="78">
        <v>0.16173577774054548</v>
      </c>
      <c r="BG196" s="1375">
        <v>0.58110687089694002</v>
      </c>
      <c r="BH196" s="78">
        <v>0.56387609860735788</v>
      </c>
      <c r="BI196" s="78">
        <v>0.42708732865796617</v>
      </c>
      <c r="BJ196" s="78">
        <v>0.3169778674179784</v>
      </c>
      <c r="BK196" s="79">
        <v>3.7786252343749993E-2</v>
      </c>
      <c r="BL196" s="78">
        <v>6.1380569164265264E-2</v>
      </c>
      <c r="BM196" s="78">
        <v>7.3060439093484808E-2</v>
      </c>
      <c r="BN196" s="78">
        <v>6.5031747572815712E-2</v>
      </c>
      <c r="BO196" s="79">
        <v>5.3771796423659257E-2</v>
      </c>
      <c r="BP196" s="78">
        <v>6.1380569164265264E-2</v>
      </c>
      <c r="BQ196" s="78">
        <v>7.3060439093484808E-2</v>
      </c>
      <c r="BR196" s="78">
        <v>6.5031747572815712E-2</v>
      </c>
      <c r="BS196" s="79">
        <v>5.3771796423659257E-2</v>
      </c>
      <c r="BT196" s="78">
        <v>6.1380569164265264E-2</v>
      </c>
      <c r="BU196" s="78">
        <v>7.3060439093484808E-2</v>
      </c>
      <c r="BV196" s="78">
        <v>6.5031747572815712E-2</v>
      </c>
      <c r="BW196" s="79">
        <v>5.3771796423659257E-2</v>
      </c>
      <c r="BX196" s="346"/>
      <c r="BY196" s="377"/>
      <c r="BZ196" s="338"/>
      <c r="CA196" s="338"/>
      <c r="CB196" s="338"/>
      <c r="CC196" s="338"/>
      <c r="CD196" s="338"/>
      <c r="CE196" s="338">
        <v>-9.1139240506329156E-2</v>
      </c>
      <c r="CF196" s="338">
        <v>0.40180142207887437</v>
      </c>
      <c r="CG196" s="338">
        <v>-7.6836593958964028E-2</v>
      </c>
      <c r="CH196" s="338">
        <v>0.11014500962954576</v>
      </c>
      <c r="CI196" s="338">
        <v>3.6456871699364513E-2</v>
      </c>
      <c r="CJ196" s="338">
        <v>0.18773076355043616</v>
      </c>
      <c r="CK196" s="338">
        <v>0.11255051799030324</v>
      </c>
      <c r="CL196" s="338">
        <v>0.17027727622507083</v>
      </c>
      <c r="CM196" s="338">
        <v>0.29570671263392567</v>
      </c>
      <c r="CN196" s="338">
        <v>6.315949572578905E-2</v>
      </c>
      <c r="CO196" s="338">
        <v>6.315949572578905E-2</v>
      </c>
      <c r="CP196" s="337">
        <v>6.315949572578905E-2</v>
      </c>
    </row>
    <row r="197" spans="1:94" s="1361" customFormat="1" ht="14.25" hidden="1" customHeight="1" outlineLevel="2">
      <c r="A197" s="1364"/>
      <c r="B197" s="32" t="s">
        <v>549</v>
      </c>
      <c r="C197" s="218"/>
      <c r="D197" s="134"/>
      <c r="E197" s="78"/>
      <c r="F197" s="78"/>
      <c r="G197" s="79"/>
      <c r="H197" s="134"/>
      <c r="I197" s="78"/>
      <c r="J197" s="78"/>
      <c r="K197" s="79"/>
      <c r="L197" s="134"/>
      <c r="M197" s="78"/>
      <c r="N197" s="78"/>
      <c r="O197" s="79"/>
      <c r="P197" s="134"/>
      <c r="Q197" s="78"/>
      <c r="R197" s="78"/>
      <c r="S197" s="79"/>
      <c r="T197" s="134"/>
      <c r="U197" s="78"/>
      <c r="V197" s="78"/>
      <c r="W197" s="79"/>
      <c r="X197" s="134"/>
      <c r="Y197" s="78">
        <v>0.34050115514483731</v>
      </c>
      <c r="Z197" s="78">
        <v>0.38108340498710236</v>
      </c>
      <c r="AA197" s="79">
        <v>0.37998772252915897</v>
      </c>
      <c r="AB197" s="134">
        <v>0.29570034291743613</v>
      </c>
      <c r="AC197" s="78">
        <v>0.32920438303954264</v>
      </c>
      <c r="AD197" s="78">
        <v>0.37174878409811796</v>
      </c>
      <c r="AE197" s="79">
        <v>0.39147052906859792</v>
      </c>
      <c r="AF197" s="134">
        <v>0.41457651762995273</v>
      </c>
      <c r="AG197" s="78">
        <v>0.417966740956626</v>
      </c>
      <c r="AH197" s="78">
        <v>0.41035458631596478</v>
      </c>
      <c r="AI197" s="79">
        <v>0.41022099447513816</v>
      </c>
      <c r="AJ197" s="134">
        <v>0.27842866988283937</v>
      </c>
      <c r="AK197" s="78">
        <v>0.29377345992492815</v>
      </c>
      <c r="AL197" s="78">
        <v>0.29075723830734967</v>
      </c>
      <c r="AM197" s="79">
        <v>0.31149889308503703</v>
      </c>
      <c r="AN197" s="134">
        <v>0.32939279957012357</v>
      </c>
      <c r="AO197" s="78">
        <v>0.3468045112781955</v>
      </c>
      <c r="AP197" s="78">
        <v>0.32804962095106815</v>
      </c>
      <c r="AQ197" s="79">
        <v>0.30932078800352841</v>
      </c>
      <c r="AR197" s="134">
        <v>0.30937972768532523</v>
      </c>
      <c r="AS197" s="78">
        <v>0.33677175650152547</v>
      </c>
      <c r="AT197" s="78">
        <v>0.3483365949119373</v>
      </c>
      <c r="AU197" s="79">
        <v>0.35222841225626739</v>
      </c>
      <c r="AV197" s="134">
        <v>0.35498938428874738</v>
      </c>
      <c r="AW197" s="78">
        <v>0.36034846884899685</v>
      </c>
      <c r="AX197" s="78">
        <v>0.34085182963407318</v>
      </c>
      <c r="AY197" s="78">
        <v>0.32133765332099051</v>
      </c>
      <c r="AZ197" s="134">
        <v>0.34497014239779505</v>
      </c>
      <c r="BA197" s="78">
        <v>0.34571266325951161</v>
      </c>
      <c r="BB197" s="78">
        <v>0.34111012826183107</v>
      </c>
      <c r="BC197" s="79">
        <v>0.33309532309889323</v>
      </c>
      <c r="BD197" s="134">
        <v>0.33712677435144395</v>
      </c>
      <c r="BE197" s="78">
        <v>0.35076327181590333</v>
      </c>
      <c r="BF197" s="78">
        <v>0.34598801135766116</v>
      </c>
      <c r="BG197" s="1374">
        <v>0.35199999999999998</v>
      </c>
      <c r="BH197" s="82">
        <v>0.34699999999999998</v>
      </c>
      <c r="BI197" s="80">
        <v>0.35299999999999998</v>
      </c>
      <c r="BJ197" s="80">
        <v>0.36049999999999999</v>
      </c>
      <c r="BK197" s="81">
        <v>0.36349999999999999</v>
      </c>
      <c r="BL197" s="82">
        <v>0.36249999999999999</v>
      </c>
      <c r="BM197" s="80">
        <v>0.36749999999999999</v>
      </c>
      <c r="BN197" s="80">
        <v>0.3725</v>
      </c>
      <c r="BO197" s="81">
        <v>0.3755</v>
      </c>
      <c r="BP197" s="82">
        <v>0.36249999999999999</v>
      </c>
      <c r="BQ197" s="80">
        <v>0.36749999999999999</v>
      </c>
      <c r="BR197" s="80">
        <v>0.3725</v>
      </c>
      <c r="BS197" s="81">
        <v>0.3755</v>
      </c>
      <c r="BT197" s="82">
        <v>0.36249999999999999</v>
      </c>
      <c r="BU197" s="80">
        <v>0.36749999999999999</v>
      </c>
      <c r="BV197" s="80">
        <v>0.3725</v>
      </c>
      <c r="BW197" s="81">
        <v>0.3755</v>
      </c>
      <c r="BX197" s="346"/>
      <c r="BY197" s="219"/>
      <c r="BZ197" s="220"/>
      <c r="CA197" s="220"/>
      <c r="CB197" s="220"/>
      <c r="CC197" s="220"/>
      <c r="CD197" s="220">
        <v>0.36747784360769714</v>
      </c>
      <c r="CE197" s="220">
        <v>0.34675190158163288</v>
      </c>
      <c r="CF197" s="220">
        <v>0.41312331563683108</v>
      </c>
      <c r="CG197" s="220">
        <v>0.29305987275949219</v>
      </c>
      <c r="CH197" s="220">
        <v>0.32853002990103536</v>
      </c>
      <c r="CI197" s="220">
        <v>0.33799863971895838</v>
      </c>
      <c r="CJ197" s="220">
        <v>0.34293679306631991</v>
      </c>
      <c r="CK197" s="220">
        <v>0.34117332066702644</v>
      </c>
      <c r="CL197" s="220">
        <v>0.34724544815005637</v>
      </c>
      <c r="CM197" s="220">
        <v>0.3563040871046052</v>
      </c>
      <c r="CN197" s="220">
        <v>0.36973594047011921</v>
      </c>
      <c r="CO197" s="220">
        <v>0.36973594047011921</v>
      </c>
      <c r="CP197" s="258">
        <v>0.36973594047011921</v>
      </c>
    </row>
    <row r="198" spans="1:94" s="1361" customFormat="1" ht="14.25" hidden="1" customHeight="1" outlineLevel="2">
      <c r="A198" s="1364"/>
      <c r="B198" s="840"/>
      <c r="C198" s="237"/>
      <c r="D198" s="318"/>
      <c r="E198" s="221"/>
      <c r="F198" s="221"/>
      <c r="G198" s="614"/>
      <c r="H198" s="318"/>
      <c r="I198" s="221"/>
      <c r="J198" s="221"/>
      <c r="K198" s="614"/>
      <c r="L198" s="318"/>
      <c r="M198" s="221"/>
      <c r="N198" s="221"/>
      <c r="O198" s="614"/>
      <c r="P198" s="318"/>
      <c r="Q198" s="221"/>
      <c r="R198" s="221"/>
      <c r="S198" s="614"/>
      <c r="T198" s="318"/>
      <c r="U198" s="221"/>
      <c r="V198" s="221"/>
      <c r="W198" s="614"/>
      <c r="X198" s="318"/>
      <c r="Y198" s="221"/>
      <c r="Z198" s="221"/>
      <c r="AA198" s="614"/>
      <c r="AB198" s="318"/>
      <c r="AC198" s="221"/>
      <c r="AD198" s="221"/>
      <c r="AE198" s="614"/>
      <c r="AF198" s="318"/>
      <c r="AG198" s="221"/>
      <c r="AH198" s="221"/>
      <c r="AI198" s="614"/>
      <c r="AJ198" s="318"/>
      <c r="AK198" s="221"/>
      <c r="AL198" s="221"/>
      <c r="AM198" s="614"/>
      <c r="AN198" s="318"/>
      <c r="AO198" s="221"/>
      <c r="AP198" s="221"/>
      <c r="AQ198" s="614"/>
      <c r="AR198" s="318"/>
      <c r="AS198" s="221"/>
      <c r="AT198" s="221"/>
      <c r="AU198" s="614"/>
      <c r="AV198" s="318"/>
      <c r="AW198" s="221"/>
      <c r="AX198" s="221"/>
      <c r="AY198" s="221"/>
      <c r="AZ198" s="54"/>
      <c r="BA198" s="60"/>
      <c r="BB198" s="221"/>
      <c r="BC198" s="614"/>
      <c r="BD198" s="54"/>
      <c r="BE198" s="60"/>
      <c r="BF198" s="221"/>
      <c r="BG198" s="55"/>
      <c r="BH198" s="60"/>
      <c r="BI198" s="60"/>
      <c r="BJ198" s="60"/>
      <c r="BK198" s="55"/>
      <c r="BL198" s="60"/>
      <c r="BM198" s="60"/>
      <c r="BN198" s="60"/>
      <c r="BO198" s="55"/>
      <c r="BP198" s="60"/>
      <c r="BQ198" s="60"/>
      <c r="BR198" s="60"/>
      <c r="BS198" s="55"/>
      <c r="BT198" s="60"/>
      <c r="BU198" s="60"/>
      <c r="BV198" s="60"/>
      <c r="BW198" s="55"/>
      <c r="BX198" s="346"/>
      <c r="BY198" s="16"/>
      <c r="BZ198" s="203"/>
      <c r="CA198" s="203"/>
      <c r="CB198" s="203"/>
      <c r="CC198" s="203"/>
      <c r="CD198" s="203"/>
      <c r="CE198" s="203"/>
      <c r="CF198" s="203"/>
      <c r="CG198" s="203"/>
      <c r="CH198" s="203"/>
      <c r="CI198" s="203"/>
      <c r="CJ198" s="203"/>
      <c r="CK198" s="203"/>
      <c r="CL198" s="203"/>
      <c r="CM198" s="203"/>
      <c r="CN198" s="203"/>
      <c r="CO198" s="203"/>
      <c r="CP198" s="17"/>
    </row>
    <row r="199" spans="1:94" s="1361" customFormat="1" ht="14.25" hidden="1" customHeight="1" outlineLevel="2">
      <c r="A199" s="1363"/>
      <c r="B199" s="297" t="s">
        <v>638</v>
      </c>
      <c r="C199" s="287"/>
      <c r="D199" s="495">
        <v>0</v>
      </c>
      <c r="E199" s="495">
        <v>46.116</v>
      </c>
      <c r="F199" s="495">
        <v>45.016000000000005</v>
      </c>
      <c r="G199" s="496">
        <v>50.148000000000003</v>
      </c>
      <c r="H199" s="495">
        <v>55.475999999999999</v>
      </c>
      <c r="I199" s="495">
        <v>60.03</v>
      </c>
      <c r="J199" s="495">
        <v>60.495999999999995</v>
      </c>
      <c r="K199" s="496">
        <v>55.223999999999997</v>
      </c>
      <c r="L199" s="495">
        <v>57.455999999999996</v>
      </c>
      <c r="M199" s="495">
        <v>54.503999999999998</v>
      </c>
      <c r="N199" s="495">
        <v>59.584000000000003</v>
      </c>
      <c r="O199" s="496">
        <v>82.031999999999996</v>
      </c>
      <c r="P199" s="495">
        <v>80.16</v>
      </c>
      <c r="Q199" s="495">
        <v>90.072000000000003</v>
      </c>
      <c r="R199" s="495">
        <v>105.22499999999999</v>
      </c>
      <c r="S199" s="496">
        <v>84.335999999999999</v>
      </c>
      <c r="T199" s="495">
        <v>78.581999999999994</v>
      </c>
      <c r="U199" s="495">
        <v>72.427999999999997</v>
      </c>
      <c r="V199" s="495">
        <v>96.695999999999998</v>
      </c>
      <c r="W199" s="496">
        <v>97.895999999999987</v>
      </c>
      <c r="X199" s="495">
        <v>84.38</v>
      </c>
      <c r="Y199" s="495">
        <v>84.405000000000001</v>
      </c>
      <c r="Z199" s="495">
        <v>104.67</v>
      </c>
      <c r="AA199" s="496">
        <v>78.191999999999993</v>
      </c>
      <c r="AB199" s="495">
        <v>53.074000000000005</v>
      </c>
      <c r="AC199" s="495">
        <v>62.97</v>
      </c>
      <c r="AD199" s="495">
        <v>80.393000000000001</v>
      </c>
      <c r="AE199" s="496">
        <v>89.477999999999994</v>
      </c>
      <c r="AF199" s="495">
        <v>88.032000000000011</v>
      </c>
      <c r="AG199" s="495">
        <v>99.161000000000001</v>
      </c>
      <c r="AH199" s="495">
        <v>108.126</v>
      </c>
      <c r="AI199" s="496">
        <v>92.672000000000011</v>
      </c>
      <c r="AJ199" s="495">
        <v>235.06200000000001</v>
      </c>
      <c r="AK199" s="495">
        <v>235.50800000000001</v>
      </c>
      <c r="AL199" s="495">
        <v>242.46</v>
      </c>
      <c r="AM199" s="496">
        <v>176.61699999999999</v>
      </c>
      <c r="AN199" s="495">
        <v>163.768</v>
      </c>
      <c r="AO199" s="495">
        <v>163.85599999999999</v>
      </c>
      <c r="AP199" s="495">
        <v>166.86500000000001</v>
      </c>
      <c r="AQ199" s="496">
        <v>136.04000000000002</v>
      </c>
      <c r="AR199" s="495">
        <v>132.20000000000002</v>
      </c>
      <c r="AS199" s="495">
        <v>130.77699999999999</v>
      </c>
      <c r="AT199" s="495">
        <v>143.08000000000001</v>
      </c>
      <c r="AU199" s="496">
        <v>143.6</v>
      </c>
      <c r="AV199" s="495">
        <v>120.105</v>
      </c>
      <c r="AW199" s="495">
        <v>136.36799999999999</v>
      </c>
      <c r="AX199" s="495">
        <v>133.36000000000001</v>
      </c>
      <c r="AY199" s="495">
        <v>129.63</v>
      </c>
      <c r="AZ199" s="879">
        <v>104.6</v>
      </c>
      <c r="BA199" s="495">
        <v>101</v>
      </c>
      <c r="BB199" s="495">
        <v>110.1</v>
      </c>
      <c r="BC199" s="496">
        <v>95.8</v>
      </c>
      <c r="BD199" s="879">
        <v>85.9</v>
      </c>
      <c r="BE199" s="495">
        <v>93.02</v>
      </c>
      <c r="BF199" s="495">
        <v>112.82</v>
      </c>
      <c r="BG199" s="1378">
        <v>109.9995</v>
      </c>
      <c r="BH199" s="801">
        <v>102.29953499999999</v>
      </c>
      <c r="BI199" s="801">
        <v>105.36852105</v>
      </c>
      <c r="BJ199" s="801">
        <v>110.6369471025</v>
      </c>
      <c r="BK199" s="810">
        <v>107.317838689425</v>
      </c>
      <c r="BL199" s="801">
        <v>101.95194675495375</v>
      </c>
      <c r="BM199" s="801">
        <v>107.04954409270144</v>
      </c>
      <c r="BN199" s="801">
        <v>112.40202129733652</v>
      </c>
      <c r="BO199" s="810">
        <v>110.15398087138979</v>
      </c>
      <c r="BP199" s="801">
        <v>101.95194675495375</v>
      </c>
      <c r="BQ199" s="801">
        <v>107.04954409270144</v>
      </c>
      <c r="BR199" s="801">
        <v>112.40202129733652</v>
      </c>
      <c r="BS199" s="810">
        <v>110.15398087138979</v>
      </c>
      <c r="BT199" s="801">
        <v>101.95194675495375</v>
      </c>
      <c r="BU199" s="801">
        <v>107.04954409270144</v>
      </c>
      <c r="BV199" s="801">
        <v>112.40202129733652</v>
      </c>
      <c r="BW199" s="810">
        <v>110.15398087138979</v>
      </c>
      <c r="BX199" s="346"/>
      <c r="BY199" s="334">
        <v>141.28</v>
      </c>
      <c r="BZ199" s="325">
        <v>231.226</v>
      </c>
      <c r="CA199" s="325">
        <v>253.57599999999996</v>
      </c>
      <c r="CB199" s="325">
        <v>359.79300000000001</v>
      </c>
      <c r="CC199" s="325">
        <v>345.60199999999998</v>
      </c>
      <c r="CD199" s="325">
        <v>351.64699999999999</v>
      </c>
      <c r="CE199" s="325">
        <v>285.91500000000002</v>
      </c>
      <c r="CF199" s="325">
        <v>387.99100000000004</v>
      </c>
      <c r="CG199" s="325">
        <v>889.64700000000005</v>
      </c>
      <c r="CH199" s="325">
        <v>630.529</v>
      </c>
      <c r="CI199" s="325">
        <v>549.65700000000004</v>
      </c>
      <c r="CJ199" s="325">
        <v>519.46299999999997</v>
      </c>
      <c r="CK199" s="325">
        <v>411.5</v>
      </c>
      <c r="CL199" s="325">
        <v>401.73950000000002</v>
      </c>
      <c r="CM199" s="325">
        <v>425.62284184192498</v>
      </c>
      <c r="CN199" s="325">
        <v>431.5574930163815</v>
      </c>
      <c r="CO199" s="325">
        <v>431.5574930163815</v>
      </c>
      <c r="CP199" s="326">
        <v>431.5574930163815</v>
      </c>
    </row>
    <row r="200" spans="1:94" s="1361" customFormat="1" ht="14.25" hidden="1" customHeight="1" outlineLevel="2">
      <c r="A200" s="1364"/>
      <c r="B200" s="32" t="s">
        <v>297</v>
      </c>
      <c r="C200" s="218"/>
      <c r="D200" s="134"/>
      <c r="E200" s="78"/>
      <c r="F200" s="78">
        <v>-2.3852892705351625E-2</v>
      </c>
      <c r="G200" s="79">
        <v>0.11400390972098795</v>
      </c>
      <c r="H200" s="134">
        <v>0.10624551328068899</v>
      </c>
      <c r="I200" s="78">
        <v>8.2089552238806096E-2</v>
      </c>
      <c r="J200" s="78">
        <v>7.7627852740296266E-3</v>
      </c>
      <c r="K200" s="79">
        <v>-8.7146257603808452E-2</v>
      </c>
      <c r="L200" s="134">
        <v>4.041720990873543E-2</v>
      </c>
      <c r="M200" s="78">
        <v>-5.137844611528819E-2</v>
      </c>
      <c r="N200" s="78">
        <v>9.3204168501394458E-2</v>
      </c>
      <c r="O200" s="79">
        <v>0.37674543501611168</v>
      </c>
      <c r="P200" s="134">
        <v>-2.2820362785254567E-2</v>
      </c>
      <c r="Q200" s="78">
        <v>0.12365269461077855</v>
      </c>
      <c r="R200" s="78">
        <v>0.16823208100186515</v>
      </c>
      <c r="S200" s="79">
        <v>-0.19851746258018532</v>
      </c>
      <c r="T200" s="134">
        <v>-6.8227091633466186E-2</v>
      </c>
      <c r="U200" s="78">
        <v>-7.8313099692041366E-2</v>
      </c>
      <c r="V200" s="78">
        <v>0.33506378748550292</v>
      </c>
      <c r="W200" s="79">
        <v>1.2410027302059978E-2</v>
      </c>
      <c r="X200" s="134">
        <v>-0.13806488518427718</v>
      </c>
      <c r="Y200" s="78">
        <v>2.9627873903770308E-4</v>
      </c>
      <c r="Z200" s="78">
        <v>0.24009241158699135</v>
      </c>
      <c r="AA200" s="79">
        <v>-0.25296646603611361</v>
      </c>
      <c r="AB200" s="134">
        <v>-0.32123490894209117</v>
      </c>
      <c r="AC200" s="78">
        <v>0.1864566454384442</v>
      </c>
      <c r="AD200" s="78">
        <v>0.27668731141813563</v>
      </c>
      <c r="AE200" s="79">
        <v>0.11300735138631457</v>
      </c>
      <c r="AF200" s="134">
        <v>-1.6160396969087221E-2</v>
      </c>
      <c r="AG200" s="78">
        <v>0.12641993820428921</v>
      </c>
      <c r="AH200" s="78">
        <v>9.040852754611195E-2</v>
      </c>
      <c r="AI200" s="79">
        <v>-0.14292584577252454</v>
      </c>
      <c r="AJ200" s="134">
        <v>1.5364943024861875</v>
      </c>
      <c r="AK200" s="78">
        <v>1.8973717572385862E-3</v>
      </c>
      <c r="AL200" s="78">
        <v>2.9519167077126873E-2</v>
      </c>
      <c r="AM200" s="79">
        <v>-0.27156231955786525</v>
      </c>
      <c r="AN200" s="134">
        <v>-7.2750641218002787E-2</v>
      </c>
      <c r="AO200" s="78">
        <v>5.3734551316497736E-4</v>
      </c>
      <c r="AP200" s="78">
        <v>1.8363685186993495E-2</v>
      </c>
      <c r="AQ200" s="79">
        <v>-0.18473017109639522</v>
      </c>
      <c r="AR200" s="134">
        <v>-2.8226992061158529E-2</v>
      </c>
      <c r="AS200" s="78">
        <v>-1.0763993948562978E-2</v>
      </c>
      <c r="AT200" s="78">
        <v>9.4076175474280932E-2</v>
      </c>
      <c r="AU200" s="79">
        <v>3.6343304445063396E-3</v>
      </c>
      <c r="AV200" s="134">
        <v>-0.1636142061281336</v>
      </c>
      <c r="AW200" s="78">
        <v>0.1354065192956162</v>
      </c>
      <c r="AX200" s="78">
        <v>-2.2057960811920574E-2</v>
      </c>
      <c r="AY200" s="78">
        <v>-2.7969406118776408E-2</v>
      </c>
      <c r="AZ200" s="134">
        <v>-0.19308801974851497</v>
      </c>
      <c r="BA200" s="78">
        <v>-3.4416826003824008E-2</v>
      </c>
      <c r="BB200" s="78">
        <v>9.0099009900989957E-2</v>
      </c>
      <c r="BC200" s="79">
        <v>-0.12988192552225253</v>
      </c>
      <c r="BD200" s="134">
        <v>-0.10334029227557406</v>
      </c>
      <c r="BE200" s="78">
        <v>8.2887077997671588E-2</v>
      </c>
      <c r="BF200" s="78">
        <v>0.21285745001075029</v>
      </c>
      <c r="BG200" s="1374">
        <v>-2.5000000000000001E-2</v>
      </c>
      <c r="BH200" s="80">
        <v>-7.0000000000000007E-2</v>
      </c>
      <c r="BI200" s="80">
        <v>0.03</v>
      </c>
      <c r="BJ200" s="80">
        <v>0.05</v>
      </c>
      <c r="BK200" s="81">
        <v>-0.03</v>
      </c>
      <c r="BL200" s="80">
        <v>-0.05</v>
      </c>
      <c r="BM200" s="80">
        <v>0.05</v>
      </c>
      <c r="BN200" s="80">
        <v>0.05</v>
      </c>
      <c r="BO200" s="81">
        <v>-0.02</v>
      </c>
      <c r="BP200" s="80">
        <v>-0.05</v>
      </c>
      <c r="BQ200" s="80">
        <v>0.05</v>
      </c>
      <c r="BR200" s="80">
        <v>0.05</v>
      </c>
      <c r="BS200" s="81">
        <v>-0.02</v>
      </c>
      <c r="BT200" s="80">
        <v>-0.05</v>
      </c>
      <c r="BU200" s="80">
        <v>0.05</v>
      </c>
      <c r="BV200" s="80">
        <v>0.05</v>
      </c>
      <c r="BW200" s="81">
        <v>-0.02</v>
      </c>
      <c r="BX200" s="346"/>
      <c r="BY200" s="219"/>
      <c r="BZ200" s="220"/>
      <c r="CA200" s="220"/>
      <c r="CB200" s="220"/>
      <c r="CC200" s="220"/>
      <c r="CD200" s="220"/>
      <c r="CE200" s="220"/>
      <c r="CF200" s="220"/>
      <c r="CG200" s="913"/>
      <c r="CH200" s="220"/>
      <c r="CI200" s="220"/>
      <c r="CJ200" s="220"/>
      <c r="CK200" s="220"/>
      <c r="CL200" s="220"/>
      <c r="CM200" s="220"/>
      <c r="CN200" s="220"/>
      <c r="CO200" s="220"/>
      <c r="CP200" s="258"/>
    </row>
    <row r="201" spans="1:94" s="1361" customFormat="1" ht="14.25" hidden="1" customHeight="1" outlineLevel="2">
      <c r="A201" s="1364"/>
      <c r="B201" s="32" t="s">
        <v>548</v>
      </c>
      <c r="C201" s="218"/>
      <c r="D201" s="134"/>
      <c r="E201" s="78"/>
      <c r="F201" s="78"/>
      <c r="G201" s="79"/>
      <c r="H201" s="134"/>
      <c r="I201" s="78"/>
      <c r="J201" s="78"/>
      <c r="K201" s="79"/>
      <c r="L201" s="134"/>
      <c r="M201" s="78"/>
      <c r="N201" s="78"/>
      <c r="O201" s="79"/>
      <c r="P201" s="134"/>
      <c r="Q201" s="78" t="s">
        <v>366</v>
      </c>
      <c r="R201" s="78"/>
      <c r="S201" s="79"/>
      <c r="T201" s="134"/>
      <c r="U201" s="78" t="s">
        <v>366</v>
      </c>
      <c r="V201" s="78"/>
      <c r="W201" s="79"/>
      <c r="X201" s="134"/>
      <c r="Y201" s="78">
        <v>1.9012675260563772E-2</v>
      </c>
      <c r="Z201" s="78">
        <v>0.11608198591148811</v>
      </c>
      <c r="AA201" s="79">
        <v>4.3499130371033166E-2</v>
      </c>
      <c r="AB201" s="134">
        <v>-1.6489923282714702E-2</v>
      </c>
      <c r="AC201" s="78">
        <v>1.5269395956258558E-2</v>
      </c>
      <c r="AD201" s="78">
        <v>0.16887104676995671</v>
      </c>
      <c r="AE201" s="79">
        <v>-2.9894944780387143E-2</v>
      </c>
      <c r="AF201" s="134">
        <v>-0.10198600772727073</v>
      </c>
      <c r="AG201" s="78">
        <v>3.6142814596186179E-2</v>
      </c>
      <c r="AH201" s="78">
        <v>0.22265595199877791</v>
      </c>
      <c r="AI201" s="79">
        <v>1.013577701763746E-2</v>
      </c>
      <c r="AJ201" s="134">
        <v>-0.11330152910283527</v>
      </c>
      <c r="AK201" s="78">
        <v>7.1702491460101658E-2</v>
      </c>
      <c r="AL201" s="78">
        <v>0.22209682380772139</v>
      </c>
      <c r="AM201" s="79">
        <v>-9.3798479140089791E-2</v>
      </c>
      <c r="AN201" s="134">
        <v>0.19856140395145316</v>
      </c>
      <c r="AO201" s="78">
        <v>4.7351426889393665E-2</v>
      </c>
      <c r="AP201" s="78">
        <v>0.19435424102277374</v>
      </c>
      <c r="AQ201" s="79">
        <v>-0.10840745053562577</v>
      </c>
      <c r="AR201" s="134">
        <v>0.19765669403454583</v>
      </c>
      <c r="AS201" s="78">
        <v>6.312151593043494E-2</v>
      </c>
      <c r="AT201" s="78">
        <v>0.13101422056307185</v>
      </c>
      <c r="AU201" s="79">
        <v>-0.14783549021531681</v>
      </c>
      <c r="AV201" s="134">
        <v>0.21962427265916956</v>
      </c>
      <c r="AW201" s="78">
        <v>6.0909461392914796E-2</v>
      </c>
      <c r="AX201" s="78">
        <v>0.10181097334052977</v>
      </c>
      <c r="AY201" s="78">
        <v>-9.6515330919192815E-2</v>
      </c>
      <c r="AZ201" s="134">
        <v>0.25114841322196108</v>
      </c>
      <c r="BA201" s="78">
        <v>5.0699436164349201E-2</v>
      </c>
      <c r="BB201" s="78">
        <v>4.2061918894518532E-2</v>
      </c>
      <c r="BC201" s="79">
        <v>-0.12471068242021102</v>
      </c>
      <c r="BD201" s="134">
        <v>0.21576288866607554</v>
      </c>
      <c r="BE201" s="78">
        <v>1.8532083322726555E-2</v>
      </c>
      <c r="BF201" s="78">
        <v>4.2000015365494137E-2</v>
      </c>
      <c r="BG201" s="1375">
        <v>-0.12210189837015661</v>
      </c>
      <c r="BH201" s="78">
        <v>-0.11220403028627679</v>
      </c>
      <c r="BI201" s="78">
        <v>3.4730024570813159E-2</v>
      </c>
      <c r="BJ201" s="78">
        <v>7.8667671952218826E-2</v>
      </c>
      <c r="BK201" s="79">
        <v>-7.2789434458583574E-2</v>
      </c>
      <c r="BL201" s="78">
        <v>-0.11165390204267622</v>
      </c>
      <c r="BM201" s="78">
        <v>4.0622555468180159E-2</v>
      </c>
      <c r="BN201" s="78">
        <v>8.4994934914820117E-2</v>
      </c>
      <c r="BO201" s="79">
        <v>-4.1843400239304517E-2</v>
      </c>
      <c r="BP201" s="78">
        <v>-0.11165390204267622</v>
      </c>
      <c r="BQ201" s="78">
        <v>4.0622555468180159E-2</v>
      </c>
      <c r="BR201" s="78">
        <v>8.4994934914820117E-2</v>
      </c>
      <c r="BS201" s="79">
        <v>-4.1843400239304517E-2</v>
      </c>
      <c r="BT201" s="78">
        <v>-0.11165390204267622</v>
      </c>
      <c r="BU201" s="78">
        <v>4.0622555468180159E-2</v>
      </c>
      <c r="BV201" s="78">
        <v>8.4994934914820117E-2</v>
      </c>
      <c r="BW201" s="79">
        <v>-4.1843400239304517E-2</v>
      </c>
      <c r="BX201" s="346"/>
      <c r="BY201" s="219"/>
      <c r="BZ201" s="220"/>
      <c r="CA201" s="220"/>
      <c r="CB201" s="220"/>
      <c r="CC201" s="220"/>
      <c r="CD201" s="220"/>
      <c r="CE201" s="220"/>
      <c r="CF201" s="220"/>
      <c r="CG201" s="220"/>
      <c r="CH201" s="220"/>
      <c r="CI201" s="220"/>
      <c r="CJ201" s="220"/>
      <c r="CK201" s="220"/>
      <c r="CL201" s="220"/>
      <c r="CM201" s="220"/>
      <c r="CN201" s="220"/>
      <c r="CO201" s="220"/>
      <c r="CP201" s="258"/>
    </row>
    <row r="202" spans="1:94" s="1361" customFormat="1" ht="14.25" hidden="1" customHeight="1" outlineLevel="2">
      <c r="A202" s="1365"/>
      <c r="B202" s="867" t="s">
        <v>298</v>
      </c>
      <c r="C202" s="880"/>
      <c r="D202" s="377"/>
      <c r="E202" s="370"/>
      <c r="F202" s="370"/>
      <c r="G202" s="335"/>
      <c r="H202" s="377"/>
      <c r="I202" s="370">
        <v>0.30171740827478533</v>
      </c>
      <c r="J202" s="370">
        <v>0.34387773236182673</v>
      </c>
      <c r="K202" s="335">
        <v>0.10122038765254837</v>
      </c>
      <c r="L202" s="377">
        <v>3.5691109669045984E-2</v>
      </c>
      <c r="M202" s="370">
        <v>-9.2053973013493273E-2</v>
      </c>
      <c r="N202" s="370">
        <v>-1.5075376884421954E-2</v>
      </c>
      <c r="O202" s="335">
        <v>0.48544111255975664</v>
      </c>
      <c r="P202" s="377">
        <v>0.39515455304928992</v>
      </c>
      <c r="Q202" s="370">
        <v>0.65257595772787336</v>
      </c>
      <c r="R202" s="370">
        <v>0.76599422663802352</v>
      </c>
      <c r="S202" s="335">
        <v>2.8086600351082458E-2</v>
      </c>
      <c r="T202" s="377">
        <v>-1.9685628742515004E-2</v>
      </c>
      <c r="U202" s="370">
        <v>-0.19588773425703887</v>
      </c>
      <c r="V202" s="370">
        <v>-8.1054882394868133E-2</v>
      </c>
      <c r="W202" s="335">
        <v>0.16078542970973242</v>
      </c>
      <c r="X202" s="377">
        <v>7.3782800132345949E-2</v>
      </c>
      <c r="Y202" s="370">
        <v>0.16536422378085835</v>
      </c>
      <c r="Z202" s="370">
        <v>8.2464631422189072E-2</v>
      </c>
      <c r="AA202" s="335">
        <v>-0.20127482226035787</v>
      </c>
      <c r="AB202" s="377">
        <v>-0.3710120881725526</v>
      </c>
      <c r="AC202" s="370">
        <v>-0.25395414963568508</v>
      </c>
      <c r="AD202" s="370">
        <v>-0.23193847329702877</v>
      </c>
      <c r="AE202" s="335">
        <v>0.14433701657458564</v>
      </c>
      <c r="AF202" s="377">
        <v>0.65866525982590352</v>
      </c>
      <c r="AG202" s="370">
        <v>0.57473400031761157</v>
      </c>
      <c r="AH202" s="370">
        <v>0.3449678454591818</v>
      </c>
      <c r="AI202" s="335">
        <v>3.5695925255370131E-2</v>
      </c>
      <c r="AJ202" s="377">
        <v>1.6701881134133041</v>
      </c>
      <c r="AK202" s="370">
        <v>1.375006302881173</v>
      </c>
      <c r="AL202" s="370">
        <v>1.2423838854669551</v>
      </c>
      <c r="AM202" s="335">
        <v>0.90582916091160182</v>
      </c>
      <c r="AN202" s="377">
        <v>-0.30329870417166538</v>
      </c>
      <c r="AO202" s="370">
        <v>-0.30424444180240162</v>
      </c>
      <c r="AP202" s="370">
        <v>-0.31178338695042485</v>
      </c>
      <c r="AQ202" s="335">
        <v>-0.22974572096683765</v>
      </c>
      <c r="AR202" s="377">
        <v>-0.19276049044990462</v>
      </c>
      <c r="AS202" s="370">
        <v>-0.20187847866419295</v>
      </c>
      <c r="AT202" s="370">
        <v>-0.14254037695142774</v>
      </c>
      <c r="AU202" s="335">
        <v>5.5571890620405462E-2</v>
      </c>
      <c r="AV202" s="377">
        <v>-9.1490166414523566E-2</v>
      </c>
      <c r="AW202" s="370">
        <v>4.2752165900731942E-2</v>
      </c>
      <c r="AX202" s="370">
        <v>-6.7934022924238224E-2</v>
      </c>
      <c r="AY202" s="370">
        <v>-9.7284122562674047E-2</v>
      </c>
      <c r="AZ202" s="377">
        <v>-0.12909537488031309</v>
      </c>
      <c r="BA202" s="370">
        <v>-0.25935703390824827</v>
      </c>
      <c r="BB202" s="370">
        <v>-0.17441511697660483</v>
      </c>
      <c r="BC202" s="335">
        <v>-0.26097354007559981</v>
      </c>
      <c r="BD202" s="377">
        <v>-0.178776290630975</v>
      </c>
      <c r="BE202" s="370">
        <v>-7.900990099009908E-2</v>
      </c>
      <c r="BF202" s="370">
        <v>2.4704813805631165E-2</v>
      </c>
      <c r="BG202" s="1376">
        <v>0.14822025052192078</v>
      </c>
      <c r="BH202" s="370">
        <v>0.19091426076833518</v>
      </c>
      <c r="BI202" s="370">
        <v>0.13275124758116541</v>
      </c>
      <c r="BJ202" s="370">
        <v>-1.9349874999999961E-2</v>
      </c>
      <c r="BK202" s="335">
        <v>-2.4378849999999952E-2</v>
      </c>
      <c r="BL202" s="370">
        <v>-3.3977499999998662E-3</v>
      </c>
      <c r="BM202" s="370">
        <v>1.5953749999999989E-2</v>
      </c>
      <c r="BN202" s="370">
        <v>1.5953749999999989E-2</v>
      </c>
      <c r="BO202" s="335">
        <v>2.6427500000000048E-2</v>
      </c>
      <c r="BP202" s="370">
        <v>-3.3977499999998662E-3</v>
      </c>
      <c r="BQ202" s="370">
        <v>1.5953749999999989E-2</v>
      </c>
      <c r="BR202" s="370">
        <v>1.5953749999999989E-2</v>
      </c>
      <c r="BS202" s="335">
        <v>2.6427500000000048E-2</v>
      </c>
      <c r="BT202" s="370">
        <v>-3.3977499999998662E-3</v>
      </c>
      <c r="BU202" s="370">
        <v>1.5953749999999989E-2</v>
      </c>
      <c r="BV202" s="370">
        <v>1.5953749999999989E-2</v>
      </c>
      <c r="BW202" s="335">
        <v>2.6427500000000048E-2</v>
      </c>
      <c r="BX202" s="346"/>
      <c r="BY202" s="377"/>
      <c r="BZ202" s="338">
        <v>0.63665062287655716</v>
      </c>
      <c r="CA202" s="338">
        <v>9.6658680252220686E-2</v>
      </c>
      <c r="CB202" s="338">
        <v>0.41887639208757954</v>
      </c>
      <c r="CC202" s="338">
        <v>-3.944212366555222E-2</v>
      </c>
      <c r="CD202" s="338">
        <v>1.7491218222116744E-2</v>
      </c>
      <c r="CE202" s="338">
        <v>-0.18692609349717182</v>
      </c>
      <c r="CF202" s="338">
        <v>0.357015196824231</v>
      </c>
      <c r="CG202" s="338">
        <v>1.2929578263413326</v>
      </c>
      <c r="CH202" s="338">
        <v>-0.291259342188531</v>
      </c>
      <c r="CI202" s="338">
        <v>-0.12826055581900275</v>
      </c>
      <c r="CJ202" s="338">
        <v>-5.4932439685112855E-2</v>
      </c>
      <c r="CK202" s="338">
        <v>-0.20783578426182414</v>
      </c>
      <c r="CL202" s="338">
        <v>-2.3719319562575891E-2</v>
      </c>
      <c r="CM202" s="338">
        <v>5.9449822190561274E-2</v>
      </c>
      <c r="CN202" s="338">
        <v>1.394345084670201E-2</v>
      </c>
      <c r="CO202" s="338">
        <v>1.394345084670201E-2</v>
      </c>
      <c r="CP202" s="337">
        <v>1.394345084670201E-2</v>
      </c>
    </row>
    <row r="203" spans="1:94" s="1361" customFormat="1" ht="14.25" hidden="1" customHeight="1" outlineLevel="2">
      <c r="A203" s="1364"/>
      <c r="B203" s="32" t="s">
        <v>299</v>
      </c>
      <c r="C203" s="218"/>
      <c r="D203" s="78"/>
      <c r="E203" s="78">
        <v>0.18</v>
      </c>
      <c r="F203" s="78">
        <v>0.17</v>
      </c>
      <c r="G203" s="79">
        <v>0.18</v>
      </c>
      <c r="H203" s="78">
        <v>0.17999999999999997</v>
      </c>
      <c r="I203" s="78">
        <v>0.18</v>
      </c>
      <c r="J203" s="78">
        <v>0.19</v>
      </c>
      <c r="K203" s="79">
        <v>0.17999999999999994</v>
      </c>
      <c r="L203" s="78">
        <v>0.19</v>
      </c>
      <c r="M203" s="78">
        <v>0.18</v>
      </c>
      <c r="N203" s="78">
        <v>0.19</v>
      </c>
      <c r="O203" s="79">
        <v>0.24</v>
      </c>
      <c r="P203" s="78">
        <v>0.24</v>
      </c>
      <c r="Q203" s="78">
        <v>0.24</v>
      </c>
      <c r="R203" s="78">
        <v>0.25</v>
      </c>
      <c r="S203" s="79">
        <v>0.21</v>
      </c>
      <c r="T203" s="78">
        <v>0.20999999999999996</v>
      </c>
      <c r="U203" s="78">
        <v>0.19</v>
      </c>
      <c r="V203" s="78">
        <v>0.24000000000000002</v>
      </c>
      <c r="W203" s="79">
        <v>0.24</v>
      </c>
      <c r="X203" s="78">
        <v>0.2</v>
      </c>
      <c r="Y203" s="78">
        <v>0.14999999999999997</v>
      </c>
      <c r="Z203" s="78">
        <v>0.18</v>
      </c>
      <c r="AA203" s="79">
        <v>0.16</v>
      </c>
      <c r="AB203" s="78">
        <v>0.14000000000000001</v>
      </c>
      <c r="AC203" s="78">
        <v>0.15</v>
      </c>
      <c r="AD203" s="78">
        <v>0.17</v>
      </c>
      <c r="AE203" s="79">
        <v>0.18</v>
      </c>
      <c r="AF203" s="78">
        <v>0.16</v>
      </c>
      <c r="AG203" s="78">
        <v>0.16999999999999998</v>
      </c>
      <c r="AH203" s="78">
        <v>0.18</v>
      </c>
      <c r="AI203" s="79">
        <v>0.16</v>
      </c>
      <c r="AJ203" s="78">
        <v>0.27</v>
      </c>
      <c r="AK203" s="78">
        <v>0.26</v>
      </c>
      <c r="AL203" s="78">
        <v>0.26999999999999996</v>
      </c>
      <c r="AM203" s="79">
        <v>0.22999999999999998</v>
      </c>
      <c r="AN203" s="78">
        <v>0.22</v>
      </c>
      <c r="AO203" s="78">
        <v>0.22</v>
      </c>
      <c r="AP203" s="78">
        <v>0.22999999999999998</v>
      </c>
      <c r="AQ203" s="79">
        <v>0.2</v>
      </c>
      <c r="AR203" s="78">
        <v>0.20000000000000004</v>
      </c>
      <c r="AS203" s="78">
        <v>0.18999999999999997</v>
      </c>
      <c r="AT203" s="78">
        <v>0.19999999999999998</v>
      </c>
      <c r="AU203" s="79">
        <v>0.19999999999999998</v>
      </c>
      <c r="AV203" s="78">
        <v>0.17</v>
      </c>
      <c r="AW203" s="78">
        <v>0.18000000000000002</v>
      </c>
      <c r="AX203" s="78">
        <v>0.16</v>
      </c>
      <c r="AY203" s="78">
        <v>0.14999999999999997</v>
      </c>
      <c r="AZ203" s="134">
        <v>0.12011943040881948</v>
      </c>
      <c r="BA203" s="78">
        <v>0.11470755252697332</v>
      </c>
      <c r="BB203" s="78">
        <v>0.12173816895179124</v>
      </c>
      <c r="BC203" s="79">
        <v>0.11400690229679876</v>
      </c>
      <c r="BD203" s="134">
        <v>0.10511502692119434</v>
      </c>
      <c r="BE203" s="78">
        <v>0.10596946912736387</v>
      </c>
      <c r="BF203" s="78">
        <v>0.11864549374277</v>
      </c>
      <c r="BG203" s="1375">
        <v>9.0650936844606206E-2</v>
      </c>
      <c r="BH203" s="78">
        <v>8.541162190501661E-2</v>
      </c>
      <c r="BI203" s="78">
        <v>8.5034091846063822E-2</v>
      </c>
      <c r="BJ203" s="78">
        <v>8.7336105061948041E-2</v>
      </c>
      <c r="BK203" s="79">
        <v>8.627999109601317E-2</v>
      </c>
      <c r="BL203" s="78">
        <v>8.3012144354262643E-2</v>
      </c>
      <c r="BM203" s="78">
        <v>8.3474660733336634E-2</v>
      </c>
      <c r="BN203" s="78">
        <v>8.5746399740610518E-2</v>
      </c>
      <c r="BO203" s="79">
        <v>8.5666474230071538E-2</v>
      </c>
      <c r="BP203" s="78">
        <v>8.3012144354262643E-2</v>
      </c>
      <c r="BQ203" s="78">
        <v>8.3474660733336634E-2</v>
      </c>
      <c r="BR203" s="78">
        <v>8.5746399740610518E-2</v>
      </c>
      <c r="BS203" s="79">
        <v>8.5666474230071538E-2</v>
      </c>
      <c r="BT203" s="78">
        <v>8.3012144354262643E-2</v>
      </c>
      <c r="BU203" s="78">
        <v>8.3474660733336634E-2</v>
      </c>
      <c r="BV203" s="78">
        <v>8.5746399740610518E-2</v>
      </c>
      <c r="BW203" s="79">
        <v>8.5666474230071538E-2</v>
      </c>
      <c r="BX203" s="346"/>
      <c r="BY203" s="359">
        <v>0.17662892298613897</v>
      </c>
      <c r="BZ203" s="338">
        <v>0.18251322124871733</v>
      </c>
      <c r="CA203" s="338">
        <v>0.2011550055529113</v>
      </c>
      <c r="CB203" s="338">
        <v>0.23488249118683899</v>
      </c>
      <c r="CC203" s="338">
        <v>0.22066275060656362</v>
      </c>
      <c r="CD203" s="338">
        <v>0.17113441697488804</v>
      </c>
      <c r="CE203" s="338">
        <v>0.16163434903047091</v>
      </c>
      <c r="CF203" s="338">
        <v>0.16771461917523992</v>
      </c>
      <c r="CG203" s="338">
        <v>0.25844551607936556</v>
      </c>
      <c r="CH203" s="338">
        <v>0.21780683270579299</v>
      </c>
      <c r="CI203" s="338">
        <v>0.19752650303661912</v>
      </c>
      <c r="CJ203" s="338">
        <v>0.16429344044531594</v>
      </c>
      <c r="CK203" s="338">
        <v>0.11770594965675057</v>
      </c>
      <c r="CL203" s="338">
        <v>0.10409538127539569</v>
      </c>
      <c r="CM203" s="338">
        <v>8.6028141669253322E-2</v>
      </c>
      <c r="CN203" s="338">
        <v>8.44983424944937E-2</v>
      </c>
      <c r="CO203" s="338">
        <v>8.44983424944937E-2</v>
      </c>
      <c r="CP203" s="337">
        <v>8.44983424944937E-2</v>
      </c>
    </row>
    <row r="204" spans="1:94" s="1361" customFormat="1" ht="14.25" hidden="1" customHeight="1" outlineLevel="2">
      <c r="A204" s="1364"/>
      <c r="B204" s="32"/>
      <c r="C204" s="218"/>
      <c r="D204" s="78"/>
      <c r="E204" s="78"/>
      <c r="F204" s="78"/>
      <c r="G204" s="79"/>
      <c r="H204" s="78"/>
      <c r="I204" s="78"/>
      <c r="J204" s="78"/>
      <c r="K204" s="79"/>
      <c r="L204" s="78"/>
      <c r="M204" s="78"/>
      <c r="N204" s="78"/>
      <c r="O204" s="79"/>
      <c r="P204" s="78"/>
      <c r="Q204" s="78"/>
      <c r="R204" s="78"/>
      <c r="S204" s="79"/>
      <c r="T204" s="78"/>
      <c r="U204" s="78"/>
      <c r="V204" s="78"/>
      <c r="W204" s="79"/>
      <c r="X204" s="78"/>
      <c r="Y204" s="78"/>
      <c r="Z204" s="78"/>
      <c r="AA204" s="79"/>
      <c r="AB204" s="78"/>
      <c r="AC204" s="78"/>
      <c r="AD204" s="78"/>
      <c r="AE204" s="79"/>
      <c r="AF204" s="78"/>
      <c r="AG204" s="78"/>
      <c r="AH204" s="78"/>
      <c r="AI204" s="79"/>
      <c r="AJ204" s="78"/>
      <c r="AK204" s="78"/>
      <c r="AL204" s="78"/>
      <c r="AM204" s="79"/>
      <c r="AN204" s="78"/>
      <c r="AO204" s="78"/>
      <c r="AP204" s="78"/>
      <c r="AQ204" s="79"/>
      <c r="AR204" s="78"/>
      <c r="AS204" s="78"/>
      <c r="AT204" s="78"/>
      <c r="AU204" s="79"/>
      <c r="AV204" s="78"/>
      <c r="AW204" s="78"/>
      <c r="AX204" s="78"/>
      <c r="AY204" s="78"/>
      <c r="AZ204" s="134"/>
      <c r="BA204" s="78"/>
      <c r="BB204" s="78"/>
      <c r="BC204" s="79"/>
      <c r="BD204" s="134"/>
      <c r="BE204" s="78"/>
      <c r="BF204" s="78"/>
      <c r="BG204" s="24"/>
      <c r="BH204" s="57"/>
      <c r="BI204" s="57"/>
      <c r="BJ204" s="57"/>
      <c r="BK204" s="24"/>
      <c r="BL204" s="57"/>
      <c r="BM204" s="57"/>
      <c r="BN204" s="57"/>
      <c r="BO204" s="24"/>
      <c r="BP204" s="57"/>
      <c r="BQ204" s="57"/>
      <c r="BR204" s="57"/>
      <c r="BS204" s="24"/>
      <c r="BT204" s="57"/>
      <c r="BU204" s="57"/>
      <c r="BV204" s="57"/>
      <c r="BW204" s="24"/>
      <c r="BX204" s="346"/>
      <c r="BY204" s="22"/>
      <c r="BZ204" s="15"/>
      <c r="CA204" s="15"/>
      <c r="CB204" s="15"/>
      <c r="CC204" s="15"/>
      <c r="CD204" s="15"/>
      <c r="CE204" s="15"/>
      <c r="CF204" s="15"/>
      <c r="CG204" s="15"/>
      <c r="CH204" s="15"/>
      <c r="CI204" s="15"/>
      <c r="CJ204" s="15"/>
      <c r="CK204" s="15"/>
      <c r="CL204" s="15"/>
      <c r="CM204" s="15"/>
      <c r="CN204" s="15"/>
      <c r="CO204" s="15"/>
      <c r="CP204" s="211"/>
    </row>
    <row r="205" spans="1:94" s="1361" customFormat="1" ht="14.25" hidden="1" customHeight="1" outlineLevel="2">
      <c r="A205" s="1364"/>
      <c r="B205" s="45" t="s">
        <v>639</v>
      </c>
      <c r="C205" s="218"/>
      <c r="D205" s="374"/>
      <c r="E205" s="341">
        <v>13.301999999999996</v>
      </c>
      <c r="F205" s="341">
        <v>12.512000000000004</v>
      </c>
      <c r="G205" s="342">
        <v>14.112000000000005</v>
      </c>
      <c r="H205" s="374">
        <v>17.261999999999993</v>
      </c>
      <c r="I205" s="341">
        <v>20.231999999999999</v>
      </c>
      <c r="J205" s="341">
        <v>19.569999999999993</v>
      </c>
      <c r="K205" s="342">
        <v>17.747999999999998</v>
      </c>
      <c r="L205" s="374">
        <v>18.277999999999999</v>
      </c>
      <c r="M205" s="341">
        <v>17.73</v>
      </c>
      <c r="N205" s="341">
        <v>19.779000000000003</v>
      </c>
      <c r="O205" s="342">
        <v>28.728000000000002</v>
      </c>
      <c r="P205" s="374">
        <v>28.247999999999998</v>
      </c>
      <c r="Q205" s="341">
        <v>36.768000000000001</v>
      </c>
      <c r="R205" s="341">
        <v>40.099999999999994</v>
      </c>
      <c r="S205" s="342">
        <v>33.117000000000004</v>
      </c>
      <c r="T205" s="374">
        <v>28.685999999999993</v>
      </c>
      <c r="U205" s="341">
        <v>27.740000000000002</v>
      </c>
      <c r="V205" s="341">
        <v>37.343999999999994</v>
      </c>
      <c r="W205" s="342">
        <v>36.551999999999992</v>
      </c>
      <c r="X205" s="374">
        <v>29.319999999999993</v>
      </c>
      <c r="Y205" s="341">
        <v>28.74</v>
      </c>
      <c r="Z205" s="341">
        <v>39.888000000000005</v>
      </c>
      <c r="AA205" s="342">
        <v>29.712</v>
      </c>
      <c r="AB205" s="374">
        <v>15.694000000000004</v>
      </c>
      <c r="AC205" s="341">
        <v>20.729999999999997</v>
      </c>
      <c r="AD205" s="341">
        <v>29.885999999999996</v>
      </c>
      <c r="AE205" s="342">
        <v>35.028000000000006</v>
      </c>
      <c r="AF205" s="374">
        <v>36.496000000000002</v>
      </c>
      <c r="AG205" s="341">
        <v>41.445999999999991</v>
      </c>
      <c r="AH205" s="341">
        <v>44.370000000000012</v>
      </c>
      <c r="AI205" s="342">
        <v>38.016000000000005</v>
      </c>
      <c r="AJ205" s="374">
        <v>65.447999999999993</v>
      </c>
      <c r="AK205" s="341">
        <v>69.185999999999979</v>
      </c>
      <c r="AL205" s="341">
        <v>70.497</v>
      </c>
      <c r="AM205" s="342">
        <v>55.015999999999977</v>
      </c>
      <c r="AN205" s="374">
        <v>53.943999999999996</v>
      </c>
      <c r="AO205" s="341">
        <v>56.825999999999993</v>
      </c>
      <c r="AP205" s="341">
        <v>54.739999999999995</v>
      </c>
      <c r="AQ205" s="342">
        <v>42.080000000000013</v>
      </c>
      <c r="AR205" s="374">
        <v>40.900000000000006</v>
      </c>
      <c r="AS205" s="341">
        <v>44.041999999999987</v>
      </c>
      <c r="AT205" s="341">
        <v>49.839999999999996</v>
      </c>
      <c r="AU205" s="342">
        <v>50.579999999999991</v>
      </c>
      <c r="AV205" s="374">
        <v>42.636000000000003</v>
      </c>
      <c r="AW205" s="341">
        <v>49.140000000000008</v>
      </c>
      <c r="AX205" s="341">
        <v>45.456000000000003</v>
      </c>
      <c r="AY205" s="341">
        <v>41.654999999999994</v>
      </c>
      <c r="AZ205" s="374">
        <v>36.083876894809372</v>
      </c>
      <c r="BA205" s="341">
        <v>34.916978989210676</v>
      </c>
      <c r="BB205" s="341">
        <v>37.556225121627598</v>
      </c>
      <c r="BC205" s="342">
        <v>31.910531952873971</v>
      </c>
      <c r="BD205" s="374">
        <v>28.959189916789043</v>
      </c>
      <c r="BE205" s="341">
        <v>32.62799954431533</v>
      </c>
      <c r="BF205" s="341">
        <v>39.03436744137133</v>
      </c>
      <c r="BG205" s="1377">
        <v>36.079836</v>
      </c>
      <c r="BH205" s="341">
        <v>32.735851199999999</v>
      </c>
      <c r="BI205" s="341">
        <v>34.350137862300002</v>
      </c>
      <c r="BJ205" s="341">
        <v>39.386753168489996</v>
      </c>
      <c r="BK205" s="342">
        <v>38.097832734745872</v>
      </c>
      <c r="BL205" s="341">
        <v>35.68318136423381</v>
      </c>
      <c r="BM205" s="341">
        <v>38.109637697001709</v>
      </c>
      <c r="BN205" s="341">
        <v>40.689531709635816</v>
      </c>
      <c r="BO205" s="342">
        <v>39.765587094571714</v>
      </c>
      <c r="BP205" s="341">
        <v>35.68318136423381</v>
      </c>
      <c r="BQ205" s="341">
        <v>38.109637697001709</v>
      </c>
      <c r="BR205" s="341">
        <v>40.689531709635816</v>
      </c>
      <c r="BS205" s="342">
        <v>39.765587094571714</v>
      </c>
      <c r="BT205" s="341">
        <v>35.68318136423381</v>
      </c>
      <c r="BU205" s="341">
        <v>38.109637697001709</v>
      </c>
      <c r="BV205" s="341">
        <v>40.689531709635816</v>
      </c>
      <c r="BW205" s="342">
        <v>39.765587094571714</v>
      </c>
      <c r="BX205" s="346"/>
      <c r="BY205" s="334">
        <v>39.926000000000002</v>
      </c>
      <c r="BZ205" s="325">
        <v>74.811999999999983</v>
      </c>
      <c r="CA205" s="325">
        <v>84.515000000000001</v>
      </c>
      <c r="CB205" s="325">
        <v>138.233</v>
      </c>
      <c r="CC205" s="325">
        <v>130.32199999999997</v>
      </c>
      <c r="CD205" s="325">
        <v>127.66</v>
      </c>
      <c r="CE205" s="325">
        <v>101.33800000000001</v>
      </c>
      <c r="CF205" s="325">
        <v>160.32800000000003</v>
      </c>
      <c r="CG205" s="325">
        <v>260.14699999999993</v>
      </c>
      <c r="CH205" s="325">
        <v>207.59</v>
      </c>
      <c r="CI205" s="325">
        <v>185.36199999999997</v>
      </c>
      <c r="CJ205" s="325">
        <v>178.88700000000003</v>
      </c>
      <c r="CK205" s="325">
        <v>140.46761295852161</v>
      </c>
      <c r="CL205" s="325">
        <v>136.7013929024757</v>
      </c>
      <c r="CM205" s="325">
        <v>144.57057496553588</v>
      </c>
      <c r="CN205" s="325">
        <v>154.24793786544305</v>
      </c>
      <c r="CO205" s="325">
        <v>154.24793786544305</v>
      </c>
      <c r="CP205" s="326">
        <v>154.24793786544305</v>
      </c>
    </row>
    <row r="206" spans="1:94" s="1361" customFormat="1" ht="14.25" hidden="1" customHeight="1" outlineLevel="2">
      <c r="A206" s="1364"/>
      <c r="B206" s="32" t="s">
        <v>297</v>
      </c>
      <c r="C206" s="218"/>
      <c r="D206" s="134"/>
      <c r="E206" s="78"/>
      <c r="F206" s="78">
        <v>-5.9389565478874751E-2</v>
      </c>
      <c r="G206" s="79">
        <v>0.12787723785166238</v>
      </c>
      <c r="H206" s="134">
        <v>0.2232142857142847</v>
      </c>
      <c r="I206" s="78">
        <v>0.17205422314911401</v>
      </c>
      <c r="J206" s="78">
        <v>-3.2720442862791965E-2</v>
      </c>
      <c r="K206" s="79">
        <v>-9.3101686254470906E-2</v>
      </c>
      <c r="L206" s="134">
        <v>2.9862519720531999E-2</v>
      </c>
      <c r="M206" s="78">
        <v>-2.9981398402450954E-2</v>
      </c>
      <c r="N206" s="78">
        <v>0.11556683587140459</v>
      </c>
      <c r="O206" s="79">
        <v>0.45244956772334266</v>
      </c>
      <c r="P206" s="134">
        <v>-1.670843776106945E-2</v>
      </c>
      <c r="Q206" s="78">
        <v>0.30161427357689052</v>
      </c>
      <c r="R206" s="78">
        <v>9.0622280243690012E-2</v>
      </c>
      <c r="S206" s="79">
        <v>-0.17413965087281769</v>
      </c>
      <c r="T206" s="134">
        <v>-0.13379835129993689</v>
      </c>
      <c r="U206" s="78">
        <v>-3.2977759185665145E-2</v>
      </c>
      <c r="V206" s="78">
        <v>0.34621485219899029</v>
      </c>
      <c r="W206" s="79">
        <v>-2.1208226221079762E-2</v>
      </c>
      <c r="X206" s="134">
        <v>-0.19785511052746774</v>
      </c>
      <c r="Y206" s="78">
        <v>-1.978171896316494E-2</v>
      </c>
      <c r="Z206" s="78">
        <v>0.38789144050104407</v>
      </c>
      <c r="AA206" s="79">
        <v>-0.25511432009626966</v>
      </c>
      <c r="AB206" s="134">
        <v>-0.47179590737749044</v>
      </c>
      <c r="AC206" s="78">
        <v>0.32088696317063792</v>
      </c>
      <c r="AD206" s="78">
        <v>0.44167872648335749</v>
      </c>
      <c r="AE206" s="79">
        <v>0.17205380445693663</v>
      </c>
      <c r="AF206" s="134">
        <v>4.190932967911376E-2</v>
      </c>
      <c r="AG206" s="78">
        <v>0.13563130206049956</v>
      </c>
      <c r="AH206" s="78">
        <v>7.0549630844955358E-2</v>
      </c>
      <c r="AI206" s="79">
        <v>-0.14320486815415834</v>
      </c>
      <c r="AJ206" s="134">
        <v>0.72159090909090873</v>
      </c>
      <c r="AK206" s="78">
        <v>5.7114044737806902E-2</v>
      </c>
      <c r="AL206" s="78">
        <v>1.8948920301795402E-2</v>
      </c>
      <c r="AM206" s="79">
        <v>-0.21959799707789018</v>
      </c>
      <c r="AN206" s="134">
        <v>-1.9485240657262981E-2</v>
      </c>
      <c r="AO206" s="78">
        <v>5.3425774877650767E-2</v>
      </c>
      <c r="AP206" s="78">
        <v>-3.6708548903670812E-2</v>
      </c>
      <c r="AQ206" s="79">
        <v>-0.2312751187431491</v>
      </c>
      <c r="AR206" s="134">
        <v>-2.8041825095057149E-2</v>
      </c>
      <c r="AS206" s="78">
        <v>7.6821515892420145E-2</v>
      </c>
      <c r="AT206" s="78">
        <v>0.13164706416602368</v>
      </c>
      <c r="AU206" s="79">
        <v>1.4847512038523192E-2</v>
      </c>
      <c r="AV206" s="134">
        <v>-0.15705812574139955</v>
      </c>
      <c r="AW206" s="78">
        <v>0.15254714325921759</v>
      </c>
      <c r="AX206" s="78">
        <v>-7.4969474969475036E-2</v>
      </c>
      <c r="AY206" s="78">
        <v>-8.3619324181626431E-2</v>
      </c>
      <c r="AZ206" s="134">
        <v>-0.13374440295740309</v>
      </c>
      <c r="BA206" s="78">
        <v>-3.2338484830784719E-2</v>
      </c>
      <c r="BB206" s="78">
        <v>7.5586325301293833E-2</v>
      </c>
      <c r="BC206" s="79">
        <v>-0.15032642792159712</v>
      </c>
      <c r="BD206" s="134">
        <v>-9.2488023717170242E-2</v>
      </c>
      <c r="BE206" s="78">
        <v>0.12668895912034128</v>
      </c>
      <c r="BF206" s="78">
        <v>0.19634571492361563</v>
      </c>
      <c r="BG206" s="1375">
        <v>-7.5690516717325185E-2</v>
      </c>
      <c r="BH206" s="78">
        <v>-9.2682926829268375E-2</v>
      </c>
      <c r="BI206" s="78">
        <v>4.9312500000000092E-2</v>
      </c>
      <c r="BJ206" s="78">
        <v>0.14662576687116546</v>
      </c>
      <c r="BK206" s="79">
        <v>-3.2724719101123623E-2</v>
      </c>
      <c r="BL206" s="78">
        <v>-6.3380281690140761E-2</v>
      </c>
      <c r="BM206" s="78">
        <v>6.800000000000006E-2</v>
      </c>
      <c r="BN206" s="78">
        <v>6.7696629213483295E-2</v>
      </c>
      <c r="BO206" s="79">
        <v>-2.2707182320441888E-2</v>
      </c>
      <c r="BP206" s="78">
        <v>-6.3380281690140761E-2</v>
      </c>
      <c r="BQ206" s="78">
        <v>6.800000000000006E-2</v>
      </c>
      <c r="BR206" s="78">
        <v>6.7696629213483295E-2</v>
      </c>
      <c r="BS206" s="79">
        <v>-2.2707182320441888E-2</v>
      </c>
      <c r="BT206" s="78">
        <v>-6.3380281690140761E-2</v>
      </c>
      <c r="BU206" s="78">
        <v>6.800000000000006E-2</v>
      </c>
      <c r="BV206" s="78">
        <v>6.7696629213483295E-2</v>
      </c>
      <c r="BW206" s="79">
        <v>-2.2707182320441888E-2</v>
      </c>
      <c r="BX206" s="346"/>
      <c r="BY206" s="219"/>
      <c r="BZ206" s="220"/>
      <c r="CA206" s="220"/>
      <c r="CB206" s="220"/>
      <c r="CC206" s="220"/>
      <c r="CD206" s="220"/>
      <c r="CE206" s="220"/>
      <c r="CF206" s="220"/>
      <c r="CG206" s="220"/>
      <c r="CH206" s="220"/>
      <c r="CI206" s="220"/>
      <c r="CJ206" s="220"/>
      <c r="CK206" s="220"/>
      <c r="CL206" s="220"/>
      <c r="CM206" s="220"/>
      <c r="CN206" s="220"/>
      <c r="CO206" s="220"/>
      <c r="CP206" s="258"/>
    </row>
    <row r="207" spans="1:94" s="1361" customFormat="1" ht="14.25" hidden="1" customHeight="1" outlineLevel="2">
      <c r="A207" s="1364"/>
      <c r="B207" s="32" t="s">
        <v>298</v>
      </c>
      <c r="C207" s="218"/>
      <c r="D207" s="134"/>
      <c r="E207" s="78"/>
      <c r="F207" s="78"/>
      <c r="G207" s="79"/>
      <c r="H207" s="134"/>
      <c r="I207" s="78">
        <v>0.5209742895805145</v>
      </c>
      <c r="J207" s="78">
        <v>0.56409846547314468</v>
      </c>
      <c r="K207" s="79">
        <v>0.25765306122448917</v>
      </c>
      <c r="L207" s="134">
        <v>5.8857606302862076E-2</v>
      </c>
      <c r="M207" s="78">
        <v>-0.12366548042704617</v>
      </c>
      <c r="N207" s="78">
        <v>1.0679611650485921E-2</v>
      </c>
      <c r="O207" s="79">
        <v>0.61866125760649116</v>
      </c>
      <c r="P207" s="134">
        <v>0.54546449283291376</v>
      </c>
      <c r="Q207" s="78">
        <v>1.0737732656514383</v>
      </c>
      <c r="R207" s="78">
        <v>1.0274028009505023</v>
      </c>
      <c r="S207" s="79">
        <v>0.1527777777777779</v>
      </c>
      <c r="T207" s="134">
        <v>1.5505522514868142E-2</v>
      </c>
      <c r="U207" s="78">
        <v>-0.24553959965187111</v>
      </c>
      <c r="V207" s="78">
        <v>-6.8728179551122204E-2</v>
      </c>
      <c r="W207" s="79">
        <v>0.1037231633300113</v>
      </c>
      <c r="X207" s="134">
        <v>2.2101373492295906E-2</v>
      </c>
      <c r="Y207" s="78">
        <v>3.6049026676279627E-2</v>
      </c>
      <c r="Z207" s="78">
        <v>6.8123393316195768E-2</v>
      </c>
      <c r="AA207" s="79">
        <v>-0.18713066316480609</v>
      </c>
      <c r="AB207" s="134">
        <v>-0.46473396998635719</v>
      </c>
      <c r="AC207" s="78">
        <v>-0.27870563674321513</v>
      </c>
      <c r="AD207" s="78">
        <v>-0.25075210589651042</v>
      </c>
      <c r="AE207" s="79">
        <v>0.17891760904685006</v>
      </c>
      <c r="AF207" s="134">
        <v>1.3254747037084229</v>
      </c>
      <c r="AG207" s="78">
        <v>0.99932465026531592</v>
      </c>
      <c r="AH207" s="78">
        <v>0.48464163822525652</v>
      </c>
      <c r="AI207" s="79">
        <v>8.5303186022610555E-2</v>
      </c>
      <c r="AJ207" s="134">
        <v>0.79329241560718944</v>
      </c>
      <c r="AK207" s="78">
        <v>0.66930463735945556</v>
      </c>
      <c r="AL207" s="78">
        <v>0.58884381338742342</v>
      </c>
      <c r="AM207" s="79">
        <v>0.44718013468013385</v>
      </c>
      <c r="AN207" s="134">
        <v>-0.17577313286884244</v>
      </c>
      <c r="AO207" s="78">
        <v>-0.17864885959587185</v>
      </c>
      <c r="AP207" s="78">
        <v>-0.22351305729321824</v>
      </c>
      <c r="AQ207" s="79">
        <v>-0.23513159808055784</v>
      </c>
      <c r="AR207" s="134">
        <v>-0.24180631766276117</v>
      </c>
      <c r="AS207" s="78">
        <v>-0.22496744447963979</v>
      </c>
      <c r="AT207" s="78">
        <v>-8.9514066496163669E-2</v>
      </c>
      <c r="AU207" s="79">
        <v>0.20199619771863064</v>
      </c>
      <c r="AV207" s="134">
        <v>4.2444987775061005E-2</v>
      </c>
      <c r="AW207" s="78">
        <v>0.11575314472548981</v>
      </c>
      <c r="AX207" s="78">
        <v>-8.796147672552157E-2</v>
      </c>
      <c r="AY207" s="78">
        <v>-0.17645314353499408</v>
      </c>
      <c r="AZ207" s="134">
        <v>-0.1536758397877529</v>
      </c>
      <c r="BA207" s="78">
        <v>-0.28943876700832982</v>
      </c>
      <c r="BB207" s="78">
        <v>-0.17378948606063893</v>
      </c>
      <c r="BC207" s="79">
        <v>-0.23393273429662764</v>
      </c>
      <c r="BD207" s="134">
        <v>-0.19744793495416246</v>
      </c>
      <c r="BE207" s="78">
        <v>-6.5554910853044879E-2</v>
      </c>
      <c r="BF207" s="78">
        <v>3.9358117461398168E-2</v>
      </c>
      <c r="BG207" s="1375">
        <v>0.13065604964791344</v>
      </c>
      <c r="BH207" s="78">
        <v>0.13041322267863031</v>
      </c>
      <c r="BI207" s="78">
        <v>5.2780996139394576E-2</v>
      </c>
      <c r="BJ207" s="78">
        <v>9.0275762159572892E-3</v>
      </c>
      <c r="BK207" s="79">
        <v>5.5931427591463301E-2</v>
      </c>
      <c r="BL207" s="78">
        <v>9.0033710937500011E-2</v>
      </c>
      <c r="BM207" s="78">
        <v>0.10944642638036806</v>
      </c>
      <c r="BN207" s="78">
        <v>3.3076566011235986E-2</v>
      </c>
      <c r="BO207" s="79">
        <v>4.3775570422535326E-2</v>
      </c>
      <c r="BP207" s="78">
        <v>9.0033710937500011E-2</v>
      </c>
      <c r="BQ207" s="78">
        <v>0.10944642638036806</v>
      </c>
      <c r="BR207" s="78">
        <v>3.3076566011235986E-2</v>
      </c>
      <c r="BS207" s="79">
        <v>4.3775570422535326E-2</v>
      </c>
      <c r="BT207" s="78">
        <v>9.0033710937500011E-2</v>
      </c>
      <c r="BU207" s="78">
        <v>0.10944642638036806</v>
      </c>
      <c r="BV207" s="78">
        <v>3.3076566011235986E-2</v>
      </c>
      <c r="BW207" s="79">
        <v>4.3775570422535326E-2</v>
      </c>
      <c r="BX207" s="346"/>
      <c r="BY207" s="377"/>
      <c r="BZ207" s="338">
        <v>0.8737664679657362</v>
      </c>
      <c r="CA207" s="338">
        <v>0.12969844409987719</v>
      </c>
      <c r="CB207" s="338">
        <v>0.63560314737028945</v>
      </c>
      <c r="CC207" s="338">
        <v>-5.7229460403811161E-2</v>
      </c>
      <c r="CD207" s="338">
        <v>-2.0426328632157098E-2</v>
      </c>
      <c r="CE207" s="338">
        <v>-0.20618831270562421</v>
      </c>
      <c r="CF207" s="338">
        <v>0.58211135013519133</v>
      </c>
      <c r="CG207" s="338">
        <v>0.62259243550720944</v>
      </c>
      <c r="CH207" s="338">
        <v>-0.2020280841216695</v>
      </c>
      <c r="CI207" s="338">
        <v>-0.10707644876920874</v>
      </c>
      <c r="CJ207" s="338">
        <v>-3.4931647263192755E-2</v>
      </c>
      <c r="CK207" s="338">
        <v>-0.21476902760669259</v>
      </c>
      <c r="CL207" s="338">
        <v>-2.6812017209675409E-2</v>
      </c>
      <c r="CM207" s="338">
        <v>5.7564754067093826E-2</v>
      </c>
      <c r="CN207" s="338">
        <v>6.6938676160167132E-2</v>
      </c>
      <c r="CO207" s="338">
        <v>6.6938676160167132E-2</v>
      </c>
      <c r="CP207" s="337">
        <v>6.6938676160167132E-2</v>
      </c>
    </row>
    <row r="208" spans="1:94" s="1361" customFormat="1" ht="14.25" hidden="1" customHeight="1" outlineLevel="2">
      <c r="A208" s="1364"/>
      <c r="B208" s="32" t="s">
        <v>549</v>
      </c>
      <c r="C208" s="218"/>
      <c r="D208" s="134"/>
      <c r="E208" s="78">
        <v>0.28844652615144412</v>
      </c>
      <c r="F208" s="78">
        <v>0.2779456193353475</v>
      </c>
      <c r="G208" s="79">
        <v>0.28140703517587951</v>
      </c>
      <c r="H208" s="134">
        <v>0.31116158338741068</v>
      </c>
      <c r="I208" s="78">
        <v>0.33703148425787105</v>
      </c>
      <c r="J208" s="78">
        <v>0.3234924623115577</v>
      </c>
      <c r="K208" s="79">
        <v>0.32138200782268578</v>
      </c>
      <c r="L208" s="134">
        <v>0.31812169312169314</v>
      </c>
      <c r="M208" s="78">
        <v>0.3252972258916777</v>
      </c>
      <c r="N208" s="78">
        <v>0.33195153061224492</v>
      </c>
      <c r="O208" s="79">
        <v>0.35020479812756</v>
      </c>
      <c r="P208" s="134">
        <v>0.35239520958083831</v>
      </c>
      <c r="Q208" s="78">
        <v>0.40820676791899813</v>
      </c>
      <c r="R208" s="78">
        <v>0.38108814445236394</v>
      </c>
      <c r="S208" s="79">
        <v>0.39267928286852594</v>
      </c>
      <c r="T208" s="134">
        <v>0.36504543025120251</v>
      </c>
      <c r="U208" s="78">
        <v>0.38300104931794338</v>
      </c>
      <c r="V208" s="78">
        <v>0.38620004964010918</v>
      </c>
      <c r="W208" s="79">
        <v>0.37337582740867858</v>
      </c>
      <c r="X208" s="134">
        <v>0.34747570514339887</v>
      </c>
      <c r="Y208" s="78">
        <v>0.34050115514483736</v>
      </c>
      <c r="Z208" s="78">
        <v>0.38108340498710236</v>
      </c>
      <c r="AA208" s="79">
        <v>0.37998772252915902</v>
      </c>
      <c r="AB208" s="134">
        <v>0.29570034291743608</v>
      </c>
      <c r="AC208" s="78">
        <v>0.32920438303954258</v>
      </c>
      <c r="AD208" s="78">
        <v>0.37174878409811796</v>
      </c>
      <c r="AE208" s="79">
        <v>0.39147052906859797</v>
      </c>
      <c r="AF208" s="134">
        <v>0.41457651762995273</v>
      </c>
      <c r="AG208" s="78">
        <v>0.417966740956626</v>
      </c>
      <c r="AH208" s="78">
        <v>0.41035458631596478</v>
      </c>
      <c r="AI208" s="79">
        <v>0.41022099447513816</v>
      </c>
      <c r="AJ208" s="134">
        <v>0.27842866988283937</v>
      </c>
      <c r="AK208" s="78">
        <v>0.29377345992492815</v>
      </c>
      <c r="AL208" s="78">
        <v>0.29075723830734967</v>
      </c>
      <c r="AM208" s="79">
        <v>0.31149889308503698</v>
      </c>
      <c r="AN208" s="134">
        <v>0.32939279957012357</v>
      </c>
      <c r="AO208" s="78">
        <v>0.34680451127819545</v>
      </c>
      <c r="AP208" s="78">
        <v>0.32804962095106815</v>
      </c>
      <c r="AQ208" s="79">
        <v>0.30932078800352841</v>
      </c>
      <c r="AR208" s="134">
        <v>0.30937972768532529</v>
      </c>
      <c r="AS208" s="78">
        <v>0.33677175650152541</v>
      </c>
      <c r="AT208" s="78">
        <v>0.3483365949119373</v>
      </c>
      <c r="AU208" s="79">
        <v>0.35222841225626739</v>
      </c>
      <c r="AV208" s="134">
        <v>0.35498938428874738</v>
      </c>
      <c r="AW208" s="78">
        <v>0.36034846884899691</v>
      </c>
      <c r="AX208" s="78">
        <v>0.34085182963407318</v>
      </c>
      <c r="AY208" s="78">
        <v>0.32133765332099046</v>
      </c>
      <c r="AZ208" s="134">
        <v>0.34497014239779517</v>
      </c>
      <c r="BA208" s="78">
        <v>0.34571266325951167</v>
      </c>
      <c r="BB208" s="78">
        <v>0.34111012826183107</v>
      </c>
      <c r="BC208" s="79">
        <v>0.33309532309889323</v>
      </c>
      <c r="BD208" s="134">
        <v>0.337126774351444</v>
      </c>
      <c r="BE208" s="78">
        <v>0.35076327181590339</v>
      </c>
      <c r="BF208" s="78">
        <v>0.34598801135766116</v>
      </c>
      <c r="BG208" s="1374">
        <v>0.32800000000000001</v>
      </c>
      <c r="BH208" s="82">
        <v>0.32</v>
      </c>
      <c r="BI208" s="80">
        <v>0.32600000000000001</v>
      </c>
      <c r="BJ208" s="80">
        <v>0.35599999999999998</v>
      </c>
      <c r="BK208" s="81">
        <v>0.35499999999999998</v>
      </c>
      <c r="BL208" s="82">
        <v>0.35</v>
      </c>
      <c r="BM208" s="80">
        <v>0.35599999999999998</v>
      </c>
      <c r="BN208" s="80">
        <v>0.36199999999999999</v>
      </c>
      <c r="BO208" s="81">
        <v>0.36099999999999999</v>
      </c>
      <c r="BP208" s="82">
        <v>0.35</v>
      </c>
      <c r="BQ208" s="80">
        <v>0.35599999999999998</v>
      </c>
      <c r="BR208" s="80">
        <v>0.36199999999999999</v>
      </c>
      <c r="BS208" s="81">
        <v>0.36099999999999999</v>
      </c>
      <c r="BT208" s="82">
        <v>0.35</v>
      </c>
      <c r="BU208" s="80">
        <v>0.35599999999999998</v>
      </c>
      <c r="BV208" s="80">
        <v>0.36199999999999999</v>
      </c>
      <c r="BW208" s="81">
        <v>0.36099999999999999</v>
      </c>
      <c r="BX208" s="346"/>
      <c r="BY208" s="219">
        <v>0.28260192525481315</v>
      </c>
      <c r="BZ208" s="220">
        <v>0.32354493006841784</v>
      </c>
      <c r="CA208" s="220">
        <v>0.33329258289428026</v>
      </c>
      <c r="CB208" s="220">
        <v>0.38420147140161148</v>
      </c>
      <c r="CC208" s="220">
        <v>0.37708693815429306</v>
      </c>
      <c r="CD208" s="220">
        <v>0.36303452041393786</v>
      </c>
      <c r="CE208" s="220">
        <v>0.35443401010789921</v>
      </c>
      <c r="CF208" s="220">
        <v>0.41322607998639149</v>
      </c>
      <c r="CG208" s="220">
        <v>0.29241598072044295</v>
      </c>
      <c r="CH208" s="220">
        <v>0.32923148657714396</v>
      </c>
      <c r="CI208" s="220">
        <v>0.33723212840007488</v>
      </c>
      <c r="CJ208" s="220">
        <v>0.34436908884752149</v>
      </c>
      <c r="CK208" s="220">
        <v>0.34135507401827853</v>
      </c>
      <c r="CL208" s="220">
        <v>0.34027371692969127</v>
      </c>
      <c r="CM208" s="220">
        <v>0.33966827142051964</v>
      </c>
      <c r="CN208" s="220">
        <v>0.35742152635868601</v>
      </c>
      <c r="CO208" s="220">
        <v>0.35742152635868601</v>
      </c>
      <c r="CP208" s="258">
        <v>0.35742152635868601</v>
      </c>
    </row>
    <row r="209" spans="1:94" s="1361" customFormat="1" ht="14.25" hidden="1" customHeight="1" outlineLevel="2">
      <c r="A209" s="1364"/>
      <c r="B209" s="840"/>
      <c r="C209" s="237"/>
      <c r="D209" s="221"/>
      <c r="E209" s="221"/>
      <c r="F209" s="221"/>
      <c r="G209" s="614"/>
      <c r="H209" s="221"/>
      <c r="I209" s="221"/>
      <c r="J209" s="221"/>
      <c r="K209" s="614"/>
      <c r="L209" s="221"/>
      <c r="M209" s="221"/>
      <c r="N209" s="221"/>
      <c r="O209" s="614"/>
      <c r="P209" s="221"/>
      <c r="Q209" s="221"/>
      <c r="R209" s="221"/>
      <c r="S209" s="614"/>
      <c r="T209" s="221"/>
      <c r="U209" s="221"/>
      <c r="V209" s="221"/>
      <c r="W209" s="614"/>
      <c r="X209" s="221"/>
      <c r="Y209" s="221"/>
      <c r="Z209" s="221"/>
      <c r="AA209" s="614"/>
      <c r="AB209" s="221"/>
      <c r="AC209" s="221"/>
      <c r="AD209" s="221"/>
      <c r="AE209" s="614"/>
      <c r="AF209" s="221"/>
      <c r="AG209" s="221"/>
      <c r="AH209" s="221"/>
      <c r="AI209" s="614"/>
      <c r="AJ209" s="221"/>
      <c r="AK209" s="221"/>
      <c r="AL209" s="221"/>
      <c r="AM209" s="614"/>
      <c r="AN209" s="221"/>
      <c r="AO209" s="221"/>
      <c r="AP209" s="221"/>
      <c r="AQ209" s="614"/>
      <c r="AR209" s="221"/>
      <c r="AS209" s="221"/>
      <c r="AT209" s="221"/>
      <c r="AU209" s="614"/>
      <c r="AV209" s="221"/>
      <c r="AW209" s="221"/>
      <c r="AX209" s="221"/>
      <c r="AY209" s="221"/>
      <c r="AZ209" s="388"/>
      <c r="BA209" s="291"/>
      <c r="BB209" s="221"/>
      <c r="BC209" s="614"/>
      <c r="BD209" s="388"/>
      <c r="BE209" s="291"/>
      <c r="BF209" s="221"/>
      <c r="BG209" s="897"/>
      <c r="BH209" s="291"/>
      <c r="BI209" s="291"/>
      <c r="BJ209" s="291"/>
      <c r="BK209" s="897"/>
      <c r="BL209" s="291"/>
      <c r="BM209" s="291"/>
      <c r="BN209" s="291"/>
      <c r="BO209" s="897"/>
      <c r="BP209" s="291"/>
      <c r="BQ209" s="291"/>
      <c r="BR209" s="291"/>
      <c r="BS209" s="897"/>
      <c r="BT209" s="291"/>
      <c r="BU209" s="291"/>
      <c r="BV209" s="291"/>
      <c r="BW209" s="897"/>
      <c r="BX209" s="346"/>
      <c r="BY209" s="939"/>
      <c r="BZ209" s="238"/>
      <c r="CA209" s="238"/>
      <c r="CB209" s="238"/>
      <c r="CC209" s="238"/>
      <c r="CD209" s="238"/>
      <c r="CE209" s="238"/>
      <c r="CF209" s="238"/>
      <c r="CG209" s="238"/>
      <c r="CH209" s="238"/>
      <c r="CI209" s="238"/>
      <c r="CJ209" s="238"/>
      <c r="CK209" s="238"/>
      <c r="CL209" s="238"/>
      <c r="CM209" s="238"/>
      <c r="CN209" s="238"/>
      <c r="CO209" s="238"/>
      <c r="CP209" s="914"/>
    </row>
    <row r="210" spans="1:94" s="1361" customFormat="1" ht="14.25" hidden="1" customHeight="1" outlineLevel="2">
      <c r="A210" s="1363"/>
      <c r="B210" s="297" t="s">
        <v>15</v>
      </c>
      <c r="C210" s="287"/>
      <c r="D210" s="495">
        <v>0</v>
      </c>
      <c r="E210" s="881">
        <v>40.991999999999997</v>
      </c>
      <c r="F210" s="495">
        <v>39.72</v>
      </c>
      <c r="G210" s="496">
        <v>44.576000000000008</v>
      </c>
      <c r="H210" s="495">
        <v>52.393999999999998</v>
      </c>
      <c r="I210" s="881">
        <v>56.695000000000007</v>
      </c>
      <c r="J210" s="495">
        <v>44.576000000000001</v>
      </c>
      <c r="K210" s="496">
        <v>39.884</v>
      </c>
      <c r="L210" s="495">
        <v>45.359999999999992</v>
      </c>
      <c r="M210" s="881">
        <v>42.392000000000003</v>
      </c>
      <c r="N210" s="495">
        <v>43.904000000000011</v>
      </c>
      <c r="O210" s="496">
        <v>41.015999999999998</v>
      </c>
      <c r="P210" s="495">
        <v>40.08</v>
      </c>
      <c r="Q210" s="881">
        <v>52.542000000000009</v>
      </c>
      <c r="R210" s="495">
        <v>50.507999999999996</v>
      </c>
      <c r="S210" s="496">
        <v>52.208000000000006</v>
      </c>
      <c r="T210" s="495">
        <v>52.388000000000005</v>
      </c>
      <c r="U210" s="881">
        <v>26.684000000000001</v>
      </c>
      <c r="V210" s="495">
        <v>44.318999999999996</v>
      </c>
      <c r="W210" s="496">
        <v>44.869</v>
      </c>
      <c r="X210" s="495">
        <v>50.627999999999993</v>
      </c>
      <c r="Y210" s="881">
        <v>101.286</v>
      </c>
      <c r="Z210" s="495">
        <v>98.855000000000004</v>
      </c>
      <c r="AA210" s="496">
        <v>92.852999999999994</v>
      </c>
      <c r="AB210" s="495">
        <v>75.820000000000007</v>
      </c>
      <c r="AC210" s="495">
        <v>75.563999999999993</v>
      </c>
      <c r="AD210" s="495">
        <v>80.393000000000001</v>
      </c>
      <c r="AE210" s="496">
        <v>89.477999999999994</v>
      </c>
      <c r="AF210" s="495">
        <v>104.53800000000001</v>
      </c>
      <c r="AG210" s="495">
        <v>110.827</v>
      </c>
      <c r="AH210" s="495">
        <v>108.126</v>
      </c>
      <c r="AI210" s="496">
        <v>110.04800000000002</v>
      </c>
      <c r="AJ210" s="495">
        <v>156.708</v>
      </c>
      <c r="AK210" s="495">
        <v>172.102</v>
      </c>
      <c r="AL210" s="495">
        <v>161.63999999999999</v>
      </c>
      <c r="AM210" s="496">
        <v>153.58000000000001</v>
      </c>
      <c r="AN210" s="495">
        <v>141.43600000000001</v>
      </c>
      <c r="AO210" s="495">
        <v>141.512</v>
      </c>
      <c r="AP210" s="495">
        <v>130.59</v>
      </c>
      <c r="AQ210" s="496">
        <v>136.04000000000002</v>
      </c>
      <c r="AR210" s="495">
        <v>132.20000000000002</v>
      </c>
      <c r="AS210" s="495">
        <v>137.66</v>
      </c>
      <c r="AT210" s="495">
        <v>143.08000000000001</v>
      </c>
      <c r="AU210" s="496">
        <v>143.6</v>
      </c>
      <c r="AV210" s="495">
        <v>148.36499999999998</v>
      </c>
      <c r="AW210" s="495">
        <v>166.672</v>
      </c>
      <c r="AX210" s="495">
        <v>183.37</v>
      </c>
      <c r="AY210" s="495">
        <v>207.40800000000002</v>
      </c>
      <c r="AZ210" s="1161">
        <v>211.65</v>
      </c>
      <c r="BA210" s="495">
        <v>210.3</v>
      </c>
      <c r="BB210" s="495">
        <v>211.2</v>
      </c>
      <c r="BC210" s="496">
        <v>190.4</v>
      </c>
      <c r="BD210" s="1161">
        <v>177.9</v>
      </c>
      <c r="BE210" s="495">
        <v>200.62</v>
      </c>
      <c r="BF210" s="495">
        <v>211.52</v>
      </c>
      <c r="BG210" s="1378">
        <v>346.89280000000002</v>
      </c>
      <c r="BH210" s="801">
        <v>357.29958400000004</v>
      </c>
      <c r="BI210" s="801">
        <v>369.80506944000001</v>
      </c>
      <c r="BJ210" s="801">
        <v>369.80506944000001</v>
      </c>
      <c r="BK210" s="810">
        <v>358.7109173568</v>
      </c>
      <c r="BL210" s="801">
        <v>365.88513570393599</v>
      </c>
      <c r="BM210" s="801">
        <v>380.52054113209346</v>
      </c>
      <c r="BN210" s="801">
        <v>380.52054113209346</v>
      </c>
      <c r="BO210" s="810">
        <v>369.10492489813066</v>
      </c>
      <c r="BP210" s="801">
        <v>365.88513570393599</v>
      </c>
      <c r="BQ210" s="801">
        <v>380.52054113209346</v>
      </c>
      <c r="BR210" s="801">
        <v>380.52054113209346</v>
      </c>
      <c r="BS210" s="810">
        <v>369.10492489813066</v>
      </c>
      <c r="BT210" s="801">
        <v>365.88513570393599</v>
      </c>
      <c r="BU210" s="801">
        <v>380.52054113209346</v>
      </c>
      <c r="BV210" s="801">
        <v>380.52054113209346</v>
      </c>
      <c r="BW210" s="810">
        <v>369.10492489813066</v>
      </c>
      <c r="BX210" s="346"/>
      <c r="BY210" s="334">
        <v>125.288</v>
      </c>
      <c r="BZ210" s="325">
        <v>193.54899999999998</v>
      </c>
      <c r="CA210" s="325">
        <v>172.672</v>
      </c>
      <c r="CB210" s="325">
        <v>195.33799999999999</v>
      </c>
      <c r="CC210" s="325">
        <v>168.26</v>
      </c>
      <c r="CD210" s="325">
        <v>343.62200000000001</v>
      </c>
      <c r="CE210" s="325">
        <v>321.255</v>
      </c>
      <c r="CF210" s="325">
        <v>433.53899999999999</v>
      </c>
      <c r="CG210" s="325">
        <v>644.03</v>
      </c>
      <c r="CH210" s="325">
        <v>549.57799999999997</v>
      </c>
      <c r="CI210" s="325">
        <v>556.54000000000008</v>
      </c>
      <c r="CJ210" s="325">
        <v>705.81500000000005</v>
      </c>
      <c r="CK210" s="325">
        <v>823.55000000000007</v>
      </c>
      <c r="CL210" s="325">
        <v>936.93280000000004</v>
      </c>
      <c r="CM210" s="325">
        <v>1455.6206402368002</v>
      </c>
      <c r="CN210" s="325">
        <v>1496.0311428662535</v>
      </c>
      <c r="CO210" s="325">
        <v>1496.0311428662535</v>
      </c>
      <c r="CP210" s="326">
        <v>1496.0311428662535</v>
      </c>
    </row>
    <row r="211" spans="1:94" s="1361" customFormat="1" ht="14.25" hidden="1" customHeight="1" outlineLevel="2">
      <c r="A211" s="1364"/>
      <c r="B211" s="32" t="s">
        <v>297</v>
      </c>
      <c r="C211" s="218"/>
      <c r="D211" s="134"/>
      <c r="E211" s="78"/>
      <c r="F211" s="78">
        <v>-3.1030444964871173E-2</v>
      </c>
      <c r="G211" s="79">
        <v>0.12225579053373647</v>
      </c>
      <c r="H211" s="134">
        <v>0.17538585786073191</v>
      </c>
      <c r="I211" s="78">
        <v>8.2089552238806096E-2</v>
      </c>
      <c r="J211" s="78">
        <v>-0.21375782696886858</v>
      </c>
      <c r="K211" s="79">
        <v>-0.10525843503230436</v>
      </c>
      <c r="L211" s="134">
        <v>0.13729816467756484</v>
      </c>
      <c r="M211" s="78">
        <v>-6.5432098765431879E-2</v>
      </c>
      <c r="N211" s="78">
        <v>3.5667107001321252E-2</v>
      </c>
      <c r="O211" s="79">
        <v>-6.577988338192442E-2</v>
      </c>
      <c r="P211" s="134">
        <v>-2.2820362785254567E-2</v>
      </c>
      <c r="Q211" s="78">
        <v>0.31092814371257504</v>
      </c>
      <c r="R211" s="78">
        <v>-3.8711887632751241E-2</v>
      </c>
      <c r="S211" s="79">
        <v>3.3658034370792844E-2</v>
      </c>
      <c r="T211" s="134">
        <v>3.4477474716518852E-3</v>
      </c>
      <c r="U211" s="78">
        <v>-0.49064671298770712</v>
      </c>
      <c r="V211" s="78">
        <v>0.66088292609803601</v>
      </c>
      <c r="W211" s="79">
        <v>1.24100273020602E-2</v>
      </c>
      <c r="X211" s="134">
        <v>0.1283514230314915</v>
      </c>
      <c r="Y211" s="78">
        <v>1.0005925574780759</v>
      </c>
      <c r="Z211" s="78">
        <v>-2.4001342732460573E-2</v>
      </c>
      <c r="AA211" s="79">
        <v>-6.0715188913054607E-2</v>
      </c>
      <c r="AB211" s="134">
        <v>-0.18344049196041046</v>
      </c>
      <c r="AC211" s="78">
        <v>-3.376417831706835E-3</v>
      </c>
      <c r="AD211" s="78">
        <v>6.3906092848446505E-2</v>
      </c>
      <c r="AE211" s="79">
        <v>0.11300735138631457</v>
      </c>
      <c r="AF211" s="134">
        <v>0.16830952859920889</v>
      </c>
      <c r="AG211" s="78">
        <v>6.0159941839331044E-2</v>
      </c>
      <c r="AH211" s="78">
        <v>-2.4371317458741992E-2</v>
      </c>
      <c r="AI211" s="79">
        <v>1.7775558145127102E-2</v>
      </c>
      <c r="AJ211" s="134">
        <v>0.42399680139575446</v>
      </c>
      <c r="AK211" s="78">
        <v>9.8233657503126848E-2</v>
      </c>
      <c r="AL211" s="78">
        <v>-6.078953178928781E-2</v>
      </c>
      <c r="AM211" s="79">
        <v>-4.9863895075476172E-2</v>
      </c>
      <c r="AN211" s="134">
        <v>-7.907279593697103E-2</v>
      </c>
      <c r="AO211" s="78">
        <v>5.3734551316497736E-4</v>
      </c>
      <c r="AP211" s="78">
        <v>-7.7180733789360634E-2</v>
      </c>
      <c r="AQ211" s="79">
        <v>4.1733670265717171E-2</v>
      </c>
      <c r="AR211" s="134">
        <v>-2.8226992061158529E-2</v>
      </c>
      <c r="AS211" s="78">
        <v>4.1301059001512597E-2</v>
      </c>
      <c r="AT211" s="78">
        <v>3.9372366700566763E-2</v>
      </c>
      <c r="AU211" s="79">
        <v>3.6343304445063396E-3</v>
      </c>
      <c r="AV211" s="134">
        <v>3.3182451253481737E-2</v>
      </c>
      <c r="AW211" s="78">
        <v>0.12339163549354648</v>
      </c>
      <c r="AX211" s="78">
        <v>0.1001847940865892</v>
      </c>
      <c r="AY211" s="78">
        <v>0.13109014560724219</v>
      </c>
      <c r="AZ211" s="134">
        <v>2.0452441564452695E-2</v>
      </c>
      <c r="BA211" s="78">
        <v>-6.3784549964563952E-3</v>
      </c>
      <c r="BB211" s="78">
        <v>4.2796005706133844E-3</v>
      </c>
      <c r="BC211" s="79">
        <v>-9.8484848484848397E-2</v>
      </c>
      <c r="BD211" s="134">
        <v>-6.5651260504201669E-2</v>
      </c>
      <c r="BE211" s="78">
        <v>0.12771219786396859</v>
      </c>
      <c r="BF211" s="78">
        <v>5.4331572126408156E-2</v>
      </c>
      <c r="BG211" s="1374">
        <v>0.64</v>
      </c>
      <c r="BH211" s="80">
        <v>0.03</v>
      </c>
      <c r="BI211" s="80">
        <v>3.5000000000000003E-2</v>
      </c>
      <c r="BJ211" s="80">
        <v>0</v>
      </c>
      <c r="BK211" s="81">
        <v>-0.03</v>
      </c>
      <c r="BL211" s="80">
        <v>0.02</v>
      </c>
      <c r="BM211" s="80">
        <v>0.04</v>
      </c>
      <c r="BN211" s="80">
        <v>0</v>
      </c>
      <c r="BO211" s="81">
        <v>-0.03</v>
      </c>
      <c r="BP211" s="80">
        <v>0.02</v>
      </c>
      <c r="BQ211" s="80">
        <v>0.04</v>
      </c>
      <c r="BR211" s="80">
        <v>0</v>
      </c>
      <c r="BS211" s="81">
        <v>-0.03</v>
      </c>
      <c r="BT211" s="80">
        <v>0.02</v>
      </c>
      <c r="BU211" s="80">
        <v>0.04</v>
      </c>
      <c r="BV211" s="80">
        <v>0</v>
      </c>
      <c r="BW211" s="81">
        <v>-0.03</v>
      </c>
      <c r="BX211" s="346"/>
      <c r="BY211" s="219"/>
      <c r="BZ211" s="220"/>
      <c r="CA211" s="220"/>
      <c r="CB211" s="220"/>
      <c r="CC211" s="220"/>
      <c r="CD211" s="220"/>
      <c r="CE211" s="220"/>
      <c r="CF211" s="220"/>
      <c r="CG211" s="220"/>
      <c r="CH211" s="220"/>
      <c r="CI211" s="220"/>
      <c r="CJ211" s="220"/>
      <c r="CK211" s="220"/>
      <c r="CL211" s="220"/>
      <c r="CM211" s="220"/>
      <c r="CN211" s="220"/>
      <c r="CO211" s="220"/>
      <c r="CP211" s="258"/>
    </row>
    <row r="212" spans="1:94" s="1361" customFormat="1" ht="14.25" hidden="1" customHeight="1" outlineLevel="2">
      <c r="A212" s="1364"/>
      <c r="B212" s="32" t="s">
        <v>548</v>
      </c>
      <c r="C212" s="218"/>
      <c r="D212" s="134"/>
      <c r="E212" s="78"/>
      <c r="F212" s="78"/>
      <c r="G212" s="79"/>
      <c r="H212" s="134"/>
      <c r="I212" s="78"/>
      <c r="J212" s="78"/>
      <c r="K212" s="79"/>
      <c r="L212" s="134"/>
      <c r="M212" s="78"/>
      <c r="N212" s="78"/>
      <c r="O212" s="79"/>
      <c r="P212" s="134"/>
      <c r="Q212" s="78"/>
      <c r="R212" s="78"/>
      <c r="S212" s="79"/>
      <c r="T212" s="134"/>
      <c r="U212" s="78"/>
      <c r="V212" s="78"/>
      <c r="W212" s="79"/>
      <c r="X212" s="134"/>
      <c r="Y212" s="78">
        <v>-4.0765278950439465E-2</v>
      </c>
      <c r="Z212" s="78">
        <v>8.2609974706573247E-2</v>
      </c>
      <c r="AA212" s="79">
        <v>-5.4289324152785308E-4</v>
      </c>
      <c r="AB212" s="134">
        <v>8.4332566051237109E-2</v>
      </c>
      <c r="AC212" s="78">
        <v>0.1675062883352636</v>
      </c>
      <c r="AD212" s="78">
        <v>8.4015795153055378E-2</v>
      </c>
      <c r="AE212" s="79">
        <v>-3.7137089130886071E-2</v>
      </c>
      <c r="AF212" s="134">
        <v>1.2567296087008639E-2</v>
      </c>
      <c r="AG212" s="78">
        <v>0.15041309432116101</v>
      </c>
      <c r="AH212" s="78">
        <v>0.13954857911651838</v>
      </c>
      <c r="AI212" s="79">
        <v>6.5160681528377172E-3</v>
      </c>
      <c r="AJ212" s="134">
        <v>1.876956887133745E-2</v>
      </c>
      <c r="AK212" s="78">
        <v>0.1755315024421136</v>
      </c>
      <c r="AL212" s="78">
        <v>0.12754089422450574</v>
      </c>
      <c r="AM212" s="79">
        <v>2.3227156458248022E-2</v>
      </c>
      <c r="AN212" s="134">
        <v>0.10813300170753926</v>
      </c>
      <c r="AO212" s="78">
        <v>0.13299260520022396</v>
      </c>
      <c r="AP212" s="78">
        <v>0.12312536539319843</v>
      </c>
      <c r="AQ212" s="79">
        <v>6.5227705689942187E-3</v>
      </c>
      <c r="AR212" s="134">
        <v>9.1628893025814673E-2</v>
      </c>
      <c r="AS212" s="78">
        <v>0.23122941690039839</v>
      </c>
      <c r="AT212" s="78">
        <v>-2.4487366584280901E-2</v>
      </c>
      <c r="AU212" s="79">
        <v>1.2387499161725612E-2</v>
      </c>
      <c r="AV212" s="134">
        <v>6.0313210007284665E-2</v>
      </c>
      <c r="AW212" s="78">
        <v>3.9371117205085723E-2</v>
      </c>
      <c r="AX212" s="78">
        <v>-1.1812624697675434E-2</v>
      </c>
      <c r="AY212" s="78">
        <v>2.5257403033237803E-2</v>
      </c>
      <c r="AZ212" s="134">
        <v>0.1036377986500631</v>
      </c>
      <c r="BA212" s="78">
        <v>6.4724727870136389E-2</v>
      </c>
      <c r="BB212" s="78">
        <v>-4.5568844500468945E-3</v>
      </c>
      <c r="BC212" s="79">
        <v>2.8873961877423325E-2</v>
      </c>
      <c r="BD212" s="134">
        <v>7.4066381243111865E-2</v>
      </c>
      <c r="BE212" s="78">
        <v>5.1417048502978902E-2</v>
      </c>
      <c r="BF212" s="78">
        <v>1.1732991558241813E-3</v>
      </c>
      <c r="BG212" s="1375">
        <v>5.621880551428227E-3</v>
      </c>
      <c r="BH212" s="78">
        <v>-2.3863231136879361E-2</v>
      </c>
      <c r="BI212" s="78">
        <v>5.7312756575147249E-2</v>
      </c>
      <c r="BJ212" s="78">
        <v>2.4197519938963373E-2</v>
      </c>
      <c r="BK212" s="79">
        <v>0.14359465956652345</v>
      </c>
      <c r="BL212" s="78">
        <v>-2.0486719494851534E-3</v>
      </c>
      <c r="BM212" s="78">
        <v>6.4205287472514264E-2</v>
      </c>
      <c r="BN212" s="78">
        <v>3.9633666696835504E-2</v>
      </c>
      <c r="BO212" s="79">
        <v>0.12924792551338002</v>
      </c>
      <c r="BP212" s="78">
        <v>-2.0486719494851534E-3</v>
      </c>
      <c r="BQ212" s="78">
        <v>6.4205287472514264E-2</v>
      </c>
      <c r="BR212" s="78">
        <v>3.9633666696835504E-2</v>
      </c>
      <c r="BS212" s="79">
        <v>0.12924792551338002</v>
      </c>
      <c r="BT212" s="78">
        <v>-2.0486719494851534E-3</v>
      </c>
      <c r="BU212" s="78">
        <v>6.4205287472514264E-2</v>
      </c>
      <c r="BV212" s="78">
        <v>3.9633666696835504E-2</v>
      </c>
      <c r="BW212" s="79">
        <v>0.12924792551338002</v>
      </c>
      <c r="BX212" s="346"/>
      <c r="BY212" s="219"/>
      <c r="BZ212" s="220"/>
      <c r="CA212" s="220"/>
      <c r="CB212" s="220"/>
      <c r="CC212" s="220"/>
      <c r="CD212" s="220"/>
      <c r="CE212" s="220"/>
      <c r="CF212" s="220"/>
      <c r="CG212" s="220"/>
      <c r="CH212" s="220"/>
      <c r="CI212" s="220"/>
      <c r="CJ212" s="220"/>
      <c r="CK212" s="220"/>
      <c r="CL212" s="220"/>
      <c r="CM212" s="220"/>
      <c r="CN212" s="220"/>
      <c r="CO212" s="220"/>
      <c r="CP212" s="258"/>
    </row>
    <row r="213" spans="1:94" s="1361" customFormat="1" ht="14.25" hidden="1" customHeight="1" outlineLevel="2">
      <c r="A213" s="1365"/>
      <c r="B213" s="867" t="s">
        <v>298</v>
      </c>
      <c r="C213" s="880"/>
      <c r="D213" s="377"/>
      <c r="E213" s="370"/>
      <c r="F213" s="370"/>
      <c r="G213" s="335"/>
      <c r="H213" s="377"/>
      <c r="I213" s="370">
        <v>0.3830747462919597</v>
      </c>
      <c r="J213" s="370">
        <v>0.12225579053373625</v>
      </c>
      <c r="K213" s="335">
        <v>-0.10525843503230448</v>
      </c>
      <c r="L213" s="377">
        <v>-0.13425201358934236</v>
      </c>
      <c r="M213" s="370">
        <v>-0.25227974248170038</v>
      </c>
      <c r="N213" s="370">
        <v>-1.5075376884421843E-2</v>
      </c>
      <c r="O213" s="335">
        <v>2.8382308695215963E-2</v>
      </c>
      <c r="P213" s="377">
        <v>-0.11640211640211628</v>
      </c>
      <c r="Q213" s="370">
        <v>0.23943196829590496</v>
      </c>
      <c r="R213" s="370">
        <v>0.15041909620991212</v>
      </c>
      <c r="S213" s="335">
        <v>0.27286912424419763</v>
      </c>
      <c r="T213" s="377">
        <v>0.30708582834331355</v>
      </c>
      <c r="U213" s="370">
        <v>-0.49213962163602454</v>
      </c>
      <c r="V213" s="370">
        <v>-0.12253504395343318</v>
      </c>
      <c r="W213" s="335">
        <v>-0.14057232608029435</v>
      </c>
      <c r="X213" s="377">
        <v>-3.3595479880888957E-2</v>
      </c>
      <c r="Y213" s="370">
        <v>2.7957577574576526</v>
      </c>
      <c r="Z213" s="370">
        <v>1.2305331799002688</v>
      </c>
      <c r="AA213" s="335">
        <v>1.0694243241436179</v>
      </c>
      <c r="AB213" s="377">
        <v>0.49759026625582714</v>
      </c>
      <c r="AC213" s="370">
        <v>-0.25395414963568519</v>
      </c>
      <c r="AD213" s="370">
        <v>-0.18675838349097162</v>
      </c>
      <c r="AE213" s="335">
        <v>-3.6347775516138436E-2</v>
      </c>
      <c r="AF213" s="377">
        <v>0.3787654972302823</v>
      </c>
      <c r="AG213" s="370">
        <v>0.46666401990365802</v>
      </c>
      <c r="AH213" s="370">
        <v>0.3449678454591818</v>
      </c>
      <c r="AI213" s="335">
        <v>0.22988891124075228</v>
      </c>
      <c r="AJ213" s="377">
        <v>0.49905297595132847</v>
      </c>
      <c r="AK213" s="370">
        <v>0.55288873649922854</v>
      </c>
      <c r="AL213" s="370">
        <v>0.49492259031130326</v>
      </c>
      <c r="AM213" s="335">
        <v>0.39557284094213419</v>
      </c>
      <c r="AN213" s="377">
        <v>-9.7455139495111864E-2</v>
      </c>
      <c r="AO213" s="370">
        <v>-0.1777434312210201</v>
      </c>
      <c r="AP213" s="370">
        <v>-0.19209354120267252</v>
      </c>
      <c r="AQ213" s="335">
        <v>-0.11420757911186341</v>
      </c>
      <c r="AR213" s="377">
        <v>-6.5301620520942238E-2</v>
      </c>
      <c r="AS213" s="370">
        <v>-2.7220306405110528E-2</v>
      </c>
      <c r="AT213" s="370">
        <v>9.5642851673175544E-2</v>
      </c>
      <c r="AU213" s="335">
        <v>5.5571890620405462E-2</v>
      </c>
      <c r="AV213" s="377">
        <v>0.12227685325264726</v>
      </c>
      <c r="AW213" s="370">
        <v>0.21075112596251633</v>
      </c>
      <c r="AX213" s="370">
        <v>0.28159071847917239</v>
      </c>
      <c r="AY213" s="370">
        <v>0.44434540389972166</v>
      </c>
      <c r="AZ213" s="377">
        <v>0.42654938833282796</v>
      </c>
      <c r="BA213" s="370">
        <v>0.26175962369204187</v>
      </c>
      <c r="BB213" s="370">
        <v>0.1517696460707858</v>
      </c>
      <c r="BC213" s="335">
        <v>-8.2002622849648987E-2</v>
      </c>
      <c r="BD213" s="377">
        <v>-0.15946137491141033</v>
      </c>
      <c r="BE213" s="370">
        <v>-4.602948169281984E-2</v>
      </c>
      <c r="BF213" s="370">
        <v>1.5151515151516914E-3</v>
      </c>
      <c r="BG213" s="1376">
        <v>0.82191596638655473</v>
      </c>
      <c r="BH213" s="377">
        <v>1.008429364811692</v>
      </c>
      <c r="BI213" s="370">
        <v>0.84331108284318623</v>
      </c>
      <c r="BJ213" s="370">
        <v>0.74832199999999993</v>
      </c>
      <c r="BK213" s="335">
        <v>3.4068499999999835E-2</v>
      </c>
      <c r="BL213" s="377">
        <v>2.4028999999999856E-2</v>
      </c>
      <c r="BM213" s="370">
        <v>2.8976000000000113E-2</v>
      </c>
      <c r="BN213" s="370">
        <v>2.8976000000000113E-2</v>
      </c>
      <c r="BO213" s="335">
        <v>2.8976000000000113E-2</v>
      </c>
      <c r="BP213" s="377">
        <v>2.4028999999999856E-2</v>
      </c>
      <c r="BQ213" s="370">
        <v>2.8976000000000113E-2</v>
      </c>
      <c r="BR213" s="370">
        <v>2.8976000000000113E-2</v>
      </c>
      <c r="BS213" s="335">
        <v>2.8976000000000113E-2</v>
      </c>
      <c r="BT213" s="377">
        <v>2.4028999999999856E-2</v>
      </c>
      <c r="BU213" s="370">
        <v>2.8976000000000113E-2</v>
      </c>
      <c r="BV213" s="370">
        <v>2.8976000000000113E-2</v>
      </c>
      <c r="BW213" s="335">
        <v>2.8976000000000113E-2</v>
      </c>
      <c r="BX213" s="346"/>
      <c r="BY213" s="377"/>
      <c r="BZ213" s="370"/>
      <c r="CA213" s="370"/>
      <c r="CB213" s="370"/>
      <c r="CC213" s="370"/>
      <c r="CD213" s="338"/>
      <c r="CE213" s="338"/>
      <c r="CF213" s="338"/>
      <c r="CG213" s="338"/>
      <c r="CH213" s="338">
        <v>-0.14665776438985767</v>
      </c>
      <c r="CI213" s="338">
        <v>1.2667901553555794E-2</v>
      </c>
      <c r="CJ213" s="338">
        <v>0.26821971466561245</v>
      </c>
      <c r="CK213" s="338">
        <v>0.16680716618377334</v>
      </c>
      <c r="CL213" s="338">
        <v>0.13767567239390432</v>
      </c>
      <c r="CM213" s="338">
        <v>0.55360196615680457</v>
      </c>
      <c r="CN213" s="338">
        <v>2.7761699382662819E-2</v>
      </c>
      <c r="CO213" s="338">
        <v>2.7761699382662819E-2</v>
      </c>
      <c r="CP213" s="337">
        <v>2.7761699382662819E-2</v>
      </c>
    </row>
    <row r="214" spans="1:94" s="1361" customFormat="1" ht="14.25" hidden="1" customHeight="1" outlineLevel="2">
      <c r="A214" s="1364"/>
      <c r="B214" s="32" t="s">
        <v>299</v>
      </c>
      <c r="C214" s="218"/>
      <c r="D214" s="78"/>
      <c r="E214" s="78">
        <v>0.16</v>
      </c>
      <c r="F214" s="78">
        <v>0.15</v>
      </c>
      <c r="G214" s="79">
        <v>0.16</v>
      </c>
      <c r="H214" s="78">
        <v>0.16999999999999996</v>
      </c>
      <c r="I214" s="78">
        <v>0.17</v>
      </c>
      <c r="J214" s="78">
        <v>0.14000000000000001</v>
      </c>
      <c r="K214" s="79">
        <v>0.12999999999999998</v>
      </c>
      <c r="L214" s="78">
        <v>0.15</v>
      </c>
      <c r="M214" s="78">
        <v>0.14000000000000001</v>
      </c>
      <c r="N214" s="78">
        <v>0.14000000000000001</v>
      </c>
      <c r="O214" s="79">
        <v>0.12</v>
      </c>
      <c r="P214" s="78">
        <v>0.12</v>
      </c>
      <c r="Q214" s="78">
        <v>0.14000000000000001</v>
      </c>
      <c r="R214" s="78">
        <v>0.12</v>
      </c>
      <c r="S214" s="79">
        <v>0.13</v>
      </c>
      <c r="T214" s="78">
        <v>0.13999999999999999</v>
      </c>
      <c r="U214" s="78">
        <v>7.0000000000000007E-2</v>
      </c>
      <c r="V214" s="78">
        <v>0.11</v>
      </c>
      <c r="W214" s="79">
        <v>0.11</v>
      </c>
      <c r="X214" s="78">
        <v>0.12</v>
      </c>
      <c r="Y214" s="78">
        <v>0.17999999999999994</v>
      </c>
      <c r="Z214" s="78">
        <v>0.17</v>
      </c>
      <c r="AA214" s="79">
        <v>0.19</v>
      </c>
      <c r="AB214" s="78">
        <v>0.20000000000000004</v>
      </c>
      <c r="AC214" s="78">
        <v>0.17999999999999997</v>
      </c>
      <c r="AD214" s="78">
        <v>0.17</v>
      </c>
      <c r="AE214" s="79">
        <v>0.18</v>
      </c>
      <c r="AF214" s="78">
        <v>0.19</v>
      </c>
      <c r="AG214" s="78">
        <v>0.18999999999999997</v>
      </c>
      <c r="AH214" s="78">
        <v>0.18</v>
      </c>
      <c r="AI214" s="79">
        <v>0.19</v>
      </c>
      <c r="AJ214" s="78">
        <v>0.18</v>
      </c>
      <c r="AK214" s="78">
        <v>0.19</v>
      </c>
      <c r="AL214" s="78">
        <v>0.17999999999999997</v>
      </c>
      <c r="AM214" s="79">
        <v>0.2</v>
      </c>
      <c r="AN214" s="78">
        <v>0.19</v>
      </c>
      <c r="AO214" s="78">
        <v>0.19</v>
      </c>
      <c r="AP214" s="78">
        <v>0.17999999999999997</v>
      </c>
      <c r="AQ214" s="79">
        <v>0.2</v>
      </c>
      <c r="AR214" s="78">
        <v>0.20000000000000004</v>
      </c>
      <c r="AS214" s="78">
        <v>0.19999999999999998</v>
      </c>
      <c r="AT214" s="78">
        <v>0.19999999999999998</v>
      </c>
      <c r="AU214" s="79">
        <v>0.19999999999999998</v>
      </c>
      <c r="AV214" s="78">
        <v>0.20999999999999996</v>
      </c>
      <c r="AW214" s="78">
        <v>0.22000000000000003</v>
      </c>
      <c r="AX214" s="78">
        <v>0.22</v>
      </c>
      <c r="AY214" s="78">
        <v>0.23999999999999996</v>
      </c>
      <c r="AZ214" s="134">
        <v>0.24305236564079011</v>
      </c>
      <c r="BA214" s="78">
        <v>0.23884156729131176</v>
      </c>
      <c r="BB214" s="78">
        <v>0.2335249889429456</v>
      </c>
      <c r="BC214" s="79">
        <v>0.22658574318695707</v>
      </c>
      <c r="BD214" s="134">
        <v>0.21769456681350957</v>
      </c>
      <c r="BE214" s="78">
        <v>0.22854864433811803</v>
      </c>
      <c r="BF214" s="78">
        <v>0.22244189715006837</v>
      </c>
      <c r="BG214" s="1375">
        <v>0.28587545674888171</v>
      </c>
      <c r="BH214" s="78">
        <v>0.29831550041188093</v>
      </c>
      <c r="BI214" s="78">
        <v>0.2984386411286824</v>
      </c>
      <c r="BJ214" s="78">
        <v>0.29192177878092435</v>
      </c>
      <c r="BK214" s="79">
        <v>0.28839170760002608</v>
      </c>
      <c r="BL214" s="78">
        <v>0.2979139748565745</v>
      </c>
      <c r="BM214" s="78">
        <v>0.29672076926886048</v>
      </c>
      <c r="BN214" s="78">
        <v>0.290281847717974</v>
      </c>
      <c r="BO214" s="79">
        <v>0.28705197294590756</v>
      </c>
      <c r="BP214" s="78">
        <v>0.2979139748565745</v>
      </c>
      <c r="BQ214" s="78">
        <v>0.29672076926886048</v>
      </c>
      <c r="BR214" s="78">
        <v>0.290281847717974</v>
      </c>
      <c r="BS214" s="79">
        <v>0.28705197294590756</v>
      </c>
      <c r="BT214" s="78">
        <v>0.2979139748565745</v>
      </c>
      <c r="BU214" s="78">
        <v>0.29672076926886048</v>
      </c>
      <c r="BV214" s="78">
        <v>0.290281847717974</v>
      </c>
      <c r="BW214" s="79">
        <v>0.28705197294590756</v>
      </c>
      <c r="BX214" s="346"/>
      <c r="BY214" s="359">
        <v>0.15663564908753808</v>
      </c>
      <c r="BZ214" s="338">
        <v>0.15277369958165599</v>
      </c>
      <c r="CA214" s="338">
        <v>0.13697604315405362</v>
      </c>
      <c r="CB214" s="338">
        <v>0.12752186969578272</v>
      </c>
      <c r="CC214" s="338">
        <v>0.10743200102158089</v>
      </c>
      <c r="CD214" s="338">
        <v>0.16722892738952697</v>
      </c>
      <c r="CE214" s="338">
        <v>0.18161286675334953</v>
      </c>
      <c r="CF214" s="338">
        <v>0.18740338895132705</v>
      </c>
      <c r="CG214" s="338">
        <v>0.18709293205124478</v>
      </c>
      <c r="CH214" s="338">
        <v>0.18984351791080867</v>
      </c>
      <c r="CI214" s="338">
        <v>0.2</v>
      </c>
      <c r="CJ214" s="338">
        <v>0.22323201973559365</v>
      </c>
      <c r="CK214" s="338">
        <v>0.2355692219679634</v>
      </c>
      <c r="CL214" s="338">
        <v>0.24277019572490147</v>
      </c>
      <c r="CM214" s="338">
        <v>0.29421432861323876</v>
      </c>
      <c r="CN214" s="338">
        <v>0.29292076707736148</v>
      </c>
      <c r="CO214" s="338">
        <v>0.29292076707736148</v>
      </c>
      <c r="CP214" s="337">
        <v>0.29292076707736148</v>
      </c>
    </row>
    <row r="215" spans="1:94" s="1361" customFormat="1" ht="14.25" hidden="1" customHeight="1" outlineLevel="2">
      <c r="A215" s="1364"/>
      <c r="B215" s="32"/>
      <c r="C215" s="218"/>
      <c r="D215" s="78"/>
      <c r="E215" s="78"/>
      <c r="F215" s="78"/>
      <c r="G215" s="79"/>
      <c r="H215" s="78"/>
      <c r="I215" s="78"/>
      <c r="J215" s="78"/>
      <c r="K215" s="79"/>
      <c r="L215" s="78"/>
      <c r="M215" s="78"/>
      <c r="N215" s="78"/>
      <c r="O215" s="79"/>
      <c r="P215" s="78"/>
      <c r="Q215" s="78"/>
      <c r="R215" s="78"/>
      <c r="S215" s="79"/>
      <c r="T215" s="78"/>
      <c r="U215" s="78"/>
      <c r="V215" s="78"/>
      <c r="W215" s="79"/>
      <c r="X215" s="78"/>
      <c r="Y215" s="78"/>
      <c r="Z215" s="78"/>
      <c r="AA215" s="79"/>
      <c r="AB215" s="78"/>
      <c r="AC215" s="78"/>
      <c r="AD215" s="78"/>
      <c r="AE215" s="79"/>
      <c r="AF215" s="78"/>
      <c r="AG215" s="78"/>
      <c r="AH215" s="78"/>
      <c r="AI215" s="79"/>
      <c r="AJ215" s="78"/>
      <c r="AK215" s="78"/>
      <c r="AL215" s="78"/>
      <c r="AM215" s="79"/>
      <c r="AN215" s="78"/>
      <c r="AO215" s="78"/>
      <c r="AP215" s="78"/>
      <c r="AQ215" s="79"/>
      <c r="AR215" s="78"/>
      <c r="AS215" s="78"/>
      <c r="AT215" s="78"/>
      <c r="AU215" s="79"/>
      <c r="AV215" s="78"/>
      <c r="AW215" s="78"/>
      <c r="AX215" s="78"/>
      <c r="AY215" s="78"/>
      <c r="AZ215" s="134"/>
      <c r="BA215" s="78"/>
      <c r="BB215" s="78"/>
      <c r="BC215" s="79"/>
      <c r="BD215" s="134"/>
      <c r="BE215" s="78"/>
      <c r="BF215" s="78"/>
      <c r="BG215" s="24"/>
      <c r="BH215" s="57"/>
      <c r="BI215" s="57"/>
      <c r="BJ215" s="57"/>
      <c r="BK215" s="24"/>
      <c r="BL215" s="57"/>
      <c r="BM215" s="57"/>
      <c r="BN215" s="57"/>
      <c r="BO215" s="24"/>
      <c r="BP215" s="57"/>
      <c r="BQ215" s="57"/>
      <c r="BR215" s="57"/>
      <c r="BS215" s="24"/>
      <c r="BT215" s="57"/>
      <c r="BU215" s="57"/>
      <c r="BV215" s="57"/>
      <c r="BW215" s="24"/>
      <c r="BX215" s="346"/>
      <c r="BY215" s="22"/>
      <c r="BZ215" s="15"/>
      <c r="CA215" s="15"/>
      <c r="CB215" s="15"/>
      <c r="CC215" s="15"/>
      <c r="CD215" s="15"/>
      <c r="CE215" s="15"/>
      <c r="CF215" s="15"/>
      <c r="CG215" s="15"/>
      <c r="CH215" s="15"/>
      <c r="CI215" s="15"/>
      <c r="CJ215" s="15"/>
      <c r="CK215" s="15"/>
      <c r="CL215" s="15"/>
      <c r="CM215" s="15"/>
      <c r="CN215" s="15"/>
      <c r="CO215" s="15"/>
      <c r="CP215" s="211"/>
    </row>
    <row r="216" spans="1:94" s="1361" customFormat="1" ht="14.25" hidden="1" customHeight="1" outlineLevel="2">
      <c r="A216" s="1364"/>
      <c r="B216" s="45" t="s">
        <v>640</v>
      </c>
      <c r="C216" s="218"/>
      <c r="D216" s="374"/>
      <c r="E216" s="341">
        <v>11.823999999999996</v>
      </c>
      <c r="F216" s="341">
        <v>11.040000000000003</v>
      </c>
      <c r="G216" s="342">
        <v>12.544000000000006</v>
      </c>
      <c r="H216" s="374">
        <v>16.302999999999994</v>
      </c>
      <c r="I216" s="341">
        <v>19.108000000000004</v>
      </c>
      <c r="J216" s="341">
        <v>14.419999999999998</v>
      </c>
      <c r="K216" s="342">
        <v>12.818000000000001</v>
      </c>
      <c r="L216" s="374">
        <v>14.429999999999998</v>
      </c>
      <c r="M216" s="341">
        <v>13.790000000000001</v>
      </c>
      <c r="N216" s="341">
        <v>14.574000000000005</v>
      </c>
      <c r="O216" s="342">
        <v>14.364000000000001</v>
      </c>
      <c r="P216" s="374">
        <v>14.123999999999999</v>
      </c>
      <c r="Q216" s="341">
        <v>21.448000000000004</v>
      </c>
      <c r="R216" s="341">
        <v>19.247999999999998</v>
      </c>
      <c r="S216" s="342">
        <v>20.501000000000001</v>
      </c>
      <c r="T216" s="374">
        <v>19.123999999999999</v>
      </c>
      <c r="U216" s="341">
        <v>10.220000000000001</v>
      </c>
      <c r="V216" s="341">
        <v>17.115999999999996</v>
      </c>
      <c r="W216" s="342">
        <v>16.752999999999997</v>
      </c>
      <c r="X216" s="374">
        <v>17.591999999999995</v>
      </c>
      <c r="Y216" s="341">
        <v>34.487999999999992</v>
      </c>
      <c r="Z216" s="341">
        <v>37.672000000000004</v>
      </c>
      <c r="AA216" s="342">
        <v>35.283000000000001</v>
      </c>
      <c r="AB216" s="374">
        <v>22.420000000000009</v>
      </c>
      <c r="AC216" s="341">
        <v>24.875999999999994</v>
      </c>
      <c r="AD216" s="341">
        <v>29.885999999999996</v>
      </c>
      <c r="AE216" s="342">
        <v>35.028000000000006</v>
      </c>
      <c r="AF216" s="374">
        <v>43.339000000000006</v>
      </c>
      <c r="AG216" s="341">
        <v>46.321999999999989</v>
      </c>
      <c r="AH216" s="341">
        <v>44.370000000000012</v>
      </c>
      <c r="AI216" s="342">
        <v>45.144000000000005</v>
      </c>
      <c r="AJ216" s="374">
        <v>43.631999999999991</v>
      </c>
      <c r="AK216" s="341">
        <v>50.558999999999983</v>
      </c>
      <c r="AL216" s="341">
        <v>46.997999999999998</v>
      </c>
      <c r="AM216" s="342">
        <v>47.839999999999989</v>
      </c>
      <c r="AN216" s="374">
        <v>46.588000000000001</v>
      </c>
      <c r="AO216" s="341">
        <v>49.076999999999991</v>
      </c>
      <c r="AP216" s="341">
        <v>42.839999999999989</v>
      </c>
      <c r="AQ216" s="342">
        <v>42.080000000000013</v>
      </c>
      <c r="AR216" s="374">
        <v>40.900000000000006</v>
      </c>
      <c r="AS216" s="341">
        <v>46.359999999999985</v>
      </c>
      <c r="AT216" s="341">
        <v>49.839999999999996</v>
      </c>
      <c r="AU216" s="342">
        <v>50.579999999999991</v>
      </c>
      <c r="AV216" s="374">
        <v>52.667999999999992</v>
      </c>
      <c r="AW216" s="341">
        <v>60.060000000000009</v>
      </c>
      <c r="AX216" s="341">
        <v>62.502000000000002</v>
      </c>
      <c r="AY216" s="341">
        <v>66.647999999999996</v>
      </c>
      <c r="AZ216" s="374">
        <v>73.012930638493344</v>
      </c>
      <c r="BA216" s="341">
        <v>72.703373083475299</v>
      </c>
      <c r="BB216" s="341">
        <v>72.042459088898724</v>
      </c>
      <c r="BC216" s="342">
        <v>63.421349518029281</v>
      </c>
      <c r="BD216" s="374">
        <v>59.974853157121885</v>
      </c>
      <c r="BE216" s="341">
        <v>70.370127591706535</v>
      </c>
      <c r="BF216" s="341">
        <v>73.183384162372491</v>
      </c>
      <c r="BG216" s="1377">
        <v>122.8000512</v>
      </c>
      <c r="BH216" s="341">
        <v>127.55595148800001</v>
      </c>
      <c r="BI216" s="341">
        <v>134.23924020672001</v>
      </c>
      <c r="BJ216" s="341">
        <v>135.16375288032</v>
      </c>
      <c r="BK216" s="342">
        <v>130.75012937655359</v>
      </c>
      <c r="BL216" s="341">
        <v>134.09690223549254</v>
      </c>
      <c r="BM216" s="341">
        <v>141.74390157170481</v>
      </c>
      <c r="BN216" s="341">
        <v>143.64650427736527</v>
      </c>
      <c r="BO216" s="342">
        <v>140.0753189988406</v>
      </c>
      <c r="BP216" s="341">
        <v>134.09690223549254</v>
      </c>
      <c r="BQ216" s="341">
        <v>141.74390157170481</v>
      </c>
      <c r="BR216" s="341">
        <v>143.64650427736527</v>
      </c>
      <c r="BS216" s="342">
        <v>140.0753189988406</v>
      </c>
      <c r="BT216" s="341">
        <v>134.09690223549254</v>
      </c>
      <c r="BU216" s="341">
        <v>141.74390157170481</v>
      </c>
      <c r="BV216" s="341">
        <v>143.64650427736527</v>
      </c>
      <c r="BW216" s="342">
        <v>140.0753189988406</v>
      </c>
      <c r="BX216" s="346"/>
      <c r="BY216" s="334">
        <v>35.408000000000001</v>
      </c>
      <c r="BZ216" s="325">
        <v>62.649000000000001</v>
      </c>
      <c r="CA216" s="325">
        <v>57.158000000000001</v>
      </c>
      <c r="CB216" s="325">
        <v>75.320999999999998</v>
      </c>
      <c r="CC216" s="325">
        <v>63.212999999999994</v>
      </c>
      <c r="CD216" s="325">
        <v>125.03499999999998</v>
      </c>
      <c r="CE216" s="325">
        <v>112.21000000000001</v>
      </c>
      <c r="CF216" s="325">
        <v>179.17500000000001</v>
      </c>
      <c r="CG216" s="325">
        <v>189.02899999999994</v>
      </c>
      <c r="CH216" s="325">
        <v>180.58500000000001</v>
      </c>
      <c r="CI216" s="325">
        <v>187.67999999999998</v>
      </c>
      <c r="CJ216" s="325">
        <v>241.87800000000001</v>
      </c>
      <c r="CK216" s="325">
        <v>281.18011232889666</v>
      </c>
      <c r="CL216" s="325">
        <v>326.32841611120091</v>
      </c>
      <c r="CM216" s="325">
        <v>527.70907395159361</v>
      </c>
      <c r="CN216" s="325">
        <v>559.56262708340319</v>
      </c>
      <c r="CO216" s="325">
        <v>559.56262708340319</v>
      </c>
      <c r="CP216" s="326">
        <v>559.56262708340319</v>
      </c>
    </row>
    <row r="217" spans="1:94" s="1361" customFormat="1" ht="14.25" hidden="1" customHeight="1" outlineLevel="2">
      <c r="A217" s="1364"/>
      <c r="B217" s="32" t="s">
        <v>297</v>
      </c>
      <c r="C217" s="218"/>
      <c r="D217" s="134"/>
      <c r="E217" s="78"/>
      <c r="F217" s="78">
        <v>-6.6305818673883077E-2</v>
      </c>
      <c r="G217" s="79">
        <v>0.13623188405797126</v>
      </c>
      <c r="H217" s="134">
        <v>0.29966517857142749</v>
      </c>
      <c r="I217" s="78">
        <v>0.17205422314911445</v>
      </c>
      <c r="J217" s="78">
        <v>-0.24534226501988721</v>
      </c>
      <c r="K217" s="79">
        <v>-0.11109570041608852</v>
      </c>
      <c r="L217" s="134">
        <v>0.12576064908722073</v>
      </c>
      <c r="M217" s="78">
        <v>-4.4352044352044206E-2</v>
      </c>
      <c r="N217" s="78">
        <v>5.6852791878172937E-2</v>
      </c>
      <c r="O217" s="79">
        <v>-1.4409221902017544E-2</v>
      </c>
      <c r="P217" s="134">
        <v>-1.670843776106945E-2</v>
      </c>
      <c r="Q217" s="78">
        <v>0.5185499858397058</v>
      </c>
      <c r="R217" s="78">
        <v>-0.10257366654233524</v>
      </c>
      <c r="S217" s="79">
        <v>6.5097672485453284E-2</v>
      </c>
      <c r="T217" s="134">
        <v>-6.7167455246085694E-2</v>
      </c>
      <c r="U217" s="78">
        <v>-0.46559297218155193</v>
      </c>
      <c r="V217" s="78">
        <v>0.67475538160469628</v>
      </c>
      <c r="W217" s="79">
        <v>-2.1208226221079651E-2</v>
      </c>
      <c r="X217" s="134">
        <v>5.008058258222392E-2</v>
      </c>
      <c r="Y217" s="78">
        <v>0.9604365620736699</v>
      </c>
      <c r="Z217" s="78">
        <v>9.2321967061007149E-2</v>
      </c>
      <c r="AA217" s="79">
        <v>-6.3415799532809625E-2</v>
      </c>
      <c r="AB217" s="134">
        <v>-0.36456650511577793</v>
      </c>
      <c r="AC217" s="78">
        <v>0.10954504906333562</v>
      </c>
      <c r="AD217" s="78">
        <v>0.20139893873613124</v>
      </c>
      <c r="AE217" s="79">
        <v>0.17205380445693663</v>
      </c>
      <c r="AF217" s="134">
        <v>0.23726732899394776</v>
      </c>
      <c r="AG217" s="78">
        <v>6.8829460762822814E-2</v>
      </c>
      <c r="AH217" s="78">
        <v>-4.2139803980829393E-2</v>
      </c>
      <c r="AI217" s="79">
        <v>1.744421906693705E-2</v>
      </c>
      <c r="AJ217" s="134">
        <v>-3.3492822966507463E-2</v>
      </c>
      <c r="AK217" s="78">
        <v>0.15875962596259607</v>
      </c>
      <c r="AL217" s="78">
        <v>-7.043256393520414E-2</v>
      </c>
      <c r="AM217" s="79">
        <v>1.7915655985360823E-2</v>
      </c>
      <c r="AN217" s="134">
        <v>-2.617056856187272E-2</v>
      </c>
      <c r="AO217" s="78">
        <v>5.3425774877650767E-2</v>
      </c>
      <c r="AP217" s="78">
        <v>-0.12708600770218237</v>
      </c>
      <c r="AQ217" s="79">
        <v>-1.774042950513488E-2</v>
      </c>
      <c r="AR217" s="134">
        <v>-2.8041825095057149E-2</v>
      </c>
      <c r="AS217" s="78">
        <v>0.13349633251833692</v>
      </c>
      <c r="AT217" s="78">
        <v>7.5064710957722491E-2</v>
      </c>
      <c r="AU217" s="79">
        <v>1.4847512038523192E-2</v>
      </c>
      <c r="AV217" s="134">
        <v>4.1281138790035588E-2</v>
      </c>
      <c r="AW217" s="78">
        <v>0.14035087719298289</v>
      </c>
      <c r="AX217" s="78">
        <v>4.0659340659340515E-2</v>
      </c>
      <c r="AY217" s="78">
        <v>6.6333877315925882E-2</v>
      </c>
      <c r="AZ217" s="134">
        <v>9.550069977333675E-2</v>
      </c>
      <c r="BA217" s="78">
        <v>-4.2397634543769325E-3</v>
      </c>
      <c r="BB217" s="78">
        <v>-9.090554764463743E-3</v>
      </c>
      <c r="BC217" s="79">
        <v>-0.11966706411605399</v>
      </c>
      <c r="BD217" s="134">
        <v>-5.4342841757532012E-2</v>
      </c>
      <c r="BE217" s="78">
        <v>0.17332721778161164</v>
      </c>
      <c r="BF217" s="78">
        <v>3.9977994455100418E-2</v>
      </c>
      <c r="BG217" s="1375">
        <v>0.6779772158054711</v>
      </c>
      <c r="BH217" s="134">
        <v>3.8728813559322006E-2</v>
      </c>
      <c r="BI217" s="78">
        <v>5.2394957983193269E-2</v>
      </c>
      <c r="BJ217" s="78">
        <v>6.8870523415978102E-3</v>
      </c>
      <c r="BK217" s="79">
        <v>-3.2653898768809975E-2</v>
      </c>
      <c r="BL217" s="134">
        <v>2.5596707818930087E-2</v>
      </c>
      <c r="BM217" s="78">
        <v>5.7025920873124303E-2</v>
      </c>
      <c r="BN217" s="78">
        <v>1.3422818791946289E-2</v>
      </c>
      <c r="BO217" s="79">
        <v>-2.4860927152317691E-2</v>
      </c>
      <c r="BP217" s="134">
        <v>2.5596707818930087E-2</v>
      </c>
      <c r="BQ217" s="78">
        <v>5.7025920873124303E-2</v>
      </c>
      <c r="BR217" s="78">
        <v>1.3422818791946289E-2</v>
      </c>
      <c r="BS217" s="79">
        <v>-2.4860927152317691E-2</v>
      </c>
      <c r="BT217" s="134">
        <v>2.5596707818930087E-2</v>
      </c>
      <c r="BU217" s="78">
        <v>5.7025920873124303E-2</v>
      </c>
      <c r="BV217" s="78">
        <v>1.3422818791946289E-2</v>
      </c>
      <c r="BW217" s="79">
        <v>-2.4860927152317691E-2</v>
      </c>
      <c r="BX217" s="346"/>
      <c r="BY217" s="219"/>
      <c r="BZ217" s="220"/>
      <c r="CA217" s="220"/>
      <c r="CB217" s="220"/>
      <c r="CC217" s="220"/>
      <c r="CD217" s="220"/>
      <c r="CE217" s="220"/>
      <c r="CF217" s="220"/>
      <c r="CG217" s="220"/>
      <c r="CH217" s="220"/>
      <c r="CI217" s="220"/>
      <c r="CJ217" s="220"/>
      <c r="CK217" s="220"/>
      <c r="CL217" s="220"/>
      <c r="CM217" s="220"/>
      <c r="CN217" s="220"/>
      <c r="CO217" s="220"/>
      <c r="CP217" s="258"/>
    </row>
    <row r="218" spans="1:94" s="1361" customFormat="1" ht="14.25" hidden="1" customHeight="1" outlineLevel="2">
      <c r="A218" s="1364"/>
      <c r="B218" s="32" t="s">
        <v>298</v>
      </c>
      <c r="C218" s="218"/>
      <c r="D218" s="134"/>
      <c r="E218" s="78"/>
      <c r="F218" s="78"/>
      <c r="G218" s="79"/>
      <c r="H218" s="134"/>
      <c r="I218" s="78">
        <v>0.61603518267929713</v>
      </c>
      <c r="J218" s="78">
        <v>0.30615942028985454</v>
      </c>
      <c r="K218" s="79">
        <v>2.1843112244897656E-2</v>
      </c>
      <c r="L218" s="134">
        <v>-0.11488683064466643</v>
      </c>
      <c r="M218" s="78">
        <v>-0.27831274858697941</v>
      </c>
      <c r="N218" s="78">
        <v>1.0679611650485921E-2</v>
      </c>
      <c r="O218" s="79">
        <v>0.12061163988141677</v>
      </c>
      <c r="P218" s="134">
        <v>-2.1205821205821151E-2</v>
      </c>
      <c r="Q218" s="78">
        <v>0.55532994923857881</v>
      </c>
      <c r="R218" s="78">
        <v>0.32070811033346991</v>
      </c>
      <c r="S218" s="79">
        <v>0.42724867724867721</v>
      </c>
      <c r="T218" s="134">
        <v>0.35400736335315774</v>
      </c>
      <c r="U218" s="78">
        <v>-0.52349869451697129</v>
      </c>
      <c r="V218" s="78">
        <v>-0.11076475477971748</v>
      </c>
      <c r="W218" s="79">
        <v>-0.18282035022681842</v>
      </c>
      <c r="X218" s="134">
        <v>-8.0108763856933884E-2</v>
      </c>
      <c r="Y218" s="78">
        <v>2.3745596868884529</v>
      </c>
      <c r="Z218" s="78">
        <v>1.200981537742464</v>
      </c>
      <c r="AA218" s="79">
        <v>1.1060705545275478</v>
      </c>
      <c r="AB218" s="134">
        <v>0.27444292860391162</v>
      </c>
      <c r="AC218" s="78">
        <v>-0.27870563674321502</v>
      </c>
      <c r="AD218" s="78">
        <v>-0.20667870036101099</v>
      </c>
      <c r="AE218" s="79">
        <v>-7.2272765921264082E-3</v>
      </c>
      <c r="AF218" s="134">
        <v>0.93305084745762668</v>
      </c>
      <c r="AG218" s="78">
        <v>0.86211609583534332</v>
      </c>
      <c r="AH218" s="78">
        <v>0.48464163822525652</v>
      </c>
      <c r="AI218" s="79">
        <v>0.28879753340184999</v>
      </c>
      <c r="AJ218" s="134">
        <v>6.7606543759659576E-3</v>
      </c>
      <c r="AK218" s="78">
        <v>9.146841673502859E-2</v>
      </c>
      <c r="AL218" s="78">
        <v>5.9229208924948873E-2</v>
      </c>
      <c r="AM218" s="79">
        <v>5.972000708842784E-2</v>
      </c>
      <c r="AN218" s="134">
        <v>6.7748441510818047E-2</v>
      </c>
      <c r="AO218" s="78">
        <v>-2.931228861330315E-2</v>
      </c>
      <c r="AP218" s="78">
        <v>-8.8471849865951913E-2</v>
      </c>
      <c r="AQ218" s="79">
        <v>-0.12040133779264173</v>
      </c>
      <c r="AR218" s="134">
        <v>-0.12209152571477622</v>
      </c>
      <c r="AS218" s="78">
        <v>-5.5361982191250658E-2</v>
      </c>
      <c r="AT218" s="78">
        <v>0.16339869281045782</v>
      </c>
      <c r="AU218" s="79">
        <v>0.20199619771863064</v>
      </c>
      <c r="AV218" s="134">
        <v>0.28772616136919282</v>
      </c>
      <c r="AW218" s="78">
        <v>0.29551337359792984</v>
      </c>
      <c r="AX218" s="78">
        <v>0.25405296950240785</v>
      </c>
      <c r="AY218" s="78">
        <v>0.3176749703440096</v>
      </c>
      <c r="AZ218" s="134">
        <v>0.38628637196197602</v>
      </c>
      <c r="BA218" s="78">
        <v>0.21051237235223597</v>
      </c>
      <c r="BB218" s="78">
        <v>0.15264246086363187</v>
      </c>
      <c r="BC218" s="79">
        <v>-4.8413312957188759E-2</v>
      </c>
      <c r="BD218" s="134">
        <v>-0.17857217026291528</v>
      </c>
      <c r="BE218" s="78">
        <v>-3.2092671808910733E-2</v>
      </c>
      <c r="BF218" s="78">
        <v>1.5836842438511134E-2</v>
      </c>
      <c r="BG218" s="1375">
        <v>0.93625730346672409</v>
      </c>
      <c r="BH218" s="134">
        <v>1.126823906576802</v>
      </c>
      <c r="BI218" s="78">
        <v>0.9076168368712858</v>
      </c>
      <c r="BJ218" s="78">
        <v>0.84691859261975688</v>
      </c>
      <c r="BK218" s="79">
        <v>6.4740023305084549E-2</v>
      </c>
      <c r="BL218" s="134">
        <v>5.1279071428571354E-2</v>
      </c>
      <c r="BM218" s="78">
        <v>5.5905123966942138E-2</v>
      </c>
      <c r="BN218" s="78">
        <v>6.2759069767441833E-2</v>
      </c>
      <c r="BO218" s="79">
        <v>7.1320691358024879E-2</v>
      </c>
      <c r="BP218" s="134">
        <v>5.1279071428571354E-2</v>
      </c>
      <c r="BQ218" s="78">
        <v>5.5905123966942138E-2</v>
      </c>
      <c r="BR218" s="78">
        <v>6.2759069767441833E-2</v>
      </c>
      <c r="BS218" s="79">
        <v>7.1320691358024879E-2</v>
      </c>
      <c r="BT218" s="134">
        <v>5.1279071428571354E-2</v>
      </c>
      <c r="BU218" s="78">
        <v>5.5905123966942138E-2</v>
      </c>
      <c r="BV218" s="78">
        <v>6.2759069767441833E-2</v>
      </c>
      <c r="BW218" s="79">
        <v>7.1320691358024879E-2</v>
      </c>
      <c r="BX218" s="346"/>
      <c r="BY218" s="377"/>
      <c r="BZ218" s="370"/>
      <c r="CA218" s="370"/>
      <c r="CB218" s="370"/>
      <c r="CC218" s="370"/>
      <c r="CD218" s="338"/>
      <c r="CE218" s="338"/>
      <c r="CF218" s="338"/>
      <c r="CG218" s="338"/>
      <c r="CH218" s="338">
        <v>-4.4670394489733978E-2</v>
      </c>
      <c r="CI218" s="338">
        <v>3.9288977489824628E-2</v>
      </c>
      <c r="CJ218" s="338">
        <v>0.2887787723785169</v>
      </c>
      <c r="CK218" s="338">
        <v>0.16248733795093662</v>
      </c>
      <c r="CL218" s="338">
        <v>0.16056720160028326</v>
      </c>
      <c r="CM218" s="338">
        <v>0.61711039522763911</v>
      </c>
      <c r="CN218" s="338">
        <v>6.0361958329205212E-2</v>
      </c>
      <c r="CO218" s="338">
        <v>6.0361958329205212E-2</v>
      </c>
      <c r="CP218" s="337">
        <v>6.0361958329205212E-2</v>
      </c>
    </row>
    <row r="219" spans="1:94" s="1361" customFormat="1" ht="14.25" hidden="1" customHeight="1" outlineLevel="2">
      <c r="A219" s="1364"/>
      <c r="B219" s="32" t="s">
        <v>549</v>
      </c>
      <c r="C219" s="218"/>
      <c r="D219" s="134"/>
      <c r="E219" s="78">
        <v>0.28844652615144412</v>
      </c>
      <c r="F219" s="78">
        <v>0.2779456193353475</v>
      </c>
      <c r="G219" s="79">
        <v>0.28140703517587951</v>
      </c>
      <c r="H219" s="134">
        <v>0.31116158338741068</v>
      </c>
      <c r="I219" s="78">
        <v>0.33703148425787111</v>
      </c>
      <c r="J219" s="78">
        <v>0.32349246231155776</v>
      </c>
      <c r="K219" s="79">
        <v>0.32138200782268583</v>
      </c>
      <c r="L219" s="134">
        <v>0.31812169312169314</v>
      </c>
      <c r="M219" s="78">
        <v>0.3252972258916777</v>
      </c>
      <c r="N219" s="78">
        <v>0.33195153061224492</v>
      </c>
      <c r="O219" s="79">
        <v>0.35020479812756</v>
      </c>
      <c r="P219" s="134">
        <v>0.35239520958083831</v>
      </c>
      <c r="Q219" s="78">
        <v>0.40820676791899813</v>
      </c>
      <c r="R219" s="78">
        <v>0.38108814445236394</v>
      </c>
      <c r="S219" s="79">
        <v>0.39267928286852588</v>
      </c>
      <c r="T219" s="134">
        <v>0.36504543025120251</v>
      </c>
      <c r="U219" s="78">
        <v>0.38300104931794332</v>
      </c>
      <c r="V219" s="78">
        <v>0.38620004964010918</v>
      </c>
      <c r="W219" s="79">
        <v>0.37337582740867853</v>
      </c>
      <c r="X219" s="134">
        <v>0.34747570514339887</v>
      </c>
      <c r="Y219" s="78">
        <v>0.34050115514483731</v>
      </c>
      <c r="Z219" s="78">
        <v>0.38108340498710236</v>
      </c>
      <c r="AA219" s="79">
        <v>0.37998772252915902</v>
      </c>
      <c r="AB219" s="134">
        <v>0.29570034291743613</v>
      </c>
      <c r="AC219" s="78">
        <v>0.32920438303954258</v>
      </c>
      <c r="AD219" s="78">
        <v>0.37174878409811796</v>
      </c>
      <c r="AE219" s="79">
        <v>0.39147052906859797</v>
      </c>
      <c r="AF219" s="134">
        <v>0.41457651762995273</v>
      </c>
      <c r="AG219" s="78">
        <v>0.417966740956626</v>
      </c>
      <c r="AH219" s="78">
        <v>0.41035458631596478</v>
      </c>
      <c r="AI219" s="79">
        <v>0.4102209944751381</v>
      </c>
      <c r="AJ219" s="134">
        <v>0.27842866988283937</v>
      </c>
      <c r="AK219" s="78">
        <v>0.29377345992492815</v>
      </c>
      <c r="AL219" s="78">
        <v>0.29075723830734967</v>
      </c>
      <c r="AM219" s="79">
        <v>0.31149889308503703</v>
      </c>
      <c r="AN219" s="134">
        <v>0.32939279957012357</v>
      </c>
      <c r="AO219" s="78">
        <v>0.34680451127819545</v>
      </c>
      <c r="AP219" s="78">
        <v>0.32804962095106815</v>
      </c>
      <c r="AQ219" s="79">
        <v>0.30932078800352841</v>
      </c>
      <c r="AR219" s="134">
        <v>0.30937972768532529</v>
      </c>
      <c r="AS219" s="78">
        <v>0.33677175650152541</v>
      </c>
      <c r="AT219" s="78">
        <v>0.3483365949119373</v>
      </c>
      <c r="AU219" s="79">
        <v>0.35222841225626739</v>
      </c>
      <c r="AV219" s="134">
        <v>0.35498938428874732</v>
      </c>
      <c r="AW219" s="78">
        <v>0.36034846884899691</v>
      </c>
      <c r="AX219" s="78">
        <v>0.34085182963407318</v>
      </c>
      <c r="AY219" s="78">
        <v>0.32133765332099046</v>
      </c>
      <c r="AZ219" s="134">
        <v>0.34497014239779517</v>
      </c>
      <c r="BA219" s="78">
        <v>0.34571266325951161</v>
      </c>
      <c r="BB219" s="78">
        <v>0.34111012826183112</v>
      </c>
      <c r="BC219" s="79">
        <v>0.33309532309889328</v>
      </c>
      <c r="BD219" s="134">
        <v>0.33712677435144395</v>
      </c>
      <c r="BE219" s="78">
        <v>0.35076327181590339</v>
      </c>
      <c r="BF219" s="78">
        <v>0.34598801135766116</v>
      </c>
      <c r="BG219" s="1374">
        <v>0.35399999999999998</v>
      </c>
      <c r="BH219" s="82">
        <v>0.35699999999999998</v>
      </c>
      <c r="BI219" s="80">
        <v>0.36299999999999999</v>
      </c>
      <c r="BJ219" s="80">
        <v>0.36549999999999999</v>
      </c>
      <c r="BK219" s="81">
        <v>0.36449999999999999</v>
      </c>
      <c r="BL219" s="82">
        <v>0.36649999999999999</v>
      </c>
      <c r="BM219" s="80">
        <v>0.3725</v>
      </c>
      <c r="BN219" s="80">
        <v>0.3775</v>
      </c>
      <c r="BO219" s="81">
        <v>0.3795</v>
      </c>
      <c r="BP219" s="82">
        <v>0.36649999999999999</v>
      </c>
      <c r="BQ219" s="80">
        <v>0.3725</v>
      </c>
      <c r="BR219" s="80">
        <v>0.3775</v>
      </c>
      <c r="BS219" s="81">
        <v>0.3795</v>
      </c>
      <c r="BT219" s="82">
        <v>0.36649999999999999</v>
      </c>
      <c r="BU219" s="80">
        <v>0.3725</v>
      </c>
      <c r="BV219" s="80">
        <v>0.3775</v>
      </c>
      <c r="BW219" s="81">
        <v>0.3795</v>
      </c>
      <c r="BX219" s="346"/>
      <c r="BY219" s="219"/>
      <c r="BZ219" s="220"/>
      <c r="CA219" s="220"/>
      <c r="CB219" s="220"/>
      <c r="CC219" s="220"/>
      <c r="CD219" s="220"/>
      <c r="CE219" s="220"/>
      <c r="CF219" s="220"/>
      <c r="CG219" s="220">
        <v>0.29350961911712181</v>
      </c>
      <c r="CH219" s="220">
        <v>0.32858848061603635</v>
      </c>
      <c r="CI219" s="220">
        <v>0.33722643475760944</v>
      </c>
      <c r="CJ219" s="220">
        <v>0.34269319864270381</v>
      </c>
      <c r="CK219" s="220">
        <v>0.34142445793078335</v>
      </c>
      <c r="CL219" s="220">
        <v>0.34829436658765806</v>
      </c>
      <c r="CM219" s="220">
        <v>0.36253200824752385</v>
      </c>
      <c r="CN219" s="220">
        <v>0.37403140285658382</v>
      </c>
      <c r="CO219" s="220">
        <v>0.37403140285658382</v>
      </c>
      <c r="CP219" s="258">
        <v>0.37403140285658382</v>
      </c>
    </row>
    <row r="220" spans="1:94" s="1361" customFormat="1" ht="14.25" hidden="1" customHeight="1" outlineLevel="2">
      <c r="A220" s="1364"/>
      <c r="B220" s="840"/>
      <c r="C220" s="237"/>
      <c r="D220" s="221"/>
      <c r="E220" s="221"/>
      <c r="F220" s="221"/>
      <c r="G220" s="614"/>
      <c r="H220" s="221"/>
      <c r="I220" s="221"/>
      <c r="J220" s="221"/>
      <c r="K220" s="614"/>
      <c r="L220" s="221"/>
      <c r="M220" s="221"/>
      <c r="N220" s="221"/>
      <c r="O220" s="614"/>
      <c r="P220" s="221"/>
      <c r="Q220" s="221"/>
      <c r="R220" s="221"/>
      <c r="S220" s="614"/>
      <c r="T220" s="221"/>
      <c r="U220" s="221"/>
      <c r="V220" s="221"/>
      <c r="W220" s="614"/>
      <c r="X220" s="221"/>
      <c r="Y220" s="221"/>
      <c r="Z220" s="221"/>
      <c r="AA220" s="614"/>
      <c r="AB220" s="221"/>
      <c r="AC220" s="221"/>
      <c r="AD220" s="221"/>
      <c r="AE220" s="614"/>
      <c r="AF220" s="221"/>
      <c r="AG220" s="221"/>
      <c r="AH220" s="221"/>
      <c r="AI220" s="614"/>
      <c r="AJ220" s="221"/>
      <c r="AK220" s="221"/>
      <c r="AL220" s="221"/>
      <c r="AM220" s="614"/>
      <c r="AN220" s="221"/>
      <c r="AO220" s="221"/>
      <c r="AP220" s="221"/>
      <c r="AQ220" s="614"/>
      <c r="AR220" s="221"/>
      <c r="AS220" s="221"/>
      <c r="AT220" s="221"/>
      <c r="AU220" s="614"/>
      <c r="AV220" s="221"/>
      <c r="AW220" s="221"/>
      <c r="AX220" s="221"/>
      <c r="AY220" s="221"/>
      <c r="AZ220" s="54"/>
      <c r="BA220" s="60"/>
      <c r="BB220" s="221"/>
      <c r="BC220" s="614"/>
      <c r="BD220" s="54"/>
      <c r="BE220" s="60"/>
      <c r="BF220" s="221"/>
      <c r="BG220" s="55"/>
      <c r="BH220" s="60"/>
      <c r="BI220" s="60"/>
      <c r="BJ220" s="60"/>
      <c r="BK220" s="55"/>
      <c r="BL220" s="60"/>
      <c r="BM220" s="60"/>
      <c r="BN220" s="60"/>
      <c r="BO220" s="55"/>
      <c r="BP220" s="60"/>
      <c r="BQ220" s="60"/>
      <c r="BR220" s="60"/>
      <c r="BS220" s="55"/>
      <c r="BT220" s="60"/>
      <c r="BU220" s="60"/>
      <c r="BV220" s="60"/>
      <c r="BW220" s="55"/>
      <c r="BX220" s="346"/>
      <c r="BY220" s="16"/>
      <c r="BZ220" s="203"/>
      <c r="CA220" s="203"/>
      <c r="CB220" s="203"/>
      <c r="CC220" s="203"/>
      <c r="CD220" s="203"/>
      <c r="CE220" s="203"/>
      <c r="CF220" s="203"/>
      <c r="CG220" s="203"/>
      <c r="CH220" s="203"/>
      <c r="CI220" s="203"/>
      <c r="CJ220" s="203"/>
      <c r="CK220" s="203"/>
      <c r="CL220" s="203"/>
      <c r="CM220" s="203"/>
      <c r="CN220" s="203"/>
      <c r="CO220" s="203"/>
      <c r="CP220" s="17"/>
    </row>
    <row r="221" spans="1:94" s="1361" customFormat="1" ht="14.25" hidden="1" customHeight="1" outlineLevel="2">
      <c r="A221" s="1363"/>
      <c r="B221" s="297" t="s">
        <v>641</v>
      </c>
      <c r="C221" s="882"/>
      <c r="D221" s="879">
        <v>0</v>
      </c>
      <c r="E221" s="495">
        <v>58.926000000000002</v>
      </c>
      <c r="F221" s="495">
        <v>68.847999999999999</v>
      </c>
      <c r="G221" s="496">
        <v>69.650000000000006</v>
      </c>
      <c r="H221" s="879">
        <v>61.64</v>
      </c>
      <c r="I221" s="495">
        <v>76.704999999999998</v>
      </c>
      <c r="J221" s="495">
        <v>79.599999999999994</v>
      </c>
      <c r="K221" s="496">
        <v>85.904000000000011</v>
      </c>
      <c r="L221" s="879">
        <v>72.575999999999993</v>
      </c>
      <c r="M221" s="495">
        <v>72.671999999999997</v>
      </c>
      <c r="N221" s="495">
        <v>72.128000000000014</v>
      </c>
      <c r="O221" s="496">
        <v>71.778000000000006</v>
      </c>
      <c r="P221" s="879">
        <v>70.14</v>
      </c>
      <c r="Q221" s="495">
        <v>78.813000000000002</v>
      </c>
      <c r="R221" s="495">
        <v>96.807000000000002</v>
      </c>
      <c r="S221" s="496">
        <v>96.384</v>
      </c>
      <c r="T221" s="879">
        <v>82.323999999999998</v>
      </c>
      <c r="U221" s="495">
        <v>91.488</v>
      </c>
      <c r="V221" s="495">
        <v>100.72499999999999</v>
      </c>
      <c r="W221" s="496">
        <v>110.133</v>
      </c>
      <c r="X221" s="879">
        <v>122.35099999999998</v>
      </c>
      <c r="Y221" s="495">
        <v>129.42100000000002</v>
      </c>
      <c r="Z221" s="495">
        <v>133.745</v>
      </c>
      <c r="AA221" s="496">
        <v>112.401</v>
      </c>
      <c r="AB221" s="879">
        <v>90.984000000000009</v>
      </c>
      <c r="AC221" s="495">
        <v>113.346</v>
      </c>
      <c r="AD221" s="495">
        <v>127.68300000000001</v>
      </c>
      <c r="AE221" s="496">
        <v>129.24600000000001</v>
      </c>
      <c r="AF221" s="879">
        <v>143.05200000000002</v>
      </c>
      <c r="AG221" s="495">
        <v>151.65799999999999</v>
      </c>
      <c r="AH221" s="495">
        <v>150.17500000000001</v>
      </c>
      <c r="AI221" s="496">
        <v>133.21600000000001</v>
      </c>
      <c r="AJ221" s="879">
        <v>165.41400000000002</v>
      </c>
      <c r="AK221" s="495">
        <v>172.102</v>
      </c>
      <c r="AL221" s="495">
        <v>170.62</v>
      </c>
      <c r="AM221" s="496">
        <v>138.22199999999998</v>
      </c>
      <c r="AN221" s="879">
        <v>126.548</v>
      </c>
      <c r="AO221" s="495">
        <v>126.616</v>
      </c>
      <c r="AP221" s="495">
        <v>123.33500000000001</v>
      </c>
      <c r="AQ221" s="496">
        <v>115.63400000000001</v>
      </c>
      <c r="AR221" s="879">
        <v>105.76</v>
      </c>
      <c r="AS221" s="495">
        <v>110.128</v>
      </c>
      <c r="AT221" s="495">
        <v>114.464</v>
      </c>
      <c r="AU221" s="496">
        <v>107.7</v>
      </c>
      <c r="AV221" s="879">
        <v>105.97499999999999</v>
      </c>
      <c r="AW221" s="495">
        <v>106.06400000000001</v>
      </c>
      <c r="AX221" s="495">
        <v>116.69000000000001</v>
      </c>
      <c r="AY221" s="495">
        <v>95.062000000000012</v>
      </c>
      <c r="AZ221" s="1161">
        <v>124.8</v>
      </c>
      <c r="BA221" s="495">
        <v>124.7</v>
      </c>
      <c r="BB221" s="495">
        <v>134.9</v>
      </c>
      <c r="BC221" s="496">
        <v>100.3</v>
      </c>
      <c r="BD221" s="1161">
        <v>89.6</v>
      </c>
      <c r="BE221" s="495">
        <v>108.62</v>
      </c>
      <c r="BF221" s="495">
        <v>115.62</v>
      </c>
      <c r="BG221" s="1378">
        <v>161.86799999999999</v>
      </c>
      <c r="BH221" s="801">
        <v>153.77459999999999</v>
      </c>
      <c r="BI221" s="801">
        <v>159.15671099999997</v>
      </c>
      <c r="BJ221" s="801">
        <v>167.11454654999997</v>
      </c>
      <c r="BK221" s="810">
        <v>162.10111015349997</v>
      </c>
      <c r="BL221" s="801">
        <v>153.99605464582496</v>
      </c>
      <c r="BM221" s="801">
        <v>160.15589683165797</v>
      </c>
      <c r="BN221" s="801">
        <v>166.5621327049243</v>
      </c>
      <c r="BO221" s="810">
        <v>163.23089005082579</v>
      </c>
      <c r="BP221" s="801">
        <v>153.99605464582496</v>
      </c>
      <c r="BQ221" s="801">
        <v>160.15589683165797</v>
      </c>
      <c r="BR221" s="801">
        <v>166.5621327049243</v>
      </c>
      <c r="BS221" s="810">
        <v>163.23089005082579</v>
      </c>
      <c r="BT221" s="801">
        <v>153.99605464582496</v>
      </c>
      <c r="BU221" s="801">
        <v>160.15589683165797</v>
      </c>
      <c r="BV221" s="801">
        <v>166.5621327049243</v>
      </c>
      <c r="BW221" s="810">
        <v>163.23089005082579</v>
      </c>
      <c r="BX221" s="346"/>
      <c r="BY221" s="334">
        <v>197.42400000000001</v>
      </c>
      <c r="BZ221" s="325">
        <v>303.84899999999999</v>
      </c>
      <c r="CA221" s="325">
        <v>289.154</v>
      </c>
      <c r="CB221" s="325">
        <v>342.14400000000001</v>
      </c>
      <c r="CC221" s="325">
        <v>384.67</v>
      </c>
      <c r="CD221" s="325">
        <v>497.91800000000001</v>
      </c>
      <c r="CE221" s="325">
        <v>461.25900000000001</v>
      </c>
      <c r="CF221" s="325">
        <v>578.10100000000011</v>
      </c>
      <c r="CG221" s="325">
        <v>646.35799999999995</v>
      </c>
      <c r="CH221" s="325">
        <v>492.13300000000004</v>
      </c>
      <c r="CI221" s="325">
        <v>438.05199999999996</v>
      </c>
      <c r="CJ221" s="325">
        <v>423.791</v>
      </c>
      <c r="CK221" s="325">
        <v>484.7</v>
      </c>
      <c r="CL221" s="325">
        <v>475.70800000000003</v>
      </c>
      <c r="CM221" s="325">
        <v>642.14696770349997</v>
      </c>
      <c r="CN221" s="325">
        <v>643.9449742332331</v>
      </c>
      <c r="CO221" s="325">
        <v>643.9449742332331</v>
      </c>
      <c r="CP221" s="326">
        <v>643.9449742332331</v>
      </c>
    </row>
    <row r="222" spans="1:94" s="1361" customFormat="1" ht="14.25" hidden="1" customHeight="1" outlineLevel="2">
      <c r="A222" s="1364"/>
      <c r="B222" s="32" t="s">
        <v>297</v>
      </c>
      <c r="C222" s="218"/>
      <c r="D222" s="134"/>
      <c r="E222" s="78"/>
      <c r="F222" s="78">
        <v>0.1683806808539523</v>
      </c>
      <c r="G222" s="79">
        <v>1.1648849639786185E-2</v>
      </c>
      <c r="H222" s="134">
        <v>-0.11500358937544874</v>
      </c>
      <c r="I222" s="78">
        <v>0.24440298507462677</v>
      </c>
      <c r="J222" s="78">
        <v>3.7741998565934409E-2</v>
      </c>
      <c r="K222" s="79">
        <v>7.919597989949767E-2</v>
      </c>
      <c r="L222" s="134">
        <v>-0.15514993481095196</v>
      </c>
      <c r="M222" s="78">
        <v>1.3227513227513921E-3</v>
      </c>
      <c r="N222" s="78">
        <v>-7.4856891237338186E-3</v>
      </c>
      <c r="O222" s="79">
        <v>-4.8524844720497784E-3</v>
      </c>
      <c r="P222" s="134">
        <v>-2.2820362785254567E-2</v>
      </c>
      <c r="Q222" s="78">
        <v>0.12365269461077855</v>
      </c>
      <c r="R222" s="78">
        <v>0.22831258802481824</v>
      </c>
      <c r="S222" s="79">
        <v>-4.3695187331495022E-3</v>
      </c>
      <c r="T222" s="134">
        <v>-0.14587483399734402</v>
      </c>
      <c r="U222" s="78">
        <v>0.11131626257227545</v>
      </c>
      <c r="V222" s="78">
        <v>0.10096406086044074</v>
      </c>
      <c r="W222" s="79">
        <v>9.3402829486224803E-2</v>
      </c>
      <c r="X222" s="134">
        <v>0.11093859242915372</v>
      </c>
      <c r="Y222" s="78">
        <v>5.7784570620591946E-2</v>
      </c>
      <c r="Z222" s="78">
        <v>3.3410342989159236E-2</v>
      </c>
      <c r="AA222" s="79">
        <v>-0.15958727429062769</v>
      </c>
      <c r="AB222" s="134">
        <v>-0.19054100942162422</v>
      </c>
      <c r="AC222" s="78">
        <v>0.24577947771036657</v>
      </c>
      <c r="AD222" s="78">
        <v>0.12648880419247255</v>
      </c>
      <c r="AE222" s="79">
        <v>1.224125372994056E-2</v>
      </c>
      <c r="AF222" s="134">
        <v>0.10681955340977689</v>
      </c>
      <c r="AG222" s="78">
        <v>6.0159941839330822E-2</v>
      </c>
      <c r="AH222" s="78">
        <v>-9.7785807540649028E-3</v>
      </c>
      <c r="AI222" s="79">
        <v>-0.112928250374563</v>
      </c>
      <c r="AJ222" s="134">
        <v>0.24169769397069429</v>
      </c>
      <c r="AK222" s="78">
        <v>4.0431886055593669E-2</v>
      </c>
      <c r="AL222" s="78">
        <v>-8.6111724442481385E-3</v>
      </c>
      <c r="AM222" s="79">
        <v>-0.18988395264330105</v>
      </c>
      <c r="AN222" s="134">
        <v>-8.4458335142017726E-2</v>
      </c>
      <c r="AO222" s="78">
        <v>5.3734551316497736E-4</v>
      </c>
      <c r="AP222" s="78">
        <v>-2.5912996777658348E-2</v>
      </c>
      <c r="AQ222" s="79">
        <v>-6.243969676085448E-2</v>
      </c>
      <c r="AR222" s="134">
        <v>-8.5390110175208034E-2</v>
      </c>
      <c r="AS222" s="78">
        <v>4.1301059001512819E-2</v>
      </c>
      <c r="AT222" s="78">
        <v>3.9372366700566541E-2</v>
      </c>
      <c r="AU222" s="79">
        <v>-5.9092815208275029E-2</v>
      </c>
      <c r="AV222" s="134">
        <v>-1.6016713091922097E-2</v>
      </c>
      <c r="AW222" s="78">
        <v>8.3982071243227097E-4</v>
      </c>
      <c r="AX222" s="78">
        <v>0.1001847940865892</v>
      </c>
      <c r="AY222" s="78">
        <v>-0.18534578798526002</v>
      </c>
      <c r="AZ222" s="134">
        <v>0.31282741789568891</v>
      </c>
      <c r="BA222" s="78">
        <v>-8.0128205128204844E-4</v>
      </c>
      <c r="BB222" s="78">
        <v>8.1796311146752121E-2</v>
      </c>
      <c r="BC222" s="79">
        <v>-0.25648628613787994</v>
      </c>
      <c r="BD222" s="134">
        <v>-0.10667996011964109</v>
      </c>
      <c r="BE222" s="78">
        <v>0.21227678571428577</v>
      </c>
      <c r="BF222" s="78">
        <v>6.4444853618118136E-2</v>
      </c>
      <c r="BG222" s="1374">
        <v>0.4</v>
      </c>
      <c r="BH222" s="80">
        <v>-0.05</v>
      </c>
      <c r="BI222" s="80">
        <v>3.5000000000000003E-2</v>
      </c>
      <c r="BJ222" s="80">
        <v>0.05</v>
      </c>
      <c r="BK222" s="81">
        <v>-0.03</v>
      </c>
      <c r="BL222" s="80">
        <v>-0.05</v>
      </c>
      <c r="BM222" s="80">
        <v>0.04</v>
      </c>
      <c r="BN222" s="80">
        <v>0.04</v>
      </c>
      <c r="BO222" s="81">
        <v>-0.02</v>
      </c>
      <c r="BP222" s="80">
        <v>-0.05</v>
      </c>
      <c r="BQ222" s="80">
        <v>0.04</v>
      </c>
      <c r="BR222" s="80">
        <v>0.04</v>
      </c>
      <c r="BS222" s="81">
        <v>-0.02</v>
      </c>
      <c r="BT222" s="80">
        <v>-0.05</v>
      </c>
      <c r="BU222" s="80">
        <v>0.04</v>
      </c>
      <c r="BV222" s="80">
        <v>0.04</v>
      </c>
      <c r="BW222" s="81">
        <v>-0.02</v>
      </c>
      <c r="BX222" s="346"/>
      <c r="BY222" s="219"/>
      <c r="BZ222" s="220"/>
      <c r="CA222" s="220"/>
      <c r="CB222" s="220"/>
      <c r="CC222" s="220"/>
      <c r="CD222" s="220"/>
      <c r="CE222" s="220"/>
      <c r="CF222" s="220"/>
      <c r="CG222" s="220"/>
      <c r="CH222" s="220"/>
      <c r="CI222" s="220"/>
      <c r="CJ222" s="220"/>
      <c r="CK222" s="220"/>
      <c r="CL222" s="220"/>
      <c r="CM222" s="220"/>
      <c r="CN222" s="220"/>
      <c r="CO222" s="220"/>
      <c r="CP222" s="258"/>
    </row>
    <row r="223" spans="1:94" s="1361" customFormat="1" ht="14.25" hidden="1" customHeight="1" outlineLevel="2">
      <c r="A223" s="1364"/>
      <c r="B223" s="32" t="s">
        <v>548</v>
      </c>
      <c r="C223" s="218"/>
      <c r="D223" s="134"/>
      <c r="E223" s="78"/>
      <c r="F223" s="78"/>
      <c r="G223" s="79"/>
      <c r="H223" s="134"/>
      <c r="I223" s="78"/>
      <c r="J223" s="78"/>
      <c r="K223" s="79"/>
      <c r="L223" s="134"/>
      <c r="M223" s="78"/>
      <c r="N223" s="78"/>
      <c r="O223" s="79"/>
      <c r="P223" s="134"/>
      <c r="Q223" s="78"/>
      <c r="R223" s="78"/>
      <c r="S223" s="79"/>
      <c r="T223" s="134"/>
      <c r="U223" s="78"/>
      <c r="V223" s="78"/>
      <c r="W223" s="79"/>
      <c r="X223" s="78">
        <v>-0.10971218024224982</v>
      </c>
      <c r="Y223" s="78">
        <v>0.12017367339510804</v>
      </c>
      <c r="Z223" s="78">
        <v>0.10558272783628238</v>
      </c>
      <c r="AA223" s="79">
        <v>3.5005131164061877E-2</v>
      </c>
      <c r="AB223" s="134">
        <v>-6.5582025707969116E-2</v>
      </c>
      <c r="AC223" s="78">
        <v>0.10769585284020482</v>
      </c>
      <c r="AD223" s="78">
        <v>7.8588660263323756E-2</v>
      </c>
      <c r="AE223" s="79">
        <v>7.5790637797910063E-4</v>
      </c>
      <c r="AF223" s="134">
        <v>-8.0689509717204205E-2</v>
      </c>
      <c r="AG223" s="78">
        <v>0.10797115136735277</v>
      </c>
      <c r="AH223" s="78">
        <v>9.6338021388631387E-2</v>
      </c>
      <c r="AI223" s="79">
        <v>-1.2633038855932321E-2</v>
      </c>
      <c r="AJ223" s="134">
        <v>-2.8295612073058439E-2</v>
      </c>
      <c r="AK223" s="78">
        <v>0.11973858947066866</v>
      </c>
      <c r="AL223" s="78">
        <v>9.587944306256517E-2</v>
      </c>
      <c r="AM223" s="79">
        <v>-3.4248192036434963E-2</v>
      </c>
      <c r="AN223" s="134">
        <v>2.4607999278131332E-2</v>
      </c>
      <c r="AO223" s="78">
        <v>0.10309442775963169</v>
      </c>
      <c r="AP223" s="78">
        <v>4.8494690968751898E-2</v>
      </c>
      <c r="AQ223" s="79">
        <v>-7.135107881846528E-2</v>
      </c>
      <c r="AR223" s="134">
        <v>3.6891299049196594E-2</v>
      </c>
      <c r="AS223" s="78">
        <v>8.0938644347809591E-2</v>
      </c>
      <c r="AT223" s="78">
        <v>2.3119279441132078E-2</v>
      </c>
      <c r="AU223" s="79">
        <v>-0.10251958406788113</v>
      </c>
      <c r="AV223" s="134">
        <v>-2.3744414716757589E-3</v>
      </c>
      <c r="AW223" s="78">
        <v>7.7641942023993771E-2</v>
      </c>
      <c r="AX223" s="78">
        <v>2.4311684183413541E-2</v>
      </c>
      <c r="AY223" s="78">
        <v>-8.2420692251410604E-2</v>
      </c>
      <c r="AZ223" s="134">
        <v>3.2530417794264667E-2</v>
      </c>
      <c r="BA223" s="78">
        <v>2.8654010624406912E-2</v>
      </c>
      <c r="BB223" s="78">
        <v>1.9050882162236871E-2</v>
      </c>
      <c r="BC223" s="79">
        <v>-0.12193810059445072</v>
      </c>
      <c r="BD223" s="134">
        <v>7.3731990691447064E-2</v>
      </c>
      <c r="BE223" s="78">
        <v>1.6461765846284337E-2</v>
      </c>
      <c r="BF223" s="78">
        <v>3.7365860542400278E-2</v>
      </c>
      <c r="BG223" s="1375">
        <v>-0.15064970774711411</v>
      </c>
      <c r="BH223" s="78">
        <v>4.0564598733799917E-3</v>
      </c>
      <c r="BI223" s="78">
        <v>5.0830745778022754E-2</v>
      </c>
      <c r="BJ223" s="78">
        <v>5.1977065754873528E-2</v>
      </c>
      <c r="BK223" s="79">
        <v>-3.267291721845389E-2</v>
      </c>
      <c r="BL223" s="78">
        <v>1.0948126901783539E-2</v>
      </c>
      <c r="BM223" s="78">
        <v>5.7723276675389769E-2</v>
      </c>
      <c r="BN223" s="78">
        <v>6.7159665110405192E-2</v>
      </c>
      <c r="BO223" s="79">
        <v>-2.6184977866282998E-2</v>
      </c>
      <c r="BP223" s="78">
        <v>1.0948126901783539E-2</v>
      </c>
      <c r="BQ223" s="78">
        <v>5.7723276675389769E-2</v>
      </c>
      <c r="BR223" s="78">
        <v>6.7159665110405192E-2</v>
      </c>
      <c r="BS223" s="79">
        <v>-2.6184977866282998E-2</v>
      </c>
      <c r="BT223" s="78">
        <v>1.0948126901783539E-2</v>
      </c>
      <c r="BU223" s="78">
        <v>5.7723276675389769E-2</v>
      </c>
      <c r="BV223" s="78">
        <v>6.7159665110405192E-2</v>
      </c>
      <c r="BW223" s="79">
        <v>-2.6184977866282998E-2</v>
      </c>
      <c r="BX223" s="346"/>
      <c r="BY223" s="219"/>
      <c r="BZ223" s="220"/>
      <c r="CA223" s="220"/>
      <c r="CB223" s="220"/>
      <c r="CC223" s="220"/>
      <c r="CD223" s="220"/>
      <c r="CE223" s="220"/>
      <c r="CF223" s="220"/>
      <c r="CG223" s="220"/>
      <c r="CH223" s="220"/>
      <c r="CI223" s="220"/>
      <c r="CJ223" s="220"/>
      <c r="CK223" s="220"/>
      <c r="CL223" s="220"/>
      <c r="CM223" s="220"/>
      <c r="CN223" s="220"/>
      <c r="CO223" s="220"/>
      <c r="CP223" s="258"/>
    </row>
    <row r="224" spans="1:94" s="1361" customFormat="1" ht="14.25" hidden="1" customHeight="1" outlineLevel="2">
      <c r="A224" s="1365"/>
      <c r="B224" s="867" t="s">
        <v>298</v>
      </c>
      <c r="C224" s="880"/>
      <c r="D224" s="377"/>
      <c r="E224" s="370"/>
      <c r="F224" s="370"/>
      <c r="G224" s="335"/>
      <c r="H224" s="377"/>
      <c r="I224" s="370">
        <v>0.30171740827478533</v>
      </c>
      <c r="J224" s="370">
        <v>0.15617011387404123</v>
      </c>
      <c r="K224" s="335">
        <v>0.23336683417085435</v>
      </c>
      <c r="L224" s="377">
        <v>0.17741726151849435</v>
      </c>
      <c r="M224" s="370">
        <v>-5.2578058796688643E-2</v>
      </c>
      <c r="N224" s="370">
        <v>-9.3869346733668091E-2</v>
      </c>
      <c r="O224" s="335">
        <v>-0.16443937418513688</v>
      </c>
      <c r="P224" s="377">
        <v>-3.356481481481477E-2</v>
      </c>
      <c r="Q224" s="370">
        <v>8.4502972258916786E-2</v>
      </c>
      <c r="R224" s="370">
        <v>0.34215561224489766</v>
      </c>
      <c r="S224" s="335">
        <v>0.34280698821365863</v>
      </c>
      <c r="T224" s="377">
        <v>0.1737097234103222</v>
      </c>
      <c r="U224" s="370">
        <v>0.16082372197480099</v>
      </c>
      <c r="V224" s="370">
        <v>4.0472279897114882E-2</v>
      </c>
      <c r="W224" s="335">
        <v>0.14264815737051784</v>
      </c>
      <c r="X224" s="377">
        <v>0.48621301200136036</v>
      </c>
      <c r="Y224" s="370">
        <v>0.41462268275620873</v>
      </c>
      <c r="Z224" s="370">
        <v>0.32782328121121873</v>
      </c>
      <c r="AA224" s="335">
        <v>2.0593282667320523E-2</v>
      </c>
      <c r="AB224" s="377">
        <v>-0.25636897123848579</v>
      </c>
      <c r="AC224" s="370">
        <v>-0.12420704522449999</v>
      </c>
      <c r="AD224" s="370">
        <v>-4.5325058880705815E-2</v>
      </c>
      <c r="AE224" s="335">
        <v>0.14986521472228898</v>
      </c>
      <c r="AF224" s="377">
        <v>0.57227644420997104</v>
      </c>
      <c r="AG224" s="370">
        <v>0.33800928131561747</v>
      </c>
      <c r="AH224" s="370">
        <v>0.1761550088892021</v>
      </c>
      <c r="AI224" s="335">
        <v>3.0716617922411427E-2</v>
      </c>
      <c r="AJ224" s="377">
        <v>0.15632077845818304</v>
      </c>
      <c r="AK224" s="370">
        <v>0.13480330744174407</v>
      </c>
      <c r="AL224" s="370">
        <v>0.13614116863659054</v>
      </c>
      <c r="AM224" s="335">
        <v>3.7578068700456102E-2</v>
      </c>
      <c r="AN224" s="377">
        <v>-0.23496197419807274</v>
      </c>
      <c r="AO224" s="370">
        <v>-0.26429675425038646</v>
      </c>
      <c r="AP224" s="370">
        <v>-0.27713632633923335</v>
      </c>
      <c r="AQ224" s="335">
        <v>-0.16341826916120417</v>
      </c>
      <c r="AR224" s="377">
        <v>-0.1642696842304896</v>
      </c>
      <c r="AS224" s="370">
        <v>-0.1302205092563341</v>
      </c>
      <c r="AT224" s="370">
        <v>-7.1926055053310178E-2</v>
      </c>
      <c r="AU224" s="335">
        <v>-6.861303768787741E-2</v>
      </c>
      <c r="AV224" s="377">
        <v>2.0329046898637237E-3</v>
      </c>
      <c r="AW224" s="370">
        <v>-3.6902513438907381E-2</v>
      </c>
      <c r="AX224" s="370">
        <v>1.9447162426614595E-2</v>
      </c>
      <c r="AY224" s="370">
        <v>-0.11734447539461457</v>
      </c>
      <c r="AZ224" s="377">
        <v>0.17763623496107583</v>
      </c>
      <c r="BA224" s="370">
        <v>0.1757052345753507</v>
      </c>
      <c r="BB224" s="370">
        <v>0.15605450338503712</v>
      </c>
      <c r="BC224" s="335">
        <v>5.5100881529948742E-2</v>
      </c>
      <c r="BD224" s="377">
        <v>-0.28205128205128205</v>
      </c>
      <c r="BE224" s="370">
        <v>-0.12894947874899754</v>
      </c>
      <c r="BF224" s="370">
        <v>-0.14292068198665675</v>
      </c>
      <c r="BG224" s="1376">
        <v>0.61383848454636092</v>
      </c>
      <c r="BH224" s="377">
        <v>0.71623437499999998</v>
      </c>
      <c r="BI224" s="370">
        <v>0.46526156324802037</v>
      </c>
      <c r="BJ224" s="370">
        <v>0.44537749999999976</v>
      </c>
      <c r="BK224" s="335">
        <v>1.4401249999997923E-3</v>
      </c>
      <c r="BL224" s="377">
        <v>1.4401249999997923E-3</v>
      </c>
      <c r="BM224" s="370">
        <v>6.2780000000000058E-3</v>
      </c>
      <c r="BN224" s="370">
        <v>-3.3056000000000196E-3</v>
      </c>
      <c r="BO224" s="335">
        <v>6.9695999999999092E-3</v>
      </c>
      <c r="BP224" s="377">
        <v>1.4401249999997923E-3</v>
      </c>
      <c r="BQ224" s="370">
        <v>6.2780000000000058E-3</v>
      </c>
      <c r="BR224" s="370">
        <v>-3.3056000000000196E-3</v>
      </c>
      <c r="BS224" s="335">
        <v>6.9695999999999092E-3</v>
      </c>
      <c r="BT224" s="377">
        <v>1.4401249999997923E-3</v>
      </c>
      <c r="BU224" s="370">
        <v>6.2780000000000058E-3</v>
      </c>
      <c r="BV224" s="370">
        <v>-3.3056000000000196E-3</v>
      </c>
      <c r="BW224" s="335">
        <v>6.9695999999999092E-3</v>
      </c>
      <c r="BX224" s="346"/>
      <c r="BY224" s="377"/>
      <c r="BZ224" s="370"/>
      <c r="CA224" s="370"/>
      <c r="CB224" s="370"/>
      <c r="CC224" s="370"/>
      <c r="CD224" s="338"/>
      <c r="CE224" s="338"/>
      <c r="CF224" s="338"/>
      <c r="CG224" s="338"/>
      <c r="CH224" s="338">
        <v>-0.23860615943486418</v>
      </c>
      <c r="CI224" s="338">
        <v>-0.10989102539354212</v>
      </c>
      <c r="CJ224" s="338">
        <v>-3.2555495694575054E-2</v>
      </c>
      <c r="CK224" s="338">
        <v>0.14372414704417968</v>
      </c>
      <c r="CL224" s="338">
        <v>-1.8551681452444679E-2</v>
      </c>
      <c r="CM224" s="338">
        <v>0.3498763268717362</v>
      </c>
      <c r="CN224" s="338">
        <v>2.7999922450203663E-3</v>
      </c>
      <c r="CO224" s="338">
        <v>2.7999922450203663E-3</v>
      </c>
      <c r="CP224" s="337">
        <v>2.7999922450203663E-3</v>
      </c>
    </row>
    <row r="225" spans="1:94" s="1361" customFormat="1" ht="14.25" hidden="1" customHeight="1" outlineLevel="2">
      <c r="A225" s="1366"/>
      <c r="B225" s="32" t="s">
        <v>299</v>
      </c>
      <c r="C225" s="218"/>
      <c r="D225" s="78"/>
      <c r="E225" s="78">
        <v>0.23</v>
      </c>
      <c r="F225" s="78">
        <v>0.26</v>
      </c>
      <c r="G225" s="79">
        <v>0.25</v>
      </c>
      <c r="H225" s="78">
        <v>0.19999999999999998</v>
      </c>
      <c r="I225" s="78">
        <v>0.22999999999999998</v>
      </c>
      <c r="J225" s="78">
        <v>0.25</v>
      </c>
      <c r="K225" s="79">
        <v>0.27999999999999997</v>
      </c>
      <c r="L225" s="78">
        <v>0.24</v>
      </c>
      <c r="M225" s="78">
        <v>0.24</v>
      </c>
      <c r="N225" s="78">
        <v>0.23000000000000004</v>
      </c>
      <c r="O225" s="79">
        <v>0.21000000000000002</v>
      </c>
      <c r="P225" s="78">
        <v>0.21</v>
      </c>
      <c r="Q225" s="78">
        <v>0.21</v>
      </c>
      <c r="R225" s="78">
        <v>0.23</v>
      </c>
      <c r="S225" s="79">
        <v>0.24</v>
      </c>
      <c r="T225" s="78">
        <v>0.21999999999999997</v>
      </c>
      <c r="U225" s="78">
        <v>0.24000000000000002</v>
      </c>
      <c r="V225" s="78">
        <v>0.25</v>
      </c>
      <c r="W225" s="79">
        <v>0.27</v>
      </c>
      <c r="X225" s="78">
        <v>0.28999999999999998</v>
      </c>
      <c r="Y225" s="78">
        <v>0.22999999999999998</v>
      </c>
      <c r="Z225" s="78">
        <v>0.23</v>
      </c>
      <c r="AA225" s="79">
        <v>0.23</v>
      </c>
      <c r="AB225" s="78">
        <v>0.24000000000000005</v>
      </c>
      <c r="AC225" s="78">
        <v>0.27</v>
      </c>
      <c r="AD225" s="78">
        <v>0.27</v>
      </c>
      <c r="AE225" s="79">
        <v>0.26</v>
      </c>
      <c r="AF225" s="78">
        <v>0.26</v>
      </c>
      <c r="AG225" s="78">
        <v>0.25999999999999995</v>
      </c>
      <c r="AH225" s="78">
        <v>0.25</v>
      </c>
      <c r="AI225" s="79">
        <v>0.22999999999999998</v>
      </c>
      <c r="AJ225" s="78">
        <v>0.19</v>
      </c>
      <c r="AK225" s="78">
        <v>0.19</v>
      </c>
      <c r="AL225" s="78">
        <v>0.18999999999999997</v>
      </c>
      <c r="AM225" s="79">
        <v>0.17999999999999997</v>
      </c>
      <c r="AN225" s="78">
        <v>0.17</v>
      </c>
      <c r="AO225" s="78">
        <v>0.17</v>
      </c>
      <c r="AP225" s="78">
        <v>0.16999999999999998</v>
      </c>
      <c r="AQ225" s="79">
        <v>0.17</v>
      </c>
      <c r="AR225" s="78">
        <v>0.16</v>
      </c>
      <c r="AS225" s="78">
        <v>0.15999999999999998</v>
      </c>
      <c r="AT225" s="78">
        <v>0.15999999999999998</v>
      </c>
      <c r="AU225" s="79">
        <v>0.15</v>
      </c>
      <c r="AV225" s="78">
        <v>0.15</v>
      </c>
      <c r="AW225" s="78">
        <v>0.14000000000000001</v>
      </c>
      <c r="AX225" s="78">
        <v>0.14000000000000001</v>
      </c>
      <c r="AY225" s="78">
        <v>0.10999999999999999</v>
      </c>
      <c r="AZ225" s="134">
        <v>0.14331649058337162</v>
      </c>
      <c r="BA225" s="78">
        <v>0.14162407722884726</v>
      </c>
      <c r="BB225" s="78">
        <v>0.14915966386554622</v>
      </c>
      <c r="BC225" s="79">
        <v>0.11936213257170059</v>
      </c>
      <c r="BD225" s="134">
        <v>0.109642682329907</v>
      </c>
      <c r="BE225" s="78">
        <v>0.12374117110959218</v>
      </c>
      <c r="BF225" s="78">
        <v>0.12159007256283522</v>
      </c>
      <c r="BG225" s="1375">
        <v>0.13339593221026202</v>
      </c>
      <c r="BH225" s="78">
        <v>0.12838902927364398</v>
      </c>
      <c r="BI225" s="78">
        <v>0.12844202657707735</v>
      </c>
      <c r="BJ225" s="78">
        <v>0.13191916423135655</v>
      </c>
      <c r="BK225" s="79">
        <v>0.13032392854251548</v>
      </c>
      <c r="BL225" s="78">
        <v>0.12538792171347135</v>
      </c>
      <c r="BM225" s="78">
        <v>0.12488571778399007</v>
      </c>
      <c r="BN225" s="78">
        <v>0.12706269022320049</v>
      </c>
      <c r="BO225" s="79">
        <v>0.12694425317607935</v>
      </c>
      <c r="BP225" s="78">
        <v>0.12538792171347135</v>
      </c>
      <c r="BQ225" s="78">
        <v>0.12488571778399007</v>
      </c>
      <c r="BR225" s="78">
        <v>0.12706269022320049</v>
      </c>
      <c r="BS225" s="79">
        <v>0.12694425317607935</v>
      </c>
      <c r="BT225" s="78">
        <v>0.12538792171347135</v>
      </c>
      <c r="BU225" s="78">
        <v>0.12488571778399007</v>
      </c>
      <c r="BV225" s="78">
        <v>0.12706269022320049</v>
      </c>
      <c r="BW225" s="79">
        <v>0.12694425317607935</v>
      </c>
      <c r="BX225" s="346"/>
      <c r="BY225" s="359">
        <v>0.24682041684325809</v>
      </c>
      <c r="BZ225" s="338">
        <v>0.23983660904570209</v>
      </c>
      <c r="CA225" s="338">
        <v>0.22937807393304777</v>
      </c>
      <c r="CB225" s="338">
        <v>0.22336075205640421</v>
      </c>
      <c r="CC225" s="338">
        <v>0.24560720214531989</v>
      </c>
      <c r="CD225" s="338">
        <v>0.24231944714814091</v>
      </c>
      <c r="CE225" s="338">
        <v>0.26076035954548021</v>
      </c>
      <c r="CF225" s="338">
        <v>0.24989236621423017</v>
      </c>
      <c r="CG225" s="338">
        <v>0.18776922406530513</v>
      </c>
      <c r="CH225" s="338">
        <v>0.17000000000000004</v>
      </c>
      <c r="CI225" s="338">
        <v>0.15741977216372585</v>
      </c>
      <c r="CJ225" s="338">
        <v>0.13403472705420963</v>
      </c>
      <c r="CK225" s="338">
        <v>0.13864416475972541</v>
      </c>
      <c r="CL225" s="338">
        <v>0.12326148072508661</v>
      </c>
      <c r="CM225" s="338">
        <v>0.12979263535530619</v>
      </c>
      <c r="CN225" s="338">
        <v>0.12608350882764585</v>
      </c>
      <c r="CO225" s="338">
        <v>0.12608350882764585</v>
      </c>
      <c r="CP225" s="337">
        <v>0.12608350882764585</v>
      </c>
    </row>
    <row r="226" spans="1:94" s="1361" customFormat="1" ht="14.25" hidden="1" customHeight="1" outlineLevel="2">
      <c r="A226" s="1366"/>
      <c r="B226" s="32"/>
      <c r="C226" s="218"/>
      <c r="D226" s="78"/>
      <c r="E226" s="78"/>
      <c r="F226" s="78"/>
      <c r="G226" s="79"/>
      <c r="H226" s="78"/>
      <c r="I226" s="78"/>
      <c r="J226" s="78"/>
      <c r="K226" s="79"/>
      <c r="L226" s="78"/>
      <c r="M226" s="78"/>
      <c r="N226" s="78"/>
      <c r="O226" s="79"/>
      <c r="P226" s="78"/>
      <c r="Q226" s="78"/>
      <c r="R226" s="78"/>
      <c r="S226" s="79"/>
      <c r="T226" s="78"/>
      <c r="U226" s="78"/>
      <c r="V226" s="78"/>
      <c r="W226" s="79"/>
      <c r="X226" s="78"/>
      <c r="Y226" s="78"/>
      <c r="Z226" s="78"/>
      <c r="AA226" s="79"/>
      <c r="AB226" s="78"/>
      <c r="AC226" s="78"/>
      <c r="AD226" s="78"/>
      <c r="AE226" s="79"/>
      <c r="AF226" s="78"/>
      <c r="AG226" s="78"/>
      <c r="AH226" s="78"/>
      <c r="AI226" s="79"/>
      <c r="AJ226" s="78"/>
      <c r="AK226" s="78"/>
      <c r="AL226" s="78"/>
      <c r="AM226" s="79"/>
      <c r="AN226" s="78"/>
      <c r="AO226" s="78"/>
      <c r="AP226" s="78"/>
      <c r="AQ226" s="79"/>
      <c r="AR226" s="78"/>
      <c r="AS226" s="78"/>
      <c r="AT226" s="78"/>
      <c r="AU226" s="79"/>
      <c r="AV226" s="78"/>
      <c r="AW226" s="78"/>
      <c r="AX226" s="78"/>
      <c r="AY226" s="78"/>
      <c r="AZ226" s="134"/>
      <c r="BA226" s="78"/>
      <c r="BB226" s="78"/>
      <c r="BC226" s="79"/>
      <c r="BD226" s="134"/>
      <c r="BE226" s="78"/>
      <c r="BF226" s="78"/>
      <c r="BG226" s="24"/>
      <c r="BH226" s="57"/>
      <c r="BI226" s="57"/>
      <c r="BJ226" s="57"/>
      <c r="BK226" s="24"/>
      <c r="BL226" s="57"/>
      <c r="BM226" s="57"/>
      <c r="BN226" s="57"/>
      <c r="BO226" s="24"/>
      <c r="BP226" s="57"/>
      <c r="BQ226" s="57"/>
      <c r="BR226" s="57"/>
      <c r="BS226" s="24"/>
      <c r="BT226" s="57"/>
      <c r="BU226" s="57"/>
      <c r="BV226" s="57"/>
      <c r="BW226" s="24"/>
      <c r="BX226" s="346"/>
      <c r="BY226" s="22"/>
      <c r="BZ226" s="15"/>
      <c r="CA226" s="15"/>
      <c r="CB226" s="15"/>
      <c r="CC226" s="15"/>
      <c r="CD226" s="15"/>
      <c r="CE226" s="15"/>
      <c r="CF226" s="15"/>
      <c r="CG226" s="15"/>
      <c r="CH226" s="15"/>
      <c r="CI226" s="15"/>
      <c r="CJ226" s="15"/>
      <c r="CK226" s="15"/>
      <c r="CL226" s="15"/>
      <c r="CM226" s="15"/>
      <c r="CN226" s="15"/>
      <c r="CO226" s="15"/>
      <c r="CP226" s="211"/>
    </row>
    <row r="227" spans="1:94" s="1361" customFormat="1" ht="14.25" hidden="1" customHeight="1" outlineLevel="2">
      <c r="A227" s="1366"/>
      <c r="B227" s="45" t="s">
        <v>642</v>
      </c>
      <c r="C227" s="218"/>
      <c r="D227" s="374"/>
      <c r="E227" s="341">
        <v>16.996999999999996</v>
      </c>
      <c r="F227" s="341">
        <v>19.136000000000006</v>
      </c>
      <c r="G227" s="342">
        <v>19.600000000000009</v>
      </c>
      <c r="H227" s="374">
        <v>19.179999999999993</v>
      </c>
      <c r="I227" s="341">
        <v>25.852</v>
      </c>
      <c r="J227" s="341">
        <v>25.749999999999993</v>
      </c>
      <c r="K227" s="342">
        <v>27.608000000000004</v>
      </c>
      <c r="L227" s="374">
        <v>23.087999999999997</v>
      </c>
      <c r="M227" s="341">
        <v>23.64</v>
      </c>
      <c r="N227" s="341">
        <v>23.943000000000008</v>
      </c>
      <c r="O227" s="342">
        <v>25.137000000000008</v>
      </c>
      <c r="P227" s="374">
        <v>24.716999999999995</v>
      </c>
      <c r="Q227" s="341">
        <v>32.172000000000004</v>
      </c>
      <c r="R227" s="341">
        <v>36.891999999999996</v>
      </c>
      <c r="S227" s="342">
        <v>37.848000000000006</v>
      </c>
      <c r="T227" s="374">
        <v>30.051999999999996</v>
      </c>
      <c r="U227" s="341">
        <v>35.040000000000006</v>
      </c>
      <c r="V227" s="341">
        <v>38.899999999999991</v>
      </c>
      <c r="W227" s="342">
        <v>41.120999999999995</v>
      </c>
      <c r="X227" s="374">
        <v>42.513999999999989</v>
      </c>
      <c r="Y227" s="341">
        <v>44.068000000000005</v>
      </c>
      <c r="Z227" s="341">
        <v>50.968000000000011</v>
      </c>
      <c r="AA227" s="342">
        <v>42.710999999999999</v>
      </c>
      <c r="AB227" s="374">
        <v>26.904000000000011</v>
      </c>
      <c r="AC227" s="341">
        <v>37.314</v>
      </c>
      <c r="AD227" s="341">
        <v>47.465999999999994</v>
      </c>
      <c r="AE227" s="342">
        <v>50.596000000000011</v>
      </c>
      <c r="AF227" s="374">
        <v>59.306000000000004</v>
      </c>
      <c r="AG227" s="341">
        <v>63.387999999999977</v>
      </c>
      <c r="AH227" s="341">
        <v>61.625000000000014</v>
      </c>
      <c r="AI227" s="342">
        <v>54.648000000000003</v>
      </c>
      <c r="AJ227" s="374">
        <v>46.055999999999997</v>
      </c>
      <c r="AK227" s="341">
        <v>50.558999999999983</v>
      </c>
      <c r="AL227" s="341">
        <v>49.608999999999995</v>
      </c>
      <c r="AM227" s="342">
        <v>43.055999999999976</v>
      </c>
      <c r="AN227" s="374">
        <v>41.684000000000005</v>
      </c>
      <c r="AO227" s="341">
        <v>43.910999999999994</v>
      </c>
      <c r="AP227" s="341">
        <v>40.459999999999994</v>
      </c>
      <c r="AQ227" s="342">
        <v>35.768000000000008</v>
      </c>
      <c r="AR227" s="374">
        <v>32.72</v>
      </c>
      <c r="AS227" s="341">
        <v>37.087999999999987</v>
      </c>
      <c r="AT227" s="341">
        <v>39.871999999999993</v>
      </c>
      <c r="AU227" s="342">
        <v>37.934999999999995</v>
      </c>
      <c r="AV227" s="374">
        <v>37.619999999999997</v>
      </c>
      <c r="AW227" s="341">
        <v>38.220000000000006</v>
      </c>
      <c r="AX227" s="341">
        <v>39.774000000000008</v>
      </c>
      <c r="AY227" s="341">
        <v>30.547000000000001</v>
      </c>
      <c r="AZ227" s="374">
        <v>43.052273771244835</v>
      </c>
      <c r="BA227" s="341">
        <v>43.1103691084611</v>
      </c>
      <c r="BB227" s="341">
        <v>46.015756302521005</v>
      </c>
      <c r="BC227" s="342">
        <v>33.409460906818992</v>
      </c>
      <c r="BD227" s="374">
        <v>30.206558981889376</v>
      </c>
      <c r="BE227" s="341">
        <v>38.099906584643428</v>
      </c>
      <c r="BF227" s="341">
        <v>40.003133873172786</v>
      </c>
      <c r="BG227" s="1377">
        <v>53.416440000000001</v>
      </c>
      <c r="BH227" s="341">
        <v>48.900322799999998</v>
      </c>
      <c r="BI227" s="341">
        <v>51.885087785999993</v>
      </c>
      <c r="BJ227" s="341">
        <v>56.150487640799994</v>
      </c>
      <c r="BK227" s="342">
        <v>54.465973011575997</v>
      </c>
      <c r="BL227" s="341">
        <v>51.588678306351362</v>
      </c>
      <c r="BM227" s="341">
        <v>54.453004922763711</v>
      </c>
      <c r="BN227" s="341">
        <v>58.29674644672351</v>
      </c>
      <c r="BO227" s="342">
        <v>56.967580627738208</v>
      </c>
      <c r="BP227" s="341">
        <v>51.588678306351362</v>
      </c>
      <c r="BQ227" s="341">
        <v>54.453004922763711</v>
      </c>
      <c r="BR227" s="341">
        <v>58.29674644672351</v>
      </c>
      <c r="BS227" s="342">
        <v>56.967580627738208</v>
      </c>
      <c r="BT227" s="341">
        <v>51.588678306351362</v>
      </c>
      <c r="BU227" s="341">
        <v>54.453004922763711</v>
      </c>
      <c r="BV227" s="341">
        <v>58.29674644672351</v>
      </c>
      <c r="BW227" s="342">
        <v>56.967580627738208</v>
      </c>
      <c r="BX227" s="346"/>
      <c r="BY227" s="334">
        <v>55.733000000000011</v>
      </c>
      <c r="BZ227" s="325">
        <v>98.389999999999986</v>
      </c>
      <c r="CA227" s="325">
        <v>95.808000000000021</v>
      </c>
      <c r="CB227" s="325">
        <v>131.62899999999999</v>
      </c>
      <c r="CC227" s="325">
        <v>145.113</v>
      </c>
      <c r="CD227" s="325">
        <v>180.26100000000002</v>
      </c>
      <c r="CE227" s="325">
        <v>162.28000000000003</v>
      </c>
      <c r="CF227" s="325">
        <v>238.96700000000001</v>
      </c>
      <c r="CG227" s="325">
        <v>189.27999999999997</v>
      </c>
      <c r="CH227" s="325">
        <v>161.82300000000001</v>
      </c>
      <c r="CI227" s="325">
        <v>147.61499999999998</v>
      </c>
      <c r="CJ227" s="325">
        <v>146.161</v>
      </c>
      <c r="CK227" s="325">
        <v>165.58786008904593</v>
      </c>
      <c r="CL227" s="325">
        <v>161.7260394397056</v>
      </c>
      <c r="CM227" s="325">
        <v>211.40187123837597</v>
      </c>
      <c r="CN227" s="325">
        <v>221.30601030357681</v>
      </c>
      <c r="CO227" s="325">
        <v>221.30601030357681</v>
      </c>
      <c r="CP227" s="326">
        <v>221.30601030357681</v>
      </c>
    </row>
    <row r="228" spans="1:94" s="1361" customFormat="1" ht="14.25" hidden="1" customHeight="1" outlineLevel="2">
      <c r="A228" s="1366"/>
      <c r="B228" s="32" t="s">
        <v>297</v>
      </c>
      <c r="C228" s="218"/>
      <c r="D228" s="134"/>
      <c r="E228" s="78"/>
      <c r="F228" s="78">
        <v>0.12584573748308592</v>
      </c>
      <c r="G228" s="79">
        <v>2.4247491638796026E-2</v>
      </c>
      <c r="H228" s="134">
        <v>-2.1428571428572241E-2</v>
      </c>
      <c r="I228" s="78">
        <v>0.34786235662148135</v>
      </c>
      <c r="J228" s="78">
        <v>-3.9455361287330515E-3</v>
      </c>
      <c r="K228" s="79">
        <v>7.2155339805825669E-2</v>
      </c>
      <c r="L228" s="134">
        <v>-0.16372066067806457</v>
      </c>
      <c r="M228" s="78">
        <v>2.3908523908523938E-2</v>
      </c>
      <c r="N228" s="78">
        <v>1.2817258883249139E-2</v>
      </c>
      <c r="O228" s="79">
        <v>4.9868437539155375E-2</v>
      </c>
      <c r="P228" s="134">
        <v>-1.6708437761069783E-2</v>
      </c>
      <c r="Q228" s="78">
        <v>0.30161427357689075</v>
      </c>
      <c r="R228" s="78">
        <v>0.14671142608479393</v>
      </c>
      <c r="S228" s="79">
        <v>2.5913477176623845E-2</v>
      </c>
      <c r="T228" s="134">
        <v>-0.20598182202494209</v>
      </c>
      <c r="U228" s="78">
        <v>0.16597896978570503</v>
      </c>
      <c r="V228" s="78">
        <v>0.11015981735159763</v>
      </c>
      <c r="W228" s="79">
        <v>5.7095115681234043E-2</v>
      </c>
      <c r="X228" s="134">
        <v>3.3875635320152586E-2</v>
      </c>
      <c r="Y228" s="78">
        <v>3.6552665004469409E-2</v>
      </c>
      <c r="Z228" s="78">
        <v>0.15657620041753662</v>
      </c>
      <c r="AA228" s="79">
        <v>-0.16200361010830344</v>
      </c>
      <c r="AB228" s="134">
        <v>-0.370092013766945</v>
      </c>
      <c r="AC228" s="78">
        <v>0.38693131132916991</v>
      </c>
      <c r="AD228" s="78">
        <v>0.27206946454413883</v>
      </c>
      <c r="AE228" s="79">
        <v>6.5941937386761351E-2</v>
      </c>
      <c r="AF228" s="134">
        <v>0.17214799588900287</v>
      </c>
      <c r="AG228" s="78">
        <v>6.8829460762822814E-2</v>
      </c>
      <c r="AH228" s="78">
        <v>-2.7812835236952771E-2</v>
      </c>
      <c r="AI228" s="79">
        <v>-0.11321703853955389</v>
      </c>
      <c r="AJ228" s="134">
        <v>-0.15722441809398346</v>
      </c>
      <c r="AK228" s="78">
        <v>9.7772277227722526E-2</v>
      </c>
      <c r="AL228" s="78">
        <v>-1.8789928598271111E-2</v>
      </c>
      <c r="AM228" s="79">
        <v>-0.13209296700195572</v>
      </c>
      <c r="AN228" s="134">
        <v>-3.1865477517650787E-2</v>
      </c>
      <c r="AO228" s="78">
        <v>5.3425774877650545E-2</v>
      </c>
      <c r="AP228" s="78">
        <v>-7.8590785907859062E-2</v>
      </c>
      <c r="AQ228" s="79">
        <v>-0.11596638655462155</v>
      </c>
      <c r="AR228" s="134">
        <v>-8.5215835383583349E-2</v>
      </c>
      <c r="AS228" s="78">
        <v>0.13349633251833715</v>
      </c>
      <c r="AT228" s="78">
        <v>7.5064710957722269E-2</v>
      </c>
      <c r="AU228" s="79">
        <v>-4.8580457463884397E-2</v>
      </c>
      <c r="AV228" s="134">
        <v>-8.3036773428232236E-3</v>
      </c>
      <c r="AW228" s="78">
        <v>1.5948963317384601E-2</v>
      </c>
      <c r="AX228" s="78">
        <v>4.0659340659340737E-2</v>
      </c>
      <c r="AY228" s="78">
        <v>-0.23198571931412493</v>
      </c>
      <c r="AZ228" s="134">
        <v>0.40937813111745291</v>
      </c>
      <c r="BA228" s="78">
        <v>1.3494139130711957E-3</v>
      </c>
      <c r="BB228" s="78">
        <v>6.7394161872060598E-2</v>
      </c>
      <c r="BC228" s="79">
        <v>-0.27395606219801216</v>
      </c>
      <c r="BD228" s="134">
        <v>-9.5868111546687396E-2</v>
      </c>
      <c r="BE228" s="78">
        <v>0.26131237283553488</v>
      </c>
      <c r="BF228" s="78">
        <v>4.9953594618430852E-2</v>
      </c>
      <c r="BG228" s="1375">
        <v>0.33530638297872328</v>
      </c>
      <c r="BH228" s="134">
        <v>-8.454545454545459E-2</v>
      </c>
      <c r="BI228" s="78">
        <v>6.1037735849056585E-2</v>
      </c>
      <c r="BJ228" s="78">
        <v>8.2208588957055184E-2</v>
      </c>
      <c r="BK228" s="79">
        <v>-2.9999999999999916E-2</v>
      </c>
      <c r="BL228" s="134">
        <v>-5.2827380952381153E-2</v>
      </c>
      <c r="BM228" s="78">
        <v>5.5522388059701555E-2</v>
      </c>
      <c r="BN228" s="78">
        <v>7.058823529411784E-2</v>
      </c>
      <c r="BO228" s="79">
        <v>-2.2800000000000153E-2</v>
      </c>
      <c r="BP228" s="134">
        <v>-5.2827380952381153E-2</v>
      </c>
      <c r="BQ228" s="78">
        <v>5.5522388059701555E-2</v>
      </c>
      <c r="BR228" s="78">
        <v>7.058823529411784E-2</v>
      </c>
      <c r="BS228" s="79">
        <v>-2.2800000000000153E-2</v>
      </c>
      <c r="BT228" s="134">
        <v>-5.2827380952381153E-2</v>
      </c>
      <c r="BU228" s="78">
        <v>5.5522388059701555E-2</v>
      </c>
      <c r="BV228" s="78">
        <v>7.058823529411784E-2</v>
      </c>
      <c r="BW228" s="79">
        <v>-2.2800000000000153E-2</v>
      </c>
      <c r="BX228" s="346"/>
      <c r="BY228" s="219"/>
      <c r="BZ228" s="220"/>
      <c r="CA228" s="220"/>
      <c r="CB228" s="220"/>
      <c r="CC228" s="220"/>
      <c r="CD228" s="220"/>
      <c r="CE228" s="220"/>
      <c r="CF228" s="220"/>
      <c r="CG228" s="220"/>
      <c r="CH228" s="220"/>
      <c r="CI228" s="220"/>
      <c r="CJ228" s="220"/>
      <c r="CK228" s="220"/>
      <c r="CL228" s="220"/>
      <c r="CM228" s="220"/>
      <c r="CN228" s="220"/>
      <c r="CO228" s="220"/>
      <c r="CP228" s="258"/>
    </row>
    <row r="229" spans="1:94" s="1361" customFormat="1" ht="14.25" hidden="1" customHeight="1" outlineLevel="2">
      <c r="A229" s="1366"/>
      <c r="B229" s="32" t="s">
        <v>298</v>
      </c>
      <c r="C229" s="218"/>
      <c r="D229" s="134"/>
      <c r="E229" s="78"/>
      <c r="F229" s="78"/>
      <c r="G229" s="79"/>
      <c r="H229" s="134"/>
      <c r="I229" s="78">
        <v>0.5209742895805145</v>
      </c>
      <c r="J229" s="78">
        <v>0.34563127090300916</v>
      </c>
      <c r="K229" s="79">
        <v>0.40857142857142814</v>
      </c>
      <c r="L229" s="134">
        <v>0.20375391032325374</v>
      </c>
      <c r="M229" s="78">
        <v>-8.5563979576048221E-2</v>
      </c>
      <c r="N229" s="78">
        <v>-7.0174757281552758E-2</v>
      </c>
      <c r="O229" s="79">
        <v>-8.9503042596348781E-2</v>
      </c>
      <c r="P229" s="134">
        <v>7.0556133056133064E-2</v>
      </c>
      <c r="Q229" s="78">
        <v>0.36091370558375657</v>
      </c>
      <c r="R229" s="78">
        <v>0.54082612872238167</v>
      </c>
      <c r="S229" s="79">
        <v>0.50566893424036263</v>
      </c>
      <c r="T229" s="134">
        <v>0.21584334668446825</v>
      </c>
      <c r="U229" s="78">
        <v>8.9145841104065759E-2</v>
      </c>
      <c r="V229" s="78">
        <v>5.4429144529979379E-2</v>
      </c>
      <c r="W229" s="79">
        <v>8.6477488902980015E-2</v>
      </c>
      <c r="X229" s="134">
        <v>0.41468121922001844</v>
      </c>
      <c r="Y229" s="78">
        <v>0.25764840182648396</v>
      </c>
      <c r="Z229" s="78">
        <v>0.31023136246786698</v>
      </c>
      <c r="AA229" s="79">
        <v>3.866637484496982E-2</v>
      </c>
      <c r="AB229" s="134">
        <v>-0.36717316648633347</v>
      </c>
      <c r="AC229" s="78">
        <v>-0.15326313878551334</v>
      </c>
      <c r="AD229" s="78">
        <v>-6.8709778684665213E-2</v>
      </c>
      <c r="AE229" s="79">
        <v>0.1846128631968349</v>
      </c>
      <c r="AF229" s="134">
        <v>1.2043562295569425</v>
      </c>
      <c r="AG229" s="78">
        <v>0.69877257865680376</v>
      </c>
      <c r="AH229" s="78">
        <v>0.29829772890068718</v>
      </c>
      <c r="AI229" s="79">
        <v>8.0085382243655356E-2</v>
      </c>
      <c r="AJ229" s="134">
        <v>-0.22341752942366722</v>
      </c>
      <c r="AK229" s="78">
        <v>-0.20238846469363281</v>
      </c>
      <c r="AL229" s="78">
        <v>-0.19498580121703879</v>
      </c>
      <c r="AM229" s="79">
        <v>-0.2121212121212126</v>
      </c>
      <c r="AN229" s="134">
        <v>-9.4927913844015777E-2</v>
      </c>
      <c r="AO229" s="78">
        <v>-0.13148994244348167</v>
      </c>
      <c r="AP229" s="78">
        <v>-0.18442218145900946</v>
      </c>
      <c r="AQ229" s="79">
        <v>-0.16926793013749475</v>
      </c>
      <c r="AR229" s="134">
        <v>-0.21504654063909423</v>
      </c>
      <c r="AS229" s="78">
        <v>-0.15538247819452999</v>
      </c>
      <c r="AT229" s="78">
        <v>-1.453287197231834E-2</v>
      </c>
      <c r="AU229" s="79">
        <v>6.0584880339968228E-2</v>
      </c>
      <c r="AV229" s="134">
        <v>0.14975550122249381</v>
      </c>
      <c r="AW229" s="78">
        <v>3.0522001725626025E-2</v>
      </c>
      <c r="AX229" s="78">
        <v>-2.4578651685389641E-3</v>
      </c>
      <c r="AY229" s="78">
        <v>-0.19475418478977191</v>
      </c>
      <c r="AZ229" s="134">
        <v>0.14439855851262196</v>
      </c>
      <c r="BA229" s="78">
        <v>0.12795314255523538</v>
      </c>
      <c r="BB229" s="78">
        <v>0.15693056525672544</v>
      </c>
      <c r="BC229" s="79">
        <v>9.3706776666087954E-2</v>
      </c>
      <c r="BD229" s="134">
        <v>-0.29837482818236827</v>
      </c>
      <c r="BE229" s="78">
        <v>-0.11622406923058071</v>
      </c>
      <c r="BF229" s="78">
        <v>-0.13066442698060821</v>
      </c>
      <c r="BG229" s="1375">
        <v>0.59884172177999773</v>
      </c>
      <c r="BH229" s="134">
        <v>0.61886439396551718</v>
      </c>
      <c r="BI229" s="78">
        <v>0.36181666668213897</v>
      </c>
      <c r="BJ229" s="78">
        <v>0.40365221931914874</v>
      </c>
      <c r="BK229" s="79">
        <v>1.9648127272727134E-2</v>
      </c>
      <c r="BL229" s="134">
        <v>5.4976232311320539E-2</v>
      </c>
      <c r="BM229" s="78">
        <v>4.9492392638036842E-2</v>
      </c>
      <c r="BN229" s="78">
        <v>3.8223333333333498E-2</v>
      </c>
      <c r="BO229" s="79">
        <v>4.5929733333333278E-2</v>
      </c>
      <c r="BP229" s="134">
        <v>5.4976232311320539E-2</v>
      </c>
      <c r="BQ229" s="78">
        <v>4.9492392638036842E-2</v>
      </c>
      <c r="BR229" s="78">
        <v>3.8223333333333498E-2</v>
      </c>
      <c r="BS229" s="79">
        <v>4.5929733333333278E-2</v>
      </c>
      <c r="BT229" s="134">
        <v>5.4976232311320539E-2</v>
      </c>
      <c r="BU229" s="78">
        <v>4.9492392638036842E-2</v>
      </c>
      <c r="BV229" s="78">
        <v>3.8223333333333498E-2</v>
      </c>
      <c r="BW229" s="79">
        <v>4.5929733333333278E-2</v>
      </c>
      <c r="BX229" s="346"/>
      <c r="BY229" s="377"/>
      <c r="BZ229" s="370"/>
      <c r="CA229" s="370"/>
      <c r="CB229" s="370"/>
      <c r="CC229" s="370"/>
      <c r="CD229" s="338"/>
      <c r="CE229" s="338"/>
      <c r="CF229" s="338"/>
      <c r="CG229" s="338"/>
      <c r="CH229" s="338">
        <v>-0.145060228233305</v>
      </c>
      <c r="CI229" s="338">
        <v>-8.7799632932277993E-2</v>
      </c>
      <c r="CJ229" s="338">
        <v>-9.8499474985602742E-3</v>
      </c>
      <c r="CK229" s="338">
        <v>0.13291411586569568</v>
      </c>
      <c r="CL229" s="338">
        <v>-2.3321882698789653E-2</v>
      </c>
      <c r="CM229" s="338">
        <v>0.30716038042340377</v>
      </c>
      <c r="CN229" s="338">
        <v>4.684981739841354E-2</v>
      </c>
      <c r="CO229" s="338">
        <v>4.684981739841354E-2</v>
      </c>
      <c r="CP229" s="337">
        <v>4.684981739841354E-2</v>
      </c>
    </row>
    <row r="230" spans="1:94" s="1361" customFormat="1" ht="14.25" hidden="1" customHeight="1" outlineLevel="2">
      <c r="A230" s="1366"/>
      <c r="B230" s="32" t="s">
        <v>549</v>
      </c>
      <c r="C230" s="218"/>
      <c r="D230" s="134"/>
      <c r="E230" s="78">
        <v>0.28844652615144412</v>
      </c>
      <c r="F230" s="78">
        <v>0.2779456193353475</v>
      </c>
      <c r="G230" s="79">
        <v>0.28140703517587951</v>
      </c>
      <c r="H230" s="134">
        <v>0.31116158338741062</v>
      </c>
      <c r="I230" s="78">
        <v>0.33703148425787105</v>
      </c>
      <c r="J230" s="78">
        <v>0.3234924623115577</v>
      </c>
      <c r="K230" s="79">
        <v>0.32138200782268578</v>
      </c>
      <c r="L230" s="134">
        <v>0.31812169312169314</v>
      </c>
      <c r="M230" s="78">
        <v>0.3252972258916777</v>
      </c>
      <c r="N230" s="78">
        <v>0.33195153061224497</v>
      </c>
      <c r="O230" s="79">
        <v>0.35020479812756006</v>
      </c>
      <c r="P230" s="134">
        <v>0.35239520958083825</v>
      </c>
      <c r="Q230" s="78">
        <v>0.40820676791899818</v>
      </c>
      <c r="R230" s="78">
        <v>0.38108814445236394</v>
      </c>
      <c r="S230" s="79">
        <v>0.39267928286852594</v>
      </c>
      <c r="T230" s="134">
        <v>0.36504543025120251</v>
      </c>
      <c r="U230" s="78">
        <v>0.38300104931794343</v>
      </c>
      <c r="V230" s="78">
        <v>0.38620004964010912</v>
      </c>
      <c r="W230" s="79">
        <v>0.37337582740867858</v>
      </c>
      <c r="X230" s="134">
        <v>0.34747570514339887</v>
      </c>
      <c r="Y230" s="78">
        <v>0.34050115514483736</v>
      </c>
      <c r="Z230" s="78">
        <v>0.38108340498710241</v>
      </c>
      <c r="AA230" s="79">
        <v>0.37998772252915897</v>
      </c>
      <c r="AB230" s="134">
        <v>0.29570034291743613</v>
      </c>
      <c r="AC230" s="78">
        <v>0.32920438303954264</v>
      </c>
      <c r="AD230" s="78">
        <v>0.3717487840981179</v>
      </c>
      <c r="AE230" s="79">
        <v>0.39147052906859792</v>
      </c>
      <c r="AF230" s="134">
        <v>0.41457651762995273</v>
      </c>
      <c r="AG230" s="78">
        <v>0.41796674095662595</v>
      </c>
      <c r="AH230" s="78">
        <v>0.41035458631596478</v>
      </c>
      <c r="AI230" s="79">
        <v>0.4102209944751381</v>
      </c>
      <c r="AJ230" s="134">
        <v>0.27842866988283937</v>
      </c>
      <c r="AK230" s="78">
        <v>0.29377345992492815</v>
      </c>
      <c r="AL230" s="78">
        <v>0.29075723830734962</v>
      </c>
      <c r="AM230" s="79">
        <v>0.31149889308503698</v>
      </c>
      <c r="AN230" s="134">
        <v>0.32939279957012363</v>
      </c>
      <c r="AO230" s="78">
        <v>0.34680451127819545</v>
      </c>
      <c r="AP230" s="78">
        <v>0.32804962095106815</v>
      </c>
      <c r="AQ230" s="79">
        <v>0.30932078800352841</v>
      </c>
      <c r="AR230" s="134">
        <v>0.30937972768532523</v>
      </c>
      <c r="AS230" s="78">
        <v>0.33677175650152535</v>
      </c>
      <c r="AT230" s="78">
        <v>0.3483365949119373</v>
      </c>
      <c r="AU230" s="79">
        <v>0.35222841225626733</v>
      </c>
      <c r="AV230" s="134">
        <v>0.35498938428874732</v>
      </c>
      <c r="AW230" s="78">
        <v>0.36034846884899685</v>
      </c>
      <c r="AX230" s="78">
        <v>0.34085182963407323</v>
      </c>
      <c r="AY230" s="78">
        <v>0.32133765332099046</v>
      </c>
      <c r="AZ230" s="134">
        <v>0.34497014239779517</v>
      </c>
      <c r="BA230" s="78">
        <v>0.34571266325951161</v>
      </c>
      <c r="BB230" s="78">
        <v>0.34111012826183101</v>
      </c>
      <c r="BC230" s="79">
        <v>0.33309532309889328</v>
      </c>
      <c r="BD230" s="134">
        <v>0.33712677435144395</v>
      </c>
      <c r="BE230" s="78">
        <v>0.35076327181590339</v>
      </c>
      <c r="BF230" s="78">
        <v>0.34598801135766116</v>
      </c>
      <c r="BG230" s="1374">
        <v>0.33</v>
      </c>
      <c r="BH230" s="82">
        <v>0.318</v>
      </c>
      <c r="BI230" s="80">
        <v>0.32600000000000001</v>
      </c>
      <c r="BJ230" s="80">
        <v>0.33600000000000002</v>
      </c>
      <c r="BK230" s="81">
        <v>0.33600000000000002</v>
      </c>
      <c r="BL230" s="82">
        <v>0.33500000000000002</v>
      </c>
      <c r="BM230" s="80">
        <v>0.34</v>
      </c>
      <c r="BN230" s="80">
        <v>0.35000000000000003</v>
      </c>
      <c r="BO230" s="81">
        <v>0.34900000000000003</v>
      </c>
      <c r="BP230" s="82">
        <v>0.33500000000000002</v>
      </c>
      <c r="BQ230" s="80">
        <v>0.34</v>
      </c>
      <c r="BR230" s="80">
        <v>0.35000000000000003</v>
      </c>
      <c r="BS230" s="81">
        <v>0.34900000000000003</v>
      </c>
      <c r="BT230" s="82">
        <v>0.33500000000000002</v>
      </c>
      <c r="BU230" s="80">
        <v>0.34</v>
      </c>
      <c r="BV230" s="80">
        <v>0.35000000000000003</v>
      </c>
      <c r="BW230" s="81">
        <v>0.34900000000000003</v>
      </c>
      <c r="BX230" s="346"/>
      <c r="BY230" s="219"/>
      <c r="BZ230" s="220"/>
      <c r="CA230" s="220"/>
      <c r="CB230" s="220"/>
      <c r="CC230" s="220"/>
      <c r="CD230" s="220"/>
      <c r="CE230" s="220"/>
      <c r="CF230" s="220"/>
      <c r="CG230" s="220">
        <v>0.29284080958230574</v>
      </c>
      <c r="CH230" s="220">
        <v>0.32881964834709315</v>
      </c>
      <c r="CI230" s="220">
        <v>0.33698054112297171</v>
      </c>
      <c r="CJ230" s="220">
        <v>0.34488934403986871</v>
      </c>
      <c r="CK230" s="220">
        <v>0.34162958549421485</v>
      </c>
      <c r="CL230" s="220">
        <v>0.33996913955557945</v>
      </c>
      <c r="CM230" s="220">
        <v>0.32921104026140485</v>
      </c>
      <c r="CN230" s="220">
        <v>0.34367223778257344</v>
      </c>
      <c r="CO230" s="220">
        <v>0.34367223778257344</v>
      </c>
      <c r="CP230" s="258">
        <v>0.34367223778257344</v>
      </c>
    </row>
    <row r="231" spans="1:94" s="1361" customFormat="1" ht="14.25" hidden="1" customHeight="1" outlineLevel="2">
      <c r="A231" s="1366"/>
      <c r="B231" s="840"/>
      <c r="C231" s="237"/>
      <c r="D231" s="221"/>
      <c r="E231" s="221"/>
      <c r="F231" s="221"/>
      <c r="G231" s="614"/>
      <c r="H231" s="221"/>
      <c r="I231" s="221"/>
      <c r="J231" s="221"/>
      <c r="K231" s="614"/>
      <c r="L231" s="221"/>
      <c r="M231" s="221"/>
      <c r="N231" s="221"/>
      <c r="O231" s="614"/>
      <c r="P231" s="221"/>
      <c r="Q231" s="221"/>
      <c r="R231" s="221"/>
      <c r="S231" s="614"/>
      <c r="T231" s="221"/>
      <c r="U231" s="221"/>
      <c r="V231" s="221"/>
      <c r="W231" s="614"/>
      <c r="X231" s="221"/>
      <c r="Y231" s="221"/>
      <c r="Z231" s="221"/>
      <c r="AA231" s="614"/>
      <c r="AB231" s="221"/>
      <c r="AC231" s="221"/>
      <c r="AD231" s="221"/>
      <c r="AE231" s="614"/>
      <c r="AF231" s="221"/>
      <c r="AG231" s="221"/>
      <c r="AH231" s="221"/>
      <c r="AI231" s="614"/>
      <c r="AJ231" s="221"/>
      <c r="AK231" s="221"/>
      <c r="AL231" s="221"/>
      <c r="AM231" s="614"/>
      <c r="AN231" s="221"/>
      <c r="AO231" s="221"/>
      <c r="AP231" s="221"/>
      <c r="AQ231" s="614"/>
      <c r="AR231" s="221"/>
      <c r="AS231" s="221"/>
      <c r="AT231" s="221"/>
      <c r="AU231" s="614"/>
      <c r="AV231" s="221"/>
      <c r="AW231" s="221"/>
      <c r="AX231" s="221"/>
      <c r="AY231" s="221"/>
      <c r="AZ231" s="16"/>
      <c r="BA231" s="203"/>
      <c r="BB231" s="221"/>
      <c r="BC231" s="614"/>
      <c r="BD231" s="16"/>
      <c r="BE231" s="203"/>
      <c r="BF231" s="221"/>
      <c r="BG231" s="17"/>
      <c r="BH231" s="203"/>
      <c r="BI231" s="203"/>
      <c r="BJ231" s="203"/>
      <c r="BK231" s="17"/>
      <c r="BL231" s="203"/>
      <c r="BM231" s="203"/>
      <c r="BN231" s="203"/>
      <c r="BO231" s="17"/>
      <c r="BP231" s="203"/>
      <c r="BQ231" s="203"/>
      <c r="BR231" s="203"/>
      <c r="BS231" s="17"/>
      <c r="BT231" s="203"/>
      <c r="BU231" s="203"/>
      <c r="BV231" s="203"/>
      <c r="BW231" s="17"/>
      <c r="BX231" s="346"/>
      <c r="BY231" s="16"/>
      <c r="BZ231" s="203"/>
      <c r="CA231" s="203"/>
      <c r="CB231" s="203"/>
      <c r="CC231" s="203"/>
      <c r="CD231" s="203"/>
      <c r="CE231" s="203"/>
      <c r="CF231" s="203"/>
      <c r="CG231" s="203"/>
      <c r="CH231" s="203"/>
      <c r="CI231" s="203"/>
      <c r="CJ231" s="203"/>
      <c r="CK231" s="203"/>
      <c r="CL231" s="203"/>
      <c r="CM231" s="203"/>
      <c r="CN231" s="203"/>
      <c r="CO231" s="203"/>
      <c r="CP231" s="17"/>
    </row>
    <row r="232" spans="1:94" s="1361" customFormat="1" ht="14.25" hidden="1" customHeight="1" outlineLevel="3">
      <c r="A232" s="1366"/>
      <c r="B232" s="297" t="s">
        <v>618</v>
      </c>
      <c r="C232" s="882"/>
      <c r="D232" s="879">
        <v>0</v>
      </c>
      <c r="E232" s="495">
        <v>46.116</v>
      </c>
      <c r="F232" s="495">
        <v>55.608000000000011</v>
      </c>
      <c r="G232" s="496">
        <v>58.506000000000007</v>
      </c>
      <c r="H232" s="879">
        <v>70.885999999999996</v>
      </c>
      <c r="I232" s="495">
        <v>73.37</v>
      </c>
      <c r="J232" s="495">
        <v>73.231999999999999</v>
      </c>
      <c r="K232" s="496">
        <v>67.496000000000009</v>
      </c>
      <c r="L232" s="879">
        <v>63.503999999999998</v>
      </c>
      <c r="M232" s="495">
        <v>75.7</v>
      </c>
      <c r="N232" s="495">
        <v>81.536000000000016</v>
      </c>
      <c r="O232" s="496">
        <v>88.868000000000009</v>
      </c>
      <c r="P232" s="879">
        <v>86.84</v>
      </c>
      <c r="Q232" s="495">
        <v>93.825000000000003</v>
      </c>
      <c r="R232" s="495">
        <v>105.22499999999999</v>
      </c>
      <c r="S232" s="496">
        <v>108.43200000000002</v>
      </c>
      <c r="T232" s="879">
        <v>97.292000000000002</v>
      </c>
      <c r="U232" s="495">
        <v>121.98399999999999</v>
      </c>
      <c r="V232" s="495">
        <v>96.695999999999998</v>
      </c>
      <c r="W232" s="496">
        <v>93.816999999999993</v>
      </c>
      <c r="X232" s="879">
        <v>92.817999999999998</v>
      </c>
      <c r="Y232" s="495">
        <v>22.508000000000003</v>
      </c>
      <c r="Z232" s="495">
        <v>23.26</v>
      </c>
      <c r="AA232" s="496">
        <v>29.321999999999999</v>
      </c>
      <c r="AB232" s="879">
        <v>18.955000000000002</v>
      </c>
      <c r="AC232" s="495">
        <v>12.593999999999999</v>
      </c>
      <c r="AD232" s="495">
        <v>18.916</v>
      </c>
      <c r="AE232" s="496">
        <v>19.884</v>
      </c>
      <c r="AF232" s="879">
        <v>22.008000000000003</v>
      </c>
      <c r="AG232" s="495">
        <v>17.498999999999999</v>
      </c>
      <c r="AH232" s="495">
        <v>18.021000000000001</v>
      </c>
      <c r="AI232" s="496">
        <v>23.168000000000003</v>
      </c>
      <c r="AJ232" s="879">
        <v>0</v>
      </c>
      <c r="AK232" s="495">
        <v>0</v>
      </c>
      <c r="AL232" s="495">
        <v>0</v>
      </c>
      <c r="AM232" s="496">
        <v>0</v>
      </c>
      <c r="AN232" s="879">
        <v>0</v>
      </c>
      <c r="AO232" s="495">
        <v>0</v>
      </c>
      <c r="AP232" s="495">
        <v>0</v>
      </c>
      <c r="AQ232" s="496">
        <v>0</v>
      </c>
      <c r="AR232" s="879">
        <v>0</v>
      </c>
      <c r="AS232" s="495">
        <v>0</v>
      </c>
      <c r="AT232" s="495">
        <v>0</v>
      </c>
      <c r="AU232" s="496">
        <v>0</v>
      </c>
      <c r="AV232" s="879">
        <v>0</v>
      </c>
      <c r="AW232" s="495">
        <v>0</v>
      </c>
      <c r="AX232" s="495">
        <v>0</v>
      </c>
      <c r="AY232" s="495">
        <v>0</v>
      </c>
      <c r="AZ232" s="809">
        <v>0</v>
      </c>
      <c r="BA232" s="801">
        <v>0</v>
      </c>
      <c r="BB232" s="495">
        <v>0</v>
      </c>
      <c r="BC232" s="496">
        <v>0</v>
      </c>
      <c r="BD232" s="809">
        <v>0</v>
      </c>
      <c r="BE232" s="801">
        <v>0</v>
      </c>
      <c r="BF232" s="495">
        <v>0</v>
      </c>
      <c r="BG232" s="1378">
        <v>0</v>
      </c>
      <c r="BH232" s="801">
        <v>0</v>
      </c>
      <c r="BI232" s="801">
        <v>0</v>
      </c>
      <c r="BJ232" s="801">
        <v>0</v>
      </c>
      <c r="BK232" s="810">
        <v>0</v>
      </c>
      <c r="BL232" s="801">
        <v>0</v>
      </c>
      <c r="BM232" s="801">
        <v>0</v>
      </c>
      <c r="BN232" s="801">
        <v>0</v>
      </c>
      <c r="BO232" s="810">
        <v>0</v>
      </c>
      <c r="BP232" s="801">
        <v>0</v>
      </c>
      <c r="BQ232" s="801">
        <v>0</v>
      </c>
      <c r="BR232" s="801">
        <v>0</v>
      </c>
      <c r="BS232" s="810">
        <v>0</v>
      </c>
      <c r="BT232" s="801">
        <v>0</v>
      </c>
      <c r="BU232" s="801">
        <v>0</v>
      </c>
      <c r="BV232" s="801">
        <v>0</v>
      </c>
      <c r="BW232" s="810">
        <v>0</v>
      </c>
      <c r="BX232" s="346"/>
      <c r="BY232" s="334">
        <v>160.23000000000002</v>
      </c>
      <c r="BZ232" s="325">
        <v>284.98400000000004</v>
      </c>
      <c r="CA232" s="325">
        <v>309.608</v>
      </c>
      <c r="CB232" s="325">
        <v>394.322</v>
      </c>
      <c r="CC232" s="325">
        <v>409.78899999999999</v>
      </c>
      <c r="CD232" s="325">
        <v>167.90799999999999</v>
      </c>
      <c r="CE232" s="325">
        <v>70.349000000000004</v>
      </c>
      <c r="CF232" s="325">
        <v>80.696000000000012</v>
      </c>
      <c r="CG232" s="325">
        <v>0</v>
      </c>
      <c r="CH232" s="325">
        <v>0</v>
      </c>
      <c r="CI232" s="325">
        <v>0</v>
      </c>
      <c r="CJ232" s="325">
        <v>0</v>
      </c>
      <c r="CK232" s="325">
        <v>0</v>
      </c>
      <c r="CL232" s="325">
        <v>0</v>
      </c>
      <c r="CM232" s="325">
        <v>0</v>
      </c>
      <c r="CN232" s="325">
        <v>0</v>
      </c>
      <c r="CO232" s="325">
        <v>0</v>
      </c>
      <c r="CP232" s="326">
        <v>0</v>
      </c>
    </row>
    <row r="233" spans="1:94" s="1361" customFormat="1" ht="14.25" hidden="1" customHeight="1" outlineLevel="3">
      <c r="A233" s="1366"/>
      <c r="B233" s="32" t="s">
        <v>297</v>
      </c>
      <c r="C233" s="218"/>
      <c r="D233" s="134"/>
      <c r="E233" s="78"/>
      <c r="F233" s="78">
        <v>0.20582877959927171</v>
      </c>
      <c r="G233" s="79">
        <v>5.211480362537757E-2</v>
      </c>
      <c r="H233" s="134">
        <v>0.2116022288312307</v>
      </c>
      <c r="I233" s="78">
        <v>3.5042180402336198E-2</v>
      </c>
      <c r="J233" s="78">
        <v>-1.8808777429467627E-3</v>
      </c>
      <c r="K233" s="79">
        <v>-7.8326414682105994E-2</v>
      </c>
      <c r="L233" s="134">
        <v>-5.9144245584923705E-2</v>
      </c>
      <c r="M233" s="78">
        <v>0.19205089443184686</v>
      </c>
      <c r="N233" s="78">
        <v>7.7093791281374058E-2</v>
      </c>
      <c r="O233" s="79">
        <v>8.9923469387755084E-2</v>
      </c>
      <c r="P233" s="134">
        <v>-2.2820362785254567E-2</v>
      </c>
      <c r="Q233" s="78">
        <v>8.0435283279594705E-2</v>
      </c>
      <c r="R233" s="78">
        <v>0.1215027977617904</v>
      </c>
      <c r="S233" s="79">
        <v>3.0477548111190522E-2</v>
      </c>
      <c r="T233" s="134">
        <v>-0.10273719935074532</v>
      </c>
      <c r="U233" s="78">
        <v>0.25379270649179775</v>
      </c>
      <c r="V233" s="78">
        <v>-0.20730587618048268</v>
      </c>
      <c r="W233" s="79">
        <v>-2.9773723835525789E-2</v>
      </c>
      <c r="X233" s="134">
        <v>-1.064838995064854E-2</v>
      </c>
      <c r="Y233" s="78">
        <v>-0.75750393242689995</v>
      </c>
      <c r="Z233" s="78">
        <v>3.3410342989159458E-2</v>
      </c>
      <c r="AA233" s="79">
        <v>0.26061908856405824</v>
      </c>
      <c r="AB233" s="134">
        <v>-0.35355705613532495</v>
      </c>
      <c r="AC233" s="78">
        <v>-0.33558427855447126</v>
      </c>
      <c r="AD233" s="78">
        <v>0.50198507225663014</v>
      </c>
      <c r="AE233" s="79">
        <v>5.1173609642630513E-2</v>
      </c>
      <c r="AF233" s="134">
        <v>0.10681955340977689</v>
      </c>
      <c r="AG233" s="78">
        <v>-0.20488004362050183</v>
      </c>
      <c r="AH233" s="78">
        <v>2.9830276015772483E-2</v>
      </c>
      <c r="AI233" s="79">
        <v>0.28561123134121313</v>
      </c>
      <c r="AJ233" s="134">
        <v>-1</v>
      </c>
      <c r="AK233" s="78"/>
      <c r="AL233" s="78"/>
      <c r="AM233" s="79"/>
      <c r="AN233" s="134"/>
      <c r="AO233" s="78"/>
      <c r="AP233" s="78"/>
      <c r="AQ233" s="79"/>
      <c r="AR233" s="134"/>
      <c r="AS233" s="78"/>
      <c r="AT233" s="78"/>
      <c r="AU233" s="79"/>
      <c r="AV233" s="134"/>
      <c r="AW233" s="78"/>
      <c r="AX233" s="78"/>
      <c r="AY233" s="78"/>
      <c r="AZ233" s="82">
        <v>0</v>
      </c>
      <c r="BA233" s="80">
        <v>0</v>
      </c>
      <c r="BB233" s="78"/>
      <c r="BC233" s="79"/>
      <c r="BD233" s="82">
        <v>0</v>
      </c>
      <c r="BE233" s="80">
        <v>0</v>
      </c>
      <c r="BF233" s="78"/>
      <c r="BG233" s="1374">
        <v>0</v>
      </c>
      <c r="BH233" s="80">
        <v>0</v>
      </c>
      <c r="BI233" s="80">
        <v>0</v>
      </c>
      <c r="BJ233" s="80">
        <v>0</v>
      </c>
      <c r="BK233" s="81">
        <v>0</v>
      </c>
      <c r="BL233" s="80">
        <v>0</v>
      </c>
      <c r="BM233" s="80">
        <v>0</v>
      </c>
      <c r="BN233" s="80">
        <v>0</v>
      </c>
      <c r="BO233" s="81">
        <v>0</v>
      </c>
      <c r="BP233" s="80">
        <v>0</v>
      </c>
      <c r="BQ233" s="80">
        <v>0</v>
      </c>
      <c r="BR233" s="80">
        <v>0</v>
      </c>
      <c r="BS233" s="81">
        <v>0</v>
      </c>
      <c r="BT233" s="80">
        <v>0</v>
      </c>
      <c r="BU233" s="80">
        <v>0</v>
      </c>
      <c r="BV233" s="80">
        <v>0</v>
      </c>
      <c r="BW233" s="81">
        <v>0</v>
      </c>
      <c r="BX233" s="346"/>
      <c r="BY233" s="219"/>
      <c r="BZ233" s="220"/>
      <c r="CA233" s="220"/>
      <c r="CB233" s="220"/>
      <c r="CC233" s="220"/>
      <c r="CD233" s="220"/>
      <c r="CE233" s="220"/>
      <c r="CF233" s="220"/>
      <c r="CG233" s="220"/>
      <c r="CH233" s="220"/>
      <c r="CI233" s="220"/>
      <c r="CJ233" s="220"/>
      <c r="CK233" s="220"/>
      <c r="CL233" s="220"/>
      <c r="CM233" s="220"/>
      <c r="CN233" s="220"/>
      <c r="CO233" s="220"/>
      <c r="CP233" s="258"/>
    </row>
    <row r="234" spans="1:94" s="1361" customFormat="1" ht="14.25" hidden="1" customHeight="1" outlineLevel="3">
      <c r="A234" s="1366"/>
      <c r="B234" s="32" t="s">
        <v>548</v>
      </c>
      <c r="C234" s="218"/>
      <c r="D234" s="134"/>
      <c r="E234" s="78"/>
      <c r="F234" s="78"/>
      <c r="G234" s="79"/>
      <c r="H234" s="134"/>
      <c r="I234" s="78"/>
      <c r="J234" s="78"/>
      <c r="K234" s="79"/>
      <c r="L234" s="134"/>
      <c r="M234" s="78"/>
      <c r="N234" s="78"/>
      <c r="O234" s="79"/>
      <c r="P234" s="134"/>
      <c r="Q234" s="78"/>
      <c r="R234" s="78"/>
      <c r="S234" s="79"/>
      <c r="T234" s="134"/>
      <c r="U234" s="78"/>
      <c r="V234" s="78"/>
      <c r="W234" s="79"/>
      <c r="X234" s="134"/>
      <c r="Y234" s="78">
        <v>0.14033026615139388</v>
      </c>
      <c r="Z234" s="78">
        <v>3.9047722943801343E-2</v>
      </c>
      <c r="AA234" s="79">
        <v>1.2883136521338278E-2</v>
      </c>
      <c r="AB234" s="134">
        <v>3.2504062319317129E-3</v>
      </c>
      <c r="AC234" s="78">
        <v>-3.9236573564264889E-2</v>
      </c>
      <c r="AD234" s="78">
        <v>4.564035621778895E-3</v>
      </c>
      <c r="AE234" s="79">
        <v>5.4583993509074412E-2</v>
      </c>
      <c r="AF234" s="134">
        <v>-0.10978145076137942</v>
      </c>
      <c r="AG234" s="78">
        <v>-0.1133618653556264</v>
      </c>
      <c r="AH234" s="78">
        <v>0.10533722562169427</v>
      </c>
      <c r="AI234" s="79">
        <v>8.0483998374021717E-2</v>
      </c>
      <c r="AJ234" s="134">
        <v>-7.6588690962439296E-2</v>
      </c>
      <c r="AK234" s="78">
        <v>-0.1927480529660961</v>
      </c>
      <c r="AL234" s="78">
        <v>9.5884522568573965E-2</v>
      </c>
      <c r="AM234" s="79">
        <v>0.11962155076471333</v>
      </c>
      <c r="AN234" s="134">
        <v>-0.27202461840538839</v>
      </c>
      <c r="AO234" s="78"/>
      <c r="AP234" s="78"/>
      <c r="AQ234" s="79"/>
      <c r="AR234" s="134"/>
      <c r="AS234" s="78"/>
      <c r="AT234" s="78"/>
      <c r="AU234" s="79"/>
      <c r="AV234" s="134"/>
      <c r="AW234" s="78"/>
      <c r="AX234" s="78"/>
      <c r="AY234" s="78"/>
      <c r="AZ234" s="134"/>
      <c r="BA234" s="78"/>
      <c r="BB234" s="78"/>
      <c r="BC234" s="79"/>
      <c r="BD234" s="134"/>
      <c r="BE234" s="78"/>
      <c r="BF234" s="78"/>
      <c r="BG234" s="79"/>
      <c r="BH234" s="78"/>
      <c r="BI234" s="78"/>
      <c r="BJ234" s="78"/>
      <c r="BK234" s="79"/>
      <c r="BL234" s="78"/>
      <c r="BM234" s="78"/>
      <c r="BN234" s="78"/>
      <c r="BO234" s="79"/>
      <c r="BP234" s="78"/>
      <c r="BQ234" s="78"/>
      <c r="BR234" s="78"/>
      <c r="BS234" s="79"/>
      <c r="BT234" s="78"/>
      <c r="BU234" s="78"/>
      <c r="BV234" s="78"/>
      <c r="BW234" s="79"/>
      <c r="BX234" s="346"/>
      <c r="BY234" s="219"/>
      <c r="BZ234" s="220"/>
      <c r="CA234" s="220"/>
      <c r="CB234" s="220"/>
      <c r="CC234" s="220"/>
      <c r="CD234" s="220"/>
      <c r="CE234" s="220"/>
      <c r="CF234" s="220"/>
      <c r="CG234" s="220"/>
      <c r="CH234" s="220"/>
      <c r="CI234" s="220"/>
      <c r="CJ234" s="220"/>
      <c r="CK234" s="220"/>
      <c r="CL234" s="220"/>
      <c r="CM234" s="220"/>
      <c r="CN234" s="220"/>
      <c r="CO234" s="220"/>
      <c r="CP234" s="258"/>
    </row>
    <row r="235" spans="1:94" s="1361" customFormat="1" ht="14.25" hidden="1" customHeight="1" outlineLevel="3">
      <c r="A235" s="1366"/>
      <c r="B235" s="867" t="s">
        <v>298</v>
      </c>
      <c r="C235" s="880"/>
      <c r="D235" s="377"/>
      <c r="E235" s="370"/>
      <c r="F235" s="370"/>
      <c r="G235" s="335"/>
      <c r="H235" s="377"/>
      <c r="I235" s="370">
        <v>0.59098794344696004</v>
      </c>
      <c r="J235" s="370">
        <v>0.31693281542224105</v>
      </c>
      <c r="K235" s="335">
        <v>0.15365945373124124</v>
      </c>
      <c r="L235" s="377">
        <v>-0.10413904014897157</v>
      </c>
      <c r="M235" s="370">
        <v>3.1756848848303099E-2</v>
      </c>
      <c r="N235" s="370">
        <v>0.11339305221761009</v>
      </c>
      <c r="O235" s="335">
        <v>0.31664098613251146</v>
      </c>
      <c r="P235" s="377">
        <v>0.36747291509196289</v>
      </c>
      <c r="Q235" s="370">
        <v>0.23943196829590496</v>
      </c>
      <c r="R235" s="370">
        <v>0.29053424254317073</v>
      </c>
      <c r="S235" s="335">
        <v>0.22014673448260358</v>
      </c>
      <c r="T235" s="377">
        <v>0.12035928143712571</v>
      </c>
      <c r="U235" s="370">
        <v>0.30012256861177722</v>
      </c>
      <c r="V235" s="370">
        <v>-8.1054882394868133E-2</v>
      </c>
      <c r="W235" s="335">
        <v>-0.13478493433672734</v>
      </c>
      <c r="X235" s="377">
        <v>-4.5985281420877433E-2</v>
      </c>
      <c r="Y235" s="370">
        <v>-0.81548399790136405</v>
      </c>
      <c r="Z235" s="370">
        <v>-0.75945230412840237</v>
      </c>
      <c r="AA235" s="335">
        <v>-0.68745536523231399</v>
      </c>
      <c r="AB235" s="377">
        <v>-0.79578314551056906</v>
      </c>
      <c r="AC235" s="370">
        <v>-0.44046561222676395</v>
      </c>
      <c r="AD235" s="370">
        <v>-0.18675838349097162</v>
      </c>
      <c r="AE235" s="335">
        <v>-0.32187436054839369</v>
      </c>
      <c r="AF235" s="377">
        <v>0.16106568187813242</v>
      </c>
      <c r="AG235" s="370">
        <v>0.38947117675083365</v>
      </c>
      <c r="AH235" s="370">
        <v>-4.731444279974617E-2</v>
      </c>
      <c r="AI235" s="335">
        <v>0.16515791591229134</v>
      </c>
      <c r="AJ235" s="377">
        <v>-1</v>
      </c>
      <c r="AK235" s="370">
        <v>-1</v>
      </c>
      <c r="AL235" s="370">
        <v>-1</v>
      </c>
      <c r="AM235" s="335">
        <v>-1</v>
      </c>
      <c r="AN235" s="377"/>
      <c r="AO235" s="370"/>
      <c r="AP235" s="370"/>
      <c r="AQ235" s="335"/>
      <c r="AR235" s="377"/>
      <c r="AS235" s="370"/>
      <c r="AT235" s="370"/>
      <c r="AU235" s="335"/>
      <c r="AV235" s="377"/>
      <c r="AW235" s="370"/>
      <c r="AX235" s="370"/>
      <c r="AY235" s="370"/>
      <c r="AZ235" s="377"/>
      <c r="BA235" s="370"/>
      <c r="BB235" s="370"/>
      <c r="BC235" s="335"/>
      <c r="BD235" s="377"/>
      <c r="BE235" s="370"/>
      <c r="BF235" s="370"/>
      <c r="BG235" s="335"/>
      <c r="BH235" s="377"/>
      <c r="BI235" s="370"/>
      <c r="BJ235" s="370"/>
      <c r="BK235" s="335"/>
      <c r="BL235" s="377"/>
      <c r="BM235" s="370"/>
      <c r="BN235" s="370"/>
      <c r="BO235" s="335"/>
      <c r="BP235" s="377"/>
      <c r="BQ235" s="370"/>
      <c r="BR235" s="370"/>
      <c r="BS235" s="335"/>
      <c r="BT235" s="377"/>
      <c r="BU235" s="370"/>
      <c r="BV235" s="370"/>
      <c r="BW235" s="335"/>
      <c r="BX235" s="346"/>
      <c r="BY235" s="377"/>
      <c r="BZ235" s="370"/>
      <c r="CA235" s="370"/>
      <c r="CB235" s="370"/>
      <c r="CC235" s="370"/>
      <c r="CD235" s="338"/>
      <c r="CE235" s="338"/>
      <c r="CF235" s="338"/>
      <c r="CG235" s="338"/>
      <c r="CH235" s="338"/>
      <c r="CI235" s="338"/>
      <c r="CJ235" s="338"/>
      <c r="CK235" s="338"/>
      <c r="CL235" s="338"/>
      <c r="CM235" s="338"/>
      <c r="CN235" s="338"/>
      <c r="CO235" s="338"/>
      <c r="CP235" s="337"/>
    </row>
    <row r="236" spans="1:94" s="1361" customFormat="1" ht="14.25" hidden="1" customHeight="1" outlineLevel="3">
      <c r="A236" s="1366"/>
      <c r="B236" s="32" t="s">
        <v>299</v>
      </c>
      <c r="C236" s="218"/>
      <c r="D236" s="78"/>
      <c r="E236" s="78">
        <v>0.18</v>
      </c>
      <c r="F236" s="78">
        <v>0.21000000000000002</v>
      </c>
      <c r="G236" s="79">
        <v>0.21000000000000002</v>
      </c>
      <c r="H236" s="78">
        <v>0.22999999999999995</v>
      </c>
      <c r="I236" s="78">
        <v>0.22</v>
      </c>
      <c r="J236" s="78">
        <v>0.23</v>
      </c>
      <c r="K236" s="79">
        <v>0.21999999999999997</v>
      </c>
      <c r="L236" s="78">
        <v>0.21000000000000002</v>
      </c>
      <c r="M236" s="78">
        <v>0.25</v>
      </c>
      <c r="N236" s="78">
        <v>0.26</v>
      </c>
      <c r="O236" s="79">
        <v>0.26</v>
      </c>
      <c r="P236" s="78">
        <v>0.26</v>
      </c>
      <c r="Q236" s="78">
        <v>0.25</v>
      </c>
      <c r="R236" s="78">
        <v>0.25</v>
      </c>
      <c r="S236" s="79">
        <v>0.27</v>
      </c>
      <c r="T236" s="78">
        <v>0.25999999999999995</v>
      </c>
      <c r="U236" s="78">
        <v>0.32</v>
      </c>
      <c r="V236" s="78">
        <v>0.24000000000000002</v>
      </c>
      <c r="W236" s="79">
        <v>0.22999999999999998</v>
      </c>
      <c r="X236" s="78">
        <v>0.22</v>
      </c>
      <c r="Y236" s="78">
        <v>3.9999999999999994E-2</v>
      </c>
      <c r="Z236" s="78">
        <v>0.04</v>
      </c>
      <c r="AA236" s="79">
        <v>0.06</v>
      </c>
      <c r="AB236" s="78">
        <v>5.000000000000001E-2</v>
      </c>
      <c r="AC236" s="78">
        <v>0.03</v>
      </c>
      <c r="AD236" s="78">
        <v>0.04</v>
      </c>
      <c r="AE236" s="79">
        <v>0.04</v>
      </c>
      <c r="AF236" s="78">
        <v>0.04</v>
      </c>
      <c r="AG236" s="78">
        <v>2.9999999999999995E-2</v>
      </c>
      <c r="AH236" s="78">
        <v>0.03</v>
      </c>
      <c r="AI236" s="79">
        <v>0.04</v>
      </c>
      <c r="AJ236" s="78">
        <v>0</v>
      </c>
      <c r="AK236" s="78">
        <v>0</v>
      </c>
      <c r="AL236" s="78">
        <v>0</v>
      </c>
      <c r="AM236" s="79">
        <v>0</v>
      </c>
      <c r="AN236" s="78">
        <v>0</v>
      </c>
      <c r="AO236" s="78">
        <v>0</v>
      </c>
      <c r="AP236" s="78">
        <v>0</v>
      </c>
      <c r="AQ236" s="79">
        <v>0</v>
      </c>
      <c r="AR236" s="78">
        <v>0</v>
      </c>
      <c r="AS236" s="78">
        <v>0</v>
      </c>
      <c r="AT236" s="78">
        <v>0</v>
      </c>
      <c r="AU236" s="79">
        <v>0</v>
      </c>
      <c r="AV236" s="78">
        <v>0</v>
      </c>
      <c r="AW236" s="78">
        <v>0</v>
      </c>
      <c r="AX236" s="78">
        <v>0</v>
      </c>
      <c r="AY236" s="78">
        <v>0</v>
      </c>
      <c r="AZ236" s="134">
        <v>0</v>
      </c>
      <c r="BA236" s="78">
        <v>0</v>
      </c>
      <c r="BB236" s="78">
        <v>0</v>
      </c>
      <c r="BC236" s="79">
        <v>0</v>
      </c>
      <c r="BD236" s="134">
        <v>0</v>
      </c>
      <c r="BE236" s="78">
        <v>0</v>
      </c>
      <c r="BF236" s="78">
        <v>0</v>
      </c>
      <c r="BG236" s="1375">
        <v>0</v>
      </c>
      <c r="BH236" s="134">
        <v>0</v>
      </c>
      <c r="BI236" s="78">
        <v>0</v>
      </c>
      <c r="BJ236" s="78">
        <v>0</v>
      </c>
      <c r="BK236" s="79">
        <v>0</v>
      </c>
      <c r="BL236" s="134">
        <v>0</v>
      </c>
      <c r="BM236" s="78">
        <v>0</v>
      </c>
      <c r="BN236" s="78">
        <v>0</v>
      </c>
      <c r="BO236" s="79">
        <v>0</v>
      </c>
      <c r="BP236" s="134">
        <v>0</v>
      </c>
      <c r="BQ236" s="78">
        <v>0</v>
      </c>
      <c r="BR236" s="78">
        <v>0</v>
      </c>
      <c r="BS236" s="79">
        <v>0</v>
      </c>
      <c r="BT236" s="134">
        <v>0</v>
      </c>
      <c r="BU236" s="78">
        <v>0</v>
      </c>
      <c r="BV236" s="78">
        <v>0</v>
      </c>
      <c r="BW236" s="79">
        <v>0</v>
      </c>
      <c r="BX236" s="346"/>
      <c r="BY236" s="359">
        <v>0.20032030244952612</v>
      </c>
      <c r="BZ236" s="338">
        <v>0.22494593101270821</v>
      </c>
      <c r="CA236" s="338">
        <v>0.24560368078692688</v>
      </c>
      <c r="CB236" s="338">
        <v>0.25742394568481525</v>
      </c>
      <c r="CC236" s="338">
        <v>0.26164538373132423</v>
      </c>
      <c r="CD236" s="338">
        <v>8.1715008759976629E-2</v>
      </c>
      <c r="CE236" s="338">
        <v>3.9769913505568431E-2</v>
      </c>
      <c r="CF236" s="338">
        <v>3.4881991873433049E-2</v>
      </c>
      <c r="CG236" s="338">
        <v>0</v>
      </c>
      <c r="CH236" s="338">
        <v>0</v>
      </c>
      <c r="CI236" s="338">
        <v>0</v>
      </c>
      <c r="CJ236" s="338">
        <v>0</v>
      </c>
      <c r="CK236" s="338">
        <v>0</v>
      </c>
      <c r="CL236" s="338">
        <v>0</v>
      </c>
      <c r="CM236" s="338">
        <v>0</v>
      </c>
      <c r="CN236" s="338">
        <v>0</v>
      </c>
      <c r="CO236" s="338">
        <v>0</v>
      </c>
      <c r="CP236" s="337">
        <v>0</v>
      </c>
    </row>
    <row r="237" spans="1:94" s="1361" customFormat="1" ht="14.25" hidden="1" customHeight="1" outlineLevel="3">
      <c r="A237" s="1366"/>
      <c r="B237" s="32"/>
      <c r="C237" s="218"/>
      <c r="D237" s="78"/>
      <c r="E237" s="78"/>
      <c r="F237" s="78"/>
      <c r="G237" s="79"/>
      <c r="H237" s="78"/>
      <c r="I237" s="78"/>
      <c r="J237" s="78"/>
      <c r="K237" s="79"/>
      <c r="L237" s="78"/>
      <c r="M237" s="78"/>
      <c r="N237" s="78"/>
      <c r="O237" s="79"/>
      <c r="P237" s="78"/>
      <c r="Q237" s="78"/>
      <c r="R237" s="78"/>
      <c r="S237" s="79"/>
      <c r="T237" s="78"/>
      <c r="U237" s="78"/>
      <c r="V237" s="78"/>
      <c r="W237" s="79"/>
      <c r="X237" s="78"/>
      <c r="Y237" s="78"/>
      <c r="Z237" s="78"/>
      <c r="AA237" s="79"/>
      <c r="AB237" s="78"/>
      <c r="AC237" s="78"/>
      <c r="AD237" s="78"/>
      <c r="AE237" s="79"/>
      <c r="AF237" s="78"/>
      <c r="AG237" s="78"/>
      <c r="AH237" s="78"/>
      <c r="AI237" s="79"/>
      <c r="AJ237" s="78"/>
      <c r="AK237" s="78"/>
      <c r="AL237" s="78"/>
      <c r="AM237" s="79"/>
      <c r="AN237" s="78"/>
      <c r="AO237" s="78"/>
      <c r="AP237" s="78"/>
      <c r="AQ237" s="79"/>
      <c r="AR237" s="78"/>
      <c r="AS237" s="78"/>
      <c r="AT237" s="78"/>
      <c r="AU237" s="79"/>
      <c r="AV237" s="78"/>
      <c r="AW237" s="78"/>
      <c r="AX237" s="78"/>
      <c r="AY237" s="78"/>
      <c r="AZ237" s="23"/>
      <c r="BA237" s="57"/>
      <c r="BB237" s="78"/>
      <c r="BC237" s="79"/>
      <c r="BD237" s="23"/>
      <c r="BE237" s="57"/>
      <c r="BF237" s="78"/>
      <c r="BG237" s="24"/>
      <c r="BH237" s="23"/>
      <c r="BI237" s="57"/>
      <c r="BJ237" s="57"/>
      <c r="BK237" s="24"/>
      <c r="BL237" s="23"/>
      <c r="BM237" s="57"/>
      <c r="BN237" s="57"/>
      <c r="BO237" s="24"/>
      <c r="BP237" s="23"/>
      <c r="BQ237" s="57"/>
      <c r="BR237" s="57"/>
      <c r="BS237" s="24"/>
      <c r="BT237" s="23"/>
      <c r="BU237" s="57"/>
      <c r="BV237" s="57"/>
      <c r="BW237" s="24"/>
      <c r="BX237" s="346"/>
      <c r="BY237" s="22"/>
      <c r="BZ237" s="15"/>
      <c r="CA237" s="15"/>
      <c r="CB237" s="15"/>
      <c r="CC237" s="15"/>
      <c r="CD237" s="15"/>
      <c r="CE237" s="15"/>
      <c r="CF237" s="15"/>
      <c r="CG237" s="15"/>
      <c r="CH237" s="15"/>
      <c r="CI237" s="15"/>
      <c r="CJ237" s="15"/>
      <c r="CK237" s="15"/>
      <c r="CL237" s="15"/>
      <c r="CM237" s="15"/>
      <c r="CN237" s="15"/>
      <c r="CO237" s="15"/>
      <c r="CP237" s="211"/>
    </row>
    <row r="238" spans="1:94" s="1361" customFormat="1" ht="14.25" hidden="1" customHeight="1" outlineLevel="3">
      <c r="A238" s="1366"/>
      <c r="B238" s="45" t="s">
        <v>643</v>
      </c>
      <c r="C238" s="218"/>
      <c r="D238" s="374"/>
      <c r="E238" s="341">
        <v>13.301999999999996</v>
      </c>
      <c r="F238" s="341">
        <v>15.456000000000007</v>
      </c>
      <c r="G238" s="342">
        <v>16.464000000000009</v>
      </c>
      <c r="H238" s="374">
        <v>22.056999999999992</v>
      </c>
      <c r="I238" s="341">
        <v>24.728000000000002</v>
      </c>
      <c r="J238" s="341">
        <v>23.689999999999994</v>
      </c>
      <c r="K238" s="342">
        <v>21.692000000000004</v>
      </c>
      <c r="L238" s="374">
        <v>20.201999999999998</v>
      </c>
      <c r="M238" s="341">
        <v>24.625</v>
      </c>
      <c r="N238" s="341">
        <v>27.066000000000006</v>
      </c>
      <c r="O238" s="342">
        <v>31.122000000000007</v>
      </c>
      <c r="P238" s="374">
        <v>30.601999999999997</v>
      </c>
      <c r="Q238" s="341">
        <v>38.300000000000004</v>
      </c>
      <c r="R238" s="341">
        <v>40.099999999999994</v>
      </c>
      <c r="S238" s="342">
        <v>42.579000000000008</v>
      </c>
      <c r="T238" s="374">
        <v>35.515999999999991</v>
      </c>
      <c r="U238" s="341">
        <v>46.72</v>
      </c>
      <c r="V238" s="341">
        <v>37.343999999999994</v>
      </c>
      <c r="W238" s="342">
        <v>35.028999999999996</v>
      </c>
      <c r="X238" s="374">
        <v>32.251999999999995</v>
      </c>
      <c r="Y238" s="341">
        <v>7.6639999999999997</v>
      </c>
      <c r="Z238" s="341">
        <v>8.8640000000000008</v>
      </c>
      <c r="AA238" s="342">
        <v>11.141999999999999</v>
      </c>
      <c r="AB238" s="374">
        <v>5.6050000000000022</v>
      </c>
      <c r="AC238" s="341">
        <v>4.1459999999999999</v>
      </c>
      <c r="AD238" s="341">
        <v>7.0319999999999983</v>
      </c>
      <c r="AE238" s="342">
        <v>7.7840000000000007</v>
      </c>
      <c r="AF238" s="374">
        <v>9.1240000000000006</v>
      </c>
      <c r="AG238" s="341">
        <v>7.3139999999999974</v>
      </c>
      <c r="AH238" s="341">
        <v>7.3950000000000014</v>
      </c>
      <c r="AI238" s="342">
        <v>9.5040000000000013</v>
      </c>
      <c r="AJ238" s="374">
        <v>0</v>
      </c>
      <c r="AK238" s="341">
        <v>0</v>
      </c>
      <c r="AL238" s="341">
        <v>0</v>
      </c>
      <c r="AM238" s="342">
        <v>0</v>
      </c>
      <c r="AN238" s="374">
        <v>0</v>
      </c>
      <c r="AO238" s="341">
        <v>0</v>
      </c>
      <c r="AP238" s="341">
        <v>0</v>
      </c>
      <c r="AQ238" s="342">
        <v>0</v>
      </c>
      <c r="AR238" s="374">
        <v>0</v>
      </c>
      <c r="AS238" s="341">
        <v>0</v>
      </c>
      <c r="AT238" s="341">
        <v>0</v>
      </c>
      <c r="AU238" s="342">
        <v>0</v>
      </c>
      <c r="AV238" s="374">
        <v>0</v>
      </c>
      <c r="AW238" s="341">
        <v>0</v>
      </c>
      <c r="AX238" s="341">
        <v>0</v>
      </c>
      <c r="AY238" s="341">
        <v>0</v>
      </c>
      <c r="AZ238" s="374">
        <v>0</v>
      </c>
      <c r="BA238" s="341">
        <v>0</v>
      </c>
      <c r="BB238" s="341">
        <v>0</v>
      </c>
      <c r="BC238" s="342">
        <v>0</v>
      </c>
      <c r="BD238" s="374">
        <v>0</v>
      </c>
      <c r="BE238" s="341">
        <v>0</v>
      </c>
      <c r="BF238" s="341">
        <v>0</v>
      </c>
      <c r="BG238" s="1377">
        <v>0</v>
      </c>
      <c r="BH238" s="341">
        <v>0</v>
      </c>
      <c r="BI238" s="341">
        <v>0</v>
      </c>
      <c r="BJ238" s="341">
        <v>0</v>
      </c>
      <c r="BK238" s="342">
        <v>0</v>
      </c>
      <c r="BL238" s="341">
        <v>0</v>
      </c>
      <c r="BM238" s="341">
        <v>0</v>
      </c>
      <c r="BN238" s="341">
        <v>0</v>
      </c>
      <c r="BO238" s="342">
        <v>0</v>
      </c>
      <c r="BP238" s="341">
        <v>0</v>
      </c>
      <c r="BQ238" s="341">
        <v>0</v>
      </c>
      <c r="BR238" s="341">
        <v>0</v>
      </c>
      <c r="BS238" s="342">
        <v>0</v>
      </c>
      <c r="BT238" s="341">
        <v>0</v>
      </c>
      <c r="BU238" s="341">
        <v>0</v>
      </c>
      <c r="BV238" s="341">
        <v>0</v>
      </c>
      <c r="BW238" s="342">
        <v>0</v>
      </c>
      <c r="BX238" s="346"/>
      <c r="BY238" s="334">
        <v>45.222000000000008</v>
      </c>
      <c r="BZ238" s="325">
        <v>92.167000000000002</v>
      </c>
      <c r="CA238" s="325">
        <v>103.01500000000001</v>
      </c>
      <c r="CB238" s="325">
        <v>151.58100000000002</v>
      </c>
      <c r="CC238" s="325">
        <v>154.60899999999998</v>
      </c>
      <c r="CD238" s="325">
        <v>59.921999999999997</v>
      </c>
      <c r="CE238" s="325">
        <v>24.567</v>
      </c>
      <c r="CF238" s="325">
        <v>33.337000000000003</v>
      </c>
      <c r="CG238" s="325">
        <v>0</v>
      </c>
      <c r="CH238" s="325">
        <v>0</v>
      </c>
      <c r="CI238" s="325">
        <v>0</v>
      </c>
      <c r="CJ238" s="325">
        <v>0</v>
      </c>
      <c r="CK238" s="325">
        <v>0</v>
      </c>
      <c r="CL238" s="325">
        <v>0</v>
      </c>
      <c r="CM238" s="325">
        <v>0</v>
      </c>
      <c r="CN238" s="325">
        <v>0</v>
      </c>
      <c r="CO238" s="325">
        <v>0</v>
      </c>
      <c r="CP238" s="326">
        <v>0</v>
      </c>
    </row>
    <row r="239" spans="1:94" s="1361" customFormat="1" ht="14.25" hidden="1" customHeight="1" outlineLevel="3">
      <c r="A239" s="1366"/>
      <c r="B239" s="32" t="s">
        <v>297</v>
      </c>
      <c r="C239" s="218"/>
      <c r="D239" s="134"/>
      <c r="E239" s="78"/>
      <c r="F239" s="78">
        <v>0.16193053676139013</v>
      </c>
      <c r="G239" s="79">
        <v>6.5217391304347894E-2</v>
      </c>
      <c r="H239" s="134">
        <v>0.33971088435374019</v>
      </c>
      <c r="I239" s="78">
        <v>0.12109534388176146</v>
      </c>
      <c r="J239" s="78">
        <v>-4.1976706567454225E-2</v>
      </c>
      <c r="K239" s="79">
        <v>-8.4339383706204751E-2</v>
      </c>
      <c r="L239" s="134">
        <v>-6.8688917573299202E-2</v>
      </c>
      <c r="M239" s="78">
        <v>0.21893871893871908</v>
      </c>
      <c r="N239" s="78">
        <v>9.9126903553299783E-2</v>
      </c>
      <c r="O239" s="79">
        <v>0.14985590778097979</v>
      </c>
      <c r="P239" s="134">
        <v>-1.6708437761069672E-2</v>
      </c>
      <c r="Q239" s="78">
        <v>0.25155218613162567</v>
      </c>
      <c r="R239" s="78">
        <v>4.6997389033942349E-2</v>
      </c>
      <c r="S239" s="79">
        <v>6.18204488778058E-2</v>
      </c>
      <c r="T239" s="134">
        <v>-0.16587989384438373</v>
      </c>
      <c r="U239" s="78">
        <v>0.31546345309156476</v>
      </c>
      <c r="V239" s="78">
        <v>-0.20068493150684941</v>
      </c>
      <c r="W239" s="79">
        <v>-6.1991216795201365E-2</v>
      </c>
      <c r="X239" s="134">
        <v>-7.9277170344571712E-2</v>
      </c>
      <c r="Y239" s="78">
        <v>-0.76237132580925215</v>
      </c>
      <c r="Z239" s="78">
        <v>0.15657620041753662</v>
      </c>
      <c r="AA239" s="79">
        <v>0.256994584837545</v>
      </c>
      <c r="AB239" s="134">
        <v>-0.49694848321665752</v>
      </c>
      <c r="AC239" s="78">
        <v>-0.26030330062444273</v>
      </c>
      <c r="AD239" s="78">
        <v>0.69609261939218481</v>
      </c>
      <c r="AE239" s="79">
        <v>0.10693970420932919</v>
      </c>
      <c r="AF239" s="134">
        <v>0.17214799588900309</v>
      </c>
      <c r="AG239" s="78">
        <v>-0.19837790442788283</v>
      </c>
      <c r="AH239" s="78">
        <v>1.1074651353569109E-2</v>
      </c>
      <c r="AI239" s="79">
        <v>0.28519269776876266</v>
      </c>
      <c r="AJ239" s="134">
        <v>-1</v>
      </c>
      <c r="AK239" s="78"/>
      <c r="AL239" s="78"/>
      <c r="AM239" s="79"/>
      <c r="AN239" s="134"/>
      <c r="AO239" s="78"/>
      <c r="AP239" s="78"/>
      <c r="AQ239" s="79"/>
      <c r="AR239" s="134"/>
      <c r="AS239" s="78"/>
      <c r="AT239" s="78"/>
      <c r="AU239" s="79"/>
      <c r="AV239" s="134"/>
      <c r="AW239" s="78"/>
      <c r="AX239" s="78"/>
      <c r="AY239" s="78"/>
      <c r="AZ239" s="134"/>
      <c r="BA239" s="78"/>
      <c r="BB239" s="78"/>
      <c r="BC239" s="79"/>
      <c r="BD239" s="134"/>
      <c r="BE239" s="78"/>
      <c r="BF239" s="78"/>
      <c r="BG239" s="79"/>
      <c r="BH239" s="134"/>
      <c r="BI239" s="78"/>
      <c r="BJ239" s="78"/>
      <c r="BK239" s="79"/>
      <c r="BL239" s="134"/>
      <c r="BM239" s="78"/>
      <c r="BN239" s="78"/>
      <c r="BO239" s="79"/>
      <c r="BP239" s="134"/>
      <c r="BQ239" s="78"/>
      <c r="BR239" s="78"/>
      <c r="BS239" s="79"/>
      <c r="BT239" s="134"/>
      <c r="BU239" s="78"/>
      <c r="BV239" s="78"/>
      <c r="BW239" s="79"/>
      <c r="BX239" s="346"/>
      <c r="BY239" s="219"/>
      <c r="BZ239" s="220"/>
      <c r="CA239" s="220"/>
      <c r="CB239" s="220"/>
      <c r="CC239" s="220"/>
      <c r="CD239" s="220"/>
      <c r="CE239" s="220"/>
      <c r="CF239" s="220"/>
      <c r="CG239" s="220"/>
      <c r="CH239" s="220"/>
      <c r="CI239" s="220"/>
      <c r="CJ239" s="220"/>
      <c r="CK239" s="220"/>
      <c r="CL239" s="220"/>
      <c r="CM239" s="220"/>
      <c r="CN239" s="220"/>
      <c r="CO239" s="220"/>
      <c r="CP239" s="258"/>
    </row>
    <row r="240" spans="1:94" s="1361" customFormat="1" ht="14.25" hidden="1" customHeight="1" outlineLevel="3">
      <c r="A240" s="1366"/>
      <c r="B240" s="32" t="s">
        <v>298</v>
      </c>
      <c r="C240" s="218"/>
      <c r="D240" s="134"/>
      <c r="E240" s="78"/>
      <c r="F240" s="78"/>
      <c r="G240" s="79"/>
      <c r="H240" s="134"/>
      <c r="I240" s="78">
        <v>0.85896857615396249</v>
      </c>
      <c r="J240" s="78">
        <v>0.53273809523809423</v>
      </c>
      <c r="K240" s="79">
        <v>0.31754130223517918</v>
      </c>
      <c r="L240" s="134">
        <v>-8.4100285623611271E-2</v>
      </c>
      <c r="M240" s="78">
        <v>-4.1653186670981279E-3</v>
      </c>
      <c r="N240" s="78">
        <v>0.14250738708315791</v>
      </c>
      <c r="O240" s="79">
        <v>0.43472247833302613</v>
      </c>
      <c r="P240" s="134">
        <v>0.51480051480051481</v>
      </c>
      <c r="Q240" s="78">
        <v>0.55532994923857881</v>
      </c>
      <c r="R240" s="78">
        <v>0.48156358530998244</v>
      </c>
      <c r="S240" s="79">
        <v>0.36813186813186816</v>
      </c>
      <c r="T240" s="134">
        <v>0.1605777400169921</v>
      </c>
      <c r="U240" s="78">
        <v>0.21984334203655331</v>
      </c>
      <c r="V240" s="78">
        <v>-6.8728179551122204E-2</v>
      </c>
      <c r="W240" s="79">
        <v>-0.17731745696235257</v>
      </c>
      <c r="X240" s="134">
        <v>-9.1902241243383198E-2</v>
      </c>
      <c r="Y240" s="78">
        <v>-0.83595890410958906</v>
      </c>
      <c r="Z240" s="78">
        <v>-0.76263924592973431</v>
      </c>
      <c r="AA240" s="79">
        <v>-0.68192069428188073</v>
      </c>
      <c r="AB240" s="134">
        <v>-0.82621232791764843</v>
      </c>
      <c r="AC240" s="78">
        <v>-0.45902922755741127</v>
      </c>
      <c r="AD240" s="78">
        <v>-0.2066787003610111</v>
      </c>
      <c r="AE240" s="79">
        <v>-0.30138215760186671</v>
      </c>
      <c r="AF240" s="134">
        <v>0.6278322925958959</v>
      </c>
      <c r="AG240" s="78">
        <v>0.7641099855282194</v>
      </c>
      <c r="AH240" s="78">
        <v>5.1621160409556666E-2</v>
      </c>
      <c r="AI240" s="79">
        <v>0.22096608427543685</v>
      </c>
      <c r="AJ240" s="134">
        <v>-1</v>
      </c>
      <c r="AK240" s="78">
        <v>-1</v>
      </c>
      <c r="AL240" s="78">
        <v>-1</v>
      </c>
      <c r="AM240" s="79">
        <v>-1</v>
      </c>
      <c r="AN240" s="134"/>
      <c r="AO240" s="78"/>
      <c r="AP240" s="78"/>
      <c r="AQ240" s="79"/>
      <c r="AR240" s="134"/>
      <c r="AS240" s="78"/>
      <c r="AT240" s="78"/>
      <c r="AU240" s="79"/>
      <c r="AV240" s="134"/>
      <c r="AW240" s="78"/>
      <c r="AX240" s="78"/>
      <c r="AY240" s="78"/>
      <c r="AZ240" s="134"/>
      <c r="BA240" s="78"/>
      <c r="BB240" s="78"/>
      <c r="BC240" s="79"/>
      <c r="BD240" s="134"/>
      <c r="BE240" s="78"/>
      <c r="BF240" s="78"/>
      <c r="BG240" s="79"/>
      <c r="BH240" s="134"/>
      <c r="BI240" s="78"/>
      <c r="BJ240" s="78"/>
      <c r="BK240" s="79"/>
      <c r="BL240" s="134"/>
      <c r="BM240" s="78"/>
      <c r="BN240" s="78"/>
      <c r="BO240" s="79"/>
      <c r="BP240" s="134"/>
      <c r="BQ240" s="78"/>
      <c r="BR240" s="78"/>
      <c r="BS240" s="79"/>
      <c r="BT240" s="134"/>
      <c r="BU240" s="78"/>
      <c r="BV240" s="78"/>
      <c r="BW240" s="79"/>
      <c r="BX240" s="346"/>
      <c r="BY240" s="377"/>
      <c r="BZ240" s="370"/>
      <c r="CA240" s="370"/>
      <c r="CB240" s="370"/>
      <c r="CC240" s="370"/>
      <c r="CD240" s="338"/>
      <c r="CE240" s="338"/>
      <c r="CF240" s="338"/>
      <c r="CG240" s="338"/>
      <c r="CH240" s="338"/>
      <c r="CI240" s="338"/>
      <c r="CJ240" s="338"/>
      <c r="CK240" s="338"/>
      <c r="CL240" s="338"/>
      <c r="CM240" s="338"/>
      <c r="CN240" s="338"/>
      <c r="CO240" s="338"/>
      <c r="CP240" s="337"/>
    </row>
    <row r="241" spans="1:94" s="1361" customFormat="1" ht="14.25" hidden="1" customHeight="1" outlineLevel="3">
      <c r="A241" s="1366"/>
      <c r="B241" s="32" t="s">
        <v>549</v>
      </c>
      <c r="C241" s="218"/>
      <c r="D241" s="134"/>
      <c r="E241" s="78">
        <v>0.28844652615144412</v>
      </c>
      <c r="F241" s="78">
        <v>0.2779456193353475</v>
      </c>
      <c r="G241" s="79">
        <v>0.28140703517587951</v>
      </c>
      <c r="H241" s="134">
        <v>0.31116158338741068</v>
      </c>
      <c r="I241" s="78">
        <v>0.33703148425787105</v>
      </c>
      <c r="J241" s="78">
        <v>0.3234924623115577</v>
      </c>
      <c r="K241" s="79">
        <v>0.32138200782268578</v>
      </c>
      <c r="L241" s="134">
        <v>0.31812169312169308</v>
      </c>
      <c r="M241" s="78">
        <v>0.32529722589167764</v>
      </c>
      <c r="N241" s="78">
        <v>0.33195153061224492</v>
      </c>
      <c r="O241" s="79">
        <v>0.35020479812756</v>
      </c>
      <c r="P241" s="134">
        <v>0.35239520958083825</v>
      </c>
      <c r="Q241" s="78">
        <v>0.40820676791899818</v>
      </c>
      <c r="R241" s="78">
        <v>0.38108814445236394</v>
      </c>
      <c r="S241" s="79">
        <v>0.39267928286852588</v>
      </c>
      <c r="T241" s="134">
        <v>0.36504543025120245</v>
      </c>
      <c r="U241" s="78">
        <v>0.38300104931794332</v>
      </c>
      <c r="V241" s="78">
        <v>0.38620004964010918</v>
      </c>
      <c r="W241" s="79">
        <v>0.37337582740867858</v>
      </c>
      <c r="X241" s="134">
        <v>0.34747570514339887</v>
      </c>
      <c r="Y241" s="78">
        <v>0.34050115514483736</v>
      </c>
      <c r="Z241" s="78">
        <v>0.3810834049871023</v>
      </c>
      <c r="AA241" s="79">
        <v>0.37998772252915897</v>
      </c>
      <c r="AB241" s="134">
        <v>0.29570034291743613</v>
      </c>
      <c r="AC241" s="78">
        <v>0.32920438303954264</v>
      </c>
      <c r="AD241" s="78">
        <v>0.3717487840981179</v>
      </c>
      <c r="AE241" s="79">
        <v>0.39147052906859792</v>
      </c>
      <c r="AF241" s="134">
        <v>0.41457651762995273</v>
      </c>
      <c r="AG241" s="78">
        <v>0.41796674095662595</v>
      </c>
      <c r="AH241" s="78">
        <v>0.41035458631596478</v>
      </c>
      <c r="AI241" s="79">
        <v>0.41022099447513816</v>
      </c>
      <c r="AJ241" s="134"/>
      <c r="AK241" s="78"/>
      <c r="AL241" s="78"/>
      <c r="AM241" s="79"/>
      <c r="AN241" s="134"/>
      <c r="AO241" s="78"/>
      <c r="AP241" s="78"/>
      <c r="AQ241" s="79"/>
      <c r="AR241" s="134"/>
      <c r="AS241" s="78"/>
      <c r="AT241" s="78"/>
      <c r="AU241" s="79"/>
      <c r="AV241" s="134"/>
      <c r="AW241" s="78"/>
      <c r="AX241" s="78"/>
      <c r="AY241" s="78"/>
      <c r="AZ241" s="82">
        <v>0</v>
      </c>
      <c r="BA241" s="80">
        <v>0</v>
      </c>
      <c r="BB241" s="78"/>
      <c r="BC241" s="79"/>
      <c r="BD241" s="82">
        <v>0</v>
      </c>
      <c r="BE241" s="80">
        <v>0</v>
      </c>
      <c r="BF241" s="78"/>
      <c r="BG241" s="1374">
        <v>0</v>
      </c>
      <c r="BH241" s="80">
        <v>0</v>
      </c>
      <c r="BI241" s="80">
        <v>0</v>
      </c>
      <c r="BJ241" s="80">
        <v>0</v>
      </c>
      <c r="BK241" s="81">
        <v>0</v>
      </c>
      <c r="BL241" s="80">
        <v>0</v>
      </c>
      <c r="BM241" s="80">
        <v>0</v>
      </c>
      <c r="BN241" s="80">
        <v>0</v>
      </c>
      <c r="BO241" s="81">
        <v>0</v>
      </c>
      <c r="BP241" s="80">
        <v>0</v>
      </c>
      <c r="BQ241" s="80">
        <v>0</v>
      </c>
      <c r="BR241" s="80">
        <v>0</v>
      </c>
      <c r="BS241" s="81">
        <v>0</v>
      </c>
      <c r="BT241" s="80">
        <v>0</v>
      </c>
      <c r="BU241" s="80">
        <v>0</v>
      </c>
      <c r="BV241" s="80">
        <v>0</v>
      </c>
      <c r="BW241" s="81">
        <v>0</v>
      </c>
      <c r="BX241" s="346"/>
      <c r="BY241" s="359"/>
      <c r="BZ241" s="338"/>
      <c r="CA241" s="338"/>
      <c r="CB241" s="338"/>
      <c r="CC241" s="338"/>
      <c r="CD241" s="338"/>
      <c r="CE241" s="338"/>
      <c r="CF241" s="338"/>
      <c r="CG241" s="338"/>
      <c r="CH241" s="338"/>
      <c r="CI241" s="338"/>
      <c r="CJ241" s="338"/>
      <c r="CK241" s="338"/>
      <c r="CL241" s="338"/>
      <c r="CM241" s="338"/>
      <c r="CN241" s="338"/>
      <c r="CO241" s="338"/>
      <c r="CP241" s="337"/>
    </row>
    <row r="242" spans="1:94" s="1361" customFormat="1" ht="14.25" hidden="1" customHeight="1" outlineLevel="3">
      <c r="A242" s="1366"/>
      <c r="B242" s="840"/>
      <c r="C242" s="237"/>
      <c r="D242" s="221"/>
      <c r="E242" s="221"/>
      <c r="F242" s="221"/>
      <c r="G242" s="614"/>
      <c r="H242" s="221"/>
      <c r="I242" s="221"/>
      <c r="J242" s="221"/>
      <c r="K242" s="614"/>
      <c r="L242" s="221"/>
      <c r="M242" s="221"/>
      <c r="N242" s="221"/>
      <c r="O242" s="614"/>
      <c r="P242" s="221"/>
      <c r="Q242" s="221"/>
      <c r="R242" s="221"/>
      <c r="S242" s="614"/>
      <c r="T242" s="221"/>
      <c r="U242" s="221"/>
      <c r="V242" s="221"/>
      <c r="W242" s="614"/>
      <c r="X242" s="221"/>
      <c r="Y242" s="221"/>
      <c r="Z242" s="221"/>
      <c r="AA242" s="614"/>
      <c r="AB242" s="221"/>
      <c r="AC242" s="221"/>
      <c r="AD242" s="221"/>
      <c r="AE242" s="614"/>
      <c r="AF242" s="221"/>
      <c r="AG242" s="221"/>
      <c r="AH242" s="221"/>
      <c r="AI242" s="614"/>
      <c r="AJ242" s="221"/>
      <c r="AK242" s="221"/>
      <c r="AL242" s="221"/>
      <c r="AM242" s="614"/>
      <c r="AN242" s="221"/>
      <c r="AO242" s="221"/>
      <c r="AP242" s="221"/>
      <c r="AQ242" s="614"/>
      <c r="AR242" s="221"/>
      <c r="AS242" s="221"/>
      <c r="AT242" s="203"/>
      <c r="AU242" s="614"/>
      <c r="AV242" s="221"/>
      <c r="AW242" s="221"/>
      <c r="AX242" s="203"/>
      <c r="AY242" s="203"/>
      <c r="AZ242" s="16"/>
      <c r="BA242" s="203"/>
      <c r="BB242" s="203"/>
      <c r="BC242" s="17"/>
      <c r="BD242" s="16"/>
      <c r="BE242" s="203"/>
      <c r="BF242" s="203"/>
      <c r="BG242" s="17"/>
      <c r="BH242" s="203"/>
      <c r="BI242" s="203"/>
      <c r="BJ242" s="203"/>
      <c r="BK242" s="17"/>
      <c r="BL242" s="203"/>
      <c r="BM242" s="203"/>
      <c r="BN242" s="203"/>
      <c r="BO242" s="17"/>
      <c r="BP242" s="203"/>
      <c r="BQ242" s="203"/>
      <c r="BR242" s="203"/>
      <c r="BS242" s="17"/>
      <c r="BT242" s="203"/>
      <c r="BU242" s="203"/>
      <c r="BV242" s="203"/>
      <c r="BW242" s="17"/>
      <c r="BX242" s="346"/>
      <c r="BY242" s="16"/>
      <c r="BZ242" s="203"/>
      <c r="CA242" s="203"/>
      <c r="CB242" s="203"/>
      <c r="CC242" s="203"/>
      <c r="CD242" s="203"/>
      <c r="CE242" s="203"/>
      <c r="CF242" s="203"/>
      <c r="CG242" s="203"/>
      <c r="CH242" s="203"/>
      <c r="CI242" s="203"/>
      <c r="CJ242" s="203"/>
      <c r="CK242" s="203"/>
      <c r="CL242" s="203"/>
      <c r="CM242" s="203"/>
      <c r="CN242" s="203"/>
      <c r="CO242" s="203"/>
      <c r="CP242" s="17"/>
    </row>
    <row r="243" spans="1:94" s="1361" customFormat="1" ht="14.25" hidden="1" customHeight="1" outlineLevel="2">
      <c r="A243" s="1366"/>
      <c r="B243" s="297" t="s">
        <v>550</v>
      </c>
      <c r="C243" s="414"/>
      <c r="D243" s="809">
        <v>0</v>
      </c>
      <c r="E243" s="801">
        <v>256.2</v>
      </c>
      <c r="F243" s="801">
        <v>264.8</v>
      </c>
      <c r="G243" s="810">
        <v>278.60000000000002</v>
      </c>
      <c r="H243" s="809">
        <v>308.20000000000005</v>
      </c>
      <c r="I243" s="801">
        <v>333.5</v>
      </c>
      <c r="J243" s="801">
        <v>318.39999999999998</v>
      </c>
      <c r="K243" s="810">
        <v>306.80000000000007</v>
      </c>
      <c r="L243" s="809">
        <v>302.39999999999998</v>
      </c>
      <c r="M243" s="801">
        <v>302.8</v>
      </c>
      <c r="N243" s="801">
        <v>313.60000000000002</v>
      </c>
      <c r="O243" s="810">
        <v>341.8</v>
      </c>
      <c r="P243" s="809">
        <v>334</v>
      </c>
      <c r="Q243" s="801">
        <v>375.3</v>
      </c>
      <c r="R243" s="801">
        <v>420.9</v>
      </c>
      <c r="S243" s="810">
        <v>401.6</v>
      </c>
      <c r="T243" s="809">
        <v>374.20000000000005</v>
      </c>
      <c r="U243" s="801">
        <v>381.2</v>
      </c>
      <c r="V243" s="801">
        <v>402.9</v>
      </c>
      <c r="W243" s="810">
        <v>407.9</v>
      </c>
      <c r="X243" s="809">
        <v>421.9</v>
      </c>
      <c r="Y243" s="801">
        <v>562.70000000000016</v>
      </c>
      <c r="Z243" s="801">
        <v>581.5</v>
      </c>
      <c r="AA243" s="810">
        <v>488.7</v>
      </c>
      <c r="AB243" s="809">
        <v>379.09999999999997</v>
      </c>
      <c r="AC243" s="801">
        <v>419.8</v>
      </c>
      <c r="AD243" s="801">
        <v>472.9</v>
      </c>
      <c r="AE243" s="810">
        <v>497.1</v>
      </c>
      <c r="AF243" s="809">
        <v>550.20000000000005</v>
      </c>
      <c r="AG243" s="801">
        <v>583.30000000000007</v>
      </c>
      <c r="AH243" s="801">
        <v>600.70000000000005</v>
      </c>
      <c r="AI243" s="810">
        <v>579.20000000000005</v>
      </c>
      <c r="AJ243" s="809">
        <v>870.6</v>
      </c>
      <c r="AK243" s="801">
        <v>905.8</v>
      </c>
      <c r="AL243" s="801">
        <v>898.00000000000011</v>
      </c>
      <c r="AM243" s="810">
        <v>767.9</v>
      </c>
      <c r="AN243" s="809">
        <v>744.4</v>
      </c>
      <c r="AO243" s="801">
        <v>744.8</v>
      </c>
      <c r="AP243" s="801">
        <v>725.50000000000011</v>
      </c>
      <c r="AQ243" s="810">
        <v>680.2</v>
      </c>
      <c r="AR243" s="809">
        <v>661</v>
      </c>
      <c r="AS243" s="801">
        <v>688.30000000000007</v>
      </c>
      <c r="AT243" s="325">
        <v>715.40000000000009</v>
      </c>
      <c r="AU243" s="810">
        <v>718</v>
      </c>
      <c r="AV243" s="809">
        <v>706.5</v>
      </c>
      <c r="AW243" s="801">
        <v>757.59999999999991</v>
      </c>
      <c r="AX243" s="325">
        <v>833.5</v>
      </c>
      <c r="AY243" s="325">
        <v>864.20000000000016</v>
      </c>
      <c r="AZ243" s="334">
        <v>870.8</v>
      </c>
      <c r="BA243" s="325">
        <v>880.5</v>
      </c>
      <c r="BB243" s="325">
        <v>904.4</v>
      </c>
      <c r="BC243" s="326">
        <v>840.3</v>
      </c>
      <c r="BD243" s="334">
        <v>817.19999999999993</v>
      </c>
      <c r="BE243" s="325">
        <v>877.8</v>
      </c>
      <c r="BF243" s="325">
        <v>950.9</v>
      </c>
      <c r="BG243" s="1378">
        <v>1213.4403</v>
      </c>
      <c r="BH243" s="334">
        <v>1197.7238309999998</v>
      </c>
      <c r="BI243" s="325">
        <v>1239.1326674100001</v>
      </c>
      <c r="BJ243" s="325">
        <v>1266.7950674468998</v>
      </c>
      <c r="BK243" s="326">
        <v>1243.832287488309</v>
      </c>
      <c r="BL243" s="334">
        <v>1228.157007002055</v>
      </c>
      <c r="BM243" s="325">
        <v>1282.4196367167729</v>
      </c>
      <c r="BN243" s="325">
        <v>1310.865781389788</v>
      </c>
      <c r="BO243" s="326">
        <v>1285.8470231371141</v>
      </c>
      <c r="BP243" s="334">
        <v>1228.157007002055</v>
      </c>
      <c r="BQ243" s="325">
        <v>1282.4196367167729</v>
      </c>
      <c r="BR243" s="325">
        <v>1310.865781389788</v>
      </c>
      <c r="BS243" s="326">
        <v>1285.8470231371141</v>
      </c>
      <c r="BT243" s="334">
        <v>1228.157007002055</v>
      </c>
      <c r="BU243" s="325">
        <v>1282.4196367167729</v>
      </c>
      <c r="BV243" s="325">
        <v>1310.865781389788</v>
      </c>
      <c r="BW243" s="326">
        <v>1285.8470231371141</v>
      </c>
      <c r="BX243" s="346"/>
      <c r="BY243" s="940">
        <v>799.86900000000003</v>
      </c>
      <c r="BZ243" s="800">
        <v>1266.9000000000001</v>
      </c>
      <c r="CA243" s="800">
        <v>1260.5999999999999</v>
      </c>
      <c r="CB243" s="800">
        <v>1531.8000000000002</v>
      </c>
      <c r="CC243" s="800">
        <v>1566.2</v>
      </c>
      <c r="CD243" s="800">
        <v>2054.8000000000002</v>
      </c>
      <c r="CE243" s="387">
        <v>1768.9</v>
      </c>
      <c r="CF243" s="387">
        <v>2313.4</v>
      </c>
      <c r="CG243" s="387">
        <v>3442.3</v>
      </c>
      <c r="CH243" s="387">
        <v>2894.8999999999996</v>
      </c>
      <c r="CI243" s="387">
        <v>2782.7000000000003</v>
      </c>
      <c r="CJ243" s="387">
        <v>3161.8</v>
      </c>
      <c r="CK243" s="387">
        <v>3496</v>
      </c>
      <c r="CL243" s="387">
        <v>3859.3403000000003</v>
      </c>
      <c r="CM243" s="387">
        <v>4947.4838533452094</v>
      </c>
      <c r="CN243" s="387">
        <v>5107.2894482457305</v>
      </c>
      <c r="CO243" s="387">
        <v>5107.2894482457305</v>
      </c>
      <c r="CP243" s="915">
        <v>5107.2894482457305</v>
      </c>
    </row>
    <row r="244" spans="1:94" s="1361" customFormat="1" ht="14.25" hidden="1" customHeight="1" outlineLevel="2">
      <c r="A244" s="1366"/>
      <c r="B244" s="217" t="s">
        <v>297</v>
      </c>
      <c r="C244" s="218"/>
      <c r="D244" s="78"/>
      <c r="E244" s="78"/>
      <c r="F244" s="78">
        <v>3.3567525370804097E-2</v>
      </c>
      <c r="G244" s="79">
        <v>5.2114803625377792E-2</v>
      </c>
      <c r="H244" s="78">
        <v>0.10624551328068921</v>
      </c>
      <c r="I244" s="78">
        <v>8.2089552238805874E-2</v>
      </c>
      <c r="J244" s="78">
        <v>-4.5277361319340348E-2</v>
      </c>
      <c r="K244" s="79">
        <v>-3.6432160804019786E-2</v>
      </c>
      <c r="L244" s="78">
        <v>-1.43415906127774E-2</v>
      </c>
      <c r="M244" s="78">
        <v>1.3227513227513921E-3</v>
      </c>
      <c r="N244" s="78">
        <v>3.566710700132103E-2</v>
      </c>
      <c r="O244" s="79">
        <v>8.9923469387755084E-2</v>
      </c>
      <c r="P244" s="78">
        <v>-2.2820362785254567E-2</v>
      </c>
      <c r="Q244" s="78">
        <v>0.12365269461077855</v>
      </c>
      <c r="R244" s="78">
        <v>0.1215027977617904</v>
      </c>
      <c r="S244" s="79">
        <v>-4.5854122119268093E-2</v>
      </c>
      <c r="T244" s="78">
        <v>-6.8227091633466075E-2</v>
      </c>
      <c r="U244" s="78">
        <v>1.8706574024585532E-2</v>
      </c>
      <c r="V244" s="78">
        <v>5.6925498426023013E-2</v>
      </c>
      <c r="W244" s="79">
        <v>1.2410027302059978E-2</v>
      </c>
      <c r="X244" s="78">
        <v>3.432213777886739E-2</v>
      </c>
      <c r="Y244" s="78">
        <v>0.33372837165205071</v>
      </c>
      <c r="Z244" s="78">
        <v>3.3410342989159014E-2</v>
      </c>
      <c r="AA244" s="79">
        <v>-0.15958727429062769</v>
      </c>
      <c r="AB244" s="78">
        <v>-0.22426846736239003</v>
      </c>
      <c r="AC244" s="78">
        <v>0.10735953574254831</v>
      </c>
      <c r="AD244" s="78">
        <v>0.12648880419247255</v>
      </c>
      <c r="AE244" s="79">
        <v>5.1173609642630735E-2</v>
      </c>
      <c r="AF244" s="78">
        <v>0.10681955340977667</v>
      </c>
      <c r="AG244" s="78">
        <v>6.0159941839331266E-2</v>
      </c>
      <c r="AH244" s="78">
        <v>2.9830276015772261E-2</v>
      </c>
      <c r="AI244" s="79">
        <v>-3.579157649409026E-2</v>
      </c>
      <c r="AJ244" s="78">
        <v>0.50310773480662974</v>
      </c>
      <c r="AK244" s="78">
        <v>4.0431886055593669E-2</v>
      </c>
      <c r="AL244" s="78">
        <v>-8.6111724442480275E-3</v>
      </c>
      <c r="AM244" s="79">
        <v>-0.14487750556792889</v>
      </c>
      <c r="AN244" s="78">
        <v>-3.0602943091548429E-2</v>
      </c>
      <c r="AO244" s="78">
        <v>5.3734551316497736E-4</v>
      </c>
      <c r="AP244" s="78">
        <v>-2.5912996777658237E-2</v>
      </c>
      <c r="AQ244" s="79">
        <v>-6.2439696760854702E-2</v>
      </c>
      <c r="AR244" s="78">
        <v>-2.8226992061158529E-2</v>
      </c>
      <c r="AS244" s="78">
        <v>4.1301059001513041E-2</v>
      </c>
      <c r="AT244" s="220">
        <v>3.9372366700566541E-2</v>
      </c>
      <c r="AU244" s="79">
        <v>3.6343304445063396E-3</v>
      </c>
      <c r="AV244" s="78">
        <v>-1.6016713091921986E-2</v>
      </c>
      <c r="AW244" s="78">
        <v>7.2328379334748671E-2</v>
      </c>
      <c r="AX244" s="220">
        <v>0.10018479408658942</v>
      </c>
      <c r="AY244" s="220">
        <v>3.6832633473305565E-2</v>
      </c>
      <c r="AZ244" s="219">
        <v>7.6371210367967013E-3</v>
      </c>
      <c r="BA244" s="220">
        <v>1.1139182361047384E-2</v>
      </c>
      <c r="BB244" s="220">
        <v>2.7143668370244178E-2</v>
      </c>
      <c r="BC244" s="258">
        <v>-7.087571870853604E-2</v>
      </c>
      <c r="BD244" s="219">
        <v>-2.7490182077829384E-2</v>
      </c>
      <c r="BE244" s="220">
        <v>7.4155653450807657E-2</v>
      </c>
      <c r="BF244" s="220">
        <v>8.3276372750056948E-2</v>
      </c>
      <c r="BG244" s="1375">
        <v>0.27609664528341571</v>
      </c>
      <c r="BH244" s="220">
        <v>-1.2951991952138253E-2</v>
      </c>
      <c r="BI244" s="220">
        <v>3.4572941890475217E-2</v>
      </c>
      <c r="BJ244" s="220">
        <v>2.2324001912336744E-2</v>
      </c>
      <c r="BK244" s="258">
        <v>-1.8126673010236738E-2</v>
      </c>
      <c r="BL244" s="220">
        <v>-1.2602406806714539E-2</v>
      </c>
      <c r="BM244" s="220">
        <v>4.4182160265627157E-2</v>
      </c>
      <c r="BN244" s="220">
        <v>2.2181619696531207E-2</v>
      </c>
      <c r="BO244" s="258">
        <v>-1.9085674985084178E-2</v>
      </c>
      <c r="BP244" s="220">
        <v>-1.2602406806714539E-2</v>
      </c>
      <c r="BQ244" s="220">
        <v>4.4182160265627157E-2</v>
      </c>
      <c r="BR244" s="220">
        <v>2.2181619696531207E-2</v>
      </c>
      <c r="BS244" s="258">
        <v>-1.9085674985084178E-2</v>
      </c>
      <c r="BT244" s="220">
        <v>-1.2602406806714539E-2</v>
      </c>
      <c r="BU244" s="220">
        <v>4.4182160265627157E-2</v>
      </c>
      <c r="BV244" s="220">
        <v>2.2181619696531207E-2</v>
      </c>
      <c r="BW244" s="258">
        <v>-1.9085674985084178E-2</v>
      </c>
      <c r="BX244" s="346"/>
      <c r="BY244" s="22"/>
      <c r="BZ244" s="15"/>
      <c r="CA244" s="15"/>
      <c r="CB244" s="15"/>
      <c r="CC244" s="15"/>
      <c r="CD244" s="15"/>
      <c r="CE244" s="15"/>
      <c r="CF244" s="220"/>
      <c r="CG244" s="220"/>
      <c r="CH244" s="220"/>
      <c r="CJ244" s="220"/>
      <c r="CK244" s="220"/>
      <c r="CL244" s="220"/>
      <c r="CM244" s="220"/>
      <c r="CN244" s="220"/>
      <c r="CO244" s="220"/>
      <c r="CP244" s="258"/>
    </row>
    <row r="245" spans="1:94" s="1361" customFormat="1" ht="14.25" hidden="1" customHeight="1" outlineLevel="2">
      <c r="A245" s="1366"/>
      <c r="B245" s="32" t="s">
        <v>548</v>
      </c>
      <c r="C245" s="218"/>
      <c r="D245" s="134"/>
      <c r="E245" s="78"/>
      <c r="F245" s="78"/>
      <c r="G245" s="79"/>
      <c r="H245" s="134"/>
      <c r="I245" s="78"/>
      <c r="J245" s="78"/>
      <c r="K245" s="79"/>
      <c r="L245" s="134"/>
      <c r="M245" s="78"/>
      <c r="N245" s="78"/>
      <c r="O245" s="79"/>
      <c r="P245" s="134"/>
      <c r="Q245" s="78"/>
      <c r="R245" s="78"/>
      <c r="S245" s="79"/>
      <c r="T245" s="134"/>
      <c r="U245" s="78"/>
      <c r="V245" s="78"/>
      <c r="W245" s="79"/>
      <c r="X245" s="134">
        <v>2.141170622977917E-4</v>
      </c>
      <c r="Y245" s="78">
        <v>5.6442893049230336E-2</v>
      </c>
      <c r="Z245" s="78">
        <v>4.0477113448119641E-2</v>
      </c>
      <c r="AA245" s="79">
        <v>1.4432403478380994E-2</v>
      </c>
      <c r="AB245" s="134">
        <v>7.0357212056117117E-3</v>
      </c>
      <c r="AC245" s="78">
        <v>0.11189998876979441</v>
      </c>
      <c r="AD245" s="78">
        <v>4.044567697179062E-2</v>
      </c>
      <c r="AE245" s="79">
        <v>-2.79080121048201E-2</v>
      </c>
      <c r="AF245" s="134">
        <v>-5.9067074923004136E-2</v>
      </c>
      <c r="AG245" s="78">
        <v>0.11695398547054289</v>
      </c>
      <c r="AH245" s="78">
        <v>7.4798910074153208E-2</v>
      </c>
      <c r="AI245" s="79">
        <v>-1.0386858015489997E-2</v>
      </c>
      <c r="AJ245" s="134">
        <v>-3.4834846118493322E-2</v>
      </c>
      <c r="AK245" s="78">
        <v>0.12872142357385888</v>
      </c>
      <c r="AL245" s="78">
        <v>7.3631543877043446E-2</v>
      </c>
      <c r="AM245" s="79">
        <v>-3.5529867191859063E-2</v>
      </c>
      <c r="AN245" s="134">
        <v>7.0350773399883534E-2</v>
      </c>
      <c r="AO245" s="78">
        <v>0.11207726186282189</v>
      </c>
      <c r="AP245" s="78">
        <v>4.7608749835835761E-2</v>
      </c>
      <c r="AQ245" s="79">
        <v>-5.5334543881591224E-2</v>
      </c>
      <c r="AR245" s="134">
        <v>7.7875603108267064E-2</v>
      </c>
      <c r="AS245" s="78">
        <v>0.10844341616053779</v>
      </c>
      <c r="AT245" s="220">
        <v>4.7608749835835761E-2</v>
      </c>
      <c r="AU245" s="79">
        <v>-7.0304488694174161E-2</v>
      </c>
      <c r="AV245" s="134">
        <v>6.5365777140261885E-2</v>
      </c>
      <c r="AW245" s="78">
        <v>4.9957953630430249E-2</v>
      </c>
      <c r="AX245" s="220">
        <v>4.7608749835835761E-2</v>
      </c>
      <c r="AY245" s="220">
        <v>-7.0304488694174161E-2</v>
      </c>
      <c r="AZ245" s="219">
        <v>6.5365777140261885E-2</v>
      </c>
      <c r="BA245" s="220">
        <v>4.9957953630430249E-2</v>
      </c>
      <c r="BB245" s="220">
        <v>4.7608749835835761E-2</v>
      </c>
      <c r="BC245" s="258">
        <v>-7.0304488694174161E-2</v>
      </c>
      <c r="BD245" s="219">
        <v>6.5365777140261885E-2</v>
      </c>
      <c r="BE245" s="220">
        <v>4.9957953630430249E-2</v>
      </c>
      <c r="BF245" s="220">
        <v>4.7608749835835761E-2</v>
      </c>
      <c r="BG245" s="1375">
        <v>-7.0304488694174161E-2</v>
      </c>
      <c r="BH245" s="220">
        <v>6.5365777140261885E-2</v>
      </c>
      <c r="BI245" s="220">
        <v>4.9957953630430249E-2</v>
      </c>
      <c r="BJ245" s="220">
        <v>4.7608749835835761E-2</v>
      </c>
      <c r="BK245" s="258">
        <v>-7.0304488694174161E-2</v>
      </c>
      <c r="BL245" s="220">
        <v>6.5365777140261885E-2</v>
      </c>
      <c r="BM245" s="220">
        <v>4.9957953630430249E-2</v>
      </c>
      <c r="BN245" s="220">
        <v>4.7608749835835761E-2</v>
      </c>
      <c r="BO245" s="258">
        <v>-7.0304488694174161E-2</v>
      </c>
      <c r="BP245" s="220">
        <v>6.5365777140261885E-2</v>
      </c>
      <c r="BQ245" s="220">
        <v>4.9957953630430249E-2</v>
      </c>
      <c r="BR245" s="220">
        <v>4.7608749835835761E-2</v>
      </c>
      <c r="BS245" s="258">
        <v>-7.0304488694174161E-2</v>
      </c>
      <c r="BT245" s="220">
        <v>6.5365777140261885E-2</v>
      </c>
      <c r="BU245" s="220">
        <v>4.9957953630430249E-2</v>
      </c>
      <c r="BV245" s="220">
        <v>4.7608749835835761E-2</v>
      </c>
      <c r="BW245" s="258">
        <v>-7.0304488694174161E-2</v>
      </c>
      <c r="BX245" s="346"/>
      <c r="BY245" s="22"/>
      <c r="BZ245" s="15"/>
      <c r="CA245" s="15"/>
      <c r="CB245" s="15"/>
      <c r="CC245" s="15"/>
      <c r="CD245" s="15"/>
      <c r="CE245" s="15"/>
      <c r="CF245" s="220"/>
      <c r="CG245" s="220"/>
      <c r="CH245" s="220"/>
      <c r="CI245" s="220"/>
      <c r="CJ245" s="220"/>
      <c r="CK245" s="220"/>
      <c r="CL245" s="220"/>
      <c r="CM245" s="220"/>
      <c r="CN245" s="220"/>
      <c r="CO245" s="220"/>
      <c r="CP245" s="258"/>
    </row>
    <row r="246" spans="1:94" s="1361" customFormat="1" ht="14.25" hidden="1" customHeight="1" outlineLevel="2">
      <c r="A246" s="1366"/>
      <c r="B246" s="32" t="s">
        <v>298</v>
      </c>
      <c r="C246" s="33"/>
      <c r="D246" s="78"/>
      <c r="E246" s="78"/>
      <c r="F246" s="78"/>
      <c r="G246" s="79"/>
      <c r="H246" s="78"/>
      <c r="I246" s="78">
        <v>0.30171740827478533</v>
      </c>
      <c r="J246" s="78">
        <v>0.20241691842900278</v>
      </c>
      <c r="K246" s="79">
        <v>0.10122038765254859</v>
      </c>
      <c r="L246" s="78">
        <v>-1.8818948734588115E-2</v>
      </c>
      <c r="M246" s="78">
        <v>-9.2053973013493273E-2</v>
      </c>
      <c r="N246" s="78">
        <v>-1.5075376884421954E-2</v>
      </c>
      <c r="O246" s="79">
        <v>0.1140808344198172</v>
      </c>
      <c r="P246" s="78">
        <v>0.10449735449735464</v>
      </c>
      <c r="Q246" s="78">
        <v>0.23943196829590496</v>
      </c>
      <c r="R246" s="78">
        <v>0.34215561224489788</v>
      </c>
      <c r="S246" s="79">
        <v>0.17495611468695138</v>
      </c>
      <c r="T246" s="78">
        <v>0.12035928143712593</v>
      </c>
      <c r="U246" s="78">
        <v>1.5720756727950924E-2</v>
      </c>
      <c r="V246" s="78">
        <v>-4.2765502494654273E-2</v>
      </c>
      <c r="W246" s="79">
        <v>1.5687250996015756E-2</v>
      </c>
      <c r="X246" s="78">
        <v>0.12747194013896301</v>
      </c>
      <c r="Y246" s="78">
        <v>0.47612801678908756</v>
      </c>
      <c r="Z246" s="78">
        <v>0.44328617522958558</v>
      </c>
      <c r="AA246" s="79">
        <v>0.19808776660946315</v>
      </c>
      <c r="AB246" s="78">
        <v>-0.10144584024650394</v>
      </c>
      <c r="AC246" s="78">
        <v>-0.2539541496356853</v>
      </c>
      <c r="AD246" s="78">
        <v>-0.18675838349097162</v>
      </c>
      <c r="AE246" s="79">
        <v>1.7188459177409632E-2</v>
      </c>
      <c r="AF246" s="78">
        <v>0.45133210234766574</v>
      </c>
      <c r="AG246" s="78">
        <v>0.38947117675083387</v>
      </c>
      <c r="AH246" s="78">
        <v>0.27024740960033844</v>
      </c>
      <c r="AI246" s="79">
        <v>0.16515791591229134</v>
      </c>
      <c r="AJ246" s="78">
        <v>0.58233369683751346</v>
      </c>
      <c r="AK246" s="78">
        <v>0.55288873649922832</v>
      </c>
      <c r="AL246" s="78">
        <v>0.49492259031130348</v>
      </c>
      <c r="AM246" s="79">
        <v>0.32579419889502748</v>
      </c>
      <c r="AN246" s="78">
        <v>-0.14495750057431667</v>
      </c>
      <c r="AO246" s="78">
        <v>-0.1777434312210201</v>
      </c>
      <c r="AP246" s="78">
        <v>-0.19209354120267264</v>
      </c>
      <c r="AQ246" s="79">
        <v>-0.11420757911186341</v>
      </c>
      <c r="AR246" s="78">
        <v>-0.11203653949489523</v>
      </c>
      <c r="AS246" s="78">
        <v>-7.5859291084854896E-2</v>
      </c>
      <c r="AT246" s="220">
        <v>-1.3921433494141988E-2</v>
      </c>
      <c r="AU246" s="79">
        <v>5.5571890620405684E-2</v>
      </c>
      <c r="AV246" s="78">
        <v>6.8835098335854772E-2</v>
      </c>
      <c r="AW246" s="78">
        <v>0.10068284178410547</v>
      </c>
      <c r="AX246" s="220">
        <v>0.16508247134470211</v>
      </c>
      <c r="AY246" s="220">
        <v>0.20362116991643475</v>
      </c>
      <c r="AZ246" s="219">
        <v>0.23255484784147207</v>
      </c>
      <c r="BA246" s="220">
        <v>0.16222280887011631</v>
      </c>
      <c r="BB246" s="220">
        <v>8.5062987402519497E-2</v>
      </c>
      <c r="BC246" s="258">
        <v>-2.7655635269613787E-2</v>
      </c>
      <c r="BD246" s="219">
        <v>-6.155259531465318E-2</v>
      </c>
      <c r="BE246" s="220">
        <v>-3.0664395229983432E-3</v>
      </c>
      <c r="BF246" s="220">
        <v>5.1415302963290666E-2</v>
      </c>
      <c r="BG246" s="1375">
        <v>0.44405605141021076</v>
      </c>
      <c r="BH246" s="220">
        <v>0.46564345447870759</v>
      </c>
      <c r="BI246" s="220">
        <v>0.41163438984962419</v>
      </c>
      <c r="BJ246" s="220">
        <v>0.3322064017740034</v>
      </c>
      <c r="BK246" s="258">
        <v>2.5046133285921979E-2</v>
      </c>
      <c r="BL246" s="220">
        <v>2.5409176317921389E-2</v>
      </c>
      <c r="BM246" s="220">
        <v>3.493328070936097E-2</v>
      </c>
      <c r="BN246" s="220">
        <v>3.4789142360420078E-2</v>
      </c>
      <c r="BO246" s="258">
        <v>3.3778457169371334E-2</v>
      </c>
      <c r="BP246" s="220">
        <v>2.5409176317921389E-2</v>
      </c>
      <c r="BQ246" s="220">
        <v>3.493328070936097E-2</v>
      </c>
      <c r="BR246" s="220">
        <v>3.4789142360420078E-2</v>
      </c>
      <c r="BS246" s="258">
        <v>3.3778457169371334E-2</v>
      </c>
      <c r="BT246" s="220">
        <v>2.5409176317921389E-2</v>
      </c>
      <c r="BU246" s="220">
        <v>3.493328070936097E-2</v>
      </c>
      <c r="BV246" s="220">
        <v>3.4789142360420078E-2</v>
      </c>
      <c r="BW246" s="258">
        <v>3.3778457169371334E-2</v>
      </c>
      <c r="BX246" s="346"/>
      <c r="BY246" s="359"/>
      <c r="BZ246" s="338">
        <v>0.58388436106412422</v>
      </c>
      <c r="CA246" s="338">
        <v>-4.9727681742838259E-3</v>
      </c>
      <c r="CB246" s="338">
        <v>0.21513564969062382</v>
      </c>
      <c r="CC246" s="338">
        <v>2.2457239848544086E-2</v>
      </c>
      <c r="CD246" s="338">
        <v>0.31196526624952114</v>
      </c>
      <c r="CE246" s="338">
        <v>-0.13913762896632276</v>
      </c>
      <c r="CF246" s="338">
        <v>0.30781841822601619</v>
      </c>
      <c r="CG246" s="338">
        <v>0.48798305524336483</v>
      </c>
      <c r="CH246" s="338">
        <v>-0.15902158440577541</v>
      </c>
      <c r="CI246" s="338">
        <v>-3.8757815468582479E-2</v>
      </c>
      <c r="CJ246" s="338">
        <v>0.13623459230243995</v>
      </c>
      <c r="CK246" s="338">
        <v>0.10569928521728134</v>
      </c>
      <c r="CL246" s="338">
        <v>0.10393029176201374</v>
      </c>
      <c r="CM246" s="338">
        <v>0.28195066222722276</v>
      </c>
      <c r="CN246" s="338">
        <v>3.230037724983581E-2</v>
      </c>
      <c r="CO246" s="338">
        <v>3.230037724983581E-2</v>
      </c>
      <c r="CP246" s="337">
        <v>3.230037724983581E-2</v>
      </c>
    </row>
    <row r="247" spans="1:94" s="1361" customFormat="1" ht="14.25" hidden="1" customHeight="1" outlineLevel="2">
      <c r="A247" s="1366"/>
      <c r="B247" s="22"/>
      <c r="C247" s="211"/>
      <c r="D247" s="78"/>
      <c r="E247" s="78"/>
      <c r="F247" s="78"/>
      <c r="G247" s="79"/>
      <c r="H247" s="78"/>
      <c r="I247" s="78"/>
      <c r="J247" s="78"/>
      <c r="K247" s="79"/>
      <c r="L247" s="78"/>
      <c r="M247" s="78"/>
      <c r="N247" s="78"/>
      <c r="O247" s="79"/>
      <c r="P247" s="78"/>
      <c r="Q247" s="78"/>
      <c r="R247" s="78"/>
      <c r="S247" s="79"/>
      <c r="T247" s="78"/>
      <c r="U247" s="78"/>
      <c r="V247" s="78"/>
      <c r="W247" s="79"/>
      <c r="X247" s="78"/>
      <c r="Y247" s="78"/>
      <c r="Z247" s="78"/>
      <c r="AA247" s="79"/>
      <c r="AB247" s="78"/>
      <c r="AC247" s="78"/>
      <c r="AD247" s="78"/>
      <c r="AE247" s="79"/>
      <c r="AF247" s="78"/>
      <c r="AG247" s="78"/>
      <c r="AH247" s="78"/>
      <c r="AI247" s="79"/>
      <c r="AJ247" s="78"/>
      <c r="AK247" s="78"/>
      <c r="AL247" s="78"/>
      <c r="AM247" s="79"/>
      <c r="AN247" s="78"/>
      <c r="AO247" s="78"/>
      <c r="AP247" s="78"/>
      <c r="AQ247" s="79"/>
      <c r="AR247" s="78"/>
      <c r="AS247" s="78"/>
      <c r="AT247" s="220"/>
      <c r="AU247" s="79"/>
      <c r="AV247" s="78"/>
      <c r="AW247" s="78"/>
      <c r="AX247" s="220"/>
      <c r="AY247" s="220"/>
      <c r="AZ247" s="219"/>
      <c r="BA247" s="220"/>
      <c r="BB247" s="220"/>
      <c r="BC247" s="258"/>
      <c r="BD247" s="219"/>
      <c r="BE247" s="220"/>
      <c r="BF247" s="220"/>
      <c r="BG247" s="258"/>
      <c r="BH247" s="220"/>
      <c r="BI247" s="220"/>
      <c r="BJ247" s="220"/>
      <c r="BK247" s="258"/>
      <c r="BL247" s="220"/>
      <c r="BM247" s="220"/>
      <c r="BN247" s="220"/>
      <c r="BO247" s="258"/>
      <c r="BP247" s="220"/>
      <c r="BQ247" s="220"/>
      <c r="BR247" s="220"/>
      <c r="BS247" s="258"/>
      <c r="BT247" s="220"/>
      <c r="BU247" s="220"/>
      <c r="BV247" s="220"/>
      <c r="BW247" s="258"/>
      <c r="BX247" s="346"/>
      <c r="BY247" s="22"/>
      <c r="BZ247" s="15"/>
      <c r="CA247" s="15"/>
      <c r="CB247" s="15"/>
      <c r="CC247" s="15"/>
      <c r="CD247" s="15"/>
      <c r="CE247" s="15"/>
      <c r="CF247" s="15"/>
      <c r="CG247" s="15"/>
      <c r="CH247" s="15"/>
      <c r="CI247" s="15"/>
      <c r="CJ247" s="15"/>
      <c r="CK247" s="15"/>
      <c r="CL247" s="15"/>
      <c r="CM247" s="15"/>
      <c r="CN247" s="15"/>
      <c r="CO247" s="15"/>
      <c r="CP247" s="211"/>
    </row>
    <row r="248" spans="1:94" s="1361" customFormat="1" ht="14.25" hidden="1" customHeight="1" outlineLevel="2">
      <c r="A248" s="1366"/>
      <c r="B248" s="235" t="s">
        <v>300</v>
      </c>
      <c r="C248" s="251"/>
      <c r="D248" s="883">
        <v>269.5</v>
      </c>
      <c r="E248" s="883">
        <v>256.2</v>
      </c>
      <c r="F248" s="883">
        <v>264.8</v>
      </c>
      <c r="G248" s="884">
        <v>278.60000000000002</v>
      </c>
      <c r="H248" s="883">
        <v>308.2</v>
      </c>
      <c r="I248" s="883">
        <v>333.5</v>
      </c>
      <c r="J248" s="883">
        <v>318.39999999999998</v>
      </c>
      <c r="K248" s="884">
        <v>306.8</v>
      </c>
      <c r="L248" s="883">
        <v>302.39999999999998</v>
      </c>
      <c r="M248" s="883">
        <v>302.8</v>
      </c>
      <c r="N248" s="883">
        <v>313.60000000000002</v>
      </c>
      <c r="O248" s="884">
        <v>341.8</v>
      </c>
      <c r="P248" s="883">
        <v>334</v>
      </c>
      <c r="Q248" s="883">
        <v>375.3</v>
      </c>
      <c r="R248" s="883">
        <v>420.9</v>
      </c>
      <c r="S248" s="884">
        <v>401.6</v>
      </c>
      <c r="T248" s="883">
        <v>374.2</v>
      </c>
      <c r="U248" s="883">
        <v>381.2</v>
      </c>
      <c r="V248" s="883">
        <v>402.9</v>
      </c>
      <c r="W248" s="884">
        <v>407.9</v>
      </c>
      <c r="X248" s="883">
        <v>421.9</v>
      </c>
      <c r="Y248" s="883">
        <v>562.70000000000005</v>
      </c>
      <c r="Z248" s="883">
        <v>581.5</v>
      </c>
      <c r="AA248" s="884">
        <v>488.7</v>
      </c>
      <c r="AB248" s="883">
        <v>379.1</v>
      </c>
      <c r="AC248" s="883">
        <v>419.8</v>
      </c>
      <c r="AD248" s="883">
        <v>472.9</v>
      </c>
      <c r="AE248" s="884">
        <v>497.1</v>
      </c>
      <c r="AF248" s="883">
        <v>550.20000000000005</v>
      </c>
      <c r="AG248" s="883">
        <v>583.29999999999995</v>
      </c>
      <c r="AH248" s="883">
        <v>600.70000000000005</v>
      </c>
      <c r="AI248" s="884">
        <v>579.20000000000005</v>
      </c>
      <c r="AJ248" s="883">
        <v>870.6</v>
      </c>
      <c r="AK248" s="883">
        <v>905.8</v>
      </c>
      <c r="AL248" s="883">
        <v>898</v>
      </c>
      <c r="AM248" s="884">
        <v>767.9</v>
      </c>
      <c r="AN248" s="883">
        <v>744.4</v>
      </c>
      <c r="AO248" s="883">
        <v>744.8</v>
      </c>
      <c r="AP248" s="883">
        <v>725.5</v>
      </c>
      <c r="AQ248" s="884">
        <v>680.2</v>
      </c>
      <c r="AR248" s="883">
        <v>661</v>
      </c>
      <c r="AS248" s="883">
        <v>688.3</v>
      </c>
      <c r="AT248" s="898">
        <v>715.4</v>
      </c>
      <c r="AU248" s="884">
        <v>718</v>
      </c>
      <c r="AV248" s="883">
        <v>706.5</v>
      </c>
      <c r="AW248" s="883">
        <v>757.6</v>
      </c>
      <c r="AX248" s="898">
        <v>833.5</v>
      </c>
      <c r="AY248" s="898">
        <v>864.2</v>
      </c>
      <c r="AZ248" s="1090">
        <v>870.8</v>
      </c>
      <c r="BA248" s="898">
        <v>880.5</v>
      </c>
      <c r="BB248" s="898">
        <v>904.2</v>
      </c>
      <c r="BC248" s="899">
        <v>840.3</v>
      </c>
      <c r="BD248" s="1090">
        <v>817.2</v>
      </c>
      <c r="BE248" s="898">
        <v>877.8</v>
      </c>
      <c r="BF248" s="898">
        <v>950.9</v>
      </c>
      <c r="BG248" s="1379">
        <v>1261</v>
      </c>
      <c r="BH248" s="898">
        <v>1197.7238309999998</v>
      </c>
      <c r="BI248" s="898">
        <v>1239.1326674100001</v>
      </c>
      <c r="BJ248" s="898">
        <v>1266.7950674468998</v>
      </c>
      <c r="BK248" s="899">
        <v>1243.832287488309</v>
      </c>
      <c r="BL248" s="898">
        <v>1228.157007002055</v>
      </c>
      <c r="BM248" s="898">
        <v>1282.4196367167729</v>
      </c>
      <c r="BN248" s="898">
        <v>1310.865781389788</v>
      </c>
      <c r="BO248" s="899">
        <v>1285.8470231371141</v>
      </c>
      <c r="BP248" s="898">
        <v>1228.157007002055</v>
      </c>
      <c r="BQ248" s="898">
        <v>1282.4196367167729</v>
      </c>
      <c r="BR248" s="898">
        <v>1310.865781389788</v>
      </c>
      <c r="BS248" s="899">
        <v>1285.8470231371141</v>
      </c>
      <c r="BT248" s="898">
        <v>1228.157007002055</v>
      </c>
      <c r="BU248" s="898">
        <v>1282.4196367167729</v>
      </c>
      <c r="BV248" s="898">
        <v>1310.865781389788</v>
      </c>
      <c r="BW248" s="899">
        <v>1285.8470231371141</v>
      </c>
      <c r="BX248" s="346"/>
      <c r="BY248" s="334">
        <v>1069.0999999999999</v>
      </c>
      <c r="BZ248" s="325">
        <v>1266.9000000000001</v>
      </c>
      <c r="CA248" s="325">
        <v>1260.6000000000001</v>
      </c>
      <c r="CB248" s="325">
        <v>1531.7999999999997</v>
      </c>
      <c r="CC248" s="325">
        <v>1566.1999999999998</v>
      </c>
      <c r="CD248" s="325">
        <v>2054.7999999999997</v>
      </c>
      <c r="CE248" s="325">
        <v>1768.9</v>
      </c>
      <c r="CF248" s="325">
        <v>2313.4</v>
      </c>
      <c r="CG248" s="325">
        <v>3442.3</v>
      </c>
      <c r="CH248" s="325">
        <v>2894.8999999999996</v>
      </c>
      <c r="CI248" s="325">
        <v>2782.7</v>
      </c>
      <c r="CJ248" s="325">
        <v>3161.8</v>
      </c>
      <c r="CK248" s="325">
        <v>3495.8</v>
      </c>
      <c r="CL248" s="325">
        <v>3906.9</v>
      </c>
      <c r="CM248" s="325">
        <v>4947.4838533452084</v>
      </c>
      <c r="CN248" s="325">
        <v>5107.2894482457295</v>
      </c>
      <c r="CO248" s="325">
        <v>5107.2894482457295</v>
      </c>
      <c r="CP248" s="326">
        <v>5107.2894482457295</v>
      </c>
    </row>
    <row r="249" spans="1:94" s="1361" customFormat="1" ht="14.25" hidden="1" customHeight="1" outlineLevel="2">
      <c r="A249" s="1366"/>
      <c r="B249" s="368"/>
      <c r="C249" s="251"/>
      <c r="D249" s="883"/>
      <c r="E249" s="883"/>
      <c r="F249" s="883"/>
      <c r="G249" s="883"/>
      <c r="H249" s="883"/>
      <c r="I249" s="883"/>
      <c r="J249" s="883"/>
      <c r="K249" s="883"/>
      <c r="L249" s="883"/>
      <c r="M249" s="883"/>
      <c r="N249" s="883"/>
      <c r="O249" s="883"/>
      <c r="P249" s="883"/>
      <c r="Q249" s="883"/>
      <c r="R249" s="883"/>
      <c r="S249" s="883"/>
      <c r="T249" s="883"/>
      <c r="U249" s="883"/>
      <c r="V249" s="883"/>
      <c r="W249" s="883"/>
      <c r="X249" s="883"/>
      <c r="Y249" s="883"/>
      <c r="Z249" s="883"/>
      <c r="AA249" s="883"/>
      <c r="AB249" s="883"/>
      <c r="AC249" s="883"/>
      <c r="AD249" s="883"/>
      <c r="AE249" s="883"/>
      <c r="AF249" s="883"/>
      <c r="AG249" s="883"/>
      <c r="AH249" s="883"/>
      <c r="AI249" s="883"/>
      <c r="AJ249" s="883"/>
      <c r="AK249" s="883"/>
      <c r="AL249" s="883"/>
      <c r="AM249" s="883"/>
      <c r="AN249" s="883"/>
      <c r="AO249" s="883"/>
      <c r="AP249" s="883"/>
      <c r="AQ249" s="883"/>
      <c r="BL249" s="1372"/>
      <c r="BM249" s="1372"/>
      <c r="BN249" s="1372"/>
      <c r="BO249" s="1372"/>
      <c r="BP249" s="1372"/>
      <c r="BQ249" s="1372"/>
      <c r="BR249" s="1372"/>
      <c r="BS249" s="1372"/>
      <c r="BT249" s="1463"/>
      <c r="BU249" s="1463"/>
      <c r="BV249" s="1463"/>
      <c r="BW249" s="1463"/>
      <c r="BY249" s="325"/>
      <c r="BZ249" s="325"/>
      <c r="CA249" s="325"/>
      <c r="CB249" s="325"/>
      <c r="CC249" s="325"/>
      <c r="CD249" s="325"/>
      <c r="CE249" s="325"/>
      <c r="CF249" s="325"/>
      <c r="CG249" s="325"/>
      <c r="CH249" s="325"/>
      <c r="CI249" s="325"/>
      <c r="CJ249" s="325"/>
      <c r="CK249" s="325"/>
      <c r="CL249" s="325"/>
      <c r="CM249" s="325"/>
      <c r="CN249" s="325"/>
      <c r="CO249" s="325"/>
      <c r="CP249" s="325"/>
    </row>
    <row r="250" spans="1:94" s="1361" customFormat="1" ht="14.25" hidden="1" customHeight="1" outlineLevel="2">
      <c r="A250" s="1366"/>
      <c r="B250" s="131" t="s">
        <v>541</v>
      </c>
      <c r="C250" s="132"/>
      <c r="D250" s="768" t="s">
        <v>25</v>
      </c>
      <c r="E250" s="768" t="s">
        <v>27</v>
      </c>
      <c r="F250" s="768" t="s">
        <v>29</v>
      </c>
      <c r="G250" s="860" t="s">
        <v>31</v>
      </c>
      <c r="H250" s="768" t="s">
        <v>33</v>
      </c>
      <c r="I250" s="768" t="s">
        <v>35</v>
      </c>
      <c r="J250" s="768" t="s">
        <v>37</v>
      </c>
      <c r="K250" s="768" t="s">
        <v>39</v>
      </c>
      <c r="L250" s="1299" t="s">
        <v>466</v>
      </c>
      <c r="M250" s="1300" t="s">
        <v>467</v>
      </c>
      <c r="N250" s="1300" t="s">
        <v>468</v>
      </c>
      <c r="O250" s="1301" t="s">
        <v>469</v>
      </c>
      <c r="P250" s="1299" t="s">
        <v>470</v>
      </c>
      <c r="Q250" s="1300" t="s">
        <v>471</v>
      </c>
      <c r="R250" s="1300" t="s">
        <v>472</v>
      </c>
      <c r="S250" s="1301" t="s">
        <v>473</v>
      </c>
      <c r="T250" s="1299" t="s">
        <v>375</v>
      </c>
      <c r="U250" s="1300" t="s">
        <v>376</v>
      </c>
      <c r="V250" s="1300" t="s">
        <v>377</v>
      </c>
      <c r="W250" s="1301" t="s">
        <v>378</v>
      </c>
      <c r="X250" s="1299" t="s">
        <v>379</v>
      </c>
      <c r="Y250" s="1300" t="s">
        <v>380</v>
      </c>
      <c r="Z250" s="1300" t="s">
        <v>381</v>
      </c>
      <c r="AA250" s="1301" t="s">
        <v>382</v>
      </c>
      <c r="AB250" s="1299" t="s">
        <v>383</v>
      </c>
      <c r="AC250" s="1300" t="s">
        <v>384</v>
      </c>
      <c r="AD250" s="1300" t="s">
        <v>385</v>
      </c>
      <c r="AE250" s="1301" t="s">
        <v>386</v>
      </c>
      <c r="AF250" s="1299" t="s">
        <v>387</v>
      </c>
      <c r="AG250" s="1304" t="s">
        <v>388</v>
      </c>
      <c r="AH250" s="1300" t="s">
        <v>389</v>
      </c>
      <c r="AI250" s="1301" t="s">
        <v>390</v>
      </c>
      <c r="AJ250" s="1299" t="s">
        <v>391</v>
      </c>
      <c r="AK250" s="1300" t="s">
        <v>392</v>
      </c>
      <c r="AL250" s="1300" t="s">
        <v>474</v>
      </c>
      <c r="AM250" s="1301" t="s">
        <v>475</v>
      </c>
      <c r="AN250" s="1299" t="s">
        <v>476</v>
      </c>
      <c r="AO250" s="1300" t="s">
        <v>484</v>
      </c>
      <c r="AP250" s="1300" t="s">
        <v>492</v>
      </c>
      <c r="AQ250" s="1301" t="s">
        <v>65</v>
      </c>
      <c r="AR250" s="1299" t="s">
        <v>584</v>
      </c>
      <c r="AS250" s="1300" t="s">
        <v>585</v>
      </c>
      <c r="AT250" s="1300" t="s">
        <v>586</v>
      </c>
      <c r="AU250" s="1301" t="s">
        <v>6</v>
      </c>
      <c r="AV250" s="1299" t="s">
        <v>18</v>
      </c>
      <c r="AW250" s="1300" t="s">
        <v>22</v>
      </c>
      <c r="AX250" s="1300" t="s">
        <v>13</v>
      </c>
      <c r="AY250" s="1301" t="s">
        <v>588</v>
      </c>
      <c r="AZ250" s="1299" t="s">
        <v>595</v>
      </c>
      <c r="BA250" s="1300" t="s">
        <v>602</v>
      </c>
      <c r="BB250" s="1300" t="s">
        <v>603</v>
      </c>
      <c r="BC250" s="1301" t="s">
        <v>607</v>
      </c>
      <c r="BD250" s="1299" t="s">
        <v>620</v>
      </c>
      <c r="BE250" s="1300" t="s">
        <v>621</v>
      </c>
      <c r="BF250" s="1300" t="s">
        <v>631</v>
      </c>
      <c r="BG250" s="1380" t="s">
        <v>633</v>
      </c>
      <c r="BH250" s="1299" t="s">
        <v>589</v>
      </c>
      <c r="BI250" s="1300" t="s">
        <v>590</v>
      </c>
      <c r="BJ250" s="1300" t="s">
        <v>591</v>
      </c>
      <c r="BK250" s="1301" t="s">
        <v>592</v>
      </c>
      <c r="BL250" s="1299" t="s">
        <v>614</v>
      </c>
      <c r="BM250" s="1300" t="s">
        <v>615</v>
      </c>
      <c r="BN250" s="1300" t="s">
        <v>616</v>
      </c>
      <c r="BO250" s="1301" t="s">
        <v>617</v>
      </c>
      <c r="BP250" s="1299" t="s">
        <v>614</v>
      </c>
      <c r="BQ250" s="1300" t="s">
        <v>615</v>
      </c>
      <c r="BR250" s="1300" t="s">
        <v>616</v>
      </c>
      <c r="BS250" s="1301" t="s">
        <v>617</v>
      </c>
      <c r="BT250" s="1390" t="s">
        <v>614</v>
      </c>
      <c r="BU250" s="1391" t="s">
        <v>615</v>
      </c>
      <c r="BV250" s="1391" t="s">
        <v>616</v>
      </c>
      <c r="BW250" s="1392" t="s">
        <v>617</v>
      </c>
      <c r="BX250" s="21"/>
      <c r="BY250" s="1253" t="s">
        <v>336</v>
      </c>
      <c r="BZ250" s="1254" t="s">
        <v>337</v>
      </c>
      <c r="CA250" s="1254" t="s">
        <v>477</v>
      </c>
      <c r="CB250" s="1254" t="s">
        <v>478</v>
      </c>
      <c r="CC250" s="1254" t="s">
        <v>393</v>
      </c>
      <c r="CD250" s="1254" t="s">
        <v>394</v>
      </c>
      <c r="CE250" s="1254" t="s">
        <v>395</v>
      </c>
      <c r="CF250" s="1254" t="s">
        <v>396</v>
      </c>
      <c r="CG250" s="1254" t="s">
        <v>479</v>
      </c>
      <c r="CH250" s="1254" t="s">
        <v>495</v>
      </c>
      <c r="CI250" s="1254" t="s">
        <v>16</v>
      </c>
      <c r="CJ250" s="1254" t="s">
        <v>593</v>
      </c>
      <c r="CK250" s="1254" t="s">
        <v>609</v>
      </c>
      <c r="CL250" s="1254" t="s">
        <v>397</v>
      </c>
      <c r="CM250" s="1254" t="s">
        <v>398</v>
      </c>
      <c r="CN250" s="1254" t="s">
        <v>399</v>
      </c>
      <c r="CO250" s="1254" t="s">
        <v>399</v>
      </c>
      <c r="CP250" s="1256" t="s">
        <v>399</v>
      </c>
    </row>
    <row r="251" spans="1:94" s="1361" customFormat="1" ht="14.25" hidden="1" customHeight="1" outlineLevel="2">
      <c r="A251" s="1366"/>
      <c r="B251" s="299" t="s">
        <v>543</v>
      </c>
      <c r="C251" s="345"/>
      <c r="D251" s="692"/>
      <c r="E251" s="693">
        <v>64.05</v>
      </c>
      <c r="F251" s="693">
        <v>55.607999999999997</v>
      </c>
      <c r="G251" s="136">
        <v>55.720000000000006</v>
      </c>
      <c r="H251" s="692">
        <v>67.804000000000002</v>
      </c>
      <c r="I251" s="693">
        <v>66.7</v>
      </c>
      <c r="J251" s="921">
        <v>60.495999999999995</v>
      </c>
      <c r="K251" s="136">
        <v>58.292000000000002</v>
      </c>
      <c r="L251" s="692">
        <v>63.503999999999991</v>
      </c>
      <c r="M251" s="693">
        <v>57.532000000000004</v>
      </c>
      <c r="N251" s="693">
        <v>56.448</v>
      </c>
      <c r="O251" s="136">
        <v>58.106000000000009</v>
      </c>
      <c r="P251" s="692">
        <v>56.78</v>
      </c>
      <c r="Q251" s="693">
        <v>60.048000000000002</v>
      </c>
      <c r="R251" s="693">
        <v>63.134999999999991</v>
      </c>
      <c r="S251" s="136">
        <v>60.24</v>
      </c>
      <c r="T251" s="692">
        <v>63.614000000000004</v>
      </c>
      <c r="U251" s="693">
        <v>68.616</v>
      </c>
      <c r="V251" s="693">
        <v>64.463999999999999</v>
      </c>
      <c r="W251" s="136">
        <v>61.184999999999995</v>
      </c>
      <c r="X251" s="692">
        <v>71.722999999999999</v>
      </c>
      <c r="Y251" s="693">
        <v>118.167</v>
      </c>
      <c r="Z251" s="693">
        <v>98.855000000000004</v>
      </c>
      <c r="AA251" s="136">
        <v>78.191999999999993</v>
      </c>
      <c r="AB251" s="692">
        <v>64.447000000000003</v>
      </c>
      <c r="AC251" s="693">
        <v>71.366000000000014</v>
      </c>
      <c r="AD251" s="693">
        <v>85.121999999999986</v>
      </c>
      <c r="AE251" s="136">
        <v>94.449000000000012</v>
      </c>
      <c r="AF251" s="692">
        <v>104.53800000000001</v>
      </c>
      <c r="AG251" s="693">
        <v>116.66</v>
      </c>
      <c r="AH251" s="693">
        <v>114.13300000000001</v>
      </c>
      <c r="AI251" s="136">
        <v>127.42400000000001</v>
      </c>
      <c r="AJ251" s="692">
        <v>191.53200000000001</v>
      </c>
      <c r="AK251" s="693">
        <v>199.27599999999998</v>
      </c>
      <c r="AL251" s="693">
        <v>197.56</v>
      </c>
      <c r="AM251" s="136">
        <v>191.97499999999999</v>
      </c>
      <c r="AN251" s="692">
        <v>193.54400000000001</v>
      </c>
      <c r="AO251" s="693">
        <v>193.648</v>
      </c>
      <c r="AP251" s="693">
        <v>181.375</v>
      </c>
      <c r="AQ251" s="136">
        <v>176.852</v>
      </c>
      <c r="AR251" s="692">
        <v>185.08</v>
      </c>
      <c r="AS251" s="693">
        <v>192.72400000000002</v>
      </c>
      <c r="AT251" s="693">
        <v>186.00399999999999</v>
      </c>
      <c r="AU251" s="136">
        <v>193.86</v>
      </c>
      <c r="AV251" s="692">
        <v>211.95</v>
      </c>
      <c r="AW251" s="693">
        <v>219.70399999999998</v>
      </c>
      <c r="AX251" s="693">
        <v>241.71499999999997</v>
      </c>
      <c r="AY251" s="693">
        <v>276.54400000000004</v>
      </c>
      <c r="AZ251" s="692">
        <v>289.45</v>
      </c>
      <c r="BA251" s="693">
        <v>280.3</v>
      </c>
      <c r="BB251" s="693">
        <v>280.2</v>
      </c>
      <c r="BC251" s="694">
        <v>296.89999999999998</v>
      </c>
      <c r="BD251" s="692">
        <v>323.2</v>
      </c>
      <c r="BE251" s="693">
        <v>319.62</v>
      </c>
      <c r="BF251" s="693">
        <v>318.52</v>
      </c>
      <c r="BG251" s="694"/>
      <c r="BH251" s="692"/>
      <c r="BI251" s="693"/>
      <c r="BJ251" s="693"/>
      <c r="BK251" s="694"/>
      <c r="BL251" s="692"/>
      <c r="BM251" s="693"/>
      <c r="BN251" s="693"/>
      <c r="BO251" s="694"/>
      <c r="BP251" s="692"/>
      <c r="BQ251" s="693"/>
      <c r="BR251" s="693"/>
      <c r="BS251" s="694"/>
      <c r="BT251" s="692"/>
      <c r="BU251" s="693"/>
      <c r="BV251" s="693"/>
      <c r="BW251" s="694"/>
      <c r="BX251" s="776"/>
      <c r="BY251" s="692"/>
      <c r="BZ251" s="327">
        <v>253.292</v>
      </c>
      <c r="CA251" s="696">
        <v>235.59000000000003</v>
      </c>
      <c r="CB251" s="696">
        <v>240.203</v>
      </c>
      <c r="CC251" s="696">
        <v>257.87900000000002</v>
      </c>
      <c r="CD251" s="696">
        <v>366.93700000000001</v>
      </c>
      <c r="CE251" s="696">
        <v>315.38400000000001</v>
      </c>
      <c r="CF251" s="696">
        <v>462.755</v>
      </c>
      <c r="CG251" s="696">
        <v>780.34299999999996</v>
      </c>
      <c r="CH251" s="696">
        <v>745.41899999999998</v>
      </c>
      <c r="CI251" s="696">
        <v>757.66800000000001</v>
      </c>
      <c r="CJ251" s="696"/>
      <c r="CK251" s="696"/>
      <c r="CL251" s="696"/>
      <c r="CM251" s="696"/>
      <c r="CN251" s="696"/>
      <c r="CO251" s="696"/>
      <c r="CP251" s="697"/>
    </row>
    <row r="252" spans="1:94" s="1361" customFormat="1" ht="14.25" hidden="1" customHeight="1" outlineLevel="2">
      <c r="A252" s="1366"/>
      <c r="B252" s="300" t="s">
        <v>544</v>
      </c>
      <c r="C252" s="303"/>
      <c r="D252" s="695"/>
      <c r="E252" s="696">
        <v>0</v>
      </c>
      <c r="F252" s="696">
        <v>0</v>
      </c>
      <c r="G252" s="136">
        <v>0</v>
      </c>
      <c r="H252" s="695">
        <v>0</v>
      </c>
      <c r="I252" s="696">
        <v>0</v>
      </c>
      <c r="J252" s="922">
        <v>0</v>
      </c>
      <c r="K252" s="136">
        <v>0</v>
      </c>
      <c r="L252" s="695">
        <v>0</v>
      </c>
      <c r="M252" s="696">
        <v>0</v>
      </c>
      <c r="N252" s="696">
        <v>0</v>
      </c>
      <c r="O252" s="136">
        <v>0</v>
      </c>
      <c r="P252" s="695">
        <v>0</v>
      </c>
      <c r="Q252" s="696">
        <v>0</v>
      </c>
      <c r="R252" s="696">
        <v>0</v>
      </c>
      <c r="S252" s="136">
        <v>0</v>
      </c>
      <c r="T252" s="695">
        <v>0</v>
      </c>
      <c r="U252" s="696">
        <v>0</v>
      </c>
      <c r="V252" s="696">
        <v>0</v>
      </c>
      <c r="W252" s="136">
        <v>0</v>
      </c>
      <c r="X252" s="695">
        <v>0</v>
      </c>
      <c r="Y252" s="696">
        <v>106.91300000000001</v>
      </c>
      <c r="Z252" s="696">
        <v>122.11499999999999</v>
      </c>
      <c r="AA252" s="136">
        <v>97.740000000000009</v>
      </c>
      <c r="AB252" s="695">
        <v>75.820000000000007</v>
      </c>
      <c r="AC252" s="696">
        <v>83.960000000000008</v>
      </c>
      <c r="AD252" s="696">
        <v>80.393000000000001</v>
      </c>
      <c r="AE252" s="136">
        <v>74.564999999999998</v>
      </c>
      <c r="AF252" s="695">
        <v>88.032000000000011</v>
      </c>
      <c r="AG252" s="696">
        <v>87.49499999999999</v>
      </c>
      <c r="AH252" s="696">
        <v>102.11900000000001</v>
      </c>
      <c r="AI252" s="136">
        <v>92.672000000000011</v>
      </c>
      <c r="AJ252" s="695">
        <v>121.88400000000001</v>
      </c>
      <c r="AK252" s="696">
        <v>126.81200000000001</v>
      </c>
      <c r="AL252" s="696">
        <v>125.72000000000001</v>
      </c>
      <c r="AM252" s="136">
        <v>107.506</v>
      </c>
      <c r="AN252" s="695">
        <v>119.104</v>
      </c>
      <c r="AO252" s="696">
        <v>119.16799999999999</v>
      </c>
      <c r="AP252" s="696">
        <v>123.33500000000001</v>
      </c>
      <c r="AQ252" s="136">
        <v>115.63400000000001</v>
      </c>
      <c r="AR252" s="695">
        <v>105.76</v>
      </c>
      <c r="AS252" s="696">
        <v>117.011</v>
      </c>
      <c r="AT252" s="696">
        <v>128.77199999999999</v>
      </c>
      <c r="AU252" s="136">
        <v>129.24</v>
      </c>
      <c r="AV252" s="695">
        <v>120.105</v>
      </c>
      <c r="AW252" s="696">
        <v>128.792</v>
      </c>
      <c r="AX252" s="696">
        <v>158.36500000000001</v>
      </c>
      <c r="AY252" s="696">
        <v>155.55600000000001</v>
      </c>
      <c r="AZ252" s="695">
        <v>140.30000000000001</v>
      </c>
      <c r="BA252" s="696">
        <v>164.2</v>
      </c>
      <c r="BB252" s="696">
        <v>168</v>
      </c>
      <c r="BC252" s="697">
        <v>156.9</v>
      </c>
      <c r="BD252" s="695">
        <v>140.6</v>
      </c>
      <c r="BE252" s="696">
        <v>155.91999999999999</v>
      </c>
      <c r="BF252" s="696">
        <v>192.42</v>
      </c>
      <c r="BG252" s="697"/>
      <c r="BH252" s="695"/>
      <c r="BI252" s="696"/>
      <c r="BJ252" s="696"/>
      <c r="BK252" s="697"/>
      <c r="BL252" s="695"/>
      <c r="BM252" s="696"/>
      <c r="BN252" s="696"/>
      <c r="BO252" s="697"/>
      <c r="BP252" s="695"/>
      <c r="BQ252" s="696"/>
      <c r="BR252" s="696"/>
      <c r="BS252" s="697"/>
      <c r="BT252" s="695"/>
      <c r="BU252" s="696"/>
      <c r="BV252" s="696"/>
      <c r="BW252" s="697"/>
      <c r="BX252" s="776"/>
      <c r="BY252" s="695"/>
      <c r="BZ252" s="700">
        <v>0</v>
      </c>
      <c r="CA252" s="696">
        <v>0</v>
      </c>
      <c r="CB252" s="696">
        <v>0</v>
      </c>
      <c r="CC252" s="696">
        <v>0</v>
      </c>
      <c r="CD252" s="696">
        <v>326.76800000000003</v>
      </c>
      <c r="CE252" s="696">
        <v>314.73800000000006</v>
      </c>
      <c r="CF252" s="696">
        <v>370.31800000000004</v>
      </c>
      <c r="CG252" s="696">
        <v>481.92200000000003</v>
      </c>
      <c r="CH252" s="696">
        <v>477.24099999999999</v>
      </c>
      <c r="CI252" s="696">
        <v>480.78300000000002</v>
      </c>
      <c r="CJ252" s="696"/>
      <c r="CK252" s="696"/>
      <c r="CL252" s="696"/>
      <c r="CM252" s="696"/>
      <c r="CN252" s="696"/>
      <c r="CO252" s="696"/>
      <c r="CP252" s="697"/>
    </row>
    <row r="253" spans="1:94" s="1361" customFormat="1" ht="14.25" hidden="1" customHeight="1" outlineLevel="2">
      <c r="A253" s="1366"/>
      <c r="B253" s="300" t="s">
        <v>545</v>
      </c>
      <c r="C253" s="303"/>
      <c r="D253" s="695"/>
      <c r="E253" s="696">
        <v>46.116</v>
      </c>
      <c r="F253" s="696">
        <v>45.016000000000005</v>
      </c>
      <c r="G253" s="136">
        <v>50.148000000000003</v>
      </c>
      <c r="H253" s="695">
        <v>55.475999999999999</v>
      </c>
      <c r="I253" s="696">
        <v>60.03</v>
      </c>
      <c r="J253" s="922">
        <v>60.495999999999995</v>
      </c>
      <c r="K253" s="136">
        <v>55.223999999999997</v>
      </c>
      <c r="L253" s="695">
        <v>57.455999999999996</v>
      </c>
      <c r="M253" s="696">
        <v>54.503999999999998</v>
      </c>
      <c r="N253" s="696">
        <v>59.584000000000003</v>
      </c>
      <c r="O253" s="136">
        <v>82.031999999999996</v>
      </c>
      <c r="P253" s="695">
        <v>80.16</v>
      </c>
      <c r="Q253" s="696">
        <v>90.072000000000003</v>
      </c>
      <c r="R253" s="696">
        <v>105.22499999999999</v>
      </c>
      <c r="S253" s="136">
        <v>84.335999999999999</v>
      </c>
      <c r="T253" s="695">
        <v>78.581999999999994</v>
      </c>
      <c r="U253" s="696">
        <v>72.427999999999997</v>
      </c>
      <c r="V253" s="696">
        <v>96.695999999999998</v>
      </c>
      <c r="W253" s="136">
        <v>97.895999999999987</v>
      </c>
      <c r="X253" s="695">
        <v>84.38</v>
      </c>
      <c r="Y253" s="696">
        <v>84.405000000000001</v>
      </c>
      <c r="Z253" s="696">
        <v>104.67</v>
      </c>
      <c r="AA253" s="136">
        <v>78.191999999999993</v>
      </c>
      <c r="AB253" s="695">
        <v>53.074000000000005</v>
      </c>
      <c r="AC253" s="696">
        <v>62.97</v>
      </c>
      <c r="AD253" s="696">
        <v>80.393000000000001</v>
      </c>
      <c r="AE253" s="136">
        <v>89.477999999999994</v>
      </c>
      <c r="AF253" s="695">
        <v>88.032000000000011</v>
      </c>
      <c r="AG253" s="696">
        <v>99.161000000000001</v>
      </c>
      <c r="AH253" s="696">
        <v>108.126</v>
      </c>
      <c r="AI253" s="136">
        <v>92.672000000000011</v>
      </c>
      <c r="AJ253" s="695">
        <v>235.06200000000001</v>
      </c>
      <c r="AK253" s="696">
        <v>235.50800000000001</v>
      </c>
      <c r="AL253" s="696">
        <v>242.46</v>
      </c>
      <c r="AM253" s="136">
        <v>176.61699999999999</v>
      </c>
      <c r="AN253" s="695">
        <v>163.768</v>
      </c>
      <c r="AO253" s="696">
        <v>163.85599999999999</v>
      </c>
      <c r="AP253" s="696">
        <v>166.86500000000001</v>
      </c>
      <c r="AQ253" s="136">
        <v>136.04000000000002</v>
      </c>
      <c r="AR253" s="695">
        <v>132.20000000000002</v>
      </c>
      <c r="AS253" s="696">
        <v>130.77699999999999</v>
      </c>
      <c r="AT253" s="696">
        <v>143.08000000000001</v>
      </c>
      <c r="AU253" s="136">
        <v>143.6</v>
      </c>
      <c r="AV253" s="695">
        <v>120.105</v>
      </c>
      <c r="AW253" s="696">
        <v>136.36799999999999</v>
      </c>
      <c r="AX253" s="696">
        <v>133.36000000000001</v>
      </c>
      <c r="AY253" s="696">
        <v>129.63</v>
      </c>
      <c r="AZ253" s="695">
        <v>104.6</v>
      </c>
      <c r="BA253" s="696">
        <v>101</v>
      </c>
      <c r="BB253" s="696">
        <v>110.1</v>
      </c>
      <c r="BC253" s="697">
        <v>95.8</v>
      </c>
      <c r="BD253" s="695">
        <v>85.9</v>
      </c>
      <c r="BE253" s="696">
        <v>93.02</v>
      </c>
      <c r="BF253" s="696">
        <v>112.82</v>
      </c>
      <c r="BG253" s="697"/>
      <c r="BH253" s="695"/>
      <c r="BI253" s="696"/>
      <c r="BJ253" s="696"/>
      <c r="BK253" s="697"/>
      <c r="BL253" s="695"/>
      <c r="BM253" s="696"/>
      <c r="BN253" s="696"/>
      <c r="BO253" s="697"/>
      <c r="BP253" s="695"/>
      <c r="BQ253" s="696"/>
      <c r="BR253" s="696"/>
      <c r="BS253" s="697"/>
      <c r="BT253" s="695"/>
      <c r="BU253" s="696"/>
      <c r="BV253" s="696"/>
      <c r="BW253" s="697"/>
      <c r="BX253" s="776"/>
      <c r="BY253" s="695"/>
      <c r="BZ253" s="700">
        <v>231.226</v>
      </c>
      <c r="CA253" s="696">
        <v>253.57599999999996</v>
      </c>
      <c r="CB253" s="696">
        <v>359.79300000000001</v>
      </c>
      <c r="CC253" s="696">
        <v>345.60199999999998</v>
      </c>
      <c r="CD253" s="696">
        <v>351.64699999999999</v>
      </c>
      <c r="CE253" s="696">
        <v>285.91500000000002</v>
      </c>
      <c r="CF253" s="696">
        <v>387.99100000000004</v>
      </c>
      <c r="CG253" s="696">
        <v>889.64700000000005</v>
      </c>
      <c r="CH253" s="696">
        <v>630.529</v>
      </c>
      <c r="CI253" s="696">
        <v>549.65700000000004</v>
      </c>
      <c r="CJ253" s="696"/>
      <c r="CK253" s="696"/>
      <c r="CL253" s="696"/>
      <c r="CM253" s="696"/>
      <c r="CN253" s="696"/>
      <c r="CO253" s="696"/>
      <c r="CP253" s="697"/>
    </row>
    <row r="254" spans="1:94" s="1361" customFormat="1" ht="14.25" hidden="1" customHeight="1" outlineLevel="2">
      <c r="A254" s="1366"/>
      <c r="B254" s="300" t="s">
        <v>569</v>
      </c>
      <c r="C254" s="303"/>
      <c r="D254" s="695"/>
      <c r="E254" s="696">
        <v>40.991999999999997</v>
      </c>
      <c r="F254" s="696">
        <v>39.72</v>
      </c>
      <c r="G254" s="136">
        <v>44.576000000000008</v>
      </c>
      <c r="H254" s="695">
        <v>52.393999999999998</v>
      </c>
      <c r="I254" s="696">
        <v>56.695000000000007</v>
      </c>
      <c r="J254" s="922">
        <v>44.576000000000001</v>
      </c>
      <c r="K254" s="136">
        <v>39.884</v>
      </c>
      <c r="L254" s="695">
        <v>45.359999999999992</v>
      </c>
      <c r="M254" s="696">
        <v>42.392000000000003</v>
      </c>
      <c r="N254" s="696">
        <v>43.904000000000011</v>
      </c>
      <c r="O254" s="136">
        <v>41.015999999999998</v>
      </c>
      <c r="P254" s="695">
        <v>40.08</v>
      </c>
      <c r="Q254" s="696">
        <v>52.542000000000009</v>
      </c>
      <c r="R254" s="696">
        <v>50.507999999999996</v>
      </c>
      <c r="S254" s="136">
        <v>52.208000000000006</v>
      </c>
      <c r="T254" s="695">
        <v>52.388000000000005</v>
      </c>
      <c r="U254" s="696">
        <v>26.684000000000001</v>
      </c>
      <c r="V254" s="696">
        <v>44.318999999999996</v>
      </c>
      <c r="W254" s="136">
        <v>44.869</v>
      </c>
      <c r="X254" s="695">
        <v>50.627999999999993</v>
      </c>
      <c r="Y254" s="696">
        <v>101.286</v>
      </c>
      <c r="Z254" s="696">
        <v>98.855000000000004</v>
      </c>
      <c r="AA254" s="136">
        <v>92.852999999999994</v>
      </c>
      <c r="AB254" s="695">
        <v>75.820000000000007</v>
      </c>
      <c r="AC254" s="696">
        <v>75.563999999999993</v>
      </c>
      <c r="AD254" s="696">
        <v>80.393000000000001</v>
      </c>
      <c r="AE254" s="136">
        <v>89.477999999999994</v>
      </c>
      <c r="AF254" s="695">
        <v>104.53800000000001</v>
      </c>
      <c r="AG254" s="696">
        <v>110.827</v>
      </c>
      <c r="AH254" s="696">
        <v>108.126</v>
      </c>
      <c r="AI254" s="136">
        <v>110.04800000000002</v>
      </c>
      <c r="AJ254" s="695">
        <v>156.708</v>
      </c>
      <c r="AK254" s="696">
        <v>172.102</v>
      </c>
      <c r="AL254" s="696">
        <v>161.63999999999999</v>
      </c>
      <c r="AM254" s="136">
        <v>153.58000000000001</v>
      </c>
      <c r="AN254" s="695">
        <v>141.43600000000001</v>
      </c>
      <c r="AO254" s="696">
        <v>141.512</v>
      </c>
      <c r="AP254" s="696">
        <v>130.59</v>
      </c>
      <c r="AQ254" s="136">
        <v>136.04000000000002</v>
      </c>
      <c r="AR254" s="695">
        <v>132.20000000000002</v>
      </c>
      <c r="AS254" s="696">
        <v>137.66</v>
      </c>
      <c r="AT254" s="696">
        <v>143.08000000000001</v>
      </c>
      <c r="AU254" s="136">
        <v>143.6</v>
      </c>
      <c r="AV254" s="695">
        <v>148.36499999999998</v>
      </c>
      <c r="AW254" s="696">
        <v>166.672</v>
      </c>
      <c r="AX254" s="696">
        <v>183.37</v>
      </c>
      <c r="AY254" s="696">
        <v>207.40800000000002</v>
      </c>
      <c r="AZ254" s="695">
        <v>211.65</v>
      </c>
      <c r="BA254" s="696">
        <v>210.3</v>
      </c>
      <c r="BB254" s="696">
        <v>211.2</v>
      </c>
      <c r="BC254" s="697">
        <v>190.4</v>
      </c>
      <c r="BD254" s="695">
        <v>177.9</v>
      </c>
      <c r="BE254" s="696">
        <v>200.62</v>
      </c>
      <c r="BF254" s="696">
        <v>211.52</v>
      </c>
      <c r="BG254" s="697"/>
      <c r="BH254" s="695"/>
      <c r="BI254" s="696"/>
      <c r="BJ254" s="696"/>
      <c r="BK254" s="697"/>
      <c r="BL254" s="695"/>
      <c r="BM254" s="696"/>
      <c r="BN254" s="696"/>
      <c r="BO254" s="697"/>
      <c r="BP254" s="695"/>
      <c r="BQ254" s="696"/>
      <c r="BR254" s="696"/>
      <c r="BS254" s="697"/>
      <c r="BT254" s="695"/>
      <c r="BU254" s="696"/>
      <c r="BV254" s="696"/>
      <c r="BW254" s="697"/>
      <c r="BX254" s="776"/>
      <c r="BY254" s="695"/>
      <c r="BZ254" s="700">
        <v>193.54899999999998</v>
      </c>
      <c r="CA254" s="696">
        <v>172.672</v>
      </c>
      <c r="CB254" s="696">
        <v>195.33799999999999</v>
      </c>
      <c r="CC254" s="696">
        <v>168.26</v>
      </c>
      <c r="CD254" s="696">
        <v>343.62200000000001</v>
      </c>
      <c r="CE254" s="696">
        <v>321.255</v>
      </c>
      <c r="CF254" s="696">
        <v>433.53899999999999</v>
      </c>
      <c r="CG254" s="696">
        <v>644.03</v>
      </c>
      <c r="CH254" s="696">
        <v>549.57799999999997</v>
      </c>
      <c r="CI254" s="696">
        <v>556.54000000000008</v>
      </c>
      <c r="CJ254" s="696"/>
      <c r="CK254" s="696"/>
      <c r="CL254" s="696"/>
      <c r="CM254" s="696"/>
      <c r="CN254" s="696"/>
      <c r="CO254" s="696"/>
      <c r="CP254" s="697"/>
    </row>
    <row r="255" spans="1:94" s="1361" customFormat="1" ht="14.25" hidden="1" customHeight="1" outlineLevel="2">
      <c r="A255" s="1366"/>
      <c r="B255" s="300" t="s">
        <v>546</v>
      </c>
      <c r="C255" s="303"/>
      <c r="D255" s="695"/>
      <c r="E255" s="696">
        <v>58.926000000000002</v>
      </c>
      <c r="F255" s="696">
        <v>68.847999999999999</v>
      </c>
      <c r="G255" s="136">
        <v>69.650000000000006</v>
      </c>
      <c r="H255" s="695">
        <v>61.64</v>
      </c>
      <c r="I255" s="696">
        <v>76.704999999999998</v>
      </c>
      <c r="J255" s="922">
        <v>79.599999999999994</v>
      </c>
      <c r="K255" s="136">
        <v>85.904000000000011</v>
      </c>
      <c r="L255" s="695">
        <v>72.575999999999993</v>
      </c>
      <c r="M255" s="696">
        <v>72.671999999999997</v>
      </c>
      <c r="N255" s="696">
        <v>72.128000000000014</v>
      </c>
      <c r="O255" s="136">
        <v>71.778000000000006</v>
      </c>
      <c r="P255" s="695">
        <v>70.14</v>
      </c>
      <c r="Q255" s="696">
        <v>78.813000000000002</v>
      </c>
      <c r="R255" s="696">
        <v>96.807000000000002</v>
      </c>
      <c r="S255" s="136">
        <v>96.384</v>
      </c>
      <c r="T255" s="695">
        <v>82.323999999999998</v>
      </c>
      <c r="U255" s="696">
        <v>91.488</v>
      </c>
      <c r="V255" s="696">
        <v>100.72499999999999</v>
      </c>
      <c r="W255" s="136">
        <v>110.133</v>
      </c>
      <c r="X255" s="695">
        <v>122.35099999999998</v>
      </c>
      <c r="Y255" s="696">
        <v>129.42100000000002</v>
      </c>
      <c r="Z255" s="696">
        <v>133.745</v>
      </c>
      <c r="AA255" s="136">
        <v>112.401</v>
      </c>
      <c r="AB255" s="695">
        <v>90.984000000000009</v>
      </c>
      <c r="AC255" s="696">
        <v>113.346</v>
      </c>
      <c r="AD255" s="696">
        <v>127.68300000000001</v>
      </c>
      <c r="AE255" s="136">
        <v>129.24600000000001</v>
      </c>
      <c r="AF255" s="695">
        <v>143.05200000000002</v>
      </c>
      <c r="AG255" s="696">
        <v>151.65799999999999</v>
      </c>
      <c r="AH255" s="696">
        <v>150.17500000000001</v>
      </c>
      <c r="AI255" s="136">
        <v>133.21600000000001</v>
      </c>
      <c r="AJ255" s="695">
        <v>165.41400000000002</v>
      </c>
      <c r="AK255" s="696">
        <v>172.102</v>
      </c>
      <c r="AL255" s="696">
        <v>170.62</v>
      </c>
      <c r="AM255" s="136">
        <v>138.22199999999998</v>
      </c>
      <c r="AN255" s="695">
        <v>126.548</v>
      </c>
      <c r="AO255" s="696">
        <v>126.616</v>
      </c>
      <c r="AP255" s="696">
        <v>123.33500000000001</v>
      </c>
      <c r="AQ255" s="136">
        <v>115.63400000000001</v>
      </c>
      <c r="AR255" s="695">
        <v>105.76</v>
      </c>
      <c r="AS255" s="696">
        <v>110.128</v>
      </c>
      <c r="AT255" s="696">
        <v>114.464</v>
      </c>
      <c r="AU255" s="136">
        <v>107.7</v>
      </c>
      <c r="AV255" s="695">
        <v>105.97499999999999</v>
      </c>
      <c r="AW255" s="696">
        <v>106.06400000000001</v>
      </c>
      <c r="AX255" s="696">
        <v>116.69000000000001</v>
      </c>
      <c r="AY255" s="696">
        <v>95.062000000000012</v>
      </c>
      <c r="AZ255" s="695">
        <v>124.8</v>
      </c>
      <c r="BA255" s="696">
        <v>124.7</v>
      </c>
      <c r="BB255" s="696">
        <v>134.9</v>
      </c>
      <c r="BC255" s="697">
        <v>100.3</v>
      </c>
      <c r="BD255" s="695">
        <v>89.6</v>
      </c>
      <c r="BE255" s="696">
        <v>108.62</v>
      </c>
      <c r="BF255" s="696">
        <v>115.62</v>
      </c>
      <c r="BG255" s="697"/>
      <c r="BH255" s="695"/>
      <c r="BI255" s="696"/>
      <c r="BJ255" s="696"/>
      <c r="BK255" s="697"/>
      <c r="BL255" s="695"/>
      <c r="BM255" s="696"/>
      <c r="BN255" s="696"/>
      <c r="BO255" s="697"/>
      <c r="BP255" s="695"/>
      <c r="BQ255" s="696"/>
      <c r="BR255" s="696"/>
      <c r="BS255" s="697"/>
      <c r="BT255" s="695"/>
      <c r="BU255" s="696"/>
      <c r="BV255" s="696"/>
      <c r="BW255" s="697"/>
      <c r="BX255" s="776"/>
      <c r="BY255" s="695"/>
      <c r="BZ255" s="700">
        <v>303.84899999999999</v>
      </c>
      <c r="CA255" s="696">
        <v>289.154</v>
      </c>
      <c r="CB255" s="696">
        <v>342.14400000000001</v>
      </c>
      <c r="CC255" s="696">
        <v>384.67</v>
      </c>
      <c r="CD255" s="696">
        <v>497.91800000000001</v>
      </c>
      <c r="CE255" s="696">
        <v>461.25900000000001</v>
      </c>
      <c r="CF255" s="696">
        <v>578.10100000000011</v>
      </c>
      <c r="CG255" s="696">
        <v>646.35799999999995</v>
      </c>
      <c r="CH255" s="696">
        <v>492.13300000000004</v>
      </c>
      <c r="CI255" s="696">
        <v>438.05199999999996</v>
      </c>
      <c r="CJ255" s="696"/>
      <c r="CK255" s="696"/>
      <c r="CL255" s="696"/>
      <c r="CM255" s="696"/>
      <c r="CN255" s="696"/>
      <c r="CO255" s="696"/>
      <c r="CP255" s="697"/>
    </row>
    <row r="256" spans="1:94" s="1361" customFormat="1" ht="14.25" hidden="1" customHeight="1" outlineLevel="2">
      <c r="A256" s="1366"/>
      <c r="B256" s="300" t="s">
        <v>351</v>
      </c>
      <c r="C256" s="305"/>
      <c r="D256" s="695"/>
      <c r="E256" s="696">
        <v>46.116</v>
      </c>
      <c r="F256" s="696">
        <v>55.608000000000011</v>
      </c>
      <c r="G256" s="136">
        <v>58.506000000000007</v>
      </c>
      <c r="H256" s="695">
        <v>70.885999999999996</v>
      </c>
      <c r="I256" s="696">
        <v>73.37</v>
      </c>
      <c r="J256" s="922">
        <v>73.231999999999999</v>
      </c>
      <c r="K256" s="136">
        <v>67.496000000000009</v>
      </c>
      <c r="L256" s="695">
        <v>63.503999999999998</v>
      </c>
      <c r="M256" s="696">
        <v>75.7</v>
      </c>
      <c r="N256" s="696">
        <v>81.536000000000016</v>
      </c>
      <c r="O256" s="136">
        <v>88.868000000000009</v>
      </c>
      <c r="P256" s="695">
        <v>86.84</v>
      </c>
      <c r="Q256" s="696">
        <v>93.825000000000003</v>
      </c>
      <c r="R256" s="696">
        <v>105.22499999999999</v>
      </c>
      <c r="S256" s="136">
        <v>108.43200000000002</v>
      </c>
      <c r="T256" s="695">
        <v>97.292000000000002</v>
      </c>
      <c r="U256" s="696">
        <v>121.98399999999999</v>
      </c>
      <c r="V256" s="696">
        <v>96.695999999999998</v>
      </c>
      <c r="W256" s="136">
        <v>93.816999999999993</v>
      </c>
      <c r="X256" s="695">
        <v>92.817999999999998</v>
      </c>
      <c r="Y256" s="696">
        <v>22.508000000000003</v>
      </c>
      <c r="Z256" s="696">
        <v>23.26</v>
      </c>
      <c r="AA256" s="136">
        <v>29.321999999999999</v>
      </c>
      <c r="AB256" s="695">
        <v>18.955000000000002</v>
      </c>
      <c r="AC256" s="696">
        <v>12.593999999999999</v>
      </c>
      <c r="AD256" s="696">
        <v>18.916</v>
      </c>
      <c r="AE256" s="136">
        <v>19.884</v>
      </c>
      <c r="AF256" s="695">
        <v>22.008000000000003</v>
      </c>
      <c r="AG256" s="702">
        <v>17.498999999999999</v>
      </c>
      <c r="AH256" s="696">
        <v>18.021000000000001</v>
      </c>
      <c r="AI256" s="136">
        <v>23.168000000000003</v>
      </c>
      <c r="AJ256" s="695">
        <v>0</v>
      </c>
      <c r="AK256" s="696">
        <v>0</v>
      </c>
      <c r="AL256" s="696">
        <v>0</v>
      </c>
      <c r="AM256" s="136">
        <v>0</v>
      </c>
      <c r="AN256" s="695">
        <v>0</v>
      </c>
      <c r="AO256" s="696">
        <v>0</v>
      </c>
      <c r="AP256" s="696">
        <v>0</v>
      </c>
      <c r="AQ256" s="136">
        <v>0</v>
      </c>
      <c r="AR256" s="695">
        <v>0</v>
      </c>
      <c r="AS256" s="696">
        <v>0</v>
      </c>
      <c r="AT256" s="696">
        <v>0</v>
      </c>
      <c r="AU256" s="136">
        <v>0</v>
      </c>
      <c r="AV256" s="695">
        <v>0</v>
      </c>
      <c r="AW256" s="696">
        <v>0</v>
      </c>
      <c r="AX256" s="696">
        <v>0</v>
      </c>
      <c r="AY256" s="696">
        <v>0</v>
      </c>
      <c r="AZ256" s="695">
        <v>0</v>
      </c>
      <c r="BA256" s="696">
        <v>0</v>
      </c>
      <c r="BB256" s="696">
        <v>0</v>
      </c>
      <c r="BC256" s="697">
        <v>0</v>
      </c>
      <c r="BD256" s="695">
        <v>0</v>
      </c>
      <c r="BE256" s="696">
        <v>0</v>
      </c>
      <c r="BF256" s="696">
        <v>0</v>
      </c>
      <c r="BG256" s="697"/>
      <c r="BH256" s="695"/>
      <c r="BI256" s="696"/>
      <c r="BJ256" s="696"/>
      <c r="BK256" s="697"/>
      <c r="BL256" s="695"/>
      <c r="BM256" s="696"/>
      <c r="BN256" s="696"/>
      <c r="BO256" s="697"/>
      <c r="BP256" s="695"/>
      <c r="BQ256" s="696"/>
      <c r="BR256" s="696"/>
      <c r="BS256" s="697"/>
      <c r="BT256" s="695"/>
      <c r="BU256" s="696"/>
      <c r="BV256" s="696"/>
      <c r="BW256" s="697"/>
      <c r="BX256" s="776"/>
      <c r="BY256" s="695"/>
      <c r="BZ256" s="700">
        <v>284.98400000000004</v>
      </c>
      <c r="CA256" s="696">
        <v>309.608</v>
      </c>
      <c r="CB256" s="702">
        <v>394.322</v>
      </c>
      <c r="CC256" s="702">
        <v>409.78899999999999</v>
      </c>
      <c r="CD256" s="702">
        <v>167.90799999999999</v>
      </c>
      <c r="CE256" s="696">
        <v>70.349000000000004</v>
      </c>
      <c r="CF256" s="696">
        <v>80.696000000000012</v>
      </c>
      <c r="CG256" s="696">
        <v>0</v>
      </c>
      <c r="CH256" s="696">
        <v>0</v>
      </c>
      <c r="CI256" s="696">
        <v>0</v>
      </c>
      <c r="CJ256" s="696"/>
      <c r="CK256" s="696"/>
      <c r="CL256" s="696"/>
      <c r="CM256" s="696"/>
      <c r="CN256" s="696"/>
      <c r="CO256" s="696"/>
      <c r="CP256" s="697"/>
    </row>
    <row r="257" spans="1:94" s="1361" customFormat="1" ht="14.25" hidden="1" customHeight="1" outlineLevel="2">
      <c r="A257" s="1366"/>
      <c r="B257" s="347" t="s">
        <v>360</v>
      </c>
      <c r="C257" s="348"/>
      <c r="D257" s="703"/>
      <c r="E257" s="704">
        <v>256.2</v>
      </c>
      <c r="F257" s="704">
        <v>264.8</v>
      </c>
      <c r="G257" s="705">
        <v>278.60000000000002</v>
      </c>
      <c r="H257" s="703">
        <v>308.20000000000005</v>
      </c>
      <c r="I257" s="704">
        <v>333.5</v>
      </c>
      <c r="J257" s="923">
        <v>318.39999999999998</v>
      </c>
      <c r="K257" s="705">
        <v>306.79999999999995</v>
      </c>
      <c r="L257" s="706">
        <v>302.39999999999998</v>
      </c>
      <c r="M257" s="707">
        <v>302.8</v>
      </c>
      <c r="N257" s="707">
        <v>313.60000000000008</v>
      </c>
      <c r="O257" s="708">
        <v>341.8</v>
      </c>
      <c r="P257" s="706">
        <v>334</v>
      </c>
      <c r="Q257" s="707">
        <v>375.3</v>
      </c>
      <c r="R257" s="707">
        <v>420.9</v>
      </c>
      <c r="S257" s="708">
        <v>401.6</v>
      </c>
      <c r="T257" s="706">
        <v>374.20000000000005</v>
      </c>
      <c r="U257" s="707">
        <v>381.2</v>
      </c>
      <c r="V257" s="707">
        <v>402.9</v>
      </c>
      <c r="W257" s="708">
        <v>407.9</v>
      </c>
      <c r="X257" s="706">
        <v>421.9</v>
      </c>
      <c r="Y257" s="707">
        <v>562.70000000000005</v>
      </c>
      <c r="Z257" s="707">
        <v>581.5</v>
      </c>
      <c r="AA257" s="708">
        <v>488.70000000000005</v>
      </c>
      <c r="AB257" s="706">
        <v>379.09999999999997</v>
      </c>
      <c r="AC257" s="707">
        <v>419.8</v>
      </c>
      <c r="AD257" s="707">
        <v>472.9</v>
      </c>
      <c r="AE257" s="708">
        <v>497.1</v>
      </c>
      <c r="AF257" s="706">
        <v>550.20000000000005</v>
      </c>
      <c r="AG257" s="709">
        <v>583.29999999999995</v>
      </c>
      <c r="AH257" s="707">
        <v>600.70000000000005</v>
      </c>
      <c r="AI257" s="707">
        <v>579.20000000000005</v>
      </c>
      <c r="AJ257" s="706">
        <v>870.6</v>
      </c>
      <c r="AK257" s="707">
        <v>905.8</v>
      </c>
      <c r="AL257" s="707">
        <v>898</v>
      </c>
      <c r="AM257" s="708">
        <v>767.9</v>
      </c>
      <c r="AN257" s="706">
        <v>744.40000000000009</v>
      </c>
      <c r="AO257" s="707">
        <v>744.8</v>
      </c>
      <c r="AP257" s="707">
        <v>725.50000000000011</v>
      </c>
      <c r="AQ257" s="708">
        <v>680.2</v>
      </c>
      <c r="AR257" s="706">
        <v>661.00000000000011</v>
      </c>
      <c r="AS257" s="707">
        <v>688.30000000000007</v>
      </c>
      <c r="AT257" s="707">
        <v>715.40000000000009</v>
      </c>
      <c r="AU257" s="708">
        <v>718.00000000000011</v>
      </c>
      <c r="AV257" s="706">
        <v>706.5</v>
      </c>
      <c r="AW257" s="707">
        <v>757.59999999999991</v>
      </c>
      <c r="AX257" s="707">
        <v>833.50000000000011</v>
      </c>
      <c r="AY257" s="707">
        <v>864.2</v>
      </c>
      <c r="AZ257" s="706">
        <v>870.8</v>
      </c>
      <c r="BA257" s="707">
        <v>880.5</v>
      </c>
      <c r="BB257" s="707">
        <v>904.4</v>
      </c>
      <c r="BC257" s="707">
        <v>840.29999999999984</v>
      </c>
      <c r="BD257" s="706">
        <v>817.19999999999993</v>
      </c>
      <c r="BE257" s="707">
        <v>877.8</v>
      </c>
      <c r="BF257" s="707">
        <v>950.9</v>
      </c>
      <c r="BG257" s="708"/>
      <c r="BH257" s="706"/>
      <c r="BI257" s="707"/>
      <c r="BJ257" s="707"/>
      <c r="BK257" s="708"/>
      <c r="BL257" s="706"/>
      <c r="BM257" s="707"/>
      <c r="BN257" s="707"/>
      <c r="BO257" s="708"/>
      <c r="BP257" s="706"/>
      <c r="BQ257" s="707"/>
      <c r="BR257" s="707"/>
      <c r="BS257" s="708"/>
      <c r="BT257" s="706"/>
      <c r="BU257" s="707"/>
      <c r="BV257" s="707"/>
      <c r="BW257" s="708"/>
      <c r="BX257" s="777"/>
      <c r="BY257" s="706"/>
      <c r="BZ257" s="707">
        <v>1266.9000000000001</v>
      </c>
      <c r="CA257" s="707">
        <v>1260.5999999999999</v>
      </c>
      <c r="CB257" s="707">
        <v>1531.8000000000002</v>
      </c>
      <c r="CC257" s="707">
        <v>1566.2</v>
      </c>
      <c r="CD257" s="707">
        <v>2054.8000000000002</v>
      </c>
      <c r="CE257" s="707">
        <v>1768.8999999999999</v>
      </c>
      <c r="CF257" s="707">
        <v>2313.4</v>
      </c>
      <c r="CG257" s="707">
        <v>3442.3</v>
      </c>
      <c r="CH257" s="707">
        <v>2894.8999999999996</v>
      </c>
      <c r="CI257" s="707">
        <v>2782.7000000000003</v>
      </c>
      <c r="CJ257" s="707"/>
      <c r="CK257" s="707"/>
      <c r="CL257" s="707"/>
      <c r="CM257" s="707"/>
      <c r="CN257" s="707"/>
      <c r="CO257" s="707"/>
      <c r="CP257" s="708"/>
    </row>
    <row r="258" spans="1:94" s="1361" customFormat="1" ht="14.25" hidden="1" customHeight="1" outlineLevel="2">
      <c r="A258" s="1366"/>
      <c r="B258" s="57"/>
      <c r="J258" s="322"/>
      <c r="AJ258" s="9"/>
      <c r="AK258" s="9"/>
      <c r="AL258" s="9"/>
      <c r="AN258" s="9"/>
      <c r="AO258" s="9"/>
      <c r="AP258" s="9"/>
      <c r="AR258" s="9"/>
      <c r="AS258" s="9"/>
      <c r="AV258" s="9"/>
      <c r="AW258" s="9"/>
      <c r="AZ258" s="9"/>
      <c r="BD258" s="9"/>
      <c r="BL258" s="1372"/>
      <c r="BM258" s="1372"/>
      <c r="BN258" s="1372"/>
      <c r="BO258" s="1372"/>
      <c r="BP258" s="1372"/>
      <c r="BQ258" s="1372"/>
      <c r="BR258" s="1372"/>
      <c r="BS258" s="1372"/>
      <c r="BT258" s="1463"/>
      <c r="BU258" s="1463"/>
      <c r="BV258" s="1463"/>
      <c r="BW258" s="1463"/>
      <c r="BX258" s="302"/>
      <c r="BY258" s="302"/>
      <c r="BZ258" s="302"/>
      <c r="CA258" s="302"/>
      <c r="CB258" s="302"/>
      <c r="CC258" s="302"/>
      <c r="CD258" s="302"/>
      <c r="CE258" s="302"/>
      <c r="CF258" s="302"/>
      <c r="CG258" s="15"/>
      <c r="CH258" s="302"/>
      <c r="CI258" s="302"/>
      <c r="CJ258" s="302"/>
      <c r="CK258" s="302"/>
      <c r="CL258" s="302"/>
      <c r="CM258" s="302"/>
      <c r="CN258" s="302"/>
      <c r="CO258" s="302"/>
      <c r="CP258" s="302"/>
    </row>
    <row r="259" spans="1:94" s="1361" customFormat="1" ht="14.25" hidden="1" customHeight="1" outlineLevel="2">
      <c r="A259" s="1366"/>
      <c r="B259" s="266" t="s">
        <v>301</v>
      </c>
      <c r="C259" s="267"/>
      <c r="D259" s="765"/>
      <c r="E259" s="766" t="s">
        <v>644</v>
      </c>
      <c r="F259" s="766" t="s">
        <v>644</v>
      </c>
      <c r="G259" s="766" t="s">
        <v>644</v>
      </c>
      <c r="H259" s="765" t="s">
        <v>644</v>
      </c>
      <c r="I259" s="766" t="s">
        <v>644</v>
      </c>
      <c r="J259" s="924" t="s">
        <v>644</v>
      </c>
      <c r="K259" s="766" t="s">
        <v>644</v>
      </c>
      <c r="L259" s="765" t="s">
        <v>644</v>
      </c>
      <c r="M259" s="766" t="s">
        <v>644</v>
      </c>
      <c r="N259" s="766" t="s">
        <v>644</v>
      </c>
      <c r="O259" s="766" t="s">
        <v>644</v>
      </c>
      <c r="P259" s="765" t="s">
        <v>644</v>
      </c>
      <c r="Q259" s="766" t="s">
        <v>644</v>
      </c>
      <c r="R259" s="766" t="s">
        <v>644</v>
      </c>
      <c r="S259" s="766" t="s">
        <v>644</v>
      </c>
      <c r="T259" s="765" t="s">
        <v>644</v>
      </c>
      <c r="U259" s="766" t="s">
        <v>644</v>
      </c>
      <c r="V259" s="766" t="s">
        <v>644</v>
      </c>
      <c r="W259" s="766" t="s">
        <v>644</v>
      </c>
      <c r="X259" s="765" t="s">
        <v>644</v>
      </c>
      <c r="Y259" s="766" t="s">
        <v>644</v>
      </c>
      <c r="Z259" s="766" t="s">
        <v>644</v>
      </c>
      <c r="AA259" s="766" t="s">
        <v>644</v>
      </c>
      <c r="AB259" s="765" t="s">
        <v>644</v>
      </c>
      <c r="AC259" s="766" t="s">
        <v>644</v>
      </c>
      <c r="AD259" s="766" t="s">
        <v>644</v>
      </c>
      <c r="AE259" s="766" t="s">
        <v>644</v>
      </c>
      <c r="AF259" s="765" t="s">
        <v>644</v>
      </c>
      <c r="AG259" s="766" t="s">
        <v>644</v>
      </c>
      <c r="AH259" s="766" t="s">
        <v>644</v>
      </c>
      <c r="AI259" s="766" t="s">
        <v>644</v>
      </c>
      <c r="AJ259" s="765" t="s">
        <v>644</v>
      </c>
      <c r="AK259" s="766" t="s">
        <v>644</v>
      </c>
      <c r="AL259" s="766" t="s">
        <v>644</v>
      </c>
      <c r="AM259" s="766" t="s">
        <v>644</v>
      </c>
      <c r="AN259" s="765" t="s">
        <v>644</v>
      </c>
      <c r="AO259" s="766" t="s">
        <v>644</v>
      </c>
      <c r="AP259" s="766" t="s">
        <v>644</v>
      </c>
      <c r="AQ259" s="766" t="s">
        <v>644</v>
      </c>
      <c r="AR259" s="765" t="s">
        <v>644</v>
      </c>
      <c r="AS259" s="766" t="s">
        <v>644</v>
      </c>
      <c r="AT259" s="766" t="s">
        <v>644</v>
      </c>
      <c r="AU259" s="766" t="s">
        <v>644</v>
      </c>
      <c r="AV259" s="765" t="s">
        <v>644</v>
      </c>
      <c r="AW259" s="766" t="s">
        <v>644</v>
      </c>
      <c r="AX259" s="766" t="s">
        <v>644</v>
      </c>
      <c r="AY259" s="766" t="s">
        <v>644</v>
      </c>
      <c r="AZ259" s="765" t="s">
        <v>644</v>
      </c>
      <c r="BA259" s="766" t="s">
        <v>644</v>
      </c>
      <c r="BB259" s="766" t="s">
        <v>644</v>
      </c>
      <c r="BC259" s="766" t="s">
        <v>644</v>
      </c>
      <c r="BD259" s="765" t="s">
        <v>644</v>
      </c>
      <c r="BE259" s="766" t="s">
        <v>644</v>
      </c>
      <c r="BF259" s="766" t="s">
        <v>644</v>
      </c>
      <c r="BG259" s="711"/>
      <c r="BH259" s="710"/>
      <c r="BI259" s="711"/>
      <c r="BJ259" s="711"/>
      <c r="BK259" s="711"/>
      <c r="BL259" s="710"/>
      <c r="BM259" s="711"/>
      <c r="BN259" s="711"/>
      <c r="BO259" s="711"/>
      <c r="BP259" s="710"/>
      <c r="BQ259" s="711"/>
      <c r="BR259" s="711"/>
      <c r="BS259" s="711"/>
      <c r="BT259" s="710"/>
      <c r="BU259" s="711"/>
      <c r="BV259" s="711"/>
      <c r="BW259" s="711"/>
      <c r="BX259" s="778"/>
      <c r="BY259" s="765"/>
      <c r="BZ259" s="766" t="s">
        <v>644</v>
      </c>
      <c r="CA259" s="766" t="s">
        <v>644</v>
      </c>
      <c r="CB259" s="766" t="s">
        <v>644</v>
      </c>
      <c r="CC259" s="766" t="s">
        <v>644</v>
      </c>
      <c r="CD259" s="766" t="s">
        <v>644</v>
      </c>
      <c r="CE259" s="766" t="s">
        <v>644</v>
      </c>
      <c r="CF259" s="766" t="s">
        <v>644</v>
      </c>
      <c r="CG259" s="766" t="s">
        <v>644</v>
      </c>
      <c r="CH259" s="766" t="s">
        <v>644</v>
      </c>
      <c r="CI259" s="766" t="s">
        <v>644</v>
      </c>
      <c r="CJ259" s="711"/>
      <c r="CK259" s="711"/>
      <c r="CL259" s="711"/>
      <c r="CM259" s="711"/>
      <c r="CN259" s="711"/>
      <c r="CO259" s="711"/>
      <c r="CP259" s="712"/>
    </row>
    <row r="260" spans="1:94" s="1361" customFormat="1" ht="14.25" hidden="1" customHeight="1" outlineLevel="2">
      <c r="A260" s="1366"/>
      <c r="B260" s="57"/>
      <c r="J260" s="322"/>
      <c r="AJ260" s="9"/>
      <c r="AK260" s="9"/>
      <c r="AL260" s="9"/>
      <c r="AN260" s="9"/>
      <c r="BL260" s="1372"/>
      <c r="BM260" s="1372"/>
      <c r="BN260" s="1372"/>
      <c r="BO260" s="1372"/>
      <c r="BP260" s="1372"/>
      <c r="BQ260" s="1372"/>
      <c r="BR260" s="1372"/>
      <c r="BS260" s="1372"/>
      <c r="BT260" s="1463"/>
      <c r="BU260" s="1463"/>
      <c r="BV260" s="1463"/>
      <c r="BW260" s="1463"/>
      <c r="CG260" s="9"/>
      <c r="CJ260" s="302"/>
      <c r="CK260" s="302"/>
      <c r="CL260" s="302"/>
      <c r="CM260" s="302"/>
      <c r="CN260" s="302"/>
      <c r="CO260" s="302"/>
      <c r="CP260" s="302"/>
    </row>
    <row r="261" spans="1:94" s="1361" customFormat="1" ht="14.25" hidden="1" customHeight="1" outlineLevel="2">
      <c r="A261" s="1366"/>
      <c r="B261" s="57"/>
      <c r="J261" s="322"/>
      <c r="AJ261" s="9"/>
      <c r="AK261" s="9"/>
      <c r="AL261" s="9"/>
      <c r="AN261" s="9"/>
      <c r="BL261" s="1372"/>
      <c r="BM261" s="1372"/>
      <c r="BN261" s="1372"/>
      <c r="BO261" s="1372"/>
      <c r="BP261" s="1372"/>
      <c r="BQ261" s="1372"/>
      <c r="BR261" s="1372"/>
      <c r="BS261" s="1372"/>
      <c r="BT261" s="1463"/>
      <c r="BU261" s="1463"/>
      <c r="BV261" s="1463"/>
      <c r="BW261" s="1463"/>
      <c r="CG261" s="9"/>
      <c r="CJ261" s="302"/>
      <c r="CK261" s="302"/>
      <c r="CL261" s="302"/>
      <c r="CM261" s="302"/>
      <c r="CN261" s="302"/>
      <c r="CO261" s="302"/>
      <c r="CP261" s="302"/>
    </row>
    <row r="262" spans="1:94" s="1361" customFormat="1" ht="14.25" hidden="1" customHeight="1" outlineLevel="2">
      <c r="A262" s="1366"/>
      <c r="B262" s="131" t="s">
        <v>542</v>
      </c>
      <c r="C262" s="132"/>
      <c r="D262" s="768" t="s">
        <v>25</v>
      </c>
      <c r="E262" s="768" t="s">
        <v>27</v>
      </c>
      <c r="F262" s="768" t="s">
        <v>29</v>
      </c>
      <c r="G262" s="860" t="s">
        <v>31</v>
      </c>
      <c r="H262" s="768" t="s">
        <v>33</v>
      </c>
      <c r="I262" s="768" t="s">
        <v>35</v>
      </c>
      <c r="J262" s="768" t="s">
        <v>37</v>
      </c>
      <c r="K262" s="768" t="s">
        <v>39</v>
      </c>
      <c r="L262" s="1299" t="s">
        <v>466</v>
      </c>
      <c r="M262" s="1300" t="s">
        <v>467</v>
      </c>
      <c r="N262" s="1300" t="s">
        <v>468</v>
      </c>
      <c r="O262" s="1301" t="s">
        <v>469</v>
      </c>
      <c r="P262" s="1299" t="s">
        <v>470</v>
      </c>
      <c r="Q262" s="1300" t="s">
        <v>471</v>
      </c>
      <c r="R262" s="1300" t="s">
        <v>472</v>
      </c>
      <c r="S262" s="1301" t="s">
        <v>473</v>
      </c>
      <c r="T262" s="1299" t="s">
        <v>375</v>
      </c>
      <c r="U262" s="1300" t="s">
        <v>376</v>
      </c>
      <c r="V262" s="1300" t="s">
        <v>377</v>
      </c>
      <c r="W262" s="1301" t="s">
        <v>378</v>
      </c>
      <c r="X262" s="1299" t="s">
        <v>379</v>
      </c>
      <c r="Y262" s="1300" t="s">
        <v>380</v>
      </c>
      <c r="Z262" s="1300" t="s">
        <v>381</v>
      </c>
      <c r="AA262" s="1301" t="s">
        <v>382</v>
      </c>
      <c r="AB262" s="1299" t="s">
        <v>383</v>
      </c>
      <c r="AC262" s="1300" t="s">
        <v>384</v>
      </c>
      <c r="AD262" s="1300" t="s">
        <v>385</v>
      </c>
      <c r="AE262" s="1301" t="s">
        <v>386</v>
      </c>
      <c r="AF262" s="1299" t="s">
        <v>387</v>
      </c>
      <c r="AG262" s="1300" t="s">
        <v>388</v>
      </c>
      <c r="AH262" s="1300" t="s">
        <v>389</v>
      </c>
      <c r="AI262" s="1301" t="s">
        <v>390</v>
      </c>
      <c r="AJ262" s="1299" t="s">
        <v>391</v>
      </c>
      <c r="AK262" s="1300" t="s">
        <v>392</v>
      </c>
      <c r="AL262" s="1300" t="s">
        <v>474</v>
      </c>
      <c r="AM262" s="1301" t="s">
        <v>475</v>
      </c>
      <c r="AN262" s="1299" t="s">
        <v>476</v>
      </c>
      <c r="AO262" s="1300" t="s">
        <v>484</v>
      </c>
      <c r="AP262" s="1300" t="s">
        <v>492</v>
      </c>
      <c r="AQ262" s="1301" t="s">
        <v>65</v>
      </c>
      <c r="AR262" s="1299" t="s">
        <v>584</v>
      </c>
      <c r="AS262" s="1300" t="s">
        <v>585</v>
      </c>
      <c r="AT262" s="1300" t="s">
        <v>586</v>
      </c>
      <c r="AU262" s="1301" t="s">
        <v>6</v>
      </c>
      <c r="AV262" s="1299" t="s">
        <v>18</v>
      </c>
      <c r="AW262" s="1300" t="s">
        <v>22</v>
      </c>
      <c r="AX262" s="1300" t="s">
        <v>13</v>
      </c>
      <c r="AY262" s="1300" t="s">
        <v>588</v>
      </c>
      <c r="AZ262" s="1262" t="s">
        <v>595</v>
      </c>
      <c r="BA262" s="1304" t="s">
        <v>602</v>
      </c>
      <c r="BB262" s="1300" t="s">
        <v>603</v>
      </c>
      <c r="BC262" s="1264" t="s">
        <v>607</v>
      </c>
      <c r="BD262" s="1262" t="s">
        <v>620</v>
      </c>
      <c r="BE262" s="1304" t="s">
        <v>621</v>
      </c>
      <c r="BF262" s="1300" t="s">
        <v>631</v>
      </c>
      <c r="BG262" s="1380" t="s">
        <v>633</v>
      </c>
      <c r="BH262" s="1299" t="s">
        <v>589</v>
      </c>
      <c r="BI262" s="1300" t="s">
        <v>590</v>
      </c>
      <c r="BJ262" s="1300" t="s">
        <v>591</v>
      </c>
      <c r="BK262" s="1301" t="s">
        <v>592</v>
      </c>
      <c r="BL262" s="1299" t="s">
        <v>614</v>
      </c>
      <c r="BM262" s="1300" t="s">
        <v>615</v>
      </c>
      <c r="BN262" s="1300" t="s">
        <v>616</v>
      </c>
      <c r="BO262" s="1301" t="s">
        <v>617</v>
      </c>
      <c r="BP262" s="1299" t="s">
        <v>614</v>
      </c>
      <c r="BQ262" s="1300" t="s">
        <v>615</v>
      </c>
      <c r="BR262" s="1300" t="s">
        <v>616</v>
      </c>
      <c r="BS262" s="1301" t="s">
        <v>617</v>
      </c>
      <c r="BT262" s="1390" t="s">
        <v>614</v>
      </c>
      <c r="BU262" s="1391" t="s">
        <v>615</v>
      </c>
      <c r="BV262" s="1391" t="s">
        <v>616</v>
      </c>
      <c r="BW262" s="1392" t="s">
        <v>617</v>
      </c>
      <c r="BX262" s="21"/>
      <c r="BY262" s="1253" t="s">
        <v>336</v>
      </c>
      <c r="BZ262" s="1254" t="s">
        <v>337</v>
      </c>
      <c r="CA262" s="1254" t="s">
        <v>477</v>
      </c>
      <c r="CB262" s="1254" t="s">
        <v>478</v>
      </c>
      <c r="CC262" s="1254" t="s">
        <v>393</v>
      </c>
      <c r="CD262" s="1254" t="s">
        <v>394</v>
      </c>
      <c r="CE262" s="1254" t="s">
        <v>395</v>
      </c>
      <c r="CF262" s="1254" t="s">
        <v>396</v>
      </c>
      <c r="CG262" s="1254" t="s">
        <v>479</v>
      </c>
      <c r="CH262" s="1254" t="s">
        <v>495</v>
      </c>
      <c r="CI262" s="1254" t="s">
        <v>16</v>
      </c>
      <c r="CJ262" s="1254" t="s">
        <v>593</v>
      </c>
      <c r="CK262" s="1254" t="s">
        <v>609</v>
      </c>
      <c r="CL262" s="1254" t="s">
        <v>397</v>
      </c>
      <c r="CM262" s="1254" t="s">
        <v>398</v>
      </c>
      <c r="CN262" s="1254" t="s">
        <v>399</v>
      </c>
      <c r="CO262" s="1254" t="s">
        <v>399</v>
      </c>
      <c r="CP262" s="1256" t="s">
        <v>399</v>
      </c>
    </row>
    <row r="263" spans="1:94" s="1361" customFormat="1" ht="14.25" hidden="1" customHeight="1" outlineLevel="2">
      <c r="A263" s="1366"/>
      <c r="B263" s="350" t="s">
        <v>543</v>
      </c>
      <c r="C263" s="345"/>
      <c r="D263" s="854"/>
      <c r="E263" s="854">
        <v>0.25</v>
      </c>
      <c r="F263" s="854">
        <v>0.21</v>
      </c>
      <c r="G263" s="855">
        <v>0.2</v>
      </c>
      <c r="H263" s="854">
        <v>0.22</v>
      </c>
      <c r="I263" s="854">
        <v>0.2</v>
      </c>
      <c r="J263" s="925">
        <v>0.19</v>
      </c>
      <c r="K263" s="855">
        <v>0.19</v>
      </c>
      <c r="L263" s="854">
        <v>0.21</v>
      </c>
      <c r="M263" s="854">
        <v>0.19</v>
      </c>
      <c r="N263" s="854">
        <v>0.18</v>
      </c>
      <c r="O263" s="855">
        <v>0.17</v>
      </c>
      <c r="P263" s="852">
        <v>0.17</v>
      </c>
      <c r="Q263" s="854">
        <v>0.16</v>
      </c>
      <c r="R263" s="854">
        <v>0.15</v>
      </c>
      <c r="S263" s="855">
        <v>0.15</v>
      </c>
      <c r="T263" s="852">
        <v>0.17</v>
      </c>
      <c r="U263" s="854">
        <v>0.18</v>
      </c>
      <c r="V263" s="854">
        <v>0.16</v>
      </c>
      <c r="W263" s="855">
        <v>0.15</v>
      </c>
      <c r="X263" s="852">
        <v>0.17</v>
      </c>
      <c r="Y263" s="854">
        <v>0.21</v>
      </c>
      <c r="Z263" s="854">
        <v>0.17</v>
      </c>
      <c r="AA263" s="855">
        <v>0.16</v>
      </c>
      <c r="AB263" s="852">
        <v>0.17</v>
      </c>
      <c r="AC263" s="854">
        <v>0.17</v>
      </c>
      <c r="AD263" s="854">
        <v>0.18</v>
      </c>
      <c r="AE263" s="855">
        <v>0.19</v>
      </c>
      <c r="AF263" s="852">
        <v>0.19</v>
      </c>
      <c r="AG263" s="854">
        <v>0.2</v>
      </c>
      <c r="AH263" s="854">
        <v>0.19</v>
      </c>
      <c r="AI263" s="855">
        <v>0.22</v>
      </c>
      <c r="AJ263" s="852">
        <v>0.22</v>
      </c>
      <c r="AK263" s="854">
        <v>0.22</v>
      </c>
      <c r="AL263" s="854">
        <v>0.22</v>
      </c>
      <c r="AM263" s="855">
        <v>0.25</v>
      </c>
      <c r="AN263" s="852">
        <v>0.26</v>
      </c>
      <c r="AO263" s="854">
        <v>0.26</v>
      </c>
      <c r="AP263" s="854">
        <v>0.25</v>
      </c>
      <c r="AQ263" s="856">
        <v>0.26</v>
      </c>
      <c r="AR263" s="852">
        <v>0.28000000000000003</v>
      </c>
      <c r="AS263" s="854">
        <v>0.28000000000000003</v>
      </c>
      <c r="AT263" s="854">
        <v>0.26</v>
      </c>
      <c r="AU263" s="856">
        <v>0.27</v>
      </c>
      <c r="AV263" s="852">
        <v>0.3</v>
      </c>
      <c r="AW263" s="854">
        <v>0.28999999999999998</v>
      </c>
      <c r="AX263" s="854">
        <v>0.28999999999999998</v>
      </c>
      <c r="AY263" s="854">
        <v>0.32</v>
      </c>
      <c r="AZ263" s="852">
        <v>0.33239549839228294</v>
      </c>
      <c r="BA263" s="854">
        <v>0.31834185122089725</v>
      </c>
      <c r="BB263" s="854">
        <v>0.30988719309887192</v>
      </c>
      <c r="BC263" s="854">
        <v>0.35332619302630014</v>
      </c>
      <c r="BD263" s="852">
        <v>0.39549681840430734</v>
      </c>
      <c r="BE263" s="854">
        <v>0.36411483253588517</v>
      </c>
      <c r="BF263" s="854">
        <v>0.33496687348827425</v>
      </c>
      <c r="BG263" s="717"/>
      <c r="BH263" s="715"/>
      <c r="BI263" s="716"/>
      <c r="BJ263" s="716"/>
      <c r="BK263" s="717"/>
      <c r="BL263" s="715"/>
      <c r="BM263" s="716"/>
      <c r="BN263" s="716"/>
      <c r="BO263" s="717"/>
      <c r="BP263" s="715"/>
      <c r="BQ263" s="716"/>
      <c r="BR263" s="716"/>
      <c r="BS263" s="717"/>
      <c r="BT263" s="715"/>
      <c r="BU263" s="716"/>
      <c r="BV263" s="716"/>
      <c r="BW263" s="717"/>
      <c r="BX263" s="346"/>
      <c r="BY263" s="338"/>
      <c r="BZ263" s="338">
        <v>0.19993053911121633</v>
      </c>
      <c r="CA263" s="338">
        <v>0.18688719657306047</v>
      </c>
      <c r="CB263" s="338">
        <v>0.15681094137615881</v>
      </c>
      <c r="CC263" s="220">
        <v>0.16465266249521138</v>
      </c>
      <c r="CD263" s="220">
        <v>0.17857553046525212</v>
      </c>
      <c r="CE263" s="220">
        <v>0.17829385493809713</v>
      </c>
      <c r="CF263" s="220">
        <v>0.20003241981499092</v>
      </c>
      <c r="CG263" s="358">
        <v>0.22669232780408446</v>
      </c>
      <c r="CH263" s="358">
        <v>0.2574938685274103</v>
      </c>
      <c r="CI263" s="358">
        <v>0.27227800337801417</v>
      </c>
      <c r="CJ263" s="338"/>
      <c r="CK263" s="338"/>
      <c r="CL263" s="338"/>
      <c r="CM263" s="338"/>
      <c r="CN263" s="338"/>
      <c r="CO263" s="338"/>
      <c r="CP263" s="337"/>
    </row>
    <row r="264" spans="1:94" s="1361" customFormat="1" ht="14.25" hidden="1" customHeight="1" outlineLevel="2">
      <c r="A264" s="1366"/>
      <c r="B264" s="354" t="s">
        <v>544</v>
      </c>
      <c r="C264" s="303"/>
      <c r="D264" s="355"/>
      <c r="E264" s="356"/>
      <c r="F264" s="356"/>
      <c r="G264" s="357"/>
      <c r="H264" s="355"/>
      <c r="I264" s="356"/>
      <c r="J264" s="418"/>
      <c r="K264" s="357"/>
      <c r="L264" s="355"/>
      <c r="M264" s="356"/>
      <c r="N264" s="356"/>
      <c r="O264" s="357"/>
      <c r="P264" s="355"/>
      <c r="Q264" s="356"/>
      <c r="R264" s="356"/>
      <c r="S264" s="357"/>
      <c r="T264" s="355"/>
      <c r="U264" s="356"/>
      <c r="V264" s="356"/>
      <c r="W264" s="357"/>
      <c r="X264" s="853"/>
      <c r="Y264" s="857">
        <v>0.19</v>
      </c>
      <c r="Z264" s="857">
        <v>0.21</v>
      </c>
      <c r="AA264" s="858">
        <v>0.2</v>
      </c>
      <c r="AB264" s="853">
        <v>0.2</v>
      </c>
      <c r="AC264" s="857">
        <v>0.2</v>
      </c>
      <c r="AD264" s="857">
        <v>0.17</v>
      </c>
      <c r="AE264" s="858">
        <v>0.15</v>
      </c>
      <c r="AF264" s="853">
        <v>0.16</v>
      </c>
      <c r="AG264" s="857">
        <v>0.15</v>
      </c>
      <c r="AH264" s="857">
        <v>0.17</v>
      </c>
      <c r="AI264" s="858">
        <v>0.16</v>
      </c>
      <c r="AJ264" s="853">
        <v>0.14000000000000001</v>
      </c>
      <c r="AK264" s="857">
        <v>0.14000000000000001</v>
      </c>
      <c r="AL264" s="857">
        <v>0.14000000000000001</v>
      </c>
      <c r="AM264" s="858">
        <v>0.14000000000000001</v>
      </c>
      <c r="AN264" s="853">
        <v>0.16</v>
      </c>
      <c r="AO264" s="857">
        <v>0.16</v>
      </c>
      <c r="AP264" s="857">
        <v>0.17</v>
      </c>
      <c r="AQ264" s="859">
        <v>0.17</v>
      </c>
      <c r="AR264" s="853">
        <v>0.16</v>
      </c>
      <c r="AS264" s="857">
        <v>0.17</v>
      </c>
      <c r="AT264" s="857">
        <v>0.18</v>
      </c>
      <c r="AU264" s="859">
        <v>0.18</v>
      </c>
      <c r="AV264" s="853">
        <v>0.17</v>
      </c>
      <c r="AW264" s="857">
        <v>0.17</v>
      </c>
      <c r="AX264" s="857">
        <v>0.19</v>
      </c>
      <c r="AY264" s="857">
        <v>0.18</v>
      </c>
      <c r="AZ264" s="853">
        <v>0.16111621497473588</v>
      </c>
      <c r="BA264" s="857">
        <v>0.18648495173197047</v>
      </c>
      <c r="BB264" s="857">
        <v>0.18579960185799602</v>
      </c>
      <c r="BC264" s="857">
        <v>0.18671902891824349</v>
      </c>
      <c r="BD264" s="853">
        <v>0.17205090553108174</v>
      </c>
      <c r="BE264" s="857">
        <v>0.17762588288904077</v>
      </c>
      <c r="BF264" s="857">
        <v>0.20235566305605215</v>
      </c>
      <c r="BG264" s="720"/>
      <c r="BH264" s="718"/>
      <c r="BI264" s="719"/>
      <c r="BJ264" s="719"/>
      <c r="BK264" s="720"/>
      <c r="BL264" s="718"/>
      <c r="BM264" s="719"/>
      <c r="BN264" s="719"/>
      <c r="BO264" s="720"/>
      <c r="BP264" s="718"/>
      <c r="BQ264" s="719"/>
      <c r="BR264" s="719"/>
      <c r="BS264" s="720"/>
      <c r="BT264" s="718"/>
      <c r="BU264" s="719"/>
      <c r="BV264" s="719"/>
      <c r="BW264" s="720"/>
      <c r="BX264" s="346"/>
      <c r="BY264" s="338"/>
      <c r="BZ264" s="338">
        <v>0</v>
      </c>
      <c r="CA264" s="338">
        <v>0</v>
      </c>
      <c r="CB264" s="338">
        <v>0</v>
      </c>
      <c r="CC264" s="220">
        <v>0</v>
      </c>
      <c r="CD264" s="220">
        <v>0.15902666926221534</v>
      </c>
      <c r="CE264" s="220">
        <v>0.17792865622703377</v>
      </c>
      <c r="CF264" s="220">
        <v>0.16007521397077895</v>
      </c>
      <c r="CG264" s="358">
        <v>0.14000000000000001</v>
      </c>
      <c r="CH264" s="358">
        <v>0.16485578085598812</v>
      </c>
      <c r="CI264" s="358">
        <v>0.17277572142164088</v>
      </c>
      <c r="CJ264" s="338"/>
      <c r="CK264" s="338"/>
      <c r="CL264" s="338"/>
      <c r="CM264" s="338"/>
      <c r="CN264" s="338"/>
      <c r="CO264" s="338"/>
      <c r="CP264" s="337"/>
    </row>
    <row r="265" spans="1:94" s="1361" customFormat="1" ht="14.25" hidden="1" customHeight="1" outlineLevel="2">
      <c r="A265" s="1366"/>
      <c r="B265" s="354" t="s">
        <v>545</v>
      </c>
      <c r="C265" s="303"/>
      <c r="D265" s="853"/>
      <c r="E265" s="857">
        <v>0.18</v>
      </c>
      <c r="F265" s="857">
        <v>0.17</v>
      </c>
      <c r="G265" s="858">
        <v>0.18</v>
      </c>
      <c r="H265" s="853">
        <v>0.18</v>
      </c>
      <c r="I265" s="857">
        <v>0.18</v>
      </c>
      <c r="J265" s="420">
        <v>0.19</v>
      </c>
      <c r="K265" s="858">
        <v>0.18</v>
      </c>
      <c r="L265" s="853">
        <v>0.19</v>
      </c>
      <c r="M265" s="857">
        <v>0.18</v>
      </c>
      <c r="N265" s="857">
        <v>0.19</v>
      </c>
      <c r="O265" s="858">
        <v>0.24</v>
      </c>
      <c r="P265" s="853">
        <v>0.24</v>
      </c>
      <c r="Q265" s="857">
        <v>0.24</v>
      </c>
      <c r="R265" s="857">
        <v>0.25</v>
      </c>
      <c r="S265" s="858">
        <v>0.21</v>
      </c>
      <c r="T265" s="853">
        <v>0.21</v>
      </c>
      <c r="U265" s="857">
        <v>0.19</v>
      </c>
      <c r="V265" s="857">
        <v>0.24</v>
      </c>
      <c r="W265" s="858">
        <v>0.24</v>
      </c>
      <c r="X265" s="853">
        <v>0.2</v>
      </c>
      <c r="Y265" s="857">
        <v>0.15</v>
      </c>
      <c r="Z265" s="857">
        <v>0.18</v>
      </c>
      <c r="AA265" s="858">
        <v>0.16</v>
      </c>
      <c r="AB265" s="853">
        <v>0.14000000000000001</v>
      </c>
      <c r="AC265" s="857">
        <v>0.15</v>
      </c>
      <c r="AD265" s="857">
        <v>0.17</v>
      </c>
      <c r="AE265" s="858">
        <v>0.18</v>
      </c>
      <c r="AF265" s="853">
        <v>0.16</v>
      </c>
      <c r="AG265" s="857">
        <v>0.17</v>
      </c>
      <c r="AH265" s="857">
        <v>0.18</v>
      </c>
      <c r="AI265" s="858">
        <v>0.16</v>
      </c>
      <c r="AJ265" s="853">
        <v>0.27</v>
      </c>
      <c r="AK265" s="857">
        <v>0.26</v>
      </c>
      <c r="AL265" s="857">
        <v>0.27</v>
      </c>
      <c r="AM265" s="858">
        <v>0.23</v>
      </c>
      <c r="AN265" s="853">
        <v>0.22</v>
      </c>
      <c r="AO265" s="857">
        <v>0.22</v>
      </c>
      <c r="AP265" s="857">
        <v>0.23</v>
      </c>
      <c r="AQ265" s="859">
        <v>0.2</v>
      </c>
      <c r="AR265" s="853">
        <v>0.2</v>
      </c>
      <c r="AS265" s="857">
        <v>0.19</v>
      </c>
      <c r="AT265" s="857">
        <v>0.2</v>
      </c>
      <c r="AU265" s="859">
        <v>0.2</v>
      </c>
      <c r="AV265" s="853">
        <v>0.17</v>
      </c>
      <c r="AW265" s="857">
        <v>0.18</v>
      </c>
      <c r="AX265" s="857">
        <v>0.16</v>
      </c>
      <c r="AY265" s="857">
        <v>0.15</v>
      </c>
      <c r="AZ265" s="853">
        <v>0.12011943040881948</v>
      </c>
      <c r="BA265" s="857">
        <v>0.11470755252697332</v>
      </c>
      <c r="BB265" s="857">
        <v>0.12176509621765096</v>
      </c>
      <c r="BC265" s="857">
        <v>0.11400690229679876</v>
      </c>
      <c r="BD265" s="853">
        <v>0.10511502692119433</v>
      </c>
      <c r="BE265" s="857">
        <v>0.10596946912736387</v>
      </c>
      <c r="BF265" s="857">
        <v>0.11864549374277</v>
      </c>
      <c r="BG265" s="720"/>
      <c r="BH265" s="718"/>
      <c r="BI265" s="719"/>
      <c r="BJ265" s="719"/>
      <c r="BK265" s="720"/>
      <c r="BL265" s="718"/>
      <c r="BM265" s="719"/>
      <c r="BN265" s="719"/>
      <c r="BO265" s="720"/>
      <c r="BP265" s="718"/>
      <c r="BQ265" s="719"/>
      <c r="BR265" s="719"/>
      <c r="BS265" s="720"/>
      <c r="BT265" s="718"/>
      <c r="BU265" s="719"/>
      <c r="BV265" s="719"/>
      <c r="BW265" s="720"/>
      <c r="BX265" s="346"/>
      <c r="BY265" s="338"/>
      <c r="BZ265" s="338">
        <v>0.18251322124871733</v>
      </c>
      <c r="CA265" s="338">
        <v>0.20115500555291127</v>
      </c>
      <c r="CB265" s="338">
        <v>0.23488249118683907</v>
      </c>
      <c r="CC265" s="220">
        <v>0.22066275060656368</v>
      </c>
      <c r="CD265" s="220">
        <v>0.1711344169748881</v>
      </c>
      <c r="CE265" s="220">
        <v>0.16163434903047091</v>
      </c>
      <c r="CF265" s="220">
        <v>0.16771461917523992</v>
      </c>
      <c r="CG265" s="358">
        <v>0.25844551607936556</v>
      </c>
      <c r="CH265" s="358">
        <v>0.21780683270579299</v>
      </c>
      <c r="CI265" s="358">
        <v>0.19752650303661914</v>
      </c>
      <c r="CJ265" s="338"/>
      <c r="CK265" s="338"/>
      <c r="CL265" s="338"/>
      <c r="CM265" s="338"/>
      <c r="CN265" s="338"/>
      <c r="CO265" s="338"/>
      <c r="CP265" s="337"/>
    </row>
    <row r="266" spans="1:94" s="1361" customFormat="1" ht="14.25" hidden="1" customHeight="1" outlineLevel="2">
      <c r="A266" s="1366"/>
      <c r="B266" s="354" t="s">
        <v>569</v>
      </c>
      <c r="C266" s="303"/>
      <c r="D266" s="853"/>
      <c r="E266" s="857">
        <v>0.16</v>
      </c>
      <c r="F266" s="857">
        <v>0.15</v>
      </c>
      <c r="G266" s="858">
        <v>0.16</v>
      </c>
      <c r="H266" s="853">
        <v>0.17</v>
      </c>
      <c r="I266" s="857">
        <v>0.17</v>
      </c>
      <c r="J266" s="420">
        <v>0.14000000000000001</v>
      </c>
      <c r="K266" s="858">
        <v>0.13</v>
      </c>
      <c r="L266" s="853">
        <v>0.15</v>
      </c>
      <c r="M266" s="857">
        <v>0.14000000000000001</v>
      </c>
      <c r="N266" s="857">
        <v>0.14000000000000001</v>
      </c>
      <c r="O266" s="858">
        <v>0.12</v>
      </c>
      <c r="P266" s="853">
        <v>0.12</v>
      </c>
      <c r="Q266" s="857">
        <v>0.14000000000000001</v>
      </c>
      <c r="R266" s="857">
        <v>0.12</v>
      </c>
      <c r="S266" s="858">
        <v>0.13</v>
      </c>
      <c r="T266" s="853">
        <v>0.14000000000000001</v>
      </c>
      <c r="U266" s="857">
        <v>7.0000000000000007E-2</v>
      </c>
      <c r="V266" s="857">
        <v>0.11</v>
      </c>
      <c r="W266" s="858">
        <v>0.11</v>
      </c>
      <c r="X266" s="853">
        <v>0.12</v>
      </c>
      <c r="Y266" s="857">
        <v>0.18</v>
      </c>
      <c r="Z266" s="857">
        <v>0.17</v>
      </c>
      <c r="AA266" s="858">
        <v>0.19</v>
      </c>
      <c r="AB266" s="853">
        <v>0.2</v>
      </c>
      <c r="AC266" s="857">
        <v>0.18</v>
      </c>
      <c r="AD266" s="857">
        <v>0.17</v>
      </c>
      <c r="AE266" s="858">
        <v>0.18</v>
      </c>
      <c r="AF266" s="853">
        <v>0.19</v>
      </c>
      <c r="AG266" s="857">
        <v>0.19</v>
      </c>
      <c r="AH266" s="857">
        <v>0.18</v>
      </c>
      <c r="AI266" s="858">
        <v>0.19</v>
      </c>
      <c r="AJ266" s="853">
        <v>0.18</v>
      </c>
      <c r="AK266" s="857">
        <v>0.19</v>
      </c>
      <c r="AL266" s="857">
        <v>0.18</v>
      </c>
      <c r="AM266" s="858">
        <v>0.2</v>
      </c>
      <c r="AN266" s="853">
        <v>0.19</v>
      </c>
      <c r="AO266" s="857">
        <v>0.19</v>
      </c>
      <c r="AP266" s="857">
        <v>0.18</v>
      </c>
      <c r="AQ266" s="859">
        <v>0.2</v>
      </c>
      <c r="AR266" s="853">
        <v>0.2</v>
      </c>
      <c r="AS266" s="857">
        <v>0.2</v>
      </c>
      <c r="AT266" s="857">
        <v>0.2</v>
      </c>
      <c r="AU266" s="859">
        <v>0.2</v>
      </c>
      <c r="AV266" s="853">
        <v>0.21</v>
      </c>
      <c r="AW266" s="857">
        <v>0.22</v>
      </c>
      <c r="AX266" s="857">
        <v>0.22</v>
      </c>
      <c r="AY266" s="857">
        <v>0.24</v>
      </c>
      <c r="AZ266" s="853">
        <v>0.24305236564079011</v>
      </c>
      <c r="BA266" s="857">
        <v>0.23884156729131176</v>
      </c>
      <c r="BB266" s="857">
        <v>0.23357664233576639</v>
      </c>
      <c r="BC266" s="857">
        <v>0.22658574318695707</v>
      </c>
      <c r="BD266" s="853">
        <v>0.21769456681350954</v>
      </c>
      <c r="BE266" s="857">
        <v>0.22854864433811803</v>
      </c>
      <c r="BF266" s="857">
        <v>0.22244189715006837</v>
      </c>
      <c r="BG266" s="720"/>
      <c r="BH266" s="718"/>
      <c r="BI266" s="719"/>
      <c r="BJ266" s="719"/>
      <c r="BK266" s="720"/>
      <c r="BL266" s="718"/>
      <c r="BM266" s="719"/>
      <c r="BN266" s="719"/>
      <c r="BO266" s="720"/>
      <c r="BP266" s="718"/>
      <c r="BQ266" s="719"/>
      <c r="BR266" s="719"/>
      <c r="BS266" s="720"/>
      <c r="BT266" s="718"/>
      <c r="BU266" s="719"/>
      <c r="BV266" s="719"/>
      <c r="BW266" s="720"/>
      <c r="BX266" s="346"/>
      <c r="BY266" s="338"/>
      <c r="BZ266" s="338">
        <v>0.15277369958165599</v>
      </c>
      <c r="CA266" s="338">
        <v>0.13697604315405359</v>
      </c>
      <c r="CB266" s="338">
        <v>0.12752186969578275</v>
      </c>
      <c r="CC266" s="220">
        <v>0.1074320010215809</v>
      </c>
      <c r="CD266" s="220">
        <v>0.16722892738952699</v>
      </c>
      <c r="CE266" s="220">
        <v>0.18161286675334953</v>
      </c>
      <c r="CF266" s="220">
        <v>0.18740338895132705</v>
      </c>
      <c r="CG266" s="358">
        <v>0.18709293205124478</v>
      </c>
      <c r="CH266" s="358">
        <v>0.18984351791080867</v>
      </c>
      <c r="CI266" s="358">
        <v>0.20000000000000004</v>
      </c>
      <c r="CJ266" s="338"/>
      <c r="CK266" s="338"/>
      <c r="CL266" s="338"/>
      <c r="CM266" s="338"/>
      <c r="CN266" s="338"/>
      <c r="CO266" s="338"/>
      <c r="CP266" s="337"/>
    </row>
    <row r="267" spans="1:94" s="1361" customFormat="1" ht="14.25" hidden="1" customHeight="1" outlineLevel="2">
      <c r="A267" s="1366"/>
      <c r="B267" s="354" t="s">
        <v>546</v>
      </c>
      <c r="C267" s="303"/>
      <c r="D267" s="853"/>
      <c r="E267" s="857">
        <v>0.23</v>
      </c>
      <c r="F267" s="857">
        <v>0.26</v>
      </c>
      <c r="G267" s="858">
        <v>0.25</v>
      </c>
      <c r="H267" s="853">
        <v>0.2</v>
      </c>
      <c r="I267" s="857">
        <v>0.23</v>
      </c>
      <c r="J267" s="420">
        <v>0.25</v>
      </c>
      <c r="K267" s="858">
        <v>0.28000000000000003</v>
      </c>
      <c r="L267" s="853">
        <v>0.24</v>
      </c>
      <c r="M267" s="857">
        <v>0.24</v>
      </c>
      <c r="N267" s="857">
        <v>0.23</v>
      </c>
      <c r="O267" s="858">
        <v>0.21</v>
      </c>
      <c r="P267" s="853">
        <v>0.21</v>
      </c>
      <c r="Q267" s="857">
        <v>0.21</v>
      </c>
      <c r="R267" s="857">
        <v>0.23</v>
      </c>
      <c r="S267" s="858">
        <v>0.24</v>
      </c>
      <c r="T267" s="853">
        <v>0.22</v>
      </c>
      <c r="U267" s="857">
        <v>0.24</v>
      </c>
      <c r="V267" s="857">
        <v>0.25</v>
      </c>
      <c r="W267" s="858">
        <v>0.27</v>
      </c>
      <c r="X267" s="853">
        <v>0.28999999999999998</v>
      </c>
      <c r="Y267" s="857">
        <v>0.23</v>
      </c>
      <c r="Z267" s="857">
        <v>0.23</v>
      </c>
      <c r="AA267" s="858">
        <v>0.23</v>
      </c>
      <c r="AB267" s="853">
        <v>0.24</v>
      </c>
      <c r="AC267" s="857">
        <v>0.27</v>
      </c>
      <c r="AD267" s="857">
        <v>0.27</v>
      </c>
      <c r="AE267" s="858">
        <v>0.26</v>
      </c>
      <c r="AF267" s="853">
        <v>0.26</v>
      </c>
      <c r="AG267" s="857">
        <v>0.26</v>
      </c>
      <c r="AH267" s="857">
        <v>0.25</v>
      </c>
      <c r="AI267" s="858">
        <v>0.23</v>
      </c>
      <c r="AJ267" s="853">
        <v>0.19</v>
      </c>
      <c r="AK267" s="857">
        <v>0.19</v>
      </c>
      <c r="AL267" s="857">
        <v>0.19</v>
      </c>
      <c r="AM267" s="858">
        <v>0.18</v>
      </c>
      <c r="AN267" s="853">
        <v>0.17</v>
      </c>
      <c r="AO267" s="857">
        <v>0.17</v>
      </c>
      <c r="AP267" s="857">
        <v>0.17</v>
      </c>
      <c r="AQ267" s="859">
        <v>0.17</v>
      </c>
      <c r="AR267" s="853">
        <v>0.16</v>
      </c>
      <c r="AS267" s="857">
        <v>0.16</v>
      </c>
      <c r="AT267" s="857">
        <v>0.16</v>
      </c>
      <c r="AU267" s="859">
        <v>0.15</v>
      </c>
      <c r="AV267" s="853">
        <v>0.15</v>
      </c>
      <c r="AW267" s="857">
        <v>0.14000000000000001</v>
      </c>
      <c r="AX267" s="857">
        <v>0.14000000000000001</v>
      </c>
      <c r="AY267" s="857">
        <v>0.11</v>
      </c>
      <c r="AZ267" s="853">
        <v>0.14331649058337162</v>
      </c>
      <c r="BA267" s="857">
        <v>0.14162407722884726</v>
      </c>
      <c r="BB267" s="857">
        <v>0.14919265649192656</v>
      </c>
      <c r="BC267" s="857">
        <v>0.11936213257170059</v>
      </c>
      <c r="BD267" s="853">
        <v>0.10964268232990698</v>
      </c>
      <c r="BE267" s="857">
        <v>0.12374117110959218</v>
      </c>
      <c r="BF267" s="857">
        <v>0.12159007256283522</v>
      </c>
      <c r="BG267" s="720"/>
      <c r="BH267" s="718"/>
      <c r="BI267" s="719"/>
      <c r="BJ267" s="719"/>
      <c r="BK267" s="720"/>
      <c r="BL267" s="718"/>
      <c r="BM267" s="719"/>
      <c r="BN267" s="719"/>
      <c r="BO267" s="720"/>
      <c r="BP267" s="718"/>
      <c r="BQ267" s="719"/>
      <c r="BR267" s="719"/>
      <c r="BS267" s="720"/>
      <c r="BT267" s="718"/>
      <c r="BU267" s="719"/>
      <c r="BV267" s="719"/>
      <c r="BW267" s="720"/>
      <c r="BX267" s="346"/>
      <c r="BY267" s="338"/>
      <c r="BZ267" s="338">
        <v>0.23983660904570209</v>
      </c>
      <c r="CA267" s="338">
        <v>0.22937807393304774</v>
      </c>
      <c r="CB267" s="338">
        <v>0.22336075205640427</v>
      </c>
      <c r="CC267" s="220">
        <v>0.24560720214531992</v>
      </c>
      <c r="CD267" s="220">
        <v>0.24231944714814097</v>
      </c>
      <c r="CE267" s="220">
        <v>0.26076035954548021</v>
      </c>
      <c r="CF267" s="220">
        <v>0.24989236621423017</v>
      </c>
      <c r="CG267" s="358">
        <v>0.18776922406530513</v>
      </c>
      <c r="CH267" s="358">
        <v>0.17000000000000004</v>
      </c>
      <c r="CI267" s="358">
        <v>0.15741977216372588</v>
      </c>
      <c r="CJ267" s="338"/>
      <c r="CK267" s="338"/>
      <c r="CL267" s="338"/>
      <c r="CM267" s="338"/>
      <c r="CN267" s="338"/>
      <c r="CO267" s="338"/>
      <c r="CP267" s="337"/>
    </row>
    <row r="268" spans="1:94" s="1361" customFormat="1" ht="14.25" hidden="1" customHeight="1" outlineLevel="2">
      <c r="A268" s="1366"/>
      <c r="B268" s="354" t="s">
        <v>351</v>
      </c>
      <c r="C268" s="303"/>
      <c r="D268" s="355"/>
      <c r="E268" s="857">
        <v>0.18</v>
      </c>
      <c r="F268" s="857">
        <v>0.21000000000000002</v>
      </c>
      <c r="G268" s="858">
        <v>0.21000000000000002</v>
      </c>
      <c r="H268" s="853">
        <v>0.23</v>
      </c>
      <c r="I268" s="857">
        <v>0.22</v>
      </c>
      <c r="J268" s="420">
        <v>0.23</v>
      </c>
      <c r="K268" s="858">
        <v>0.22000000000000003</v>
      </c>
      <c r="L268" s="853">
        <v>0.21000000000000002</v>
      </c>
      <c r="M268" s="857">
        <v>0.25</v>
      </c>
      <c r="N268" s="857">
        <v>0.26</v>
      </c>
      <c r="O268" s="858">
        <v>0.26</v>
      </c>
      <c r="P268" s="853">
        <v>0.26</v>
      </c>
      <c r="Q268" s="857">
        <v>0.25</v>
      </c>
      <c r="R268" s="857">
        <v>0.25</v>
      </c>
      <c r="S268" s="858">
        <v>0.27</v>
      </c>
      <c r="T268" s="853">
        <v>0.26</v>
      </c>
      <c r="U268" s="857">
        <v>0.32</v>
      </c>
      <c r="V268" s="857">
        <v>0.24</v>
      </c>
      <c r="W268" s="858">
        <v>0.23</v>
      </c>
      <c r="X268" s="853">
        <v>0.22</v>
      </c>
      <c r="Y268" s="857">
        <v>0.04</v>
      </c>
      <c r="Z268" s="857">
        <v>0.04</v>
      </c>
      <c r="AA268" s="858">
        <v>0.06</v>
      </c>
      <c r="AB268" s="853">
        <v>0.05</v>
      </c>
      <c r="AC268" s="857">
        <v>0.03</v>
      </c>
      <c r="AD268" s="857">
        <v>0.04</v>
      </c>
      <c r="AE268" s="858">
        <v>0.04</v>
      </c>
      <c r="AF268" s="853">
        <v>0.04</v>
      </c>
      <c r="AG268" s="857">
        <v>0.03</v>
      </c>
      <c r="AH268" s="857">
        <v>0.03</v>
      </c>
      <c r="AI268" s="858">
        <v>0.04</v>
      </c>
      <c r="AJ268" s="853">
        <v>0</v>
      </c>
      <c r="AK268" s="857">
        <v>0</v>
      </c>
      <c r="AL268" s="857">
        <v>0</v>
      </c>
      <c r="AM268" s="858">
        <v>0</v>
      </c>
      <c r="AN268" s="853">
        <v>0</v>
      </c>
      <c r="AO268" s="857">
        <v>0</v>
      </c>
      <c r="AP268" s="857">
        <v>0</v>
      </c>
      <c r="AQ268" s="859">
        <v>0</v>
      </c>
      <c r="AR268" s="853">
        <v>0</v>
      </c>
      <c r="AS268" s="857">
        <v>0</v>
      </c>
      <c r="AT268" s="857">
        <v>0</v>
      </c>
      <c r="AU268" s="859">
        <v>0</v>
      </c>
      <c r="AV268" s="853">
        <v>0</v>
      </c>
      <c r="AW268" s="857">
        <v>0</v>
      </c>
      <c r="AX268" s="857">
        <v>0</v>
      </c>
      <c r="AY268" s="857">
        <v>0</v>
      </c>
      <c r="AZ268" s="1165">
        <v>0</v>
      </c>
      <c r="BA268" s="1166">
        <v>0</v>
      </c>
      <c r="BB268" s="857">
        <v>0</v>
      </c>
      <c r="BC268" s="857">
        <v>0</v>
      </c>
      <c r="BD268" s="1165">
        <v>0</v>
      </c>
      <c r="BE268" s="1166">
        <v>0</v>
      </c>
      <c r="BF268" s="1166">
        <v>0</v>
      </c>
      <c r="BG268" s="720"/>
      <c r="BH268" s="718"/>
      <c r="BI268" s="719"/>
      <c r="BJ268" s="719"/>
      <c r="BK268" s="720"/>
      <c r="BL268" s="718"/>
      <c r="BM268" s="719"/>
      <c r="BN268" s="719"/>
      <c r="BO268" s="720"/>
      <c r="BP268" s="718"/>
      <c r="BQ268" s="719"/>
      <c r="BR268" s="719"/>
      <c r="BS268" s="720"/>
      <c r="BT268" s="718"/>
      <c r="BU268" s="719"/>
      <c r="BV268" s="719"/>
      <c r="BW268" s="720"/>
      <c r="BX268" s="346"/>
      <c r="BY268" s="338"/>
      <c r="BZ268" s="338">
        <v>0.22494593101270821</v>
      </c>
      <c r="CA268" s="338">
        <v>0.24560368078692685</v>
      </c>
      <c r="CB268" s="338">
        <v>0.2574239456848153</v>
      </c>
      <c r="CC268" s="220">
        <v>0.26164538373132423</v>
      </c>
      <c r="CD268" s="220">
        <v>8.1715008759976643E-2</v>
      </c>
      <c r="CE268" s="220">
        <v>3.9769913505568431E-2</v>
      </c>
      <c r="CF268" s="220">
        <v>3.4881991873433049E-2</v>
      </c>
      <c r="CG268" s="358">
        <v>0</v>
      </c>
      <c r="CH268" s="358">
        <v>0</v>
      </c>
      <c r="CI268" s="358">
        <v>0</v>
      </c>
      <c r="CJ268" s="338"/>
      <c r="CK268" s="338"/>
      <c r="CL268" s="338"/>
      <c r="CM268" s="338"/>
      <c r="CN268" s="338"/>
      <c r="CO268" s="338"/>
      <c r="CP268" s="337"/>
    </row>
    <row r="269" spans="1:94" s="1361" customFormat="1" ht="14.25" hidden="1" customHeight="1" outlineLevel="2">
      <c r="A269" s="1366"/>
      <c r="B269" s="360" t="s">
        <v>360</v>
      </c>
      <c r="C269" s="348"/>
      <c r="D269" s="361">
        <v>0</v>
      </c>
      <c r="E269" s="362">
        <v>1</v>
      </c>
      <c r="F269" s="362">
        <v>1</v>
      </c>
      <c r="G269" s="363">
        <v>1</v>
      </c>
      <c r="H269" s="361">
        <v>1</v>
      </c>
      <c r="I269" s="362">
        <v>1</v>
      </c>
      <c r="J269" s="926">
        <v>1</v>
      </c>
      <c r="K269" s="363">
        <v>1</v>
      </c>
      <c r="L269" s="361">
        <v>1</v>
      </c>
      <c r="M269" s="362">
        <v>1</v>
      </c>
      <c r="N269" s="362">
        <v>1</v>
      </c>
      <c r="O269" s="363">
        <v>1</v>
      </c>
      <c r="P269" s="361">
        <v>1</v>
      </c>
      <c r="Q269" s="362">
        <v>1</v>
      </c>
      <c r="R269" s="362">
        <v>1</v>
      </c>
      <c r="S269" s="363">
        <v>1</v>
      </c>
      <c r="T269" s="361">
        <v>1</v>
      </c>
      <c r="U269" s="362">
        <v>1</v>
      </c>
      <c r="V269" s="362">
        <v>1</v>
      </c>
      <c r="W269" s="362">
        <v>1</v>
      </c>
      <c r="X269" s="361">
        <v>1</v>
      </c>
      <c r="Y269" s="362">
        <v>1</v>
      </c>
      <c r="Z269" s="362">
        <v>1</v>
      </c>
      <c r="AA269" s="362">
        <v>1</v>
      </c>
      <c r="AB269" s="361">
        <v>1</v>
      </c>
      <c r="AC269" s="362">
        <v>1</v>
      </c>
      <c r="AD269" s="362">
        <v>1</v>
      </c>
      <c r="AE269" s="362">
        <v>1</v>
      </c>
      <c r="AF269" s="361">
        <v>1</v>
      </c>
      <c r="AG269" s="362">
        <v>1</v>
      </c>
      <c r="AH269" s="362">
        <v>1</v>
      </c>
      <c r="AI269" s="363">
        <v>1</v>
      </c>
      <c r="AJ269" s="361">
        <v>1</v>
      </c>
      <c r="AK269" s="362">
        <v>1</v>
      </c>
      <c r="AL269" s="362">
        <v>1</v>
      </c>
      <c r="AM269" s="362">
        <v>1</v>
      </c>
      <c r="AN269" s="361">
        <v>1</v>
      </c>
      <c r="AO269" s="362">
        <v>1</v>
      </c>
      <c r="AP269" s="362">
        <v>1</v>
      </c>
      <c r="AQ269" s="721">
        <v>1</v>
      </c>
      <c r="AR269" s="361">
        <v>1</v>
      </c>
      <c r="AS269" s="362">
        <v>1</v>
      </c>
      <c r="AT269" s="362">
        <v>1</v>
      </c>
      <c r="AU269" s="721">
        <v>1</v>
      </c>
      <c r="AV269" s="361">
        <v>1</v>
      </c>
      <c r="AW269" s="362">
        <v>0.99999999999999989</v>
      </c>
      <c r="AX269" s="362">
        <v>1</v>
      </c>
      <c r="AY269" s="362">
        <v>1</v>
      </c>
      <c r="AZ269" s="1168">
        <v>1</v>
      </c>
      <c r="BA269" s="1167">
        <v>1</v>
      </c>
      <c r="BB269" s="362">
        <v>1.0002211900022118</v>
      </c>
      <c r="BC269" s="362">
        <v>1</v>
      </c>
      <c r="BD269" s="1168">
        <v>1</v>
      </c>
      <c r="BE269" s="1167">
        <v>1</v>
      </c>
      <c r="BF269" s="1167">
        <v>1</v>
      </c>
      <c r="BG269" s="724"/>
      <c r="BH269" s="722"/>
      <c r="BI269" s="723"/>
      <c r="BJ269" s="723"/>
      <c r="BK269" s="724"/>
      <c r="BL269" s="722"/>
      <c r="BM269" s="723"/>
      <c r="BN269" s="723"/>
      <c r="BO269" s="724"/>
      <c r="BP269" s="722"/>
      <c r="BQ269" s="723"/>
      <c r="BR269" s="723"/>
      <c r="BS269" s="724"/>
      <c r="BT269" s="722"/>
      <c r="BU269" s="723"/>
      <c r="BV269" s="723"/>
      <c r="BW269" s="724"/>
      <c r="BX269" s="349"/>
      <c r="BY269" s="364"/>
      <c r="BZ269" s="364">
        <v>1</v>
      </c>
      <c r="CA269" s="364">
        <v>1</v>
      </c>
      <c r="CB269" s="364">
        <v>1.0000000000000002</v>
      </c>
      <c r="CC269" s="365">
        <v>1.0000000000000002</v>
      </c>
      <c r="CD269" s="365">
        <v>1.0000000000000002</v>
      </c>
      <c r="CE269" s="365">
        <v>1</v>
      </c>
      <c r="CF269" s="365">
        <v>1</v>
      </c>
      <c r="CG269" s="365">
        <v>1</v>
      </c>
      <c r="CH269" s="365">
        <v>1</v>
      </c>
      <c r="CI269" s="365">
        <v>1.0000000000000002</v>
      </c>
      <c r="CJ269" s="364"/>
      <c r="CK269" s="364"/>
      <c r="CL269" s="364"/>
      <c r="CM269" s="364"/>
      <c r="CN269" s="364"/>
      <c r="CO269" s="364"/>
      <c r="CP269" s="366"/>
    </row>
    <row r="270" spans="1:94" s="1361" customFormat="1" ht="14.25" hidden="1" customHeight="1" outlineLevel="2">
      <c r="A270" s="1366"/>
      <c r="B270" s="302"/>
      <c r="D270" s="713"/>
      <c r="E270" s="713"/>
      <c r="F270" s="713"/>
      <c r="G270" s="713"/>
      <c r="H270" s="713"/>
      <c r="I270" s="713"/>
      <c r="J270" s="713"/>
      <c r="K270" s="713"/>
      <c r="L270" s="713"/>
      <c r="M270" s="713"/>
      <c r="N270" s="713"/>
      <c r="O270" s="713"/>
      <c r="P270" s="713"/>
      <c r="Q270" s="713"/>
      <c r="R270" s="713"/>
      <c r="S270" s="713"/>
      <c r="T270" s="713"/>
      <c r="U270" s="713"/>
      <c r="V270" s="713"/>
      <c r="W270" s="713"/>
      <c r="X270" s="713"/>
      <c r="Y270" s="713"/>
      <c r="Z270" s="713"/>
      <c r="AA270" s="713"/>
      <c r="AB270" s="713"/>
      <c r="AC270" s="713"/>
      <c r="AD270" s="713"/>
      <c r="AE270" s="713"/>
      <c r="AF270" s="713"/>
      <c r="AG270" s="713"/>
      <c r="AH270" s="713"/>
      <c r="AT270" s="713"/>
      <c r="AU270" s="713"/>
      <c r="AV270" s="713"/>
      <c r="AW270" s="713"/>
      <c r="AX270" s="713"/>
      <c r="AY270" s="713"/>
      <c r="AZ270" s="713"/>
      <c r="BA270" s="713"/>
      <c r="BB270" s="713"/>
      <c r="BC270" s="713"/>
      <c r="BD270" s="713"/>
      <c r="BE270" s="713"/>
      <c r="BF270" s="713"/>
      <c r="BG270" s="713"/>
      <c r="BH270" s="713"/>
      <c r="BI270" s="713"/>
      <c r="BJ270" s="713"/>
      <c r="BK270" s="713"/>
      <c r="BL270" s="713"/>
      <c r="BM270" s="713"/>
      <c r="BN270" s="713"/>
      <c r="BO270" s="713"/>
      <c r="BP270" s="713"/>
      <c r="BQ270" s="713"/>
      <c r="BR270" s="713"/>
      <c r="BS270" s="713"/>
      <c r="BT270" s="713"/>
      <c r="BU270" s="713"/>
      <c r="BV270" s="713"/>
      <c r="BW270" s="713"/>
      <c r="CA270" s="9"/>
      <c r="CB270" s="9"/>
      <c r="CC270" s="9"/>
      <c r="CD270" s="9"/>
      <c r="CE270" s="9"/>
      <c r="CF270" s="9"/>
      <c r="CG270" s="9"/>
      <c r="CH270" s="9"/>
      <c r="CI270" s="9"/>
      <c r="CJ270" s="15"/>
      <c r="CK270" s="15"/>
      <c r="CL270" s="15"/>
      <c r="CM270" s="15"/>
      <c r="CN270" s="15"/>
      <c r="CO270" s="15"/>
      <c r="CP270" s="15"/>
    </row>
    <row r="271" spans="1:94" s="1361" customFormat="1" ht="14.25" hidden="1" customHeight="1" outlineLevel="2">
      <c r="A271" s="1366"/>
      <c r="B271" s="302"/>
      <c r="D271" s="302"/>
      <c r="E271" s="302"/>
      <c r="F271" s="302"/>
      <c r="G271" s="302"/>
      <c r="H271" s="302"/>
      <c r="I271" s="302"/>
      <c r="J271" s="302"/>
      <c r="K271" s="302"/>
      <c r="L271" s="302"/>
      <c r="M271" s="302"/>
      <c r="N271" s="302"/>
      <c r="O271" s="302"/>
      <c r="P271" s="302"/>
      <c r="Q271" s="302"/>
      <c r="R271" s="302"/>
      <c r="S271" s="302"/>
      <c r="T271" s="302"/>
      <c r="U271" s="302"/>
      <c r="V271" s="302"/>
      <c r="W271" s="302"/>
      <c r="X271" s="302"/>
      <c r="Y271" s="302"/>
      <c r="Z271" s="302"/>
      <c r="AA271" s="302"/>
      <c r="AB271" s="302"/>
      <c r="AC271" s="302"/>
      <c r="AD271" s="302"/>
      <c r="AE271" s="302"/>
      <c r="AF271" s="302"/>
      <c r="AG271" s="302"/>
      <c r="AH271" s="302"/>
      <c r="AT271" s="302"/>
      <c r="AU271" s="302"/>
      <c r="AV271" s="302"/>
      <c r="AW271" s="302"/>
      <c r="AX271" s="302"/>
      <c r="AY271" s="302"/>
      <c r="AZ271" s="302"/>
      <c r="BA271" s="302"/>
      <c r="BB271" s="302"/>
      <c r="BC271" s="302"/>
      <c r="BD271" s="302"/>
      <c r="BE271" s="302"/>
      <c r="BF271" s="302"/>
      <c r="BG271" s="302"/>
      <c r="BH271" s="302"/>
      <c r="BI271" s="302"/>
      <c r="BJ271" s="302"/>
      <c r="BK271" s="302"/>
      <c r="BL271" s="302"/>
      <c r="BM271" s="302"/>
      <c r="BN271" s="302"/>
      <c r="BO271" s="302"/>
      <c r="BP271" s="302"/>
      <c r="BQ271" s="302"/>
      <c r="BR271" s="302"/>
      <c r="BS271" s="302"/>
      <c r="BT271" s="302"/>
      <c r="BU271" s="302"/>
      <c r="BV271" s="302"/>
      <c r="BW271" s="302"/>
      <c r="CA271" s="9"/>
      <c r="CB271" s="9"/>
      <c r="CC271" s="9"/>
      <c r="CD271" s="9"/>
      <c r="CE271" s="9"/>
      <c r="CF271" s="9"/>
      <c r="CG271" s="9"/>
      <c r="CH271" s="9"/>
      <c r="CI271" s="9"/>
      <c r="CJ271" s="15"/>
      <c r="CK271" s="15"/>
      <c r="CL271" s="15"/>
      <c r="CM271" s="15"/>
      <c r="CN271" s="15"/>
      <c r="CO271" s="15"/>
      <c r="CP271" s="15"/>
    </row>
    <row r="272" spans="1:94" s="1361" customFormat="1" ht="14.25" hidden="1" customHeight="1" outlineLevel="2">
      <c r="A272" s="1366"/>
      <c r="BL272" s="1372"/>
      <c r="BM272" s="1372"/>
      <c r="BN272" s="1372"/>
      <c r="BO272" s="1372"/>
      <c r="BP272" s="1372"/>
      <c r="BQ272" s="1372"/>
      <c r="BR272" s="1372"/>
      <c r="BS272" s="1372"/>
      <c r="BT272" s="1463"/>
      <c r="BU272" s="1463"/>
      <c r="BV272" s="1463"/>
      <c r="BW272" s="1463"/>
      <c r="CJ272" s="302"/>
      <c r="CK272" s="302"/>
      <c r="CL272" s="302"/>
      <c r="CM272" s="302"/>
      <c r="CN272" s="302"/>
      <c r="CO272" s="302"/>
      <c r="CP272" s="302"/>
    </row>
    <row r="273" spans="1:94" s="1361" customFormat="1" ht="14.25" hidden="1" customHeight="1" outlineLevel="2">
      <c r="A273" s="1366"/>
      <c r="B273" s="131" t="s">
        <v>362</v>
      </c>
      <c r="C273" s="132"/>
      <c r="D273" s="665" t="s">
        <v>25</v>
      </c>
      <c r="E273" s="665" t="s">
        <v>27</v>
      </c>
      <c r="F273" s="665" t="s">
        <v>29</v>
      </c>
      <c r="G273" s="666" t="s">
        <v>31</v>
      </c>
      <c r="H273" s="665" t="s">
        <v>33</v>
      </c>
      <c r="I273" s="665" t="s">
        <v>35</v>
      </c>
      <c r="J273" s="665" t="s">
        <v>37</v>
      </c>
      <c r="K273" s="665" t="s">
        <v>39</v>
      </c>
      <c r="L273" s="1299" t="s">
        <v>466</v>
      </c>
      <c r="M273" s="1300" t="s">
        <v>467</v>
      </c>
      <c r="N273" s="1300" t="s">
        <v>468</v>
      </c>
      <c r="O273" s="1301" t="s">
        <v>469</v>
      </c>
      <c r="P273" s="1299" t="s">
        <v>470</v>
      </c>
      <c r="Q273" s="1300" t="s">
        <v>471</v>
      </c>
      <c r="R273" s="1300" t="s">
        <v>472</v>
      </c>
      <c r="S273" s="1301" t="s">
        <v>473</v>
      </c>
      <c r="T273" s="1299" t="s">
        <v>375</v>
      </c>
      <c r="U273" s="1300" t="s">
        <v>376</v>
      </c>
      <c r="V273" s="1300" t="s">
        <v>377</v>
      </c>
      <c r="W273" s="1301" t="s">
        <v>378</v>
      </c>
      <c r="X273" s="1299" t="s">
        <v>379</v>
      </c>
      <c r="Y273" s="1300" t="s">
        <v>380</v>
      </c>
      <c r="Z273" s="1300" t="s">
        <v>381</v>
      </c>
      <c r="AA273" s="1301" t="s">
        <v>382</v>
      </c>
      <c r="AB273" s="1299" t="s">
        <v>383</v>
      </c>
      <c r="AC273" s="1300" t="s">
        <v>384</v>
      </c>
      <c r="AD273" s="1300" t="s">
        <v>385</v>
      </c>
      <c r="AE273" s="1301" t="s">
        <v>386</v>
      </c>
      <c r="AF273" s="1299" t="s">
        <v>387</v>
      </c>
      <c r="AG273" s="1304" t="s">
        <v>388</v>
      </c>
      <c r="AH273" s="1300" t="s">
        <v>389</v>
      </c>
      <c r="AI273" s="1301" t="s">
        <v>390</v>
      </c>
      <c r="AJ273" s="1299" t="s">
        <v>391</v>
      </c>
      <c r="AK273" s="1300" t="s">
        <v>392</v>
      </c>
      <c r="AL273" s="1300" t="s">
        <v>474</v>
      </c>
      <c r="AM273" s="1301" t="s">
        <v>475</v>
      </c>
      <c r="AN273" s="1299" t="s">
        <v>476</v>
      </c>
      <c r="AO273" s="1300" t="s">
        <v>484</v>
      </c>
      <c r="AP273" s="1300" t="s">
        <v>492</v>
      </c>
      <c r="AQ273" s="1301" t="s">
        <v>65</v>
      </c>
      <c r="AR273" s="1299" t="s">
        <v>584</v>
      </c>
      <c r="AS273" s="1300" t="s">
        <v>585</v>
      </c>
      <c r="AT273" s="1300" t="s">
        <v>586</v>
      </c>
      <c r="AU273" s="1301" t="s">
        <v>6</v>
      </c>
      <c r="AV273" s="1299" t="s">
        <v>18</v>
      </c>
      <c r="AW273" s="1300" t="s">
        <v>22</v>
      </c>
      <c r="AX273" s="1300" t="s">
        <v>13</v>
      </c>
      <c r="AY273" s="1301" t="s">
        <v>588</v>
      </c>
      <c r="AZ273" s="1299" t="s">
        <v>595</v>
      </c>
      <c r="BA273" s="1300" t="s">
        <v>602</v>
      </c>
      <c r="BB273" s="1300" t="s">
        <v>603</v>
      </c>
      <c r="BC273" s="1301" t="s">
        <v>607</v>
      </c>
      <c r="BD273" s="1299" t="s">
        <v>620</v>
      </c>
      <c r="BE273" s="1300" t="s">
        <v>621</v>
      </c>
      <c r="BF273" s="1300" t="s">
        <v>631</v>
      </c>
      <c r="BG273" s="1380" t="s">
        <v>633</v>
      </c>
      <c r="BH273" s="1299" t="s">
        <v>589</v>
      </c>
      <c r="BI273" s="1300" t="s">
        <v>590</v>
      </c>
      <c r="BJ273" s="1300" t="s">
        <v>591</v>
      </c>
      <c r="BK273" s="1301" t="s">
        <v>592</v>
      </c>
      <c r="BL273" s="1299" t="s">
        <v>614</v>
      </c>
      <c r="BM273" s="1300" t="s">
        <v>615</v>
      </c>
      <c r="BN273" s="1300" t="s">
        <v>616</v>
      </c>
      <c r="BO273" s="1301" t="s">
        <v>617</v>
      </c>
      <c r="BP273" s="1299" t="s">
        <v>614</v>
      </c>
      <c r="BQ273" s="1300" t="s">
        <v>615</v>
      </c>
      <c r="BR273" s="1300" t="s">
        <v>616</v>
      </c>
      <c r="BS273" s="1301" t="s">
        <v>617</v>
      </c>
      <c r="BT273" s="1390" t="s">
        <v>614</v>
      </c>
      <c r="BU273" s="1391" t="s">
        <v>615</v>
      </c>
      <c r="BV273" s="1391" t="s">
        <v>616</v>
      </c>
      <c r="BW273" s="1392" t="s">
        <v>617</v>
      </c>
      <c r="BX273" s="21"/>
      <c r="BY273" s="1253" t="s">
        <v>336</v>
      </c>
      <c r="BZ273" s="1254" t="s">
        <v>337</v>
      </c>
      <c r="CA273" s="1254" t="s">
        <v>477</v>
      </c>
      <c r="CB273" s="1254" t="s">
        <v>478</v>
      </c>
      <c r="CC273" s="1254" t="s">
        <v>393</v>
      </c>
      <c r="CD273" s="1254" t="s">
        <v>394</v>
      </c>
      <c r="CE273" s="1254" t="s">
        <v>395</v>
      </c>
      <c r="CF273" s="1254" t="s">
        <v>396</v>
      </c>
      <c r="CG273" s="1254" t="s">
        <v>479</v>
      </c>
      <c r="CH273" s="1254" t="s">
        <v>495</v>
      </c>
      <c r="CI273" s="1254" t="s">
        <v>16</v>
      </c>
      <c r="CJ273" s="1254" t="s">
        <v>593</v>
      </c>
      <c r="CK273" s="1254" t="s">
        <v>609</v>
      </c>
      <c r="CL273" s="1254" t="s">
        <v>397</v>
      </c>
      <c r="CM273" s="1254" t="s">
        <v>398</v>
      </c>
      <c r="CN273" s="1254" t="s">
        <v>399</v>
      </c>
      <c r="CO273" s="1254" t="s">
        <v>399</v>
      </c>
      <c r="CP273" s="1256" t="s">
        <v>399</v>
      </c>
    </row>
    <row r="274" spans="1:94" s="1361" customFormat="1" ht="14.25" hidden="1" customHeight="1" outlineLevel="2">
      <c r="A274" s="1366"/>
      <c r="B274" s="299" t="s">
        <v>63</v>
      </c>
      <c r="C274" s="345"/>
      <c r="D274" s="690">
        <v>92.2</v>
      </c>
      <c r="E274" s="691">
        <v>81.8</v>
      </c>
      <c r="F274" s="691">
        <v>75.2</v>
      </c>
      <c r="G274" s="369">
        <v>72.400000000000034</v>
      </c>
      <c r="H274" s="690">
        <v>92.3</v>
      </c>
      <c r="I274" s="691">
        <v>91.6</v>
      </c>
      <c r="J274" s="691">
        <v>83.9</v>
      </c>
      <c r="K274" s="369">
        <v>75.600000000000023</v>
      </c>
      <c r="L274" s="690">
        <v>78.099999999999994</v>
      </c>
      <c r="M274" s="691">
        <v>70.3</v>
      </c>
      <c r="N274" s="691">
        <v>74.599999999999994</v>
      </c>
      <c r="O274" s="369">
        <v>71.80000000000004</v>
      </c>
      <c r="P274" s="690">
        <v>76.3</v>
      </c>
      <c r="Q274" s="691">
        <v>91.5</v>
      </c>
      <c r="R274" s="691">
        <v>122</v>
      </c>
      <c r="S274" s="369">
        <v>103.59999999999997</v>
      </c>
      <c r="T274" s="690">
        <v>100</v>
      </c>
      <c r="U274" s="691">
        <v>94</v>
      </c>
      <c r="V274" s="691">
        <v>90.3</v>
      </c>
      <c r="W274" s="369">
        <v>77.199999999999989</v>
      </c>
      <c r="X274" s="690">
        <v>100.4</v>
      </c>
      <c r="Y274" s="691">
        <v>137.30000000000001</v>
      </c>
      <c r="Z274" s="691">
        <v>110.2</v>
      </c>
      <c r="AA274" s="369">
        <v>154.79999999999995</v>
      </c>
      <c r="AB274" s="690">
        <v>113.7</v>
      </c>
      <c r="AC274" s="691">
        <v>84.2</v>
      </c>
      <c r="AD274" s="691">
        <v>72.599999999999994</v>
      </c>
      <c r="AE274" s="369">
        <v>103.69999999999999</v>
      </c>
      <c r="AF274" s="690">
        <v>119.2</v>
      </c>
      <c r="AG274" s="691">
        <v>117.9</v>
      </c>
      <c r="AH274" s="691">
        <v>124.9</v>
      </c>
      <c r="AI274" s="369">
        <v>121.19999999999999</v>
      </c>
      <c r="AJ274" s="690">
        <v>127.2</v>
      </c>
      <c r="AK274" s="691">
        <v>134.80000000000001</v>
      </c>
      <c r="AL274" s="691">
        <v>136.5</v>
      </c>
      <c r="AM274" s="369">
        <v>125.5</v>
      </c>
      <c r="AN274" s="690">
        <v>111.3</v>
      </c>
      <c r="AO274" s="691">
        <v>120.3</v>
      </c>
      <c r="AP274" s="691">
        <v>106.7</v>
      </c>
      <c r="AQ274" s="369">
        <v>113.69999999999999</v>
      </c>
      <c r="AR274" s="690">
        <v>105.1</v>
      </c>
      <c r="AS274" s="693">
        <v>103.24499999999999</v>
      </c>
      <c r="AT274" s="691">
        <v>109</v>
      </c>
      <c r="AU274" s="694">
        <v>114.88000000000002</v>
      </c>
      <c r="AV274" s="692">
        <v>120.105</v>
      </c>
      <c r="AW274" s="693">
        <v>121.21599999999999</v>
      </c>
      <c r="AX274" s="693">
        <v>133.36000000000001</v>
      </c>
      <c r="AY274" s="694">
        <v>138.27200000000002</v>
      </c>
      <c r="AZ274" s="1331">
        <v>131.80000000000001</v>
      </c>
      <c r="BA274" s="1332">
        <v>140.80000000000001</v>
      </c>
      <c r="BB274" s="1332">
        <v>135.66</v>
      </c>
      <c r="BC274" s="1333">
        <v>142.85099999999997</v>
      </c>
      <c r="BD274" s="1331">
        <v>147.09599999999998</v>
      </c>
      <c r="BE274" s="1332">
        <v>142.64249999999998</v>
      </c>
      <c r="BF274" s="1332">
        <v>142.63499999999999</v>
      </c>
      <c r="BG274" s="694"/>
      <c r="BH274" s="692"/>
      <c r="BI274" s="693"/>
      <c r="BJ274" s="693"/>
      <c r="BK274" s="694"/>
      <c r="BL274" s="692"/>
      <c r="BM274" s="693"/>
      <c r="BN274" s="693"/>
      <c r="BO274" s="694"/>
      <c r="BP274" s="692"/>
      <c r="BQ274" s="693"/>
      <c r="BR274" s="693"/>
      <c r="BS274" s="694"/>
      <c r="BT274" s="692"/>
      <c r="BU274" s="693"/>
      <c r="BV274" s="693"/>
      <c r="BW274" s="694"/>
      <c r="BX274" s="776"/>
      <c r="BY274" s="690">
        <v>317.60000000000002</v>
      </c>
      <c r="BZ274" s="327">
        <v>343.4</v>
      </c>
      <c r="CA274" s="696">
        <v>294.8</v>
      </c>
      <c r="CB274" s="696">
        <v>393.4</v>
      </c>
      <c r="CC274" s="696">
        <v>361.5</v>
      </c>
      <c r="CD274" s="696">
        <v>502.7</v>
      </c>
      <c r="CE274" s="696">
        <v>374.2</v>
      </c>
      <c r="CF274" s="696">
        <v>483.2</v>
      </c>
      <c r="CG274" s="696">
        <v>524</v>
      </c>
      <c r="CH274" s="696">
        <v>452</v>
      </c>
      <c r="CI274" s="696">
        <v>432.22500000000002</v>
      </c>
      <c r="CJ274" s="696"/>
      <c r="CK274" s="696"/>
      <c r="CL274" s="696"/>
      <c r="CM274" s="696"/>
      <c r="CN274" s="696"/>
      <c r="CO274" s="696"/>
      <c r="CP274" s="697"/>
    </row>
    <row r="275" spans="1:94" s="1361" customFormat="1" ht="14.25" hidden="1" customHeight="1" outlineLevel="2">
      <c r="A275" s="1366"/>
      <c r="B275" s="300" t="s">
        <v>215</v>
      </c>
      <c r="C275" s="303"/>
      <c r="D275" s="698">
        <v>0</v>
      </c>
      <c r="E275" s="699">
        <v>0</v>
      </c>
      <c r="F275" s="699">
        <v>0</v>
      </c>
      <c r="G275" s="369">
        <v>0</v>
      </c>
      <c r="H275" s="698">
        <v>1.3</v>
      </c>
      <c r="I275" s="699">
        <v>0.9</v>
      </c>
      <c r="J275" s="699">
        <v>0.9</v>
      </c>
      <c r="K275" s="369">
        <v>0.99999999999999956</v>
      </c>
      <c r="L275" s="698">
        <v>1.2</v>
      </c>
      <c r="M275" s="699">
        <v>0.9</v>
      </c>
      <c r="N275" s="699">
        <v>0</v>
      </c>
      <c r="O275" s="369">
        <v>2.1</v>
      </c>
      <c r="P275" s="698">
        <v>0.9</v>
      </c>
      <c r="Q275" s="699">
        <v>1</v>
      </c>
      <c r="R275" s="699">
        <v>1</v>
      </c>
      <c r="S275" s="369">
        <v>0.70000000000000018</v>
      </c>
      <c r="T275" s="698">
        <v>0.6</v>
      </c>
      <c r="U275" s="699">
        <v>0.7</v>
      </c>
      <c r="V275" s="699">
        <v>0.8</v>
      </c>
      <c r="W275" s="369">
        <v>9</v>
      </c>
      <c r="X275" s="698">
        <v>0.5</v>
      </c>
      <c r="Y275" s="699">
        <v>0.7</v>
      </c>
      <c r="Z275" s="699">
        <v>0.4</v>
      </c>
      <c r="AA275" s="369">
        <v>0.39999999999999991</v>
      </c>
      <c r="AB275" s="698">
        <v>0.5</v>
      </c>
      <c r="AC275" s="699">
        <v>1.6</v>
      </c>
      <c r="AD275" s="699">
        <v>1</v>
      </c>
      <c r="AE275" s="369">
        <v>2.3000000000000003</v>
      </c>
      <c r="AF275" s="698">
        <v>1.7</v>
      </c>
      <c r="AG275" s="699">
        <v>2.8</v>
      </c>
      <c r="AH275" s="699">
        <v>4.9000000000000004</v>
      </c>
      <c r="AI275" s="369">
        <v>2.9000000000000004</v>
      </c>
      <c r="AJ275" s="698">
        <v>6.2</v>
      </c>
      <c r="AK275" s="699">
        <v>11.1</v>
      </c>
      <c r="AL275" s="699">
        <v>6</v>
      </c>
      <c r="AM275" s="369">
        <v>13.3</v>
      </c>
      <c r="AN275" s="698">
        <v>9.4</v>
      </c>
      <c r="AO275" s="699">
        <v>3.8</v>
      </c>
      <c r="AP275" s="699">
        <v>7.2</v>
      </c>
      <c r="AQ275" s="369">
        <v>-5.3999999999999986</v>
      </c>
      <c r="AR275" s="698"/>
      <c r="AS275" s="696">
        <v>0</v>
      </c>
      <c r="AT275" s="699">
        <v>0</v>
      </c>
      <c r="AU275" s="697">
        <v>0</v>
      </c>
      <c r="AV275" s="695">
        <v>0</v>
      </c>
      <c r="AW275" s="696">
        <v>0</v>
      </c>
      <c r="AX275" s="696">
        <v>0</v>
      </c>
      <c r="AY275" s="697">
        <v>0</v>
      </c>
      <c r="AZ275" s="1334">
        <v>0</v>
      </c>
      <c r="BA275" s="1335">
        <v>0</v>
      </c>
      <c r="BB275" s="1335">
        <v>0</v>
      </c>
      <c r="BC275" s="1336">
        <v>0</v>
      </c>
      <c r="BD275" s="1334">
        <v>0</v>
      </c>
      <c r="BE275" s="1335">
        <v>0</v>
      </c>
      <c r="BF275" s="1335">
        <v>0</v>
      </c>
      <c r="BG275" s="697"/>
      <c r="BH275" s="695"/>
      <c r="BI275" s="696"/>
      <c r="BJ275" s="696"/>
      <c r="BK275" s="697"/>
      <c r="BL275" s="695"/>
      <c r="BM275" s="696"/>
      <c r="BN275" s="696"/>
      <c r="BO275" s="697"/>
      <c r="BP275" s="695"/>
      <c r="BQ275" s="696"/>
      <c r="BR275" s="696"/>
      <c r="BS275" s="697"/>
      <c r="BT275" s="695"/>
      <c r="BU275" s="696"/>
      <c r="BV275" s="696"/>
      <c r="BW275" s="697"/>
      <c r="BX275" s="776"/>
      <c r="BY275" s="698">
        <v>4</v>
      </c>
      <c r="BZ275" s="700">
        <v>4.0999999999999996</v>
      </c>
      <c r="CA275" s="696">
        <v>4.2</v>
      </c>
      <c r="CB275" s="696">
        <v>3.6</v>
      </c>
      <c r="CC275" s="696">
        <v>11.1</v>
      </c>
      <c r="CD275" s="696">
        <v>2</v>
      </c>
      <c r="CE275" s="696">
        <v>5.4</v>
      </c>
      <c r="CF275" s="696">
        <v>12.3</v>
      </c>
      <c r="CG275" s="696">
        <v>36.6</v>
      </c>
      <c r="CH275" s="696">
        <v>15</v>
      </c>
      <c r="CI275" s="696">
        <v>0</v>
      </c>
      <c r="CJ275" s="696"/>
      <c r="CK275" s="696"/>
      <c r="CL275" s="696"/>
      <c r="CM275" s="696"/>
      <c r="CN275" s="696"/>
      <c r="CO275" s="696"/>
      <c r="CP275" s="697"/>
    </row>
    <row r="276" spans="1:94" s="1361" customFormat="1" ht="14.25" hidden="1" customHeight="1" outlineLevel="2">
      <c r="A276" s="1366"/>
      <c r="B276" s="300" t="s">
        <v>216</v>
      </c>
      <c r="C276" s="303"/>
      <c r="D276" s="698">
        <v>48.3</v>
      </c>
      <c r="E276" s="699">
        <v>47.8</v>
      </c>
      <c r="F276" s="699">
        <v>44.1</v>
      </c>
      <c r="G276" s="369">
        <v>49.100000000000023</v>
      </c>
      <c r="H276" s="698">
        <v>53.3</v>
      </c>
      <c r="I276" s="699">
        <v>55.7</v>
      </c>
      <c r="J276" s="699">
        <v>49.5</v>
      </c>
      <c r="K276" s="369">
        <v>50.600000000000023</v>
      </c>
      <c r="L276" s="698">
        <v>56.7</v>
      </c>
      <c r="M276" s="699">
        <v>50</v>
      </c>
      <c r="N276" s="699">
        <v>48.3</v>
      </c>
      <c r="O276" s="369">
        <v>51.799999999999983</v>
      </c>
      <c r="P276" s="698">
        <v>55.1</v>
      </c>
      <c r="Q276" s="699">
        <v>56.1</v>
      </c>
      <c r="R276" s="699">
        <v>57.9</v>
      </c>
      <c r="S276" s="369">
        <v>59.099999999999994</v>
      </c>
      <c r="T276" s="698">
        <v>58.4</v>
      </c>
      <c r="U276" s="699">
        <v>56.4</v>
      </c>
      <c r="V276" s="699">
        <v>57.4</v>
      </c>
      <c r="W276" s="369">
        <v>56.700000000000017</v>
      </c>
      <c r="X276" s="698">
        <v>57.9</v>
      </c>
      <c r="Y276" s="699">
        <v>56</v>
      </c>
      <c r="Z276" s="699">
        <v>59</v>
      </c>
      <c r="AA276" s="369">
        <v>32.200000000000017</v>
      </c>
      <c r="AB276" s="698">
        <v>48.400000000000006</v>
      </c>
      <c r="AC276" s="699">
        <v>53.8</v>
      </c>
      <c r="AD276" s="699">
        <v>78.7</v>
      </c>
      <c r="AE276" s="369">
        <v>77.299999999999983</v>
      </c>
      <c r="AF276" s="698">
        <v>93.9</v>
      </c>
      <c r="AG276" s="699">
        <v>92.8</v>
      </c>
      <c r="AH276" s="699">
        <v>90</v>
      </c>
      <c r="AI276" s="369">
        <v>96.300000000000011</v>
      </c>
      <c r="AJ276" s="698">
        <v>109.9</v>
      </c>
      <c r="AK276" s="699">
        <v>107.8</v>
      </c>
      <c r="AL276" s="699">
        <v>111.1</v>
      </c>
      <c r="AM276" s="369">
        <v>95.900000000000034</v>
      </c>
      <c r="AN276" s="698">
        <v>105.8</v>
      </c>
      <c r="AO276" s="699">
        <v>100</v>
      </c>
      <c r="AP276" s="699">
        <v>94</v>
      </c>
      <c r="AQ276" s="369">
        <v>88.5</v>
      </c>
      <c r="AR276" s="698">
        <v>97.8</v>
      </c>
      <c r="AS276" s="696">
        <v>103.24499999999999</v>
      </c>
      <c r="AT276" s="699">
        <v>101.9</v>
      </c>
      <c r="AU276" s="697">
        <v>100.52000000000002</v>
      </c>
      <c r="AV276" s="695">
        <v>120.105</v>
      </c>
      <c r="AW276" s="696">
        <v>121.21599999999999</v>
      </c>
      <c r="AX276" s="696">
        <v>125.02500000000001</v>
      </c>
      <c r="AY276" s="697">
        <v>129.63</v>
      </c>
      <c r="AZ276" s="1334">
        <v>129.69999999999999</v>
      </c>
      <c r="BA276" s="1335">
        <v>119.2</v>
      </c>
      <c r="BB276" s="1335">
        <v>135.66</v>
      </c>
      <c r="BC276" s="1336">
        <v>126.04499999999997</v>
      </c>
      <c r="BD276" s="1334">
        <v>138.92400000000001</v>
      </c>
      <c r="BE276" s="1335">
        <v>142.64249999999998</v>
      </c>
      <c r="BF276" s="1335">
        <v>142.63499999999999</v>
      </c>
      <c r="BG276" s="697"/>
      <c r="BH276" s="695"/>
      <c r="BI276" s="696"/>
      <c r="BJ276" s="696"/>
      <c r="BK276" s="697"/>
      <c r="BL276" s="695"/>
      <c r="BM276" s="696"/>
      <c r="BN276" s="696"/>
      <c r="BO276" s="697"/>
      <c r="BP276" s="695"/>
      <c r="BQ276" s="696"/>
      <c r="BR276" s="696"/>
      <c r="BS276" s="697"/>
      <c r="BT276" s="695"/>
      <c r="BU276" s="696"/>
      <c r="BV276" s="696"/>
      <c r="BW276" s="697"/>
      <c r="BX276" s="776"/>
      <c r="BY276" s="698">
        <v>189.3</v>
      </c>
      <c r="BZ276" s="700">
        <v>209.10000000000002</v>
      </c>
      <c r="CA276" s="696">
        <v>206.79999999999998</v>
      </c>
      <c r="CB276" s="696">
        <v>228.2</v>
      </c>
      <c r="CC276" s="696">
        <v>228.9</v>
      </c>
      <c r="CD276" s="696">
        <v>205.10000000000002</v>
      </c>
      <c r="CE276" s="696">
        <v>258.2</v>
      </c>
      <c r="CF276" s="696">
        <v>373</v>
      </c>
      <c r="CG276" s="696">
        <v>424.7</v>
      </c>
      <c r="CH276" s="696">
        <v>388.3</v>
      </c>
      <c r="CI276" s="696">
        <v>403.46500000000003</v>
      </c>
      <c r="CJ276" s="696"/>
      <c r="CK276" s="696"/>
      <c r="CL276" s="696"/>
      <c r="CM276" s="696"/>
      <c r="CN276" s="696"/>
      <c r="CO276" s="696"/>
      <c r="CP276" s="697"/>
    </row>
    <row r="277" spans="1:94" s="1361" customFormat="1" ht="14.25" hidden="1" customHeight="1" outlineLevel="2">
      <c r="A277" s="1366"/>
      <c r="B277" s="300" t="s">
        <v>217</v>
      </c>
      <c r="C277" s="303"/>
      <c r="D277" s="698">
        <v>0</v>
      </c>
      <c r="E277" s="699">
        <v>0</v>
      </c>
      <c r="F277" s="699">
        <v>0</v>
      </c>
      <c r="G277" s="369">
        <v>0</v>
      </c>
      <c r="H277" s="698">
        <v>0</v>
      </c>
      <c r="I277" s="699">
        <v>0</v>
      </c>
      <c r="J277" s="699">
        <v>0</v>
      </c>
      <c r="K277" s="369">
        <v>0</v>
      </c>
      <c r="L277" s="698">
        <v>0</v>
      </c>
      <c r="M277" s="699">
        <v>0</v>
      </c>
      <c r="N277" s="699">
        <v>0</v>
      </c>
      <c r="O277" s="369">
        <v>0</v>
      </c>
      <c r="P277" s="698">
        <v>0</v>
      </c>
      <c r="Q277" s="699">
        <v>0</v>
      </c>
      <c r="R277" s="699">
        <v>0</v>
      </c>
      <c r="S277" s="369">
        <v>0</v>
      </c>
      <c r="T277" s="698">
        <v>0</v>
      </c>
      <c r="U277" s="699">
        <v>0</v>
      </c>
      <c r="V277" s="699">
        <v>0</v>
      </c>
      <c r="W277" s="369">
        <v>0</v>
      </c>
      <c r="X277" s="698">
        <v>10.5</v>
      </c>
      <c r="Y277" s="699">
        <v>57.5</v>
      </c>
      <c r="Z277" s="699">
        <v>50.7</v>
      </c>
      <c r="AA277" s="369">
        <v>39.799999999999997</v>
      </c>
      <c r="AB277" s="698">
        <v>27.4</v>
      </c>
      <c r="AC277" s="699">
        <v>0.6</v>
      </c>
      <c r="AD277" s="699">
        <v>0.4</v>
      </c>
      <c r="AE277" s="369">
        <v>1.1000000000000014</v>
      </c>
      <c r="AF277" s="698">
        <v>0.1</v>
      </c>
      <c r="AG277" s="699">
        <v>0</v>
      </c>
      <c r="AH277" s="699">
        <v>0.2</v>
      </c>
      <c r="AI277" s="369">
        <v>0.39999999999999991</v>
      </c>
      <c r="AJ277" s="698">
        <v>0.9</v>
      </c>
      <c r="AK277" s="699">
        <v>2.1</v>
      </c>
      <c r="AL277" s="699">
        <v>0.7</v>
      </c>
      <c r="AM277" s="369">
        <v>0</v>
      </c>
      <c r="AN277" s="698">
        <v>0.1</v>
      </c>
      <c r="AO277" s="699">
        <v>0</v>
      </c>
      <c r="AP277" s="699">
        <v>0.2</v>
      </c>
      <c r="AQ277" s="369">
        <v>0.19999999999999996</v>
      </c>
      <c r="AR277" s="698"/>
      <c r="AS277" s="696">
        <v>0</v>
      </c>
      <c r="AT277" s="699">
        <v>0</v>
      </c>
      <c r="AU277" s="697">
        <v>0</v>
      </c>
      <c r="AV277" s="695">
        <v>0</v>
      </c>
      <c r="AW277" s="696">
        <v>0</v>
      </c>
      <c r="AX277" s="696">
        <v>0</v>
      </c>
      <c r="AY277" s="697">
        <v>0</v>
      </c>
      <c r="AZ277" s="1334">
        <v>0</v>
      </c>
      <c r="BA277" s="1335">
        <v>0</v>
      </c>
      <c r="BB277" s="1335">
        <v>0</v>
      </c>
      <c r="BC277" s="1336">
        <v>0</v>
      </c>
      <c r="BD277" s="1334">
        <v>0</v>
      </c>
      <c r="BE277" s="1335">
        <v>0</v>
      </c>
      <c r="BF277" s="1335">
        <v>0</v>
      </c>
      <c r="BG277" s="697"/>
      <c r="BH277" s="695"/>
      <c r="BI277" s="696"/>
      <c r="BJ277" s="696"/>
      <c r="BK277" s="697"/>
      <c r="BL277" s="695"/>
      <c r="BM277" s="696"/>
      <c r="BN277" s="696"/>
      <c r="BO277" s="697"/>
      <c r="BP277" s="695"/>
      <c r="BQ277" s="696"/>
      <c r="BR277" s="696"/>
      <c r="BS277" s="697"/>
      <c r="BT277" s="695"/>
      <c r="BU277" s="696"/>
      <c r="BV277" s="696"/>
      <c r="BW277" s="697"/>
      <c r="BX277" s="776"/>
      <c r="BY277" s="698">
        <v>0</v>
      </c>
      <c r="BZ277" s="700">
        <v>0</v>
      </c>
      <c r="CA277" s="696">
        <v>0</v>
      </c>
      <c r="CB277" s="696">
        <v>0</v>
      </c>
      <c r="CC277" s="696">
        <v>0</v>
      </c>
      <c r="CD277" s="696">
        <v>158.5</v>
      </c>
      <c r="CE277" s="696">
        <v>29.5</v>
      </c>
      <c r="CF277" s="696">
        <v>0.7</v>
      </c>
      <c r="CG277" s="696">
        <v>3.7</v>
      </c>
      <c r="CH277" s="696">
        <v>0.5</v>
      </c>
      <c r="CI277" s="696">
        <v>0</v>
      </c>
      <c r="CJ277" s="696"/>
      <c r="CK277" s="696"/>
      <c r="CL277" s="696"/>
      <c r="CM277" s="696"/>
      <c r="CN277" s="696"/>
      <c r="CO277" s="696"/>
      <c r="CP277" s="697"/>
    </row>
    <row r="278" spans="1:94" s="1361" customFormat="1" ht="14.25" hidden="1" customHeight="1" outlineLevel="2">
      <c r="A278" s="1366"/>
      <c r="B278" s="300" t="s">
        <v>218</v>
      </c>
      <c r="C278" s="303"/>
      <c r="D278" s="698">
        <v>0</v>
      </c>
      <c r="E278" s="699">
        <v>0</v>
      </c>
      <c r="F278" s="699">
        <v>0</v>
      </c>
      <c r="G278" s="369">
        <v>0</v>
      </c>
      <c r="H278" s="698">
        <v>82.6</v>
      </c>
      <c r="I278" s="699">
        <v>93.8</v>
      </c>
      <c r="J278" s="699">
        <v>91.5</v>
      </c>
      <c r="K278" s="369">
        <v>93.800000000000011</v>
      </c>
      <c r="L278" s="698">
        <v>89</v>
      </c>
      <c r="M278" s="699">
        <v>103.2</v>
      </c>
      <c r="N278" s="699">
        <v>111.6</v>
      </c>
      <c r="O278" s="369">
        <v>123.40000000000003</v>
      </c>
      <c r="P278" s="698">
        <v>122.7</v>
      </c>
      <c r="Q278" s="699">
        <v>138.30000000000001</v>
      </c>
      <c r="R278" s="699">
        <v>150.30000000000001</v>
      </c>
      <c r="S278" s="369">
        <v>135.19999999999999</v>
      </c>
      <c r="T278" s="698">
        <v>140.30000000000001</v>
      </c>
      <c r="U278" s="699">
        <v>154.5</v>
      </c>
      <c r="V278" s="699">
        <v>179.6</v>
      </c>
      <c r="W278" s="369">
        <v>192</v>
      </c>
      <c r="X278" s="698">
        <v>170.6</v>
      </c>
      <c r="Y278" s="699">
        <v>199</v>
      </c>
      <c r="Z278" s="699">
        <v>242.4</v>
      </c>
      <c r="AA278" s="369">
        <v>163.5</v>
      </c>
      <c r="AB278" s="698">
        <v>100.2</v>
      </c>
      <c r="AC278" s="699">
        <v>146.1</v>
      </c>
      <c r="AD278" s="699">
        <v>159</v>
      </c>
      <c r="AE278" s="369">
        <v>160.09999999999997</v>
      </c>
      <c r="AF278" s="698">
        <v>172.2</v>
      </c>
      <c r="AG278" s="699">
        <v>199.4</v>
      </c>
      <c r="AH278" s="699">
        <v>207.6</v>
      </c>
      <c r="AI278" s="369">
        <v>183.19999999999993</v>
      </c>
      <c r="AJ278" s="698">
        <v>269.89999999999998</v>
      </c>
      <c r="AK278" s="699">
        <v>277.60000000000002</v>
      </c>
      <c r="AL278" s="699">
        <v>267.8</v>
      </c>
      <c r="AM278" s="369">
        <v>238.5</v>
      </c>
      <c r="AN278" s="698">
        <v>218.3</v>
      </c>
      <c r="AO278" s="699">
        <v>217.6</v>
      </c>
      <c r="AP278" s="699">
        <v>228.5</v>
      </c>
      <c r="AQ278" s="369">
        <v>209.80000000000007</v>
      </c>
      <c r="AR278" s="698"/>
      <c r="AS278" s="696">
        <v>0</v>
      </c>
      <c r="AT278" s="699">
        <v>230.1</v>
      </c>
      <c r="AU278" s="697">
        <v>0</v>
      </c>
      <c r="AV278" s="695">
        <v>0</v>
      </c>
      <c r="AW278" s="696">
        <v>0</v>
      </c>
      <c r="AX278" s="696">
        <v>0</v>
      </c>
      <c r="AY278" s="697">
        <v>0</v>
      </c>
      <c r="AZ278" s="1334">
        <v>0</v>
      </c>
      <c r="BA278" s="1335">
        <v>0</v>
      </c>
      <c r="BB278" s="1335">
        <v>0</v>
      </c>
      <c r="BC278" s="1336">
        <v>0</v>
      </c>
      <c r="BD278" s="1334">
        <v>0</v>
      </c>
      <c r="BE278" s="1335">
        <v>0</v>
      </c>
      <c r="BF278" s="1335">
        <v>0</v>
      </c>
      <c r="BG278" s="697"/>
      <c r="BH278" s="695"/>
      <c r="BI278" s="696"/>
      <c r="BJ278" s="696"/>
      <c r="BK278" s="697"/>
      <c r="BL278" s="695"/>
      <c r="BM278" s="696"/>
      <c r="BN278" s="696"/>
      <c r="BO278" s="697"/>
      <c r="BP278" s="695"/>
      <c r="BQ278" s="696"/>
      <c r="BR278" s="696"/>
      <c r="BS278" s="697"/>
      <c r="BT278" s="695"/>
      <c r="BU278" s="696"/>
      <c r="BV278" s="696"/>
      <c r="BW278" s="697"/>
      <c r="BX278" s="776"/>
      <c r="BY278" s="698">
        <v>252.6</v>
      </c>
      <c r="BZ278" s="700">
        <v>361.7</v>
      </c>
      <c r="CA278" s="696">
        <v>427.2</v>
      </c>
      <c r="CB278" s="696">
        <v>546.5</v>
      </c>
      <c r="CC278" s="696">
        <v>666.4</v>
      </c>
      <c r="CD278" s="696">
        <v>775.5</v>
      </c>
      <c r="CE278" s="696">
        <v>565.4</v>
      </c>
      <c r="CF278" s="696">
        <v>762.4</v>
      </c>
      <c r="CG278" s="696">
        <v>1053.8</v>
      </c>
      <c r="CH278" s="696">
        <v>874.2</v>
      </c>
      <c r="CI278" s="696">
        <v>230.1</v>
      </c>
      <c r="CJ278" s="696"/>
      <c r="CK278" s="696"/>
      <c r="CL278" s="696"/>
      <c r="CM278" s="696"/>
      <c r="CN278" s="696"/>
      <c r="CO278" s="696"/>
      <c r="CP278" s="697"/>
    </row>
    <row r="279" spans="1:94" s="1361" customFormat="1" ht="14.25" hidden="1" customHeight="1" outlineLevel="2">
      <c r="A279" s="1366"/>
      <c r="B279" s="300" t="s">
        <v>361</v>
      </c>
      <c r="C279" s="303"/>
      <c r="D279" s="698">
        <v>0</v>
      </c>
      <c r="E279" s="699">
        <v>0</v>
      </c>
      <c r="F279" s="699">
        <v>0</v>
      </c>
      <c r="G279" s="369">
        <v>0</v>
      </c>
      <c r="H279" s="698">
        <v>0</v>
      </c>
      <c r="I279" s="699">
        <v>0</v>
      </c>
      <c r="J279" s="699">
        <v>0</v>
      </c>
      <c r="K279" s="369">
        <v>0</v>
      </c>
      <c r="L279" s="698">
        <v>0</v>
      </c>
      <c r="M279" s="699">
        <v>0</v>
      </c>
      <c r="N279" s="699">
        <v>0</v>
      </c>
      <c r="O279" s="369">
        <v>0</v>
      </c>
      <c r="P279" s="698">
        <v>0</v>
      </c>
      <c r="Q279" s="699">
        <v>0</v>
      </c>
      <c r="R279" s="699">
        <v>0</v>
      </c>
      <c r="S279" s="369">
        <v>0</v>
      </c>
      <c r="T279" s="698">
        <v>0</v>
      </c>
      <c r="U279" s="699">
        <v>0</v>
      </c>
      <c r="V279" s="699">
        <v>0</v>
      </c>
      <c r="W279" s="369">
        <v>0</v>
      </c>
      <c r="X279" s="698">
        <v>0</v>
      </c>
      <c r="Y279" s="699">
        <v>0</v>
      </c>
      <c r="Z279" s="699">
        <v>0</v>
      </c>
      <c r="AA279" s="369">
        <v>0</v>
      </c>
      <c r="AB279" s="698">
        <v>0</v>
      </c>
      <c r="AC279" s="699">
        <v>0</v>
      </c>
      <c r="AD279" s="699">
        <v>0</v>
      </c>
      <c r="AE279" s="369">
        <v>0</v>
      </c>
      <c r="AF279" s="698">
        <v>13.5</v>
      </c>
      <c r="AG279" s="699">
        <v>17.7</v>
      </c>
      <c r="AH279" s="699">
        <v>0</v>
      </c>
      <c r="AI279" s="369">
        <v>28.3</v>
      </c>
      <c r="AJ279" s="698">
        <v>125.4</v>
      </c>
      <c r="AK279" s="699">
        <v>119</v>
      </c>
      <c r="AL279" s="699">
        <v>136.4</v>
      </c>
      <c r="AM279" s="369">
        <v>114</v>
      </c>
      <c r="AN279" s="698">
        <v>115.2</v>
      </c>
      <c r="AO279" s="699">
        <v>105.1</v>
      </c>
      <c r="AP279" s="699">
        <v>93.9</v>
      </c>
      <c r="AQ279" s="369">
        <v>86.999999999999943</v>
      </c>
      <c r="AR279" s="698">
        <v>71.7</v>
      </c>
      <c r="AS279" s="696">
        <v>75.712999999999994</v>
      </c>
      <c r="AT279" s="699">
        <v>70.3</v>
      </c>
      <c r="AU279" s="697">
        <v>71.800000000000011</v>
      </c>
      <c r="AV279" s="695">
        <v>63.585000000000001</v>
      </c>
      <c r="AW279" s="696">
        <v>68.183999999999983</v>
      </c>
      <c r="AX279" s="696">
        <v>75.015000000000001</v>
      </c>
      <c r="AY279" s="697">
        <v>86.420000000000016</v>
      </c>
      <c r="AZ279" s="1334">
        <v>62.6</v>
      </c>
      <c r="BA279" s="1335">
        <v>64.8</v>
      </c>
      <c r="BB279" s="1335">
        <v>72.352000000000004</v>
      </c>
      <c r="BC279" s="1336">
        <v>75.626999999999981</v>
      </c>
      <c r="BD279" s="1334">
        <v>81.72</v>
      </c>
      <c r="BE279" s="1335">
        <v>81.1965</v>
      </c>
      <c r="BF279" s="1335">
        <v>85.580999999999989</v>
      </c>
      <c r="BG279" s="697"/>
      <c r="BH279" s="695"/>
      <c r="BI279" s="696"/>
      <c r="BJ279" s="696"/>
      <c r="BK279" s="697"/>
      <c r="BL279" s="695"/>
      <c r="BM279" s="696"/>
      <c r="BN279" s="696"/>
      <c r="BO279" s="697"/>
      <c r="BP279" s="695"/>
      <c r="BQ279" s="696"/>
      <c r="BR279" s="696"/>
      <c r="BS279" s="697"/>
      <c r="BT279" s="695"/>
      <c r="BU279" s="696"/>
      <c r="BV279" s="696"/>
      <c r="BW279" s="697"/>
      <c r="BX279" s="776"/>
      <c r="BY279" s="698">
        <v>0</v>
      </c>
      <c r="BZ279" s="700">
        <v>0</v>
      </c>
      <c r="CA279" s="696">
        <v>0</v>
      </c>
      <c r="CB279" s="696">
        <v>0</v>
      </c>
      <c r="CC279" s="696">
        <v>0</v>
      </c>
      <c r="CD279" s="696">
        <v>0</v>
      </c>
      <c r="CE279" s="696">
        <v>0</v>
      </c>
      <c r="CF279" s="696">
        <v>59.5</v>
      </c>
      <c r="CG279" s="696">
        <v>494.8</v>
      </c>
      <c r="CH279" s="696">
        <v>401.2</v>
      </c>
      <c r="CI279" s="696">
        <v>289.51300000000003</v>
      </c>
      <c r="CJ279" s="696"/>
      <c r="CK279" s="696"/>
      <c r="CL279" s="696"/>
      <c r="CM279" s="696"/>
      <c r="CN279" s="696"/>
      <c r="CO279" s="696"/>
      <c r="CP279" s="697"/>
    </row>
    <row r="280" spans="1:94" s="1361" customFormat="1" ht="14.25" hidden="1" customHeight="1" outlineLevel="2">
      <c r="A280" s="1366"/>
      <c r="B280" s="300" t="s">
        <v>219</v>
      </c>
      <c r="C280" s="303"/>
      <c r="D280" s="698">
        <v>0</v>
      </c>
      <c r="E280" s="699">
        <v>0</v>
      </c>
      <c r="F280" s="699">
        <v>0</v>
      </c>
      <c r="G280" s="369">
        <v>0</v>
      </c>
      <c r="H280" s="698">
        <v>34.700000000000003</v>
      </c>
      <c r="I280" s="699">
        <v>39.299999999999997</v>
      </c>
      <c r="J280" s="699">
        <v>37.299999999999997</v>
      </c>
      <c r="K280" s="369">
        <v>40.000000000000014</v>
      </c>
      <c r="L280" s="698">
        <v>33</v>
      </c>
      <c r="M280" s="699">
        <v>33.799999999999997</v>
      </c>
      <c r="N280" s="699">
        <v>35</v>
      </c>
      <c r="O280" s="369">
        <v>40.600000000000009</v>
      </c>
      <c r="P280" s="698">
        <v>36.299999999999997</v>
      </c>
      <c r="Q280" s="699">
        <v>41.5</v>
      </c>
      <c r="R280" s="699">
        <v>43</v>
      </c>
      <c r="S280" s="369">
        <v>39.799999999999997</v>
      </c>
      <c r="T280" s="698">
        <v>37.5</v>
      </c>
      <c r="U280" s="699">
        <v>35.4</v>
      </c>
      <c r="V280" s="699">
        <v>38.4</v>
      </c>
      <c r="W280" s="369">
        <v>37.299999999999983</v>
      </c>
      <c r="X280" s="698">
        <v>36.700000000000003</v>
      </c>
      <c r="Y280" s="699">
        <v>40.4</v>
      </c>
      <c r="Z280" s="699">
        <v>44.5</v>
      </c>
      <c r="AA280" s="369">
        <v>36.300000000000011</v>
      </c>
      <c r="AB280" s="698">
        <v>62.2</v>
      </c>
      <c r="AC280" s="699">
        <v>96.5</v>
      </c>
      <c r="AD280" s="699">
        <v>108.8</v>
      </c>
      <c r="AE280" s="369">
        <v>119.80000000000001</v>
      </c>
      <c r="AF280" s="698">
        <v>130.19999999999999</v>
      </c>
      <c r="AG280" s="699">
        <v>134</v>
      </c>
      <c r="AH280" s="699">
        <v>137.69999999999999</v>
      </c>
      <c r="AI280" s="369">
        <v>138.89999999999998</v>
      </c>
      <c r="AJ280" s="698">
        <v>170.8</v>
      </c>
      <c r="AK280" s="699">
        <v>193.6</v>
      </c>
      <c r="AL280" s="699">
        <v>180.6</v>
      </c>
      <c r="AM280" s="369">
        <v>138.29999999999995</v>
      </c>
      <c r="AN280" s="698">
        <v>143.5</v>
      </c>
      <c r="AO280" s="699">
        <v>163.5</v>
      </c>
      <c r="AP280" s="699">
        <v>157.30000000000001</v>
      </c>
      <c r="AQ280" s="369">
        <v>163.40000000000003</v>
      </c>
      <c r="AR280" s="698"/>
      <c r="AS280" s="696">
        <v>0</v>
      </c>
      <c r="AT280" s="699">
        <v>178.3</v>
      </c>
      <c r="AU280" s="697">
        <v>0</v>
      </c>
      <c r="AV280" s="695">
        <v>0</v>
      </c>
      <c r="AW280" s="696">
        <v>0</v>
      </c>
      <c r="AX280" s="696">
        <v>0</v>
      </c>
      <c r="AY280" s="697">
        <v>0</v>
      </c>
      <c r="AZ280" s="1334">
        <v>316.3</v>
      </c>
      <c r="BA280" s="1335">
        <v>294.60000000000002</v>
      </c>
      <c r="BB280" s="1335">
        <v>0</v>
      </c>
      <c r="BC280" s="1336">
        <v>0</v>
      </c>
      <c r="BD280" s="1334">
        <v>0</v>
      </c>
      <c r="BE280" s="1335">
        <v>0</v>
      </c>
      <c r="BF280" s="1335">
        <v>0</v>
      </c>
      <c r="BG280" s="697"/>
      <c r="BH280" s="695"/>
      <c r="BI280" s="696"/>
      <c r="BJ280" s="696"/>
      <c r="BK280" s="697"/>
      <c r="BL280" s="695"/>
      <c r="BM280" s="696"/>
      <c r="BN280" s="696"/>
      <c r="BO280" s="697"/>
      <c r="BP280" s="695"/>
      <c r="BQ280" s="696"/>
      <c r="BR280" s="696"/>
      <c r="BS280" s="697"/>
      <c r="BT280" s="695"/>
      <c r="BU280" s="696"/>
      <c r="BV280" s="696"/>
      <c r="BW280" s="697"/>
      <c r="BX280" s="776"/>
      <c r="BY280" s="698">
        <v>123.2</v>
      </c>
      <c r="BZ280" s="700">
        <v>151.30000000000001</v>
      </c>
      <c r="CA280" s="696">
        <v>142.4</v>
      </c>
      <c r="CB280" s="696">
        <v>160.6</v>
      </c>
      <c r="CC280" s="696">
        <v>148.6</v>
      </c>
      <c r="CD280" s="696">
        <v>157.9</v>
      </c>
      <c r="CE280" s="696">
        <v>387.3</v>
      </c>
      <c r="CF280" s="696">
        <v>540.79999999999995</v>
      </c>
      <c r="CG280" s="696">
        <v>683.3</v>
      </c>
      <c r="CH280" s="696">
        <v>627.70000000000005</v>
      </c>
      <c r="CI280" s="696">
        <v>178.3</v>
      </c>
      <c r="CJ280" s="696"/>
      <c r="CK280" s="696"/>
      <c r="CL280" s="696"/>
      <c r="CM280" s="696"/>
      <c r="CN280" s="696"/>
      <c r="CO280" s="696"/>
      <c r="CP280" s="697"/>
    </row>
    <row r="281" spans="1:94" s="1361" customFormat="1" ht="14.25" hidden="1" customHeight="1" outlineLevel="2">
      <c r="A281" s="1366"/>
      <c r="B281" s="300" t="s">
        <v>220</v>
      </c>
      <c r="C281" s="305"/>
      <c r="D281" s="698">
        <v>129</v>
      </c>
      <c r="E281" s="699">
        <v>126.6</v>
      </c>
      <c r="F281" s="699">
        <v>145.5</v>
      </c>
      <c r="G281" s="369">
        <v>157.10000000000002</v>
      </c>
      <c r="H281" s="698">
        <v>44</v>
      </c>
      <c r="I281" s="699">
        <v>52.2</v>
      </c>
      <c r="J281" s="699">
        <v>55.3</v>
      </c>
      <c r="K281" s="369">
        <v>45.800000000000011</v>
      </c>
      <c r="L281" s="698">
        <v>44.4</v>
      </c>
      <c r="M281" s="699">
        <v>44.6</v>
      </c>
      <c r="N281" s="699">
        <v>44.1</v>
      </c>
      <c r="O281" s="369">
        <v>52.099999999999994</v>
      </c>
      <c r="P281" s="698">
        <v>42.7</v>
      </c>
      <c r="Q281" s="699">
        <v>46.9</v>
      </c>
      <c r="R281" s="699">
        <v>46.7</v>
      </c>
      <c r="S281" s="369">
        <v>63.199999999999989</v>
      </c>
      <c r="T281" s="698">
        <v>37.4</v>
      </c>
      <c r="U281" s="699">
        <v>40.200000000000003</v>
      </c>
      <c r="V281" s="699">
        <v>36.4</v>
      </c>
      <c r="W281" s="369">
        <v>35.699999999999989</v>
      </c>
      <c r="X281" s="698">
        <v>45.3</v>
      </c>
      <c r="Y281" s="699">
        <v>71.8</v>
      </c>
      <c r="Z281" s="699">
        <v>74.3</v>
      </c>
      <c r="AA281" s="369">
        <v>61.700000000000017</v>
      </c>
      <c r="AB281" s="698">
        <v>26.7</v>
      </c>
      <c r="AC281" s="699">
        <v>37</v>
      </c>
      <c r="AD281" s="699">
        <v>52.4</v>
      </c>
      <c r="AE281" s="369">
        <v>32.800000000000011</v>
      </c>
      <c r="AF281" s="698">
        <v>19.399999999999999</v>
      </c>
      <c r="AG281" s="701">
        <v>18.7</v>
      </c>
      <c r="AH281" s="699">
        <v>35.4</v>
      </c>
      <c r="AI281" s="369">
        <v>8</v>
      </c>
      <c r="AJ281" s="698">
        <v>60.3</v>
      </c>
      <c r="AK281" s="699">
        <v>59.8</v>
      </c>
      <c r="AL281" s="699">
        <v>58.9</v>
      </c>
      <c r="AM281" s="369">
        <v>42.400000000000006</v>
      </c>
      <c r="AN281" s="698">
        <v>40.799999999999997</v>
      </c>
      <c r="AO281" s="699">
        <v>34.5</v>
      </c>
      <c r="AP281" s="699">
        <v>37.700000000000003</v>
      </c>
      <c r="AQ281" s="369">
        <v>23</v>
      </c>
      <c r="AR281" s="698">
        <v>386.4</v>
      </c>
      <c r="AS281" s="696">
        <v>406.09699999999998</v>
      </c>
      <c r="AT281" s="699">
        <v>25.8</v>
      </c>
      <c r="AU281" s="697">
        <v>430.80000000000007</v>
      </c>
      <c r="AV281" s="695">
        <v>402.70499999999998</v>
      </c>
      <c r="AW281" s="696">
        <v>446.98399999999992</v>
      </c>
      <c r="AX281" s="696">
        <v>500.1</v>
      </c>
      <c r="AY281" s="697">
        <v>509.87799999999999</v>
      </c>
      <c r="AZ281" s="1334">
        <v>230.39999999999998</v>
      </c>
      <c r="BA281" s="1335">
        <v>261.10000000000002</v>
      </c>
      <c r="BB281" s="1335">
        <v>560.72799999999995</v>
      </c>
      <c r="BC281" s="1336">
        <v>495.77699999999987</v>
      </c>
      <c r="BD281" s="1334">
        <v>449.46</v>
      </c>
      <c r="BE281" s="1335">
        <v>511.31849999999997</v>
      </c>
      <c r="BF281" s="1335">
        <v>580.04899999999998</v>
      </c>
      <c r="BG281" s="697"/>
      <c r="BH281" s="695"/>
      <c r="BI281" s="696"/>
      <c r="BJ281" s="696"/>
      <c r="BK281" s="697"/>
      <c r="BL281" s="695"/>
      <c r="BM281" s="696"/>
      <c r="BN281" s="696"/>
      <c r="BO281" s="697"/>
      <c r="BP281" s="695"/>
      <c r="BQ281" s="696"/>
      <c r="BR281" s="696"/>
      <c r="BS281" s="697"/>
      <c r="BT281" s="695"/>
      <c r="BU281" s="696"/>
      <c r="BV281" s="696"/>
      <c r="BW281" s="697"/>
      <c r="BX281" s="776"/>
      <c r="BY281" s="698">
        <v>182.4</v>
      </c>
      <c r="BZ281" s="700">
        <v>197.3</v>
      </c>
      <c r="CA281" s="696">
        <v>185.2</v>
      </c>
      <c r="CB281" s="702">
        <v>199.5</v>
      </c>
      <c r="CC281" s="702">
        <v>149.69999999999999</v>
      </c>
      <c r="CD281" s="702">
        <v>253.1</v>
      </c>
      <c r="CE281" s="696">
        <v>148.9</v>
      </c>
      <c r="CF281" s="696">
        <v>81.5</v>
      </c>
      <c r="CG281" s="696">
        <v>221.4</v>
      </c>
      <c r="CH281" s="696">
        <v>136</v>
      </c>
      <c r="CI281" s="696">
        <v>1249.097</v>
      </c>
      <c r="CJ281" s="696"/>
      <c r="CK281" s="696"/>
      <c r="CL281" s="696"/>
      <c r="CM281" s="696"/>
      <c r="CN281" s="696"/>
      <c r="CO281" s="696"/>
      <c r="CP281" s="697"/>
    </row>
    <row r="282" spans="1:94" s="1361" customFormat="1" ht="14.25" hidden="1" customHeight="1" outlineLevel="2">
      <c r="A282" s="1366"/>
      <c r="B282" s="347" t="s">
        <v>360</v>
      </c>
      <c r="C282" s="348"/>
      <c r="D282" s="703">
        <v>269.5</v>
      </c>
      <c r="E282" s="704">
        <v>256.2</v>
      </c>
      <c r="F282" s="704">
        <v>264.8</v>
      </c>
      <c r="G282" s="705">
        <v>278.60000000000008</v>
      </c>
      <c r="H282" s="703">
        <v>308.2</v>
      </c>
      <c r="I282" s="704">
        <v>333.5</v>
      </c>
      <c r="J282" s="704">
        <v>318.40000000000003</v>
      </c>
      <c r="K282" s="705">
        <v>306.80000000000007</v>
      </c>
      <c r="L282" s="706">
        <v>302.39999999999998</v>
      </c>
      <c r="M282" s="707">
        <v>302.8</v>
      </c>
      <c r="N282" s="707">
        <v>313.60000000000002</v>
      </c>
      <c r="O282" s="708">
        <v>341.80000000000007</v>
      </c>
      <c r="P282" s="706">
        <v>334</v>
      </c>
      <c r="Q282" s="707">
        <v>375.29999999999995</v>
      </c>
      <c r="R282" s="707">
        <v>420.90000000000003</v>
      </c>
      <c r="S282" s="708">
        <v>401.59999999999997</v>
      </c>
      <c r="T282" s="706">
        <v>374.2</v>
      </c>
      <c r="U282" s="707">
        <v>381.2</v>
      </c>
      <c r="V282" s="707">
        <v>402.9</v>
      </c>
      <c r="W282" s="708">
        <v>407.89999999999992</v>
      </c>
      <c r="X282" s="706">
        <v>421.9</v>
      </c>
      <c r="Y282" s="707">
        <v>562.69999999999993</v>
      </c>
      <c r="Z282" s="707">
        <v>581.5</v>
      </c>
      <c r="AA282" s="708">
        <v>488.70000000000005</v>
      </c>
      <c r="AB282" s="706">
        <v>379.1</v>
      </c>
      <c r="AC282" s="707">
        <v>419.79999999999995</v>
      </c>
      <c r="AD282" s="707">
        <v>472.90000000000003</v>
      </c>
      <c r="AE282" s="708">
        <v>497.09999999999991</v>
      </c>
      <c r="AF282" s="706">
        <v>550.19999999999993</v>
      </c>
      <c r="AG282" s="709">
        <v>583.29999999999995</v>
      </c>
      <c r="AH282" s="707">
        <v>600.69999999999993</v>
      </c>
      <c r="AI282" s="707">
        <v>579.19999999999993</v>
      </c>
      <c r="AJ282" s="706">
        <v>870.59999999999991</v>
      </c>
      <c r="AK282" s="707">
        <v>905.8</v>
      </c>
      <c r="AL282" s="707">
        <v>898</v>
      </c>
      <c r="AM282" s="708">
        <v>767.9</v>
      </c>
      <c r="AN282" s="706">
        <v>744.4</v>
      </c>
      <c r="AO282" s="707">
        <v>744.8</v>
      </c>
      <c r="AP282" s="707">
        <v>725.5</v>
      </c>
      <c r="AQ282" s="708">
        <v>680.2</v>
      </c>
      <c r="AR282" s="706">
        <v>661</v>
      </c>
      <c r="AS282" s="707">
        <v>688.3</v>
      </c>
      <c r="AT282" s="707">
        <v>715.4</v>
      </c>
      <c r="AU282" s="708">
        <v>718.00000000000011</v>
      </c>
      <c r="AV282" s="706">
        <v>706.5</v>
      </c>
      <c r="AW282" s="707">
        <v>757.59999999999991</v>
      </c>
      <c r="AX282" s="707">
        <v>833.5</v>
      </c>
      <c r="AY282" s="708">
        <v>864.2</v>
      </c>
      <c r="AZ282" s="1337">
        <v>870.80000000000007</v>
      </c>
      <c r="BA282" s="1338">
        <v>880.50000000000011</v>
      </c>
      <c r="BB282" s="1338">
        <v>904.4</v>
      </c>
      <c r="BC282" s="1339">
        <v>840.29999999999973</v>
      </c>
      <c r="BD282" s="1337">
        <v>817.2</v>
      </c>
      <c r="BE282" s="1338">
        <v>877.8</v>
      </c>
      <c r="BF282" s="1338">
        <v>950.9</v>
      </c>
      <c r="BG282" s="708"/>
      <c r="BH282" s="706"/>
      <c r="BI282" s="707"/>
      <c r="BJ282" s="707"/>
      <c r="BK282" s="708"/>
      <c r="BL282" s="706"/>
      <c r="BM282" s="707"/>
      <c r="BN282" s="707"/>
      <c r="BO282" s="708"/>
      <c r="BP282" s="706"/>
      <c r="BQ282" s="707"/>
      <c r="BR282" s="707"/>
      <c r="BS282" s="708"/>
      <c r="BT282" s="706"/>
      <c r="BU282" s="707"/>
      <c r="BV282" s="707"/>
      <c r="BW282" s="708"/>
      <c r="BX282" s="777"/>
      <c r="BY282" s="706">
        <v>1069.1000000000001</v>
      </c>
      <c r="BZ282" s="707">
        <v>1266.8999999999999</v>
      </c>
      <c r="CA282" s="707">
        <v>1260.6000000000001</v>
      </c>
      <c r="CB282" s="707">
        <v>1531.8</v>
      </c>
      <c r="CC282" s="707">
        <v>1566.2</v>
      </c>
      <c r="CD282" s="707">
        <v>2054.8000000000002</v>
      </c>
      <c r="CE282" s="707">
        <v>1768.8999999999999</v>
      </c>
      <c r="CF282" s="707">
        <v>2313.3999999999996</v>
      </c>
      <c r="CG282" s="707">
        <v>3442.2999999999997</v>
      </c>
      <c r="CH282" s="707">
        <v>2894.8999999999996</v>
      </c>
      <c r="CI282" s="707">
        <v>2782.7</v>
      </c>
      <c r="CJ282" s="707"/>
      <c r="CK282" s="707"/>
      <c r="CL282" s="707"/>
      <c r="CM282" s="707"/>
      <c r="CN282" s="707"/>
      <c r="CO282" s="707"/>
      <c r="CP282" s="708"/>
    </row>
    <row r="283" spans="1:94" s="1361" customFormat="1" ht="14.25" hidden="1" customHeight="1" outlineLevel="2">
      <c r="A283" s="1366"/>
      <c r="B283" s="57"/>
      <c r="AJ283" s="9"/>
      <c r="AK283" s="9"/>
      <c r="AL283" s="9"/>
      <c r="AN283" s="9"/>
      <c r="AO283" s="9"/>
      <c r="AP283" s="9"/>
      <c r="AR283" s="9"/>
      <c r="AS283" s="9"/>
      <c r="AT283" s="9"/>
      <c r="AZ283" s="1340"/>
      <c r="BA283" s="1340"/>
      <c r="BB283" s="1340"/>
      <c r="BC283" s="1340"/>
      <c r="BD283" s="1340"/>
      <c r="BE283" s="1340"/>
      <c r="BF283" s="1340"/>
      <c r="BL283" s="1372"/>
      <c r="BM283" s="1372"/>
      <c r="BN283" s="1372"/>
      <c r="BO283" s="1372"/>
      <c r="BP283" s="1372"/>
      <c r="BQ283" s="1372"/>
      <c r="BR283" s="1372"/>
      <c r="BS283" s="1372"/>
      <c r="BT283" s="1463"/>
      <c r="BU283" s="1463"/>
      <c r="BV283" s="1463"/>
      <c r="BW283" s="1463"/>
      <c r="BX283" s="302"/>
      <c r="BY283" s="302"/>
      <c r="BZ283" s="302"/>
      <c r="CA283" s="302"/>
      <c r="CB283" s="302"/>
      <c r="CC283" s="302"/>
      <c r="CD283" s="302"/>
      <c r="CE283" s="302"/>
      <c r="CF283" s="302"/>
      <c r="CG283" s="15"/>
      <c r="CH283" s="302"/>
      <c r="CI283" s="302"/>
      <c r="CJ283" s="302"/>
      <c r="CK283" s="302"/>
      <c r="CL283" s="302"/>
      <c r="CM283" s="302"/>
      <c r="CN283" s="302"/>
      <c r="CO283" s="302"/>
      <c r="CP283" s="302"/>
    </row>
    <row r="284" spans="1:94" s="1361" customFormat="1" ht="14.25" hidden="1" customHeight="1" outlineLevel="2">
      <c r="A284" s="1366"/>
      <c r="B284" s="266" t="s">
        <v>301</v>
      </c>
      <c r="C284" s="267"/>
      <c r="D284" s="765" t="s">
        <v>644</v>
      </c>
      <c r="E284" s="766" t="s">
        <v>644</v>
      </c>
      <c r="F284" s="766" t="s">
        <v>644</v>
      </c>
      <c r="G284" s="766" t="s">
        <v>644</v>
      </c>
      <c r="H284" s="765" t="s">
        <v>644</v>
      </c>
      <c r="I284" s="766" t="s">
        <v>644</v>
      </c>
      <c r="J284" s="766" t="s">
        <v>644</v>
      </c>
      <c r="K284" s="766" t="s">
        <v>644</v>
      </c>
      <c r="L284" s="765" t="s">
        <v>644</v>
      </c>
      <c r="M284" s="766" t="s">
        <v>644</v>
      </c>
      <c r="N284" s="766" t="s">
        <v>644</v>
      </c>
      <c r="O284" s="766" t="s">
        <v>644</v>
      </c>
      <c r="P284" s="765" t="s">
        <v>644</v>
      </c>
      <c r="Q284" s="766" t="s">
        <v>644</v>
      </c>
      <c r="R284" s="766" t="s">
        <v>644</v>
      </c>
      <c r="S284" s="766" t="s">
        <v>644</v>
      </c>
      <c r="T284" s="765" t="s">
        <v>644</v>
      </c>
      <c r="U284" s="766" t="s">
        <v>644</v>
      </c>
      <c r="V284" s="766" t="s">
        <v>644</v>
      </c>
      <c r="W284" s="766" t="s">
        <v>644</v>
      </c>
      <c r="X284" s="765" t="s">
        <v>644</v>
      </c>
      <c r="Y284" s="766" t="s">
        <v>644</v>
      </c>
      <c r="Z284" s="766" t="s">
        <v>644</v>
      </c>
      <c r="AA284" s="766" t="s">
        <v>644</v>
      </c>
      <c r="AB284" s="765" t="s">
        <v>644</v>
      </c>
      <c r="AC284" s="766" t="s">
        <v>644</v>
      </c>
      <c r="AD284" s="766" t="s">
        <v>644</v>
      </c>
      <c r="AE284" s="766" t="s">
        <v>644</v>
      </c>
      <c r="AF284" s="765" t="s">
        <v>644</v>
      </c>
      <c r="AG284" s="766" t="s">
        <v>644</v>
      </c>
      <c r="AH284" s="766" t="s">
        <v>644</v>
      </c>
      <c r="AI284" s="766" t="s">
        <v>644</v>
      </c>
      <c r="AJ284" s="765" t="s">
        <v>644</v>
      </c>
      <c r="AK284" s="766" t="s">
        <v>644</v>
      </c>
      <c r="AL284" s="766" t="s">
        <v>644</v>
      </c>
      <c r="AM284" s="766" t="s">
        <v>644</v>
      </c>
      <c r="AN284" s="765" t="s">
        <v>644</v>
      </c>
      <c r="AO284" s="766" t="s">
        <v>644</v>
      </c>
      <c r="AP284" s="766" t="s">
        <v>644</v>
      </c>
      <c r="AQ284" s="766" t="s">
        <v>644</v>
      </c>
      <c r="AR284" s="765" t="s">
        <v>644</v>
      </c>
      <c r="AS284" s="766" t="s">
        <v>644</v>
      </c>
      <c r="AT284" s="766" t="s">
        <v>644</v>
      </c>
      <c r="AU284" s="766" t="s">
        <v>644</v>
      </c>
      <c r="AV284" s="710" t="s">
        <v>644</v>
      </c>
      <c r="AW284" s="766" t="s">
        <v>644</v>
      </c>
      <c r="AX284" s="711" t="s">
        <v>644</v>
      </c>
      <c r="AY284" s="711" t="s">
        <v>644</v>
      </c>
      <c r="AZ284" s="1329" t="s">
        <v>644</v>
      </c>
      <c r="BA284" s="1330" t="s">
        <v>644</v>
      </c>
      <c r="BB284" s="1330" t="s">
        <v>644</v>
      </c>
      <c r="BC284" s="1330" t="s">
        <v>644</v>
      </c>
      <c r="BD284" s="1329" t="s">
        <v>644</v>
      </c>
      <c r="BE284" s="1330" t="s">
        <v>644</v>
      </c>
      <c r="BF284" s="1330" t="s">
        <v>644</v>
      </c>
      <c r="BG284" s="711"/>
      <c r="BH284" s="710"/>
      <c r="BI284" s="711"/>
      <c r="BJ284" s="711"/>
      <c r="BK284" s="711"/>
      <c r="BL284" s="710"/>
      <c r="BM284" s="711"/>
      <c r="BN284" s="711"/>
      <c r="BO284" s="711"/>
      <c r="BP284" s="710"/>
      <c r="BQ284" s="711"/>
      <c r="BR284" s="711"/>
      <c r="BS284" s="711"/>
      <c r="BT284" s="710"/>
      <c r="BU284" s="711"/>
      <c r="BV284" s="711"/>
      <c r="BW284" s="711"/>
      <c r="BX284" s="778"/>
      <c r="BY284" s="765" t="s">
        <v>644</v>
      </c>
      <c r="BZ284" s="766" t="s">
        <v>644</v>
      </c>
      <c r="CA284" s="766" t="s">
        <v>644</v>
      </c>
      <c r="CB284" s="766" t="s">
        <v>644</v>
      </c>
      <c r="CC284" s="766" t="s">
        <v>644</v>
      </c>
      <c r="CD284" s="766" t="s">
        <v>644</v>
      </c>
      <c r="CE284" s="766" t="s">
        <v>644</v>
      </c>
      <c r="CF284" s="766" t="s">
        <v>644</v>
      </c>
      <c r="CG284" s="766" t="s">
        <v>644</v>
      </c>
      <c r="CH284" s="766" t="s">
        <v>644</v>
      </c>
      <c r="CI284" s="766" t="s">
        <v>644</v>
      </c>
      <c r="CJ284" s="711"/>
      <c r="CK284" s="711"/>
      <c r="CL284" s="711"/>
      <c r="CM284" s="711"/>
      <c r="CN284" s="711"/>
      <c r="CO284" s="711"/>
      <c r="CP284" s="712"/>
    </row>
    <row r="285" spans="1:94" s="1361" customFormat="1" ht="14.25" hidden="1" customHeight="1" outlineLevel="2">
      <c r="A285" s="1366"/>
      <c r="B285" s="57"/>
      <c r="AJ285" s="9"/>
      <c r="AK285" s="9"/>
      <c r="AL285" s="9"/>
      <c r="AN285" s="9"/>
      <c r="BL285" s="1372"/>
      <c r="BM285" s="1372"/>
      <c r="BN285" s="1372"/>
      <c r="BO285" s="1372"/>
      <c r="BP285" s="1372"/>
      <c r="BQ285" s="1372"/>
      <c r="BR285" s="1372"/>
      <c r="BS285" s="1372"/>
      <c r="BT285" s="1463"/>
      <c r="BU285" s="1463"/>
      <c r="BV285" s="1463"/>
      <c r="BW285" s="1463"/>
      <c r="CG285" s="9"/>
      <c r="CJ285" s="302"/>
      <c r="CK285" s="302"/>
      <c r="CL285" s="302"/>
      <c r="CM285" s="302"/>
      <c r="CN285" s="302"/>
      <c r="CO285" s="302"/>
      <c r="CP285" s="302"/>
    </row>
    <row r="286" spans="1:94" s="1361" customFormat="1" ht="14.25" hidden="1" customHeight="1" outlineLevel="2">
      <c r="A286" s="1366"/>
      <c r="B286" s="57"/>
      <c r="AJ286" s="9"/>
      <c r="AK286" s="9"/>
      <c r="AL286" s="9"/>
      <c r="AN286" s="9"/>
      <c r="BL286" s="1372"/>
      <c r="BM286" s="1372"/>
      <c r="BN286" s="1372"/>
      <c r="BO286" s="1372"/>
      <c r="BP286" s="1372"/>
      <c r="BQ286" s="1372"/>
      <c r="BR286" s="1372"/>
      <c r="BS286" s="1372"/>
      <c r="BT286" s="1463"/>
      <c r="BU286" s="1463"/>
      <c r="BV286" s="1463"/>
      <c r="BW286" s="1463"/>
      <c r="CG286" s="9"/>
      <c r="CJ286" s="302"/>
      <c r="CK286" s="302"/>
      <c r="CL286" s="302"/>
      <c r="CM286" s="302"/>
      <c r="CN286" s="302"/>
      <c r="CO286" s="302"/>
      <c r="CP286" s="302"/>
    </row>
    <row r="287" spans="1:94" s="1361" customFormat="1" ht="14.25" hidden="1" customHeight="1" outlineLevel="2">
      <c r="A287" s="1366"/>
      <c r="B287" s="131" t="s">
        <v>363</v>
      </c>
      <c r="C287" s="132"/>
      <c r="D287" s="665" t="s">
        <v>25</v>
      </c>
      <c r="E287" s="665" t="s">
        <v>27</v>
      </c>
      <c r="F287" s="665" t="s">
        <v>29</v>
      </c>
      <c r="G287" s="666" t="s">
        <v>31</v>
      </c>
      <c r="H287" s="665" t="s">
        <v>33</v>
      </c>
      <c r="I287" s="665" t="s">
        <v>35</v>
      </c>
      <c r="J287" s="665" t="s">
        <v>37</v>
      </c>
      <c r="K287" s="665" t="s">
        <v>39</v>
      </c>
      <c r="L287" s="1299" t="s">
        <v>466</v>
      </c>
      <c r="M287" s="1300" t="s">
        <v>467</v>
      </c>
      <c r="N287" s="1300" t="s">
        <v>468</v>
      </c>
      <c r="O287" s="1301" t="s">
        <v>469</v>
      </c>
      <c r="P287" s="1299" t="s">
        <v>470</v>
      </c>
      <c r="Q287" s="1300" t="s">
        <v>471</v>
      </c>
      <c r="R287" s="1300" t="s">
        <v>472</v>
      </c>
      <c r="S287" s="1301" t="s">
        <v>473</v>
      </c>
      <c r="T287" s="1299" t="s">
        <v>375</v>
      </c>
      <c r="U287" s="1300" t="s">
        <v>376</v>
      </c>
      <c r="V287" s="1300" t="s">
        <v>377</v>
      </c>
      <c r="W287" s="1301" t="s">
        <v>378</v>
      </c>
      <c r="X287" s="1299" t="s">
        <v>379</v>
      </c>
      <c r="Y287" s="1300" t="s">
        <v>380</v>
      </c>
      <c r="Z287" s="1300" t="s">
        <v>381</v>
      </c>
      <c r="AA287" s="1301" t="s">
        <v>382</v>
      </c>
      <c r="AB287" s="1299" t="s">
        <v>383</v>
      </c>
      <c r="AC287" s="1300" t="s">
        <v>384</v>
      </c>
      <c r="AD287" s="1300" t="s">
        <v>385</v>
      </c>
      <c r="AE287" s="1301" t="s">
        <v>386</v>
      </c>
      <c r="AF287" s="1299" t="s">
        <v>387</v>
      </c>
      <c r="AG287" s="1300" t="s">
        <v>388</v>
      </c>
      <c r="AH287" s="1300" t="s">
        <v>389</v>
      </c>
      <c r="AI287" s="1301" t="s">
        <v>390</v>
      </c>
      <c r="AJ287" s="1299" t="s">
        <v>391</v>
      </c>
      <c r="AK287" s="1300" t="s">
        <v>392</v>
      </c>
      <c r="AL287" s="1300" t="s">
        <v>474</v>
      </c>
      <c r="AM287" s="1301" t="s">
        <v>475</v>
      </c>
      <c r="AN287" s="1299" t="s">
        <v>476</v>
      </c>
      <c r="AO287" s="1300" t="s">
        <v>484</v>
      </c>
      <c r="AP287" s="1300" t="s">
        <v>492</v>
      </c>
      <c r="AQ287" s="1301" t="s">
        <v>65</v>
      </c>
      <c r="AR287" s="1299" t="s">
        <v>584</v>
      </c>
      <c r="AS287" s="1300" t="s">
        <v>585</v>
      </c>
      <c r="AT287" s="1300" t="s">
        <v>586</v>
      </c>
      <c r="AU287" s="1301" t="s">
        <v>6</v>
      </c>
      <c r="AV287" s="1299" t="s">
        <v>18</v>
      </c>
      <c r="AW287" s="1300" t="s">
        <v>22</v>
      </c>
      <c r="AX287" s="1300" t="s">
        <v>13</v>
      </c>
      <c r="AY287" s="1301" t="s">
        <v>588</v>
      </c>
      <c r="AZ287" s="1299" t="s">
        <v>595</v>
      </c>
      <c r="BA287" s="1300" t="s">
        <v>602</v>
      </c>
      <c r="BB287" s="1300" t="s">
        <v>603</v>
      </c>
      <c r="BC287" s="1301" t="s">
        <v>607</v>
      </c>
      <c r="BD287" s="1299" t="s">
        <v>620</v>
      </c>
      <c r="BE287" s="1300" t="s">
        <v>621</v>
      </c>
      <c r="BF287" s="1300" t="s">
        <v>631</v>
      </c>
      <c r="BG287" s="1380" t="s">
        <v>633</v>
      </c>
      <c r="BH287" s="1299" t="s">
        <v>589</v>
      </c>
      <c r="BI287" s="1300" t="s">
        <v>590</v>
      </c>
      <c r="BJ287" s="1300" t="s">
        <v>591</v>
      </c>
      <c r="BK287" s="1301" t="s">
        <v>592</v>
      </c>
      <c r="BL287" s="1299" t="s">
        <v>614</v>
      </c>
      <c r="BM287" s="1300" t="s">
        <v>615</v>
      </c>
      <c r="BN287" s="1300" t="s">
        <v>616</v>
      </c>
      <c r="BO287" s="1301" t="s">
        <v>617</v>
      </c>
      <c r="BP287" s="1299" t="s">
        <v>614</v>
      </c>
      <c r="BQ287" s="1300" t="s">
        <v>615</v>
      </c>
      <c r="BR287" s="1300" t="s">
        <v>616</v>
      </c>
      <c r="BS287" s="1301" t="s">
        <v>617</v>
      </c>
      <c r="BT287" s="1390" t="s">
        <v>614</v>
      </c>
      <c r="BU287" s="1391" t="s">
        <v>615</v>
      </c>
      <c r="BV287" s="1391" t="s">
        <v>616</v>
      </c>
      <c r="BW287" s="1392" t="s">
        <v>617</v>
      </c>
      <c r="BX287" s="21"/>
      <c r="BY287" s="1253" t="s">
        <v>336</v>
      </c>
      <c r="BZ287" s="1254" t="s">
        <v>337</v>
      </c>
      <c r="CA287" s="1254" t="s">
        <v>477</v>
      </c>
      <c r="CB287" s="1254" t="s">
        <v>478</v>
      </c>
      <c r="CC287" s="1254" t="s">
        <v>393</v>
      </c>
      <c r="CD287" s="1254" t="s">
        <v>394</v>
      </c>
      <c r="CE287" s="1254" t="s">
        <v>395</v>
      </c>
      <c r="CF287" s="1254" t="s">
        <v>396</v>
      </c>
      <c r="CG287" s="1254" t="s">
        <v>479</v>
      </c>
      <c r="CH287" s="1254" t="s">
        <v>495</v>
      </c>
      <c r="CI287" s="1254" t="s">
        <v>16</v>
      </c>
      <c r="CJ287" s="1254" t="s">
        <v>593</v>
      </c>
      <c r="CK287" s="1254" t="s">
        <v>609</v>
      </c>
      <c r="CL287" s="1254" t="s">
        <v>397</v>
      </c>
      <c r="CM287" s="1254" t="s">
        <v>398</v>
      </c>
      <c r="CN287" s="1254" t="s">
        <v>399</v>
      </c>
      <c r="CO287" s="1254" t="s">
        <v>399</v>
      </c>
      <c r="CP287" s="1256" t="s">
        <v>399</v>
      </c>
    </row>
    <row r="288" spans="1:94" s="1361" customFormat="1" ht="14.25" hidden="1" customHeight="1" outlineLevel="2">
      <c r="A288" s="1366"/>
      <c r="B288" s="350" t="s">
        <v>63</v>
      </c>
      <c r="C288" s="345"/>
      <c r="D288" s="352">
        <v>0.34211502782931358</v>
      </c>
      <c r="E288" s="352">
        <v>0.3192818110850898</v>
      </c>
      <c r="F288" s="352">
        <v>0.28398791540785501</v>
      </c>
      <c r="G288" s="353">
        <v>0.25987078248384793</v>
      </c>
      <c r="H288" s="352">
        <v>0.29948085658663204</v>
      </c>
      <c r="I288" s="352">
        <v>0.27466266866566713</v>
      </c>
      <c r="J288" s="352">
        <v>0.26350502512562818</v>
      </c>
      <c r="K288" s="353">
        <v>0.24641460234680579</v>
      </c>
      <c r="L288" s="352">
        <v>0.25826719576719576</v>
      </c>
      <c r="M288" s="352">
        <v>0.23216644649933948</v>
      </c>
      <c r="N288" s="352">
        <v>0.23788265306122444</v>
      </c>
      <c r="O288" s="353">
        <v>0.21006436512580468</v>
      </c>
      <c r="P288" s="351">
        <v>0.22844311377245508</v>
      </c>
      <c r="Q288" s="352">
        <v>0.24380495603517185</v>
      </c>
      <c r="R288" s="352">
        <v>0.28985507246376813</v>
      </c>
      <c r="S288" s="353">
        <v>0.25796812749003972</v>
      </c>
      <c r="T288" s="351">
        <v>0.26723677177979693</v>
      </c>
      <c r="U288" s="352">
        <v>0.2465897166841553</v>
      </c>
      <c r="V288" s="352">
        <v>0.22412509307520478</v>
      </c>
      <c r="W288" s="353">
        <v>0.18926207403775433</v>
      </c>
      <c r="X288" s="351">
        <v>0.23797108319506996</v>
      </c>
      <c r="Y288" s="352">
        <v>0.24400213257508441</v>
      </c>
      <c r="Z288" s="352">
        <v>0.18950988822012038</v>
      </c>
      <c r="AA288" s="353">
        <v>0.31675874769797413</v>
      </c>
      <c r="AB288" s="351">
        <v>0.29992086520706934</v>
      </c>
      <c r="AC288" s="352">
        <v>0.20057170080990949</v>
      </c>
      <c r="AD288" s="352">
        <v>0.15352082892789173</v>
      </c>
      <c r="AE288" s="353">
        <v>0.20860993763830213</v>
      </c>
      <c r="AF288" s="351">
        <v>0.21664849145765175</v>
      </c>
      <c r="AG288" s="352">
        <v>0.20212583576204357</v>
      </c>
      <c r="AH288" s="352">
        <v>0.20792408856334277</v>
      </c>
      <c r="AI288" s="353">
        <v>0.20925414364640879</v>
      </c>
      <c r="AJ288" s="351">
        <v>0.14610613370089592</v>
      </c>
      <c r="AK288" s="352">
        <v>0.14881872378008393</v>
      </c>
      <c r="AL288" s="352">
        <v>0.1520044543429844</v>
      </c>
      <c r="AM288" s="353">
        <v>0.16343273863784347</v>
      </c>
      <c r="AN288" s="351">
        <v>0.14951638903815154</v>
      </c>
      <c r="AO288" s="352">
        <v>0.16151987110633728</v>
      </c>
      <c r="AP288" s="352">
        <v>0.14707098552722261</v>
      </c>
      <c r="AQ288" s="714">
        <v>0.16715671861217285</v>
      </c>
      <c r="AR288" s="351">
        <v>0.15900151285930408</v>
      </c>
      <c r="AS288" s="854">
        <v>0.15</v>
      </c>
      <c r="AT288" s="352">
        <v>0.15236231478892928</v>
      </c>
      <c r="AU288" s="1060">
        <v>0.16</v>
      </c>
      <c r="AV288" s="1064">
        <v>0.17</v>
      </c>
      <c r="AW288" s="854">
        <v>0.16</v>
      </c>
      <c r="AX288" s="854">
        <v>0.16</v>
      </c>
      <c r="AY288" s="854">
        <v>0.16</v>
      </c>
      <c r="AZ288" s="1320">
        <v>0.15135507579237484</v>
      </c>
      <c r="BA288" s="1325">
        <v>0.1599091425326519</v>
      </c>
      <c r="BB288" s="1325">
        <v>0.15</v>
      </c>
      <c r="BC288" s="1325">
        <v>0.17</v>
      </c>
      <c r="BD288" s="1320">
        <v>0.18</v>
      </c>
      <c r="BE288" s="1325">
        <v>0.16250000000000001</v>
      </c>
      <c r="BF288" s="1325">
        <v>0.15</v>
      </c>
      <c r="BG288" s="717"/>
      <c r="BH288" s="715"/>
      <c r="BI288" s="716"/>
      <c r="BJ288" s="716"/>
      <c r="BK288" s="717"/>
      <c r="BL288" s="715"/>
      <c r="BM288" s="716"/>
      <c r="BN288" s="716"/>
      <c r="BO288" s="717"/>
      <c r="BP288" s="715"/>
      <c r="BQ288" s="716"/>
      <c r="BR288" s="716"/>
      <c r="BS288" s="717"/>
      <c r="BT288" s="715"/>
      <c r="BU288" s="716"/>
      <c r="BV288" s="716"/>
      <c r="BW288" s="717"/>
      <c r="BX288" s="346"/>
      <c r="BY288" s="338">
        <v>0.29707230380694044</v>
      </c>
      <c r="BZ288" s="338">
        <v>0.27105533191254239</v>
      </c>
      <c r="CA288" s="338">
        <v>0.2338568935427574</v>
      </c>
      <c r="CB288" s="338">
        <v>0.25682203943073512</v>
      </c>
      <c r="CC288" s="220">
        <v>0.23081343378878819</v>
      </c>
      <c r="CD288" s="220">
        <v>0.24464668094218417</v>
      </c>
      <c r="CE288" s="220">
        <v>0.21154389733732826</v>
      </c>
      <c r="CF288" s="220">
        <v>0.20887006138151637</v>
      </c>
      <c r="CG288" s="358">
        <v>0.15222380385207565</v>
      </c>
      <c r="CH288" s="358">
        <v>0.15613665411585895</v>
      </c>
      <c r="CI288" s="358">
        <v>0.15532576274840984</v>
      </c>
      <c r="CJ288" s="338"/>
      <c r="CK288" s="338"/>
      <c r="CL288" s="338"/>
      <c r="CM288" s="338"/>
      <c r="CN288" s="338"/>
      <c r="CO288" s="338"/>
      <c r="CP288" s="337"/>
    </row>
    <row r="289" spans="1:94" s="1361" customFormat="1" ht="14.25" hidden="1" customHeight="1" outlineLevel="2">
      <c r="A289" s="1366"/>
      <c r="B289" s="354" t="s">
        <v>215</v>
      </c>
      <c r="C289" s="303"/>
      <c r="D289" s="355">
        <v>0</v>
      </c>
      <c r="E289" s="356">
        <v>0</v>
      </c>
      <c r="F289" s="356">
        <v>0</v>
      </c>
      <c r="G289" s="357">
        <v>0</v>
      </c>
      <c r="H289" s="355">
        <v>4.2180402336145367E-3</v>
      </c>
      <c r="I289" s="356">
        <v>2.6986506746626685E-3</v>
      </c>
      <c r="J289" s="356">
        <v>2.8266331658291458E-3</v>
      </c>
      <c r="K289" s="357">
        <v>3.2594524119947833E-3</v>
      </c>
      <c r="L289" s="355">
        <v>3.968253968253968E-3</v>
      </c>
      <c r="M289" s="356">
        <v>2.9722589167767502E-3</v>
      </c>
      <c r="N289" s="356">
        <v>0</v>
      </c>
      <c r="O289" s="357">
        <v>6.1439438267992981E-3</v>
      </c>
      <c r="P289" s="355">
        <v>2.6946107784431138E-3</v>
      </c>
      <c r="Q289" s="356">
        <v>2.6645350386357578E-3</v>
      </c>
      <c r="R289" s="356">
        <v>2.3758612497030173E-3</v>
      </c>
      <c r="S289" s="357">
        <v>1.7430278884462155E-3</v>
      </c>
      <c r="T289" s="355">
        <v>1.6034206306787815E-3</v>
      </c>
      <c r="U289" s="356">
        <v>1.8363064008394543E-3</v>
      </c>
      <c r="V289" s="356">
        <v>1.9856043683296105E-3</v>
      </c>
      <c r="W289" s="357">
        <v>2.2064231429271882E-2</v>
      </c>
      <c r="X289" s="355">
        <v>1.1851149561507466E-3</v>
      </c>
      <c r="Y289" s="356">
        <v>1.2440021325750843E-3</v>
      </c>
      <c r="Z289" s="356">
        <v>6.878761822871883E-4</v>
      </c>
      <c r="AA289" s="357">
        <v>8.1849805606711663E-4</v>
      </c>
      <c r="AB289" s="355">
        <v>1.3189132155104193E-3</v>
      </c>
      <c r="AC289" s="356">
        <v>3.8113387327298716E-3</v>
      </c>
      <c r="AD289" s="356">
        <v>2.1146119687037428E-3</v>
      </c>
      <c r="AE289" s="357">
        <v>4.6268356467511571E-3</v>
      </c>
      <c r="AF289" s="355">
        <v>3.0897855325336238E-3</v>
      </c>
      <c r="AG289" s="356">
        <v>4.8002743013886512E-3</v>
      </c>
      <c r="AH289" s="356">
        <v>8.1571499916763771E-3</v>
      </c>
      <c r="AI289" s="357">
        <v>5.0069060773480665E-3</v>
      </c>
      <c r="AJ289" s="355">
        <v>7.1215253847920976E-3</v>
      </c>
      <c r="AK289" s="356">
        <v>1.2254360786045485E-2</v>
      </c>
      <c r="AL289" s="356">
        <v>6.6815144766146995E-3</v>
      </c>
      <c r="AM289" s="357">
        <v>1.7319963536918871E-2</v>
      </c>
      <c r="AN289" s="355">
        <v>1.262761955937668E-2</v>
      </c>
      <c r="AO289" s="356">
        <v>5.1020408163265311E-3</v>
      </c>
      <c r="AP289" s="356">
        <v>9.9241902136457619E-3</v>
      </c>
      <c r="AQ289" s="498">
        <v>-7.9388415172008207E-3</v>
      </c>
      <c r="AR289" s="355">
        <v>0</v>
      </c>
      <c r="AS289" s="857">
        <v>0</v>
      </c>
      <c r="AT289" s="356">
        <v>0</v>
      </c>
      <c r="AU289" s="1061">
        <v>0</v>
      </c>
      <c r="AV289" s="1065">
        <v>0</v>
      </c>
      <c r="AW289" s="857">
        <v>0</v>
      </c>
      <c r="AX289" s="857">
        <v>0</v>
      </c>
      <c r="AY289" s="857">
        <v>0</v>
      </c>
      <c r="AZ289" s="1321">
        <v>0</v>
      </c>
      <c r="BA289" s="1326">
        <v>0</v>
      </c>
      <c r="BB289" s="1326">
        <v>0</v>
      </c>
      <c r="BC289" s="1326">
        <v>0</v>
      </c>
      <c r="BD289" s="1321">
        <v>0</v>
      </c>
      <c r="BE289" s="1326">
        <v>0</v>
      </c>
      <c r="BF289" s="1326">
        <v>0</v>
      </c>
      <c r="BG289" s="720"/>
      <c r="BH289" s="718"/>
      <c r="BI289" s="719"/>
      <c r="BJ289" s="719"/>
      <c r="BK289" s="720"/>
      <c r="BL289" s="718"/>
      <c r="BM289" s="719"/>
      <c r="BN289" s="719"/>
      <c r="BO289" s="720"/>
      <c r="BP289" s="718"/>
      <c r="BQ289" s="719"/>
      <c r="BR289" s="719"/>
      <c r="BS289" s="720"/>
      <c r="BT289" s="718"/>
      <c r="BU289" s="719"/>
      <c r="BV289" s="719"/>
      <c r="BW289" s="720"/>
      <c r="BX289" s="346"/>
      <c r="BY289" s="338">
        <v>3.741464783462726E-3</v>
      </c>
      <c r="BZ289" s="338">
        <v>3.2362459546925559E-3</v>
      </c>
      <c r="CA289" s="338">
        <v>3.3317467872441692E-3</v>
      </c>
      <c r="CB289" s="338">
        <v>2.3501762632197418E-3</v>
      </c>
      <c r="CC289" s="220">
        <v>7.0872174690333294E-3</v>
      </c>
      <c r="CD289" s="220">
        <v>9.7333073778469933E-4</v>
      </c>
      <c r="CE289" s="220">
        <v>3.0527446435637969E-3</v>
      </c>
      <c r="CF289" s="220">
        <v>5.3168496585112822E-3</v>
      </c>
      <c r="CG289" s="358">
        <v>1.0632425994248032E-2</v>
      </c>
      <c r="CH289" s="358">
        <v>5.1815261321634604E-3</v>
      </c>
      <c r="CI289" s="358">
        <v>0</v>
      </c>
      <c r="CJ289" s="338"/>
      <c r="CK289" s="338"/>
      <c r="CL289" s="338"/>
      <c r="CM289" s="338"/>
      <c r="CN289" s="338"/>
      <c r="CO289" s="338"/>
      <c r="CP289" s="337"/>
    </row>
    <row r="290" spans="1:94" s="1361" customFormat="1" ht="14.25" hidden="1" customHeight="1" outlineLevel="2">
      <c r="A290" s="1366"/>
      <c r="B290" s="354" t="s">
        <v>216</v>
      </c>
      <c r="C290" s="303"/>
      <c r="D290" s="355">
        <v>0.1792207792207792</v>
      </c>
      <c r="E290" s="356">
        <v>0.18657298985167836</v>
      </c>
      <c r="F290" s="356">
        <v>0.16654078549848941</v>
      </c>
      <c r="G290" s="357">
        <v>0.17623833452979187</v>
      </c>
      <c r="H290" s="355">
        <v>0.17293964957819596</v>
      </c>
      <c r="I290" s="356">
        <v>0.16701649175412295</v>
      </c>
      <c r="J290" s="356">
        <v>0.15546482412060303</v>
      </c>
      <c r="K290" s="357">
        <v>0.16492829204693618</v>
      </c>
      <c r="L290" s="355">
        <v>0.18750000000000003</v>
      </c>
      <c r="M290" s="356">
        <v>0.16512549537648613</v>
      </c>
      <c r="N290" s="356">
        <v>0.15401785714285712</v>
      </c>
      <c r="O290" s="357">
        <v>0.15155061439438264</v>
      </c>
      <c r="P290" s="355">
        <v>0.16497005988023952</v>
      </c>
      <c r="Q290" s="356">
        <v>0.14948041566746603</v>
      </c>
      <c r="R290" s="356">
        <v>0.13756236635780472</v>
      </c>
      <c r="S290" s="357">
        <v>0.14716135458167329</v>
      </c>
      <c r="T290" s="355">
        <v>0.1560662747194014</v>
      </c>
      <c r="U290" s="356">
        <v>0.14795383001049317</v>
      </c>
      <c r="V290" s="356">
        <v>0.14246711342764953</v>
      </c>
      <c r="W290" s="357">
        <v>0.13900465800441289</v>
      </c>
      <c r="X290" s="355">
        <v>0.13723631192225647</v>
      </c>
      <c r="Y290" s="356">
        <v>9.952017060600675E-2</v>
      </c>
      <c r="Z290" s="356">
        <v>0.10146173688736028</v>
      </c>
      <c r="AA290" s="357">
        <v>6.5889093513402941E-2</v>
      </c>
      <c r="AB290" s="355">
        <v>0.12767079926140862</v>
      </c>
      <c r="AC290" s="356">
        <v>0.12815626488804191</v>
      </c>
      <c r="AD290" s="356">
        <v>0.16641996193698458</v>
      </c>
      <c r="AE290" s="357">
        <v>0.15550191108428885</v>
      </c>
      <c r="AF290" s="355">
        <v>0.17066521264994547</v>
      </c>
      <c r="AG290" s="356">
        <v>0.15909480541745244</v>
      </c>
      <c r="AH290" s="356">
        <v>0.14982520392874979</v>
      </c>
      <c r="AI290" s="357">
        <v>0.16626381215469613</v>
      </c>
      <c r="AJ290" s="355">
        <v>0.12623478061107282</v>
      </c>
      <c r="AK290" s="356">
        <v>0.11901081916537867</v>
      </c>
      <c r="AL290" s="356">
        <v>0.12371937639198217</v>
      </c>
      <c r="AM290" s="357">
        <v>0.12488605287146769</v>
      </c>
      <c r="AN290" s="355">
        <v>0.14212788823213326</v>
      </c>
      <c r="AO290" s="356">
        <v>0.13426423200859292</v>
      </c>
      <c r="AP290" s="356">
        <v>0.12956581667815301</v>
      </c>
      <c r="AQ290" s="498">
        <v>0.13010879153190238</v>
      </c>
      <c r="AR290" s="355">
        <v>0.14795763993948563</v>
      </c>
      <c r="AS290" s="857">
        <v>0.15</v>
      </c>
      <c r="AT290" s="356">
        <v>0.14243779703662288</v>
      </c>
      <c r="AU290" s="1061">
        <v>0.14000000000000001</v>
      </c>
      <c r="AV290" s="1065">
        <v>0.17</v>
      </c>
      <c r="AW290" s="857">
        <v>0.16</v>
      </c>
      <c r="AX290" s="857">
        <v>0.15</v>
      </c>
      <c r="AY290" s="857">
        <v>0.15</v>
      </c>
      <c r="AZ290" s="1321">
        <v>0.14894350022967384</v>
      </c>
      <c r="BA290" s="1326">
        <v>0.13537762634866551</v>
      </c>
      <c r="BB290" s="1326">
        <v>0.15</v>
      </c>
      <c r="BC290" s="1326">
        <v>0.15</v>
      </c>
      <c r="BD290" s="1321">
        <v>0.17</v>
      </c>
      <c r="BE290" s="1326">
        <v>0.16250000000000001</v>
      </c>
      <c r="BF290" s="1326">
        <v>0.15</v>
      </c>
      <c r="BG290" s="720"/>
      <c r="BH290" s="718"/>
      <c r="BI290" s="719"/>
      <c r="BJ290" s="719"/>
      <c r="BK290" s="720"/>
      <c r="BL290" s="718"/>
      <c r="BM290" s="719"/>
      <c r="BN290" s="719"/>
      <c r="BO290" s="720"/>
      <c r="BP290" s="718"/>
      <c r="BQ290" s="719"/>
      <c r="BR290" s="719"/>
      <c r="BS290" s="720"/>
      <c r="BT290" s="718"/>
      <c r="BU290" s="719"/>
      <c r="BV290" s="719"/>
      <c r="BW290" s="720"/>
      <c r="BX290" s="346"/>
      <c r="BY290" s="338">
        <v>0.17706482087737352</v>
      </c>
      <c r="BZ290" s="338">
        <v>0.1650485436893204</v>
      </c>
      <c r="CA290" s="338">
        <v>0.16404886561954621</v>
      </c>
      <c r="CB290" s="338">
        <v>0.1489750620185403</v>
      </c>
      <c r="CC290" s="220">
        <v>0.14614991699655219</v>
      </c>
      <c r="CD290" s="220">
        <v>9.9815067159820928E-2</v>
      </c>
      <c r="CE290" s="220">
        <v>0.14596641980892078</v>
      </c>
      <c r="CF290" s="220">
        <v>0.16123454655485431</v>
      </c>
      <c r="CG290" s="358">
        <v>0.12337681201522237</v>
      </c>
      <c r="CH290" s="358">
        <v>0.13413243980793813</v>
      </c>
      <c r="CI290" s="358">
        <v>0.14499047687497757</v>
      </c>
      <c r="CJ290" s="338"/>
      <c r="CK290" s="338"/>
      <c r="CL290" s="338"/>
      <c r="CM290" s="338"/>
      <c r="CN290" s="338"/>
      <c r="CO290" s="338"/>
      <c r="CP290" s="337"/>
    </row>
    <row r="291" spans="1:94" s="1361" customFormat="1" ht="14.25" hidden="1" customHeight="1" outlineLevel="2">
      <c r="A291" s="1366"/>
      <c r="B291" s="354" t="s">
        <v>217</v>
      </c>
      <c r="C291" s="303"/>
      <c r="D291" s="355">
        <v>0</v>
      </c>
      <c r="E291" s="356">
        <v>0</v>
      </c>
      <c r="F291" s="356">
        <v>0</v>
      </c>
      <c r="G291" s="357">
        <v>0</v>
      </c>
      <c r="H291" s="355">
        <v>0</v>
      </c>
      <c r="I291" s="356">
        <v>0</v>
      </c>
      <c r="J291" s="356">
        <v>0</v>
      </c>
      <c r="K291" s="357">
        <v>0</v>
      </c>
      <c r="L291" s="355">
        <v>0</v>
      </c>
      <c r="M291" s="356">
        <v>0</v>
      </c>
      <c r="N291" s="356">
        <v>0</v>
      </c>
      <c r="O291" s="357">
        <v>0</v>
      </c>
      <c r="P291" s="355">
        <v>0</v>
      </c>
      <c r="Q291" s="356">
        <v>0</v>
      </c>
      <c r="R291" s="356">
        <v>0</v>
      </c>
      <c r="S291" s="357">
        <v>0</v>
      </c>
      <c r="T291" s="355">
        <v>0</v>
      </c>
      <c r="U291" s="356">
        <v>0</v>
      </c>
      <c r="V291" s="356">
        <v>0</v>
      </c>
      <c r="W291" s="357">
        <v>0</v>
      </c>
      <c r="X291" s="355">
        <v>2.4887414079165681E-2</v>
      </c>
      <c r="Y291" s="356">
        <v>0.10218588946152478</v>
      </c>
      <c r="Z291" s="356">
        <v>8.7188306104901123E-2</v>
      </c>
      <c r="AA291" s="357">
        <v>8.1440556578678117E-2</v>
      </c>
      <c r="AB291" s="355">
        <v>7.227644420997098E-2</v>
      </c>
      <c r="AC291" s="356">
        <v>1.4292520247737017E-3</v>
      </c>
      <c r="AD291" s="356">
        <v>8.4584478748149722E-4</v>
      </c>
      <c r="AE291" s="357">
        <v>2.2128344397505562E-3</v>
      </c>
      <c r="AF291" s="355">
        <v>1.817520901490367E-4</v>
      </c>
      <c r="AG291" s="356">
        <v>0</v>
      </c>
      <c r="AH291" s="356">
        <v>3.32944897619444E-4</v>
      </c>
      <c r="AI291" s="357">
        <v>6.9060773480662959E-4</v>
      </c>
      <c r="AJ291" s="355">
        <v>1.0337698139214334E-3</v>
      </c>
      <c r="AK291" s="356">
        <v>2.3183925811437406E-3</v>
      </c>
      <c r="AL291" s="356">
        <v>7.7951002227171482E-4</v>
      </c>
      <c r="AM291" s="357">
        <v>0</v>
      </c>
      <c r="AN291" s="355">
        <v>1.3433637829124128E-4</v>
      </c>
      <c r="AO291" s="356">
        <v>0</v>
      </c>
      <c r="AP291" s="356">
        <v>2.7567195037904896E-4</v>
      </c>
      <c r="AQ291" s="498">
        <v>2.9403116730373412E-4</v>
      </c>
      <c r="AR291" s="355">
        <v>0</v>
      </c>
      <c r="AS291" s="857">
        <v>0</v>
      </c>
      <c r="AT291" s="356">
        <v>0</v>
      </c>
      <c r="AU291" s="1061">
        <v>0</v>
      </c>
      <c r="AV291" s="1065">
        <v>0</v>
      </c>
      <c r="AW291" s="857">
        <v>0</v>
      </c>
      <c r="AX291" s="857">
        <v>0</v>
      </c>
      <c r="AY291" s="857">
        <v>0</v>
      </c>
      <c r="AZ291" s="1321">
        <v>0</v>
      </c>
      <c r="BA291" s="1326">
        <v>0</v>
      </c>
      <c r="BB291" s="1326">
        <v>0</v>
      </c>
      <c r="BC291" s="1326">
        <v>0</v>
      </c>
      <c r="BD291" s="1321">
        <v>0</v>
      </c>
      <c r="BE291" s="1326">
        <v>0</v>
      </c>
      <c r="BF291" s="1326">
        <v>0</v>
      </c>
      <c r="BG291" s="720"/>
      <c r="BH291" s="718"/>
      <c r="BI291" s="719"/>
      <c r="BJ291" s="719"/>
      <c r="BK291" s="720"/>
      <c r="BL291" s="718"/>
      <c r="BM291" s="719"/>
      <c r="BN291" s="719"/>
      <c r="BO291" s="720"/>
      <c r="BP291" s="718"/>
      <c r="BQ291" s="719"/>
      <c r="BR291" s="719"/>
      <c r="BS291" s="720"/>
      <c r="BT291" s="718"/>
      <c r="BU291" s="719"/>
      <c r="BV291" s="719"/>
      <c r="BW291" s="720"/>
      <c r="BX291" s="346"/>
      <c r="BY291" s="338">
        <v>0</v>
      </c>
      <c r="BZ291" s="338">
        <v>0</v>
      </c>
      <c r="CA291" s="338">
        <v>0</v>
      </c>
      <c r="CB291" s="338">
        <v>0</v>
      </c>
      <c r="CC291" s="220">
        <v>0</v>
      </c>
      <c r="CD291" s="220">
        <v>7.7136460969437423E-2</v>
      </c>
      <c r="CE291" s="220">
        <v>1.6677030923172593E-2</v>
      </c>
      <c r="CF291" s="220">
        <v>3.025849399152762E-4</v>
      </c>
      <c r="CG291" s="358">
        <v>1.074862737123435E-3</v>
      </c>
      <c r="CH291" s="358">
        <v>1.7271753773878202E-4</v>
      </c>
      <c r="CI291" s="358">
        <v>0</v>
      </c>
      <c r="CJ291" s="338"/>
      <c r="CK291" s="338"/>
      <c r="CL291" s="338"/>
      <c r="CM291" s="338"/>
      <c r="CN291" s="338"/>
      <c r="CO291" s="338"/>
      <c r="CP291" s="337"/>
    </row>
    <row r="292" spans="1:94" s="1361" customFormat="1" ht="14.25" hidden="1" customHeight="1" outlineLevel="2">
      <c r="A292" s="1366"/>
      <c r="B292" s="354" t="s">
        <v>218</v>
      </c>
      <c r="C292" s="303"/>
      <c r="D292" s="355">
        <v>0</v>
      </c>
      <c r="E292" s="356">
        <v>0</v>
      </c>
      <c r="F292" s="356">
        <v>0</v>
      </c>
      <c r="G292" s="357">
        <v>0</v>
      </c>
      <c r="H292" s="355">
        <v>0.26800778715120049</v>
      </c>
      <c r="I292" s="356">
        <v>0.28125937031484255</v>
      </c>
      <c r="J292" s="356">
        <v>0.28737437185929648</v>
      </c>
      <c r="K292" s="357">
        <v>0.30573663624511083</v>
      </c>
      <c r="L292" s="355">
        <v>0.29431216931216936</v>
      </c>
      <c r="M292" s="356">
        <v>0.34081902245706736</v>
      </c>
      <c r="N292" s="356">
        <v>0.35586734693877548</v>
      </c>
      <c r="O292" s="357">
        <v>0.36102984201287314</v>
      </c>
      <c r="P292" s="355">
        <v>0.36736526946107784</v>
      </c>
      <c r="Q292" s="356">
        <v>0.36850519584332536</v>
      </c>
      <c r="R292" s="356">
        <v>0.35709194583036358</v>
      </c>
      <c r="S292" s="357">
        <v>0.33665338645418325</v>
      </c>
      <c r="T292" s="355">
        <v>0.37493319080705512</v>
      </c>
      <c r="U292" s="356">
        <v>0.40529905561385099</v>
      </c>
      <c r="V292" s="356">
        <v>0.44576818068999752</v>
      </c>
      <c r="W292" s="357">
        <v>0.4707036038244668</v>
      </c>
      <c r="X292" s="355">
        <v>0.40436122303863475</v>
      </c>
      <c r="Y292" s="356">
        <v>0.3536520348320597</v>
      </c>
      <c r="Z292" s="356">
        <v>0.41685296646603615</v>
      </c>
      <c r="AA292" s="357">
        <v>0.33456108041743404</v>
      </c>
      <c r="AB292" s="355">
        <v>0.26431020838828806</v>
      </c>
      <c r="AC292" s="356">
        <v>0.34802286803239635</v>
      </c>
      <c r="AD292" s="356">
        <v>0.33622330302389514</v>
      </c>
      <c r="AE292" s="357">
        <v>0.32206799436733041</v>
      </c>
      <c r="AF292" s="355">
        <v>0.31297709923664119</v>
      </c>
      <c r="AG292" s="356">
        <v>0.34184810560603468</v>
      </c>
      <c r="AH292" s="356">
        <v>0.34559680372898283</v>
      </c>
      <c r="AI292" s="357">
        <v>0.31629834254143629</v>
      </c>
      <c r="AJ292" s="355">
        <v>0.31001608086377208</v>
      </c>
      <c r="AK292" s="356">
        <v>0.30646941929785831</v>
      </c>
      <c r="AL292" s="356">
        <v>0.29821826280623609</v>
      </c>
      <c r="AM292" s="357">
        <v>0.31058731605677825</v>
      </c>
      <c r="AN292" s="355">
        <v>0.29325631380977973</v>
      </c>
      <c r="AO292" s="356">
        <v>0.2921589688506982</v>
      </c>
      <c r="AP292" s="356">
        <v>0.31495520330806343</v>
      </c>
      <c r="AQ292" s="498">
        <v>0.30843869450161726</v>
      </c>
      <c r="AR292" s="355">
        <v>0</v>
      </c>
      <c r="AS292" s="857">
        <v>0</v>
      </c>
      <c r="AT292" s="356">
        <v>0.32163824433883142</v>
      </c>
      <c r="AU292" s="1061">
        <v>0</v>
      </c>
      <c r="AV292" s="1065">
        <v>0</v>
      </c>
      <c r="AW292" s="857">
        <v>0</v>
      </c>
      <c r="AX292" s="857">
        <v>0</v>
      </c>
      <c r="AY292" s="857">
        <v>0</v>
      </c>
      <c r="AZ292" s="1321">
        <v>0</v>
      </c>
      <c r="BA292" s="1326">
        <v>0</v>
      </c>
      <c r="BB292" s="1326">
        <v>0</v>
      </c>
      <c r="BC292" s="1326">
        <v>0</v>
      </c>
      <c r="BD292" s="1321">
        <v>0</v>
      </c>
      <c r="BE292" s="1326">
        <v>0</v>
      </c>
      <c r="BF292" s="1326">
        <v>0</v>
      </c>
      <c r="BG292" s="720"/>
      <c r="BH292" s="718"/>
      <c r="BI292" s="719"/>
      <c r="BJ292" s="719"/>
      <c r="BK292" s="720"/>
      <c r="BL292" s="718"/>
      <c r="BM292" s="719"/>
      <c r="BN292" s="719"/>
      <c r="BO292" s="720"/>
      <c r="BP292" s="718"/>
      <c r="BQ292" s="719"/>
      <c r="BR292" s="719"/>
      <c r="BS292" s="720"/>
      <c r="BT292" s="718"/>
      <c r="BU292" s="719"/>
      <c r="BV292" s="719"/>
      <c r="BW292" s="720"/>
      <c r="BX292" s="346"/>
      <c r="BY292" s="338">
        <v>0.23627350107567113</v>
      </c>
      <c r="BZ292" s="338">
        <v>0.28550003946641406</v>
      </c>
      <c r="CA292" s="338">
        <v>0.3388862446454069</v>
      </c>
      <c r="CB292" s="338">
        <v>0.3567698132915525</v>
      </c>
      <c r="CC292" s="220">
        <v>0.42548844336610908</v>
      </c>
      <c r="CD292" s="220">
        <v>0.3774089935760172</v>
      </c>
      <c r="CE292" s="220">
        <v>0.31963367064277232</v>
      </c>
      <c r="CF292" s="220">
        <v>0.32955822598772366</v>
      </c>
      <c r="CG292" s="358">
        <v>0.30613252767045285</v>
      </c>
      <c r="CH292" s="358">
        <v>0.30197934298248652</v>
      </c>
      <c r="CI292" s="358">
        <v>8.2689474251626122E-2</v>
      </c>
      <c r="CJ292" s="338"/>
      <c r="CK292" s="338"/>
      <c r="CL292" s="338"/>
      <c r="CM292" s="338"/>
      <c r="CN292" s="338"/>
      <c r="CO292" s="338"/>
      <c r="CP292" s="337"/>
    </row>
    <row r="293" spans="1:94" s="1361" customFormat="1" ht="14.25" hidden="1" customHeight="1" outlineLevel="2">
      <c r="A293" s="1366"/>
      <c r="B293" s="354" t="s">
        <v>361</v>
      </c>
      <c r="C293" s="303"/>
      <c r="D293" s="355">
        <v>0</v>
      </c>
      <c r="E293" s="356">
        <v>0</v>
      </c>
      <c r="F293" s="356">
        <v>0</v>
      </c>
      <c r="G293" s="357">
        <v>0</v>
      </c>
      <c r="H293" s="355">
        <v>0</v>
      </c>
      <c r="I293" s="356">
        <v>0</v>
      </c>
      <c r="J293" s="356">
        <v>0</v>
      </c>
      <c r="K293" s="357">
        <v>0</v>
      </c>
      <c r="L293" s="355">
        <v>0</v>
      </c>
      <c r="M293" s="356">
        <v>0</v>
      </c>
      <c r="N293" s="356">
        <v>0</v>
      </c>
      <c r="O293" s="357">
        <v>0</v>
      </c>
      <c r="P293" s="355">
        <v>0</v>
      </c>
      <c r="Q293" s="356">
        <v>0</v>
      </c>
      <c r="R293" s="356">
        <v>0</v>
      </c>
      <c r="S293" s="357">
        <v>0</v>
      </c>
      <c r="T293" s="355">
        <v>0</v>
      </c>
      <c r="U293" s="356">
        <v>0</v>
      </c>
      <c r="V293" s="356">
        <v>0</v>
      </c>
      <c r="W293" s="357">
        <v>0</v>
      </c>
      <c r="X293" s="355">
        <v>0</v>
      </c>
      <c r="Y293" s="356">
        <v>0</v>
      </c>
      <c r="Z293" s="356">
        <v>0</v>
      </c>
      <c r="AA293" s="357">
        <v>0</v>
      </c>
      <c r="AB293" s="355">
        <v>0</v>
      </c>
      <c r="AC293" s="356">
        <v>0</v>
      </c>
      <c r="AD293" s="356">
        <v>0</v>
      </c>
      <c r="AE293" s="357">
        <v>0</v>
      </c>
      <c r="AF293" s="355">
        <v>2.4536532170119953E-2</v>
      </c>
      <c r="AG293" s="356">
        <v>3.0344591119492545E-2</v>
      </c>
      <c r="AH293" s="356">
        <v>0</v>
      </c>
      <c r="AI293" s="357">
        <v>4.8860497237569057E-2</v>
      </c>
      <c r="AJ293" s="355">
        <v>0.14403859407305308</v>
      </c>
      <c r="AK293" s="356">
        <v>0.1313755795981453</v>
      </c>
      <c r="AL293" s="356">
        <v>0.15189309576837418</v>
      </c>
      <c r="AM293" s="357">
        <v>0.14845683031644746</v>
      </c>
      <c r="AN293" s="355">
        <v>0.15475550779150996</v>
      </c>
      <c r="AO293" s="356">
        <v>0.14111170784103114</v>
      </c>
      <c r="AP293" s="356">
        <v>0.12942798070296349</v>
      </c>
      <c r="AQ293" s="498">
        <v>0.12790355777712428</v>
      </c>
      <c r="AR293" s="355">
        <v>0.10847201210287444</v>
      </c>
      <c r="AS293" s="857">
        <v>0.11</v>
      </c>
      <c r="AT293" s="356">
        <v>9.8266703941850705E-2</v>
      </c>
      <c r="AU293" s="1061">
        <v>0.1</v>
      </c>
      <c r="AV293" s="1065">
        <v>0.09</v>
      </c>
      <c r="AW293" s="857">
        <v>0.09</v>
      </c>
      <c r="AX293" s="857">
        <v>0.09</v>
      </c>
      <c r="AY293" s="857">
        <v>0.1</v>
      </c>
      <c r="AZ293" s="1321">
        <v>7.1887919154800181E-2</v>
      </c>
      <c r="BA293" s="1326">
        <v>7.3594548551959099E-2</v>
      </c>
      <c r="BB293" s="1326">
        <v>0.08</v>
      </c>
      <c r="BC293" s="1326">
        <v>0.09</v>
      </c>
      <c r="BD293" s="1321">
        <v>0.1</v>
      </c>
      <c r="BE293" s="1326">
        <v>9.2499999999999999E-2</v>
      </c>
      <c r="BF293" s="1326">
        <v>0.09</v>
      </c>
      <c r="BG293" s="720"/>
      <c r="BH293" s="718"/>
      <c r="BI293" s="719"/>
      <c r="BJ293" s="719"/>
      <c r="BK293" s="720"/>
      <c r="BL293" s="718"/>
      <c r="BM293" s="719"/>
      <c r="BN293" s="719"/>
      <c r="BO293" s="720"/>
      <c r="BP293" s="718"/>
      <c r="BQ293" s="719"/>
      <c r="BR293" s="719"/>
      <c r="BS293" s="720"/>
      <c r="BT293" s="718"/>
      <c r="BU293" s="719"/>
      <c r="BV293" s="719"/>
      <c r="BW293" s="720"/>
      <c r="BX293" s="346"/>
      <c r="BY293" s="338">
        <v>0</v>
      </c>
      <c r="BZ293" s="338">
        <v>0</v>
      </c>
      <c r="CA293" s="338">
        <v>0</v>
      </c>
      <c r="CB293" s="338">
        <v>0</v>
      </c>
      <c r="CC293" s="220">
        <v>0</v>
      </c>
      <c r="CD293" s="220">
        <v>0</v>
      </c>
      <c r="CE293" s="220">
        <v>0</v>
      </c>
      <c r="CF293" s="220">
        <v>2.5719719892798476E-2</v>
      </c>
      <c r="CG293" s="358">
        <v>0.14374110333207449</v>
      </c>
      <c r="CH293" s="358">
        <v>0.13858855228159869</v>
      </c>
      <c r="CI293" s="358">
        <v>0.10404032055198191</v>
      </c>
      <c r="CJ293" s="338"/>
      <c r="CK293" s="338"/>
      <c r="CL293" s="338"/>
      <c r="CM293" s="338"/>
      <c r="CN293" s="338"/>
      <c r="CO293" s="338"/>
      <c r="CP293" s="337"/>
    </row>
    <row r="294" spans="1:94" s="1361" customFormat="1" ht="14.25" hidden="1" customHeight="1" outlineLevel="2">
      <c r="A294" s="1366"/>
      <c r="B294" s="354" t="s">
        <v>219</v>
      </c>
      <c r="C294" s="303"/>
      <c r="D294" s="355">
        <v>0</v>
      </c>
      <c r="E294" s="356">
        <v>0</v>
      </c>
      <c r="F294" s="356">
        <v>0</v>
      </c>
      <c r="G294" s="357">
        <v>0</v>
      </c>
      <c r="H294" s="355">
        <v>0.11258922777417263</v>
      </c>
      <c r="I294" s="356">
        <v>0.11784107946026985</v>
      </c>
      <c r="J294" s="356">
        <v>0.11714824120603015</v>
      </c>
      <c r="K294" s="357">
        <v>0.13037809647979143</v>
      </c>
      <c r="L294" s="355">
        <v>0.10912698412698414</v>
      </c>
      <c r="M294" s="356">
        <v>0.11162483487450461</v>
      </c>
      <c r="N294" s="356">
        <v>0.11160714285714285</v>
      </c>
      <c r="O294" s="357">
        <v>0.11878291398478645</v>
      </c>
      <c r="P294" s="355">
        <v>0.10868263473053891</v>
      </c>
      <c r="Q294" s="356">
        <v>0.11057820410338395</v>
      </c>
      <c r="R294" s="356">
        <v>0.10216203373722975</v>
      </c>
      <c r="S294" s="357">
        <v>9.9103585657370499E-2</v>
      </c>
      <c r="T294" s="355">
        <v>0.10021378941742384</v>
      </c>
      <c r="U294" s="356">
        <v>9.2864637985309542E-2</v>
      </c>
      <c r="V294" s="356">
        <v>9.5309009679821297E-2</v>
      </c>
      <c r="W294" s="357">
        <v>9.1443981367982319E-2</v>
      </c>
      <c r="X294" s="355">
        <v>8.698743778146481E-2</v>
      </c>
      <c r="Y294" s="356">
        <v>7.1796694508619155E-2</v>
      </c>
      <c r="Z294" s="356">
        <v>7.6526225279449703E-2</v>
      </c>
      <c r="AA294" s="357">
        <v>7.4278698588090872E-2</v>
      </c>
      <c r="AB294" s="355">
        <v>0.16407280400949617</v>
      </c>
      <c r="AC294" s="356">
        <v>0.22987136731777036</v>
      </c>
      <c r="AD294" s="356">
        <v>0.23006978219496724</v>
      </c>
      <c r="AE294" s="357">
        <v>0.24099778716556025</v>
      </c>
      <c r="AF294" s="355">
        <v>0.23664122137404575</v>
      </c>
      <c r="AG294" s="356">
        <v>0.2297274129950283</v>
      </c>
      <c r="AH294" s="356">
        <v>0.22923256201098716</v>
      </c>
      <c r="AI294" s="357">
        <v>0.23981353591160215</v>
      </c>
      <c r="AJ294" s="355">
        <v>0.1961865380197565</v>
      </c>
      <c r="AK294" s="356">
        <v>0.21373371605210864</v>
      </c>
      <c r="AL294" s="356">
        <v>0.20111358574610244</v>
      </c>
      <c r="AM294" s="357">
        <v>0.18010157572600594</v>
      </c>
      <c r="AN294" s="355">
        <v>0.19277270284793122</v>
      </c>
      <c r="AO294" s="356">
        <v>0.21952201933404941</v>
      </c>
      <c r="AP294" s="356">
        <v>0.21681598897312199</v>
      </c>
      <c r="AQ294" s="498">
        <v>0.24022346368715086</v>
      </c>
      <c r="AR294" s="355">
        <v>0</v>
      </c>
      <c r="AS294" s="857">
        <v>0</v>
      </c>
      <c r="AT294" s="356">
        <v>0.24923119932904672</v>
      </c>
      <c r="AU294" s="1061">
        <v>0</v>
      </c>
      <c r="AV294" s="1065">
        <v>0</v>
      </c>
      <c r="AW294" s="857">
        <v>0</v>
      </c>
      <c r="AX294" s="857">
        <v>0</v>
      </c>
      <c r="AY294" s="857">
        <v>0</v>
      </c>
      <c r="AZ294" s="1321">
        <v>0.36322921451538814</v>
      </c>
      <c r="BA294" s="1326">
        <v>0.33458262350936968</v>
      </c>
      <c r="BB294" s="1326">
        <v>0</v>
      </c>
      <c r="BC294" s="1326">
        <v>0</v>
      </c>
      <c r="BD294" s="1321">
        <v>0</v>
      </c>
      <c r="BE294" s="1326">
        <v>0</v>
      </c>
      <c r="BF294" s="1326">
        <v>0</v>
      </c>
      <c r="BG294" s="720"/>
      <c r="BH294" s="718"/>
      <c r="BI294" s="719"/>
      <c r="BJ294" s="719"/>
      <c r="BK294" s="720"/>
      <c r="BL294" s="718"/>
      <c r="BM294" s="719"/>
      <c r="BN294" s="719"/>
      <c r="BO294" s="720"/>
      <c r="BP294" s="718"/>
      <c r="BQ294" s="719"/>
      <c r="BR294" s="719"/>
      <c r="BS294" s="720"/>
      <c r="BT294" s="718"/>
      <c r="BU294" s="719"/>
      <c r="BV294" s="719"/>
      <c r="BW294" s="720"/>
      <c r="BX294" s="346"/>
      <c r="BY294" s="338">
        <v>0.11523711533065197</v>
      </c>
      <c r="BZ294" s="338">
        <v>0.11942536901097166</v>
      </c>
      <c r="CA294" s="338">
        <v>0.11296208154846897</v>
      </c>
      <c r="CB294" s="338">
        <v>0.10484397440919181</v>
      </c>
      <c r="CC294" s="220">
        <v>9.487932575660836E-2</v>
      </c>
      <c r="CD294" s="220">
        <v>7.6844461748102014E-2</v>
      </c>
      <c r="CE294" s="220">
        <v>0.21894962971338119</v>
      </c>
      <c r="CF294" s="220">
        <v>0.23376847929454481</v>
      </c>
      <c r="CG294" s="358">
        <v>0.19850100223687647</v>
      </c>
      <c r="CH294" s="358">
        <v>0.21682959687726697</v>
      </c>
      <c r="CI294" s="358">
        <v>6.40744600567794E-2</v>
      </c>
      <c r="CJ294" s="338"/>
      <c r="CK294" s="338"/>
      <c r="CL294" s="338"/>
      <c r="CM294" s="338"/>
      <c r="CN294" s="338"/>
      <c r="CO294" s="338"/>
      <c r="CP294" s="337"/>
    </row>
    <row r="295" spans="1:94" s="1361" customFormat="1" ht="14.25" hidden="1" customHeight="1" outlineLevel="2">
      <c r="A295" s="1366"/>
      <c r="B295" s="354" t="s">
        <v>220</v>
      </c>
      <c r="C295" s="303"/>
      <c r="D295" s="355">
        <v>0.47866419294990725</v>
      </c>
      <c r="E295" s="356">
        <v>0.49414519906323184</v>
      </c>
      <c r="F295" s="356">
        <v>0.54947129909365555</v>
      </c>
      <c r="G295" s="357">
        <v>0.56389088298636036</v>
      </c>
      <c r="H295" s="355">
        <v>0.1427644386761843</v>
      </c>
      <c r="I295" s="356">
        <v>0.15652173913043479</v>
      </c>
      <c r="J295" s="356">
        <v>0.17368090452261306</v>
      </c>
      <c r="K295" s="357">
        <v>0.14928292046936117</v>
      </c>
      <c r="L295" s="355">
        <v>0.14682539682539683</v>
      </c>
      <c r="M295" s="356">
        <v>0.14729194187582562</v>
      </c>
      <c r="N295" s="356">
        <v>0.140625</v>
      </c>
      <c r="O295" s="357">
        <v>0.152428320655354</v>
      </c>
      <c r="P295" s="355">
        <v>0.12784431137724553</v>
      </c>
      <c r="Q295" s="356">
        <v>0.12496669331201704</v>
      </c>
      <c r="R295" s="356">
        <v>0.11095272036113092</v>
      </c>
      <c r="S295" s="357">
        <v>0.15737051792828682</v>
      </c>
      <c r="T295" s="355">
        <v>9.9946552645644046E-2</v>
      </c>
      <c r="U295" s="356">
        <v>0.10545645330535153</v>
      </c>
      <c r="V295" s="356">
        <v>9.0344998758997277E-2</v>
      </c>
      <c r="W295" s="357">
        <v>8.7521451336111764E-2</v>
      </c>
      <c r="X295" s="355">
        <v>0.10737141502725764</v>
      </c>
      <c r="Y295" s="356">
        <v>0.12759907588413008</v>
      </c>
      <c r="Z295" s="356">
        <v>0.12777300085984522</v>
      </c>
      <c r="AA295" s="357">
        <v>0.1262533251483528</v>
      </c>
      <c r="AB295" s="355">
        <v>7.0429965708256395E-2</v>
      </c>
      <c r="AC295" s="356">
        <v>8.8137208194378272E-2</v>
      </c>
      <c r="AD295" s="356">
        <v>0.11080566716007613</v>
      </c>
      <c r="AE295" s="357">
        <v>6.5982699658016522E-2</v>
      </c>
      <c r="AF295" s="355">
        <v>3.5259905488913119E-2</v>
      </c>
      <c r="AG295" s="356">
        <v>3.2058974798559917E-2</v>
      </c>
      <c r="AH295" s="356">
        <v>5.8931246878641576E-2</v>
      </c>
      <c r="AI295" s="357">
        <v>1.3812154696132596E-2</v>
      </c>
      <c r="AJ295" s="355">
        <v>6.9262577532736042E-2</v>
      </c>
      <c r="AK295" s="356">
        <v>6.6018988739236034E-2</v>
      </c>
      <c r="AL295" s="356">
        <v>6.5590200445434302E-2</v>
      </c>
      <c r="AM295" s="357">
        <v>5.521552285453836E-2</v>
      </c>
      <c r="AN295" s="355">
        <v>5.4809242342826435E-2</v>
      </c>
      <c r="AO295" s="356">
        <v>4.6321160042964556E-2</v>
      </c>
      <c r="AP295" s="356">
        <v>5.1964162646450728E-2</v>
      </c>
      <c r="AQ295" s="498">
        <v>3.3813584239929431E-2</v>
      </c>
      <c r="AR295" s="355">
        <v>0.58456883509833579</v>
      </c>
      <c r="AS295" s="857">
        <v>0.59</v>
      </c>
      <c r="AT295" s="356">
        <v>3.6063740564719039E-2</v>
      </c>
      <c r="AU295" s="1061">
        <v>0.6</v>
      </c>
      <c r="AV295" s="1066">
        <v>0.56999999999999995</v>
      </c>
      <c r="AW295" s="857">
        <v>0.59</v>
      </c>
      <c r="AX295" s="857">
        <v>0.6</v>
      </c>
      <c r="AY295" s="857">
        <v>0.59</v>
      </c>
      <c r="AZ295" s="1322">
        <v>0.26458429030776293</v>
      </c>
      <c r="BA295" s="1326">
        <v>0.29653605905735375</v>
      </c>
      <c r="BB295" s="1326">
        <v>0.62</v>
      </c>
      <c r="BC295" s="1326">
        <v>0.59</v>
      </c>
      <c r="BD295" s="1322">
        <v>0.55000000000000004</v>
      </c>
      <c r="BE295" s="1326">
        <v>0.58250000000000002</v>
      </c>
      <c r="BF295" s="1326">
        <v>0.61</v>
      </c>
      <c r="BG295" s="720"/>
      <c r="BH295" s="718"/>
      <c r="BI295" s="719"/>
      <c r="BJ295" s="719"/>
      <c r="BK295" s="720"/>
      <c r="BL295" s="718"/>
      <c r="BM295" s="719"/>
      <c r="BN295" s="719"/>
      <c r="BO295" s="720"/>
      <c r="BP295" s="718"/>
      <c r="BQ295" s="719"/>
      <c r="BR295" s="719"/>
      <c r="BS295" s="720"/>
      <c r="BT295" s="718"/>
      <c r="BU295" s="719"/>
      <c r="BV295" s="719"/>
      <c r="BW295" s="720"/>
      <c r="BX295" s="346"/>
      <c r="BY295" s="338">
        <v>0.1706107941259003</v>
      </c>
      <c r="BZ295" s="338">
        <v>0.15573446996605889</v>
      </c>
      <c r="CA295" s="338">
        <v>0.14691416785657621</v>
      </c>
      <c r="CB295" s="338">
        <v>0.1302389345867607</v>
      </c>
      <c r="CC295" s="220">
        <v>9.5581662622908958E-2</v>
      </c>
      <c r="CD295" s="220">
        <v>0.1231750048666537</v>
      </c>
      <c r="CE295" s="220">
        <v>8.4176606930860987E-2</v>
      </c>
      <c r="CF295" s="220">
        <v>3.5229532290135729E-2</v>
      </c>
      <c r="CG295" s="358">
        <v>6.4317462161926617E-2</v>
      </c>
      <c r="CH295" s="358">
        <v>4.6979170264948709E-2</v>
      </c>
      <c r="CI295" s="358">
        <v>0.4488795055162253</v>
      </c>
      <c r="CJ295" s="338"/>
      <c r="CK295" s="338"/>
      <c r="CL295" s="338"/>
      <c r="CM295" s="338"/>
      <c r="CN295" s="338"/>
      <c r="CO295" s="338"/>
      <c r="CP295" s="337"/>
    </row>
    <row r="296" spans="1:94" s="1361" customFormat="1" ht="14.25" hidden="1" customHeight="1" outlineLevel="2">
      <c r="A296" s="1366"/>
      <c r="B296" s="360" t="s">
        <v>360</v>
      </c>
      <c r="C296" s="348"/>
      <c r="D296" s="361">
        <v>1</v>
      </c>
      <c r="E296" s="362">
        <v>1</v>
      </c>
      <c r="F296" s="362">
        <v>1</v>
      </c>
      <c r="G296" s="363">
        <v>1.0000000000000002</v>
      </c>
      <c r="H296" s="361">
        <v>0.99999999999999989</v>
      </c>
      <c r="I296" s="362">
        <v>0.99999999999999989</v>
      </c>
      <c r="J296" s="362">
        <v>1</v>
      </c>
      <c r="K296" s="363">
        <v>1</v>
      </c>
      <c r="L296" s="361">
        <v>1</v>
      </c>
      <c r="M296" s="362">
        <v>1</v>
      </c>
      <c r="N296" s="362">
        <v>0.99999999999999978</v>
      </c>
      <c r="O296" s="363">
        <v>1.0000000000000002</v>
      </c>
      <c r="P296" s="361">
        <v>0.99999999999999989</v>
      </c>
      <c r="Q296" s="362">
        <v>0.99999999999999989</v>
      </c>
      <c r="R296" s="362">
        <v>1.0000000000000002</v>
      </c>
      <c r="S296" s="363">
        <v>0.99999999999999989</v>
      </c>
      <c r="T296" s="361">
        <v>1.0000000000000002</v>
      </c>
      <c r="U296" s="362">
        <v>1</v>
      </c>
      <c r="V296" s="362">
        <v>1</v>
      </c>
      <c r="W296" s="362">
        <v>1</v>
      </c>
      <c r="X296" s="361">
        <v>1</v>
      </c>
      <c r="Y296" s="362">
        <v>1</v>
      </c>
      <c r="Z296" s="362">
        <v>1</v>
      </c>
      <c r="AA296" s="362">
        <v>1</v>
      </c>
      <c r="AB296" s="361">
        <v>1</v>
      </c>
      <c r="AC296" s="362">
        <v>1</v>
      </c>
      <c r="AD296" s="362">
        <v>1</v>
      </c>
      <c r="AE296" s="362">
        <v>0.99999999999999989</v>
      </c>
      <c r="AF296" s="361">
        <v>0.99999999999999989</v>
      </c>
      <c r="AG296" s="362">
        <v>1.0000000000000002</v>
      </c>
      <c r="AH296" s="362">
        <v>1</v>
      </c>
      <c r="AI296" s="363">
        <v>0.99999999999999978</v>
      </c>
      <c r="AJ296" s="361">
        <v>1</v>
      </c>
      <c r="AK296" s="362">
        <v>1</v>
      </c>
      <c r="AL296" s="362">
        <v>1</v>
      </c>
      <c r="AM296" s="362">
        <v>1.0000000000000002</v>
      </c>
      <c r="AN296" s="361">
        <v>1</v>
      </c>
      <c r="AO296" s="362">
        <v>1</v>
      </c>
      <c r="AP296" s="362">
        <v>1</v>
      </c>
      <c r="AQ296" s="721">
        <v>1</v>
      </c>
      <c r="AR296" s="361">
        <v>1</v>
      </c>
      <c r="AS296" s="362">
        <v>1</v>
      </c>
      <c r="AT296" s="362">
        <v>1</v>
      </c>
      <c r="AU296" s="721">
        <v>1</v>
      </c>
      <c r="AV296" s="361">
        <v>1</v>
      </c>
      <c r="AW296" s="362">
        <v>1</v>
      </c>
      <c r="AX296" s="723">
        <v>1</v>
      </c>
      <c r="AY296" s="724">
        <v>1</v>
      </c>
      <c r="AZ296" s="1327">
        <v>1</v>
      </c>
      <c r="BA296" s="1328">
        <v>1</v>
      </c>
      <c r="BB296" s="1323">
        <v>1</v>
      </c>
      <c r="BC296" s="1324">
        <v>1</v>
      </c>
      <c r="BD296" s="1327">
        <v>1</v>
      </c>
      <c r="BE296" s="1323">
        <v>1</v>
      </c>
      <c r="BF296" s="1323">
        <v>1</v>
      </c>
      <c r="BG296" s="724"/>
      <c r="BH296" s="722"/>
      <c r="BI296" s="723"/>
      <c r="BJ296" s="723"/>
      <c r="BK296" s="724"/>
      <c r="BL296" s="722"/>
      <c r="BM296" s="723"/>
      <c r="BN296" s="723"/>
      <c r="BO296" s="724"/>
      <c r="BP296" s="722"/>
      <c r="BQ296" s="723"/>
      <c r="BR296" s="723"/>
      <c r="BS296" s="724"/>
      <c r="BT296" s="722"/>
      <c r="BU296" s="723"/>
      <c r="BV296" s="723"/>
      <c r="BW296" s="724"/>
      <c r="BX296" s="349"/>
      <c r="BY296" s="364">
        <v>1</v>
      </c>
      <c r="BZ296" s="364">
        <v>0.99999999999999989</v>
      </c>
      <c r="CA296" s="364">
        <v>0.99999999999999989</v>
      </c>
      <c r="CB296" s="364">
        <v>1.0000000000000002</v>
      </c>
      <c r="CC296" s="365">
        <v>1.0000000000000002</v>
      </c>
      <c r="CD296" s="365">
        <v>1.0000000000000002</v>
      </c>
      <c r="CE296" s="365">
        <v>1</v>
      </c>
      <c r="CF296" s="365">
        <v>0.99999999999999989</v>
      </c>
      <c r="CG296" s="365">
        <v>0.99999999999999989</v>
      </c>
      <c r="CH296" s="365">
        <v>1.0000000000000002</v>
      </c>
      <c r="CI296" s="365">
        <v>1</v>
      </c>
      <c r="CJ296" s="364"/>
      <c r="CK296" s="364"/>
      <c r="CL296" s="364"/>
      <c r="CM296" s="364"/>
      <c r="CN296" s="364"/>
      <c r="CO296" s="364"/>
      <c r="CP296" s="366"/>
    </row>
    <row r="297" spans="1:94" s="1361" customFormat="1" ht="14.25" hidden="1" customHeight="1" outlineLevel="2">
      <c r="A297" s="1366"/>
      <c r="B297" s="368"/>
      <c r="C297" s="251"/>
      <c r="D297" s="883"/>
      <c r="E297" s="883"/>
      <c r="F297" s="883"/>
      <c r="G297" s="883"/>
      <c r="H297" s="883"/>
      <c r="I297" s="883"/>
      <c r="J297" s="883"/>
      <c r="K297" s="883"/>
      <c r="L297" s="883"/>
      <c r="M297" s="883"/>
      <c r="N297" s="883"/>
      <c r="O297" s="883"/>
      <c r="P297" s="883"/>
      <c r="Q297" s="883"/>
      <c r="R297" s="883"/>
      <c r="S297" s="883"/>
      <c r="T297" s="883"/>
      <c r="U297" s="883"/>
      <c r="V297" s="883"/>
      <c r="W297" s="883"/>
      <c r="X297" s="883"/>
      <c r="Y297" s="883"/>
      <c r="Z297" s="883"/>
      <c r="AA297" s="883"/>
      <c r="AB297" s="883"/>
      <c r="AC297" s="883"/>
      <c r="AD297" s="883"/>
      <c r="AE297" s="883"/>
      <c r="AF297" s="883"/>
      <c r="AG297" s="883"/>
      <c r="AH297" s="883"/>
      <c r="AI297" s="883"/>
      <c r="AJ297" s="883"/>
      <c r="AK297" s="883"/>
      <c r="AL297" s="883"/>
      <c r="AM297" s="883"/>
      <c r="AN297" s="883"/>
      <c r="AO297" s="883"/>
      <c r="AP297" s="883"/>
      <c r="AQ297" s="883"/>
      <c r="BL297" s="1372"/>
      <c r="BM297" s="1372"/>
      <c r="BN297" s="1372"/>
      <c r="BO297" s="1372"/>
      <c r="BP297" s="1372"/>
      <c r="BQ297" s="1372"/>
      <c r="BR297" s="1372"/>
      <c r="BS297" s="1372"/>
      <c r="BT297" s="1463"/>
      <c r="BU297" s="1463"/>
      <c r="BV297" s="1463"/>
      <c r="BW297" s="1463"/>
      <c r="BY297" s="325"/>
      <c r="BZ297" s="325"/>
      <c r="CA297" s="325"/>
      <c r="CB297" s="325"/>
      <c r="CC297" s="325"/>
      <c r="CD297" s="325"/>
      <c r="CE297" s="325"/>
      <c r="CF297" s="325"/>
      <c r="CG297" s="325"/>
      <c r="CH297" s="325"/>
      <c r="CI297" s="325"/>
      <c r="CJ297" s="325"/>
      <c r="CK297" s="325"/>
      <c r="CL297" s="325"/>
      <c r="CM297" s="325"/>
      <c r="CN297" s="325"/>
      <c r="CO297" s="325"/>
      <c r="CP297" s="325"/>
    </row>
    <row r="298" spans="1:94" ht="14.25" hidden="1" customHeight="1" outlineLevel="1">
      <c r="CM298" s="1040"/>
      <c r="CN298" s="1040"/>
      <c r="CO298" s="1040"/>
    </row>
    <row r="299" spans="1:94" ht="14.25" hidden="1" customHeight="1" outlineLevel="2">
      <c r="B299" s="304"/>
      <c r="C299" s="304"/>
      <c r="D299" s="304"/>
      <c r="E299" s="304"/>
      <c r="F299" s="304"/>
      <c r="G299" s="304"/>
      <c r="H299" s="304"/>
      <c r="I299" s="304"/>
      <c r="J299" s="304"/>
      <c r="K299" s="304"/>
      <c r="L299" s="304"/>
      <c r="M299" s="304"/>
      <c r="N299" s="304"/>
      <c r="O299" s="304"/>
      <c r="P299" s="304"/>
      <c r="Q299" s="304"/>
      <c r="R299" s="304"/>
      <c r="S299" s="304"/>
      <c r="T299" s="304"/>
      <c r="U299" s="304"/>
      <c r="V299" s="304"/>
      <c r="W299" s="304"/>
      <c r="X299" s="304"/>
      <c r="Y299" s="304"/>
      <c r="Z299" s="304"/>
      <c r="AA299" s="304"/>
      <c r="AB299" s="304"/>
      <c r="AC299" s="304"/>
      <c r="AD299" s="304"/>
      <c r="AE299" s="304"/>
      <c r="AF299" s="304"/>
      <c r="AG299" s="304"/>
      <c r="AH299" s="304"/>
      <c r="AI299" s="304"/>
      <c r="AJ299" s="304"/>
      <c r="AK299" s="304"/>
      <c r="AL299" s="304"/>
      <c r="AM299" s="304"/>
      <c r="AN299" s="304"/>
      <c r="AO299" s="304"/>
      <c r="AP299" s="304"/>
      <c r="AQ299" s="304"/>
      <c r="AR299" s="304"/>
      <c r="AS299" s="304"/>
      <c r="AT299" s="304"/>
      <c r="AU299" s="304"/>
      <c r="AV299" s="304"/>
      <c r="AW299" s="304"/>
      <c r="AX299" s="304"/>
      <c r="AY299" s="304"/>
      <c r="AZ299" s="304"/>
      <c r="BA299" s="304"/>
      <c r="BB299" s="304"/>
      <c r="BC299" s="304"/>
      <c r="BD299" s="304"/>
      <c r="BE299" s="304"/>
      <c r="BF299" s="304"/>
      <c r="BG299" s="304"/>
      <c r="BH299" s="304"/>
      <c r="BI299" s="304"/>
      <c r="BJ299" s="304"/>
      <c r="BK299" s="304"/>
      <c r="BL299" s="304"/>
      <c r="BM299" s="304"/>
      <c r="BN299" s="304"/>
      <c r="BO299" s="304"/>
      <c r="BP299" s="304"/>
      <c r="BQ299" s="304"/>
      <c r="BR299" s="304"/>
      <c r="BS299" s="304"/>
      <c r="BT299" s="304"/>
      <c r="BU299" s="304"/>
      <c r="BV299" s="304"/>
      <c r="BW299" s="304"/>
      <c r="BY299" s="304"/>
      <c r="BZ299" s="304"/>
      <c r="CA299" s="304"/>
      <c r="CB299" s="304"/>
      <c r="CC299" s="304"/>
      <c r="CD299" s="304"/>
      <c r="CE299" s="304"/>
      <c r="CF299" s="304"/>
      <c r="CG299" s="304"/>
      <c r="CH299" s="304"/>
      <c r="CI299" s="304"/>
      <c r="CJ299" s="304"/>
      <c r="CK299" s="304"/>
      <c r="CL299" s="304"/>
      <c r="CM299" s="304"/>
      <c r="CN299" s="304"/>
      <c r="CO299" s="304"/>
      <c r="CP299" s="304"/>
    </row>
    <row r="300" spans="1:94" ht="14.25" hidden="1" customHeight="1" outlineLevel="2">
      <c r="A300" s="9"/>
      <c r="B300" s="235" t="s">
        <v>191</v>
      </c>
      <c r="C300" s="251"/>
      <c r="D300" s="251"/>
      <c r="E300" s="251"/>
      <c r="F300" s="251"/>
      <c r="G300" s="277"/>
      <c r="H300" s="251"/>
      <c r="I300" s="251"/>
      <c r="J300" s="251"/>
      <c r="K300" s="251"/>
      <c r="L300" s="375"/>
      <c r="M300" s="343"/>
      <c r="N300" s="343"/>
      <c r="O300" s="369"/>
      <c r="P300" s="375"/>
      <c r="Q300" s="343"/>
      <c r="R300" s="343"/>
      <c r="S300" s="369"/>
      <c r="T300" s="375"/>
      <c r="U300" s="343"/>
      <c r="V300" s="343"/>
      <c r="W300" s="369"/>
      <c r="X300" s="375"/>
      <c r="Y300" s="343"/>
      <c r="Z300" s="343"/>
      <c r="AA300" s="369"/>
      <c r="AB300" s="375"/>
      <c r="AC300" s="343"/>
      <c r="AD300" s="343"/>
      <c r="AE300" s="503"/>
      <c r="AF300" s="375"/>
      <c r="AG300" s="343"/>
      <c r="AH300" s="343"/>
      <c r="AI300" s="369"/>
      <c r="AJ300" s="422">
        <v>272.39999999999998</v>
      </c>
      <c r="AK300" s="423">
        <v>300.10000000000002</v>
      </c>
      <c r="AL300" s="423">
        <v>292.10000000000002</v>
      </c>
      <c r="AM300" s="401">
        <v>280.89999999999998</v>
      </c>
      <c r="AN300" s="422">
        <v>259.89999999999998</v>
      </c>
      <c r="AO300" s="423">
        <v>260.2</v>
      </c>
      <c r="AP300" s="423">
        <v>252.7</v>
      </c>
      <c r="AQ300" s="401">
        <v>246.4</v>
      </c>
      <c r="AR300" s="422">
        <v>245</v>
      </c>
      <c r="AS300" s="423">
        <v>251.5</v>
      </c>
      <c r="AT300" s="423">
        <v>269</v>
      </c>
      <c r="AU300" s="401">
        <v>270.8</v>
      </c>
      <c r="AV300" s="422">
        <v>279.5</v>
      </c>
      <c r="AW300" s="423">
        <v>301.2</v>
      </c>
      <c r="AX300" s="815">
        <f>$AX$81*AX303</f>
        <v>266.72000000000003</v>
      </c>
      <c r="AY300" s="815">
        <f>$AX$81*AY303</f>
        <v>250.04999999999998</v>
      </c>
      <c r="AZ300" s="816">
        <f t="shared" ref="AZ300:BG300" si="671">AY300*(1+AZ301)</f>
        <v>255.05099999999999</v>
      </c>
      <c r="BA300" s="815">
        <f t="shared" si="671"/>
        <v>260.15201999999999</v>
      </c>
      <c r="BB300" s="815">
        <f>$BB$81*BB303</f>
        <v>280.30200000000002</v>
      </c>
      <c r="BC300" s="817">
        <f t="shared" si="671"/>
        <v>285.90804000000003</v>
      </c>
      <c r="BD300" s="816">
        <f t="shared" si="671"/>
        <v>291.62620080000005</v>
      </c>
      <c r="BE300" s="815">
        <f t="shared" si="671"/>
        <v>297.45872481600003</v>
      </c>
      <c r="BF300" s="815">
        <f t="shared" si="671"/>
        <v>303.40789931232001</v>
      </c>
      <c r="BG300" s="817">
        <f t="shared" si="671"/>
        <v>309.47605729856645</v>
      </c>
      <c r="BH300" s="816">
        <f>BG300*(1+BH301)</f>
        <v>315.6655784445378</v>
      </c>
      <c r="BI300" s="815">
        <f>BH300*(1+BI301)</f>
        <v>321.97889001342855</v>
      </c>
      <c r="BJ300" s="815">
        <f>BI300*(1+BJ301)</f>
        <v>328.41846781369713</v>
      </c>
      <c r="BK300" s="817">
        <f>BJ300*(1+BK301)</f>
        <v>334.98683716997107</v>
      </c>
      <c r="BL300" s="816"/>
      <c r="BM300" s="815"/>
      <c r="BN300" s="815"/>
      <c r="BO300" s="817"/>
      <c r="BP300" s="816"/>
      <c r="BQ300" s="815"/>
      <c r="BR300" s="815"/>
      <c r="BS300" s="817"/>
      <c r="BT300" s="816"/>
      <c r="BU300" s="815"/>
      <c r="BV300" s="815"/>
      <c r="BW300" s="817"/>
      <c r="BX300" s="263"/>
      <c r="BY300" s="10"/>
      <c r="BZ300" s="371"/>
      <c r="CA300" s="387"/>
      <c r="CB300" s="387"/>
      <c r="CC300" s="387"/>
      <c r="CD300" s="784">
        <v>1006.2</v>
      </c>
      <c r="CE300" s="784">
        <v>840</v>
      </c>
      <c r="CF300" s="784">
        <f>1053.2</f>
        <v>1053.2</v>
      </c>
      <c r="CG300" s="387">
        <f>SUM(AJ300:AM300)</f>
        <v>1145.5</v>
      </c>
      <c r="CH300" s="387">
        <f>SUM(AN300:AQ300)</f>
        <v>1019.1999999999999</v>
      </c>
      <c r="CI300" s="387">
        <f>SUM(AR300:AU300)</f>
        <v>1036.3</v>
      </c>
      <c r="CJ300" s="387">
        <f>SUM(AV300:AY300)</f>
        <v>1097.47</v>
      </c>
      <c r="CK300" s="387">
        <f>SUM(AZ300:BC300)</f>
        <v>1081.4130599999999</v>
      </c>
      <c r="CL300" s="387">
        <f>SUM(BD300:BG300)</f>
        <v>1201.9688822268865</v>
      </c>
      <c r="CM300" s="387">
        <f>SUM(BH300:BK300)</f>
        <v>1301.0497734416344</v>
      </c>
      <c r="CN300" s="387"/>
      <c r="CO300" s="387"/>
      <c r="CP300" s="915"/>
    </row>
    <row r="301" spans="1:94" ht="14.25" hidden="1" customHeight="1" outlineLevel="2">
      <c r="A301" s="9"/>
      <c r="B301" s="217" t="s">
        <v>297</v>
      </c>
      <c r="C301" s="372"/>
      <c r="D301" s="372"/>
      <c r="E301" s="372"/>
      <c r="F301" s="372"/>
      <c r="G301" s="218"/>
      <c r="H301" s="372"/>
      <c r="I301" s="372"/>
      <c r="J301" s="372"/>
      <c r="K301" s="372"/>
      <c r="L301" s="219"/>
      <c r="M301" s="370"/>
      <c r="N301" s="370"/>
      <c r="O301" s="335"/>
      <c r="P301" s="378"/>
      <c r="Q301" s="370"/>
      <c r="R301" s="370"/>
      <c r="S301" s="370"/>
      <c r="T301" s="378"/>
      <c r="U301" s="370"/>
      <c r="V301" s="370"/>
      <c r="W301" s="335"/>
      <c r="X301" s="378"/>
      <c r="Y301" s="370"/>
      <c r="Z301" s="370"/>
      <c r="AA301" s="335"/>
      <c r="AB301" s="378"/>
      <c r="AC301" s="370"/>
      <c r="AD301" s="370"/>
      <c r="AE301" s="335"/>
      <c r="AF301" s="377"/>
      <c r="AG301" s="370"/>
      <c r="AH301" s="370"/>
      <c r="AI301" s="335"/>
      <c r="AJ301" s="425"/>
      <c r="AK301" s="418">
        <f t="shared" ref="AK301:AW301" si="672">AK300/AJ300-1</f>
        <v>0.10168869309838491</v>
      </c>
      <c r="AL301" s="418">
        <f t="shared" si="672"/>
        <v>-2.6657780739753445E-2</v>
      </c>
      <c r="AM301" s="419">
        <f t="shared" si="672"/>
        <v>-3.8343033207805743E-2</v>
      </c>
      <c r="AN301" s="377">
        <f t="shared" si="672"/>
        <v>-7.4759700961196107E-2</v>
      </c>
      <c r="AO301" s="78">
        <f t="shared" si="672"/>
        <v>1.1542901115815241E-3</v>
      </c>
      <c r="AP301" s="78">
        <f t="shared" si="672"/>
        <v>-2.8823981552651756E-2</v>
      </c>
      <c r="AQ301" s="335">
        <f t="shared" si="672"/>
        <v>-2.4930747922437657E-2</v>
      </c>
      <c r="AR301" s="377">
        <f t="shared" si="672"/>
        <v>-5.6818181818182323E-3</v>
      </c>
      <c r="AS301" s="78">
        <f t="shared" si="672"/>
        <v>2.6530612244898055E-2</v>
      </c>
      <c r="AT301" s="78">
        <f t="shared" si="672"/>
        <v>6.9582504970178816E-2</v>
      </c>
      <c r="AU301" s="335">
        <f t="shared" si="672"/>
        <v>6.6914498141263934E-3</v>
      </c>
      <c r="AV301" s="377">
        <f t="shared" si="672"/>
        <v>3.2127031019202335E-2</v>
      </c>
      <c r="AW301" s="78">
        <f t="shared" si="672"/>
        <v>7.7638640429338102E-2</v>
      </c>
      <c r="AX301" s="420">
        <v>0.02</v>
      </c>
      <c r="AY301" s="420">
        <v>0.02</v>
      </c>
      <c r="AZ301" s="505">
        <v>0.02</v>
      </c>
      <c r="BA301" s="420">
        <v>0.02</v>
      </c>
      <c r="BB301" s="420">
        <v>0.02</v>
      </c>
      <c r="BC301" s="421">
        <v>0.02</v>
      </c>
      <c r="BD301" s="505">
        <v>0.02</v>
      </c>
      <c r="BE301" s="420">
        <v>0.02</v>
      </c>
      <c r="BF301" s="420">
        <v>0.02</v>
      </c>
      <c r="BG301" s="1381">
        <v>0.02</v>
      </c>
      <c r="BH301" s="505">
        <v>0.02</v>
      </c>
      <c r="BI301" s="420">
        <v>0.02</v>
      </c>
      <c r="BJ301" s="420">
        <v>0.02</v>
      </c>
      <c r="BK301" s="421">
        <v>0.02</v>
      </c>
      <c r="BL301" s="505"/>
      <c r="BM301" s="420"/>
      <c r="BN301" s="420"/>
      <c r="BO301" s="421"/>
      <c r="BP301" s="505"/>
      <c r="BQ301" s="420"/>
      <c r="BR301" s="420"/>
      <c r="BS301" s="421"/>
      <c r="BT301" s="505"/>
      <c r="BU301" s="420"/>
      <c r="BV301" s="420"/>
      <c r="BW301" s="421"/>
      <c r="BX301" s="21"/>
      <c r="BY301" s="22"/>
      <c r="BZ301" s="15"/>
      <c r="CA301" s="15"/>
      <c r="CB301" s="15"/>
      <c r="CC301" s="15"/>
      <c r="CD301" s="370"/>
      <c r="CE301" s="370"/>
      <c r="CF301" s="370"/>
      <c r="CG301" s="220"/>
      <c r="CH301" s="220"/>
      <c r="CI301" s="220"/>
      <c r="CJ301" s="220"/>
      <c r="CK301" s="220"/>
      <c r="CL301" s="220"/>
      <c r="CM301" s="220"/>
      <c r="CN301" s="220"/>
      <c r="CO301" s="220"/>
      <c r="CP301" s="258"/>
    </row>
    <row r="302" spans="1:94" ht="14.25" hidden="1" customHeight="1" outlineLevel="2">
      <c r="A302" s="9"/>
      <c r="B302" s="32" t="s">
        <v>298</v>
      </c>
      <c r="C302" s="259"/>
      <c r="D302" s="259"/>
      <c r="E302" s="259"/>
      <c r="F302" s="259"/>
      <c r="G302" s="33"/>
      <c r="H302" s="259"/>
      <c r="I302" s="259"/>
      <c r="J302" s="259"/>
      <c r="K302" s="259"/>
      <c r="L302" s="219"/>
      <c r="M302" s="220"/>
      <c r="N302" s="220"/>
      <c r="O302" s="258"/>
      <c r="P302" s="378"/>
      <c r="Q302" s="370"/>
      <c r="R302" s="370"/>
      <c r="S302" s="370"/>
      <c r="T302" s="378"/>
      <c r="U302" s="370"/>
      <c r="V302" s="370"/>
      <c r="W302" s="335"/>
      <c r="X302" s="378"/>
      <c r="Y302" s="370"/>
      <c r="Z302" s="370"/>
      <c r="AA302" s="335"/>
      <c r="AB302" s="378"/>
      <c r="AC302" s="370"/>
      <c r="AD302" s="370"/>
      <c r="AE302" s="335"/>
      <c r="AF302" s="377"/>
      <c r="AG302" s="370"/>
      <c r="AH302" s="370"/>
      <c r="AI302" s="335"/>
      <c r="AJ302" s="425"/>
      <c r="AK302" s="418"/>
      <c r="AL302" s="418"/>
      <c r="AM302" s="419"/>
      <c r="AN302" s="377">
        <f t="shared" ref="AN302:AW302" si="673">AN300/AJ300-1</f>
        <v>-4.5888399412628456E-2</v>
      </c>
      <c r="AO302" s="220">
        <f t="shared" si="673"/>
        <v>-0.1329556814395203</v>
      </c>
      <c r="AP302" s="220">
        <f t="shared" si="673"/>
        <v>-0.13488531324888753</v>
      </c>
      <c r="AQ302" s="335">
        <f t="shared" si="673"/>
        <v>-0.12281950872196501</v>
      </c>
      <c r="AR302" s="377">
        <f t="shared" si="673"/>
        <v>-5.7329742208541701E-2</v>
      </c>
      <c r="AS302" s="220">
        <f t="shared" si="673"/>
        <v>-3.3435818601076028E-2</v>
      </c>
      <c r="AT302" s="220">
        <f t="shared" si="673"/>
        <v>6.4503363672338887E-2</v>
      </c>
      <c r="AU302" s="335">
        <f t="shared" si="673"/>
        <v>9.9025974025974017E-2</v>
      </c>
      <c r="AV302" s="377">
        <f t="shared" si="673"/>
        <v>0.14081632653061216</v>
      </c>
      <c r="AW302" s="220">
        <f t="shared" si="673"/>
        <v>0.19761431411530817</v>
      </c>
      <c r="AX302" s="370">
        <f t="shared" ref="AX302:BC302" si="674">AX300/AT300-1</f>
        <v>-8.4758364312266243E-3</v>
      </c>
      <c r="AY302" s="370">
        <f t="shared" si="674"/>
        <v>-7.6624815361890808E-2</v>
      </c>
      <c r="AZ302" s="377">
        <f t="shared" si="674"/>
        <v>-8.7474060822898103E-2</v>
      </c>
      <c r="BA302" s="370">
        <f t="shared" si="674"/>
        <v>-0.1362814741035856</v>
      </c>
      <c r="BB302" s="370">
        <f t="shared" si="674"/>
        <v>5.0922315536892526E-2</v>
      </c>
      <c r="BC302" s="335">
        <f t="shared" si="674"/>
        <v>0.14340347930413944</v>
      </c>
      <c r="BD302" s="377">
        <f t="shared" ref="BD302:BK302" si="675">BD300/AZ300-1</f>
        <v>0.14340347930413944</v>
      </c>
      <c r="BE302" s="370">
        <f t="shared" si="675"/>
        <v>0.14340347930413921</v>
      </c>
      <c r="BF302" s="370">
        <f t="shared" si="675"/>
        <v>8.2432159999999977E-2</v>
      </c>
      <c r="BG302" s="335">
        <f t="shared" si="675"/>
        <v>8.2432159999999977E-2</v>
      </c>
      <c r="BH302" s="377">
        <f t="shared" si="675"/>
        <v>8.2432159999999977E-2</v>
      </c>
      <c r="BI302" s="370">
        <f t="shared" si="675"/>
        <v>8.2432160000000199E-2</v>
      </c>
      <c r="BJ302" s="370">
        <f t="shared" si="675"/>
        <v>8.2432160000000199E-2</v>
      </c>
      <c r="BK302" s="335">
        <f t="shared" si="675"/>
        <v>8.2432159999999977E-2</v>
      </c>
      <c r="BL302" s="377"/>
      <c r="BM302" s="370"/>
      <c r="BN302" s="370"/>
      <c r="BO302" s="335"/>
      <c r="BP302" s="377"/>
      <c r="BQ302" s="370"/>
      <c r="BR302" s="370"/>
      <c r="BS302" s="335"/>
      <c r="BT302" s="377"/>
      <c r="BU302" s="370"/>
      <c r="BV302" s="370"/>
      <c r="BW302" s="335"/>
      <c r="BX302" s="21"/>
      <c r="BY302" s="22"/>
      <c r="BZ302" s="15"/>
      <c r="CA302" s="15"/>
      <c r="CB302" s="338"/>
      <c r="CC302" s="338"/>
      <c r="CD302" s="418"/>
      <c r="CE302" s="370">
        <f t="shared" ref="CE302:CM302" si="676">CE300/CD300-1</f>
        <v>-0.16517590936195592</v>
      </c>
      <c r="CF302" s="370">
        <f t="shared" si="676"/>
        <v>0.25380952380952393</v>
      </c>
      <c r="CG302" s="338">
        <f t="shared" si="676"/>
        <v>8.7637675655146241E-2</v>
      </c>
      <c r="CH302" s="338">
        <f t="shared" si="676"/>
        <v>-0.11025752946311662</v>
      </c>
      <c r="CI302" s="338">
        <f t="shared" si="676"/>
        <v>1.6777864992150837E-2</v>
      </c>
      <c r="CJ302" s="338">
        <f t="shared" si="676"/>
        <v>5.9027308694393543E-2</v>
      </c>
      <c r="CK302" s="338">
        <f t="shared" si="676"/>
        <v>-1.463086918093448E-2</v>
      </c>
      <c r="CL302" s="338">
        <f t="shared" si="676"/>
        <v>0.11147990225574556</v>
      </c>
      <c r="CM302" s="338">
        <f t="shared" si="676"/>
        <v>8.2432159999999977E-2</v>
      </c>
      <c r="CN302" s="338"/>
      <c r="CO302" s="338"/>
      <c r="CP302" s="337"/>
    </row>
    <row r="303" spans="1:94" ht="14.25" hidden="1" customHeight="1" outlineLevel="2">
      <c r="A303" s="9"/>
      <c r="B303" s="217" t="s">
        <v>299</v>
      </c>
      <c r="C303" s="372"/>
      <c r="D303" s="372"/>
      <c r="E303" s="372"/>
      <c r="F303" s="372"/>
      <c r="G303" s="218"/>
      <c r="H303" s="372"/>
      <c r="I303" s="372"/>
      <c r="J303" s="372"/>
      <c r="K303" s="372"/>
      <c r="L303" s="359"/>
      <c r="M303" s="338"/>
      <c r="N303" s="338"/>
      <c r="O303" s="337"/>
      <c r="P303" s="359"/>
      <c r="Q303" s="338"/>
      <c r="R303" s="338"/>
      <c r="S303" s="338"/>
      <c r="T303" s="359"/>
      <c r="U303" s="338"/>
      <c r="V303" s="338"/>
      <c r="W303" s="337"/>
      <c r="X303" s="359"/>
      <c r="Y303" s="338"/>
      <c r="Z303" s="338"/>
      <c r="AA303" s="337"/>
      <c r="AB303" s="359"/>
      <c r="AC303" s="338"/>
      <c r="AD303" s="338"/>
      <c r="AE303" s="337"/>
      <c r="AF303" s="359"/>
      <c r="AG303" s="338"/>
      <c r="AH303" s="338"/>
      <c r="AI303" s="337"/>
      <c r="AJ303" s="355">
        <f>AJ300/AJ368</f>
        <v>0.31288766368022053</v>
      </c>
      <c r="AK303" s="370">
        <f>AK300/AK368</f>
        <v>0.3313459202826543</v>
      </c>
      <c r="AL303" s="370">
        <f>AL300/AL368</f>
        <v>0.32527839643652562</v>
      </c>
      <c r="AM303" s="337">
        <f>AM300/AM368</f>
        <v>0.3657552083333333</v>
      </c>
      <c r="AN303" s="359">
        <f>AN300/AN368</f>
        <v>0.34914024717893605</v>
      </c>
      <c r="AO303" s="78">
        <f>AO300/(AO368)</f>
        <v>0.34935553168635874</v>
      </c>
      <c r="AP303" s="78">
        <f>AP300/(AP368)</f>
        <v>0.34831150930392829</v>
      </c>
      <c r="AQ303" s="337">
        <f>AQ300/(AQ368)</f>
        <v>0.36224639811820053</v>
      </c>
      <c r="AR303" s="359">
        <f>AR300/AR368</f>
        <v>0.37065052950075644</v>
      </c>
      <c r="AS303" s="78">
        <f>AS300/(AS368)</f>
        <v>0.3653929972395758</v>
      </c>
      <c r="AT303" s="78">
        <f>AT300/(AT368)</f>
        <v>0.37601341906625657</v>
      </c>
      <c r="AU303" s="337">
        <f>AU300/(AU368)</f>
        <v>0.37715877437325906</v>
      </c>
      <c r="AV303" s="359">
        <f>AV300/AV368</f>
        <v>0.39561217268223636</v>
      </c>
      <c r="AW303" s="78">
        <f>AW300/(AW368)</f>
        <v>0.39757127771911305</v>
      </c>
      <c r="AX303" s="1074">
        <v>0.32</v>
      </c>
      <c r="AY303" s="1074">
        <v>0.3</v>
      </c>
      <c r="AZ303" s="377">
        <f>AZ300/(AZ368)</f>
        <v>0.375</v>
      </c>
      <c r="BA303" s="370">
        <f>BA300/(BA368)</f>
        <v>0.37499999999999994</v>
      </c>
      <c r="BB303" s="1074">
        <v>0.31</v>
      </c>
      <c r="BC303" s="335">
        <f>BC300/(BC368)</f>
        <v>0.39240506329113922</v>
      </c>
      <c r="BD303" s="377">
        <f t="shared" ref="BD303:BK303" si="677">BD300/(BD368)</f>
        <v>0.39240506329113922</v>
      </c>
      <c r="BE303" s="370">
        <f t="shared" si="677"/>
        <v>0.39240506329113922</v>
      </c>
      <c r="BF303" s="370">
        <f t="shared" si="677"/>
        <v>0.39240506329113917</v>
      </c>
      <c r="BG303" s="335">
        <f t="shared" si="677"/>
        <v>0.39240506329113917</v>
      </c>
      <c r="BH303" s="377">
        <f t="shared" si="677"/>
        <v>0.39240506329113922</v>
      </c>
      <c r="BI303" s="370">
        <f t="shared" si="677"/>
        <v>0.39240506329113922</v>
      </c>
      <c r="BJ303" s="370">
        <f t="shared" si="677"/>
        <v>0.39240506329113917</v>
      </c>
      <c r="BK303" s="335">
        <f t="shared" si="677"/>
        <v>0.39240506329113917</v>
      </c>
      <c r="BL303" s="377"/>
      <c r="BM303" s="370"/>
      <c r="BN303" s="370"/>
      <c r="BO303" s="335"/>
      <c r="BP303" s="377"/>
      <c r="BQ303" s="370"/>
      <c r="BR303" s="370"/>
      <c r="BS303" s="335"/>
      <c r="BT303" s="377"/>
      <c r="BU303" s="370"/>
      <c r="BV303" s="370"/>
      <c r="BW303" s="335"/>
      <c r="BX303" s="21"/>
      <c r="BY303" s="22"/>
      <c r="BZ303" s="15"/>
      <c r="CA303" s="15"/>
      <c r="CB303" s="338"/>
      <c r="CC303" s="338"/>
      <c r="CD303" s="370">
        <f>CD300/CD$368</f>
        <v>0.48968269417948218</v>
      </c>
      <c r="CE303" s="370">
        <f>CE300/CE$368</f>
        <v>0.47487138899881282</v>
      </c>
      <c r="CF303" s="370">
        <f>CF300/CF368</f>
        <v>0.45526065531252702</v>
      </c>
      <c r="CG303" s="338">
        <f t="shared" ref="CG303:CM303" si="678">CG300/CG$368</f>
        <v>0.33277169334456613</v>
      </c>
      <c r="CH303" s="338">
        <f t="shared" si="678"/>
        <v>0.35206742892673326</v>
      </c>
      <c r="CI303" s="338">
        <f t="shared" si="678"/>
        <v>0.37240809285945303</v>
      </c>
      <c r="CJ303" s="338">
        <f t="shared" si="678"/>
        <v>0.35144175114041565</v>
      </c>
      <c r="CK303" s="338">
        <f t="shared" si="678"/>
        <v>0.35967026450990564</v>
      </c>
      <c r="CL303" s="338">
        <f t="shared" si="678"/>
        <v>0.39240506329113917</v>
      </c>
      <c r="CM303" s="338">
        <f t="shared" si="678"/>
        <v>0.39240506329113917</v>
      </c>
      <c r="CN303" s="338"/>
      <c r="CO303" s="338"/>
      <c r="CP303" s="337"/>
    </row>
    <row r="304" spans="1:94" ht="12.75" hidden="1" customHeight="1" outlineLevel="2">
      <c r="A304" s="9"/>
      <c r="B304" s="217"/>
      <c r="C304" s="372"/>
      <c r="D304" s="372"/>
      <c r="E304" s="372"/>
      <c r="F304" s="372"/>
      <c r="G304" s="218"/>
      <c r="H304" s="372"/>
      <c r="I304" s="372"/>
      <c r="J304" s="372"/>
      <c r="K304" s="372"/>
      <c r="L304" s="219"/>
      <c r="M304" s="220"/>
      <c r="N304" s="220"/>
      <c r="O304" s="258"/>
      <c r="P304" s="379"/>
      <c r="Q304" s="220"/>
      <c r="R304" s="220"/>
      <c r="S304" s="220"/>
      <c r="T304" s="379"/>
      <c r="U304" s="220"/>
      <c r="V304" s="220"/>
      <c r="W304" s="258"/>
      <c r="X304" s="379"/>
      <c r="Y304" s="220"/>
      <c r="Z304" s="220"/>
      <c r="AA304" s="258"/>
      <c r="AB304" s="379"/>
      <c r="AC304" s="220"/>
      <c r="AD304" s="220"/>
      <c r="AE304" s="258"/>
      <c r="AF304" s="260"/>
      <c r="AG304" s="261"/>
      <c r="AH304" s="261"/>
      <c r="AI304" s="262"/>
      <c r="AJ304" s="82"/>
      <c r="AK304" s="80"/>
      <c r="AL304" s="80"/>
      <c r="AM304" s="262"/>
      <c r="AN304" s="82"/>
      <c r="AO304" s="80"/>
      <c r="AP304" s="80"/>
      <c r="AQ304" s="262"/>
      <c r="AR304" s="82"/>
      <c r="AS304" s="80"/>
      <c r="AT304" s="80"/>
      <c r="AU304" s="262"/>
      <c r="AV304" s="82"/>
      <c r="AW304" s="80"/>
      <c r="AX304" s="80"/>
      <c r="AY304" s="81"/>
      <c r="AZ304" s="82"/>
      <c r="BA304" s="80"/>
      <c r="BB304" s="80"/>
      <c r="BC304" s="81"/>
      <c r="BD304" s="82"/>
      <c r="BE304" s="80"/>
      <c r="BF304" s="80"/>
      <c r="BG304" s="81"/>
      <c r="BH304" s="82"/>
      <c r="BI304" s="80"/>
      <c r="BJ304" s="80"/>
      <c r="BK304" s="81"/>
      <c r="BL304" s="82"/>
      <c r="BM304" s="80"/>
      <c r="BN304" s="80"/>
      <c r="BO304" s="81"/>
      <c r="BP304" s="82"/>
      <c r="BQ304" s="80"/>
      <c r="BR304" s="80"/>
      <c r="BS304" s="81"/>
      <c r="BT304" s="82"/>
      <c r="BU304" s="80"/>
      <c r="BV304" s="80"/>
      <c r="BW304" s="81"/>
      <c r="BX304" s="21"/>
      <c r="BY304" s="22"/>
      <c r="BZ304" s="15"/>
      <c r="CA304" s="15"/>
      <c r="CB304" s="15"/>
      <c r="CC304" s="15"/>
      <c r="CD304" s="80"/>
      <c r="CE304" s="80"/>
      <c r="CF304" s="80"/>
      <c r="CG304" s="220"/>
      <c r="CH304" s="220"/>
      <c r="CI304" s="220"/>
      <c r="CJ304" s="220"/>
      <c r="CK304" s="220"/>
      <c r="CL304" s="220"/>
      <c r="CM304" s="220"/>
      <c r="CN304" s="220"/>
      <c r="CO304" s="220"/>
      <c r="CP304" s="258"/>
    </row>
    <row r="305" spans="1:94" ht="14.25" hidden="1" customHeight="1" outlineLevel="2">
      <c r="A305" s="9"/>
      <c r="B305" s="235" t="s">
        <v>192</v>
      </c>
      <c r="C305" s="372"/>
      <c r="D305" s="372"/>
      <c r="E305" s="372"/>
      <c r="F305" s="372"/>
      <c r="G305" s="218"/>
      <c r="H305" s="372"/>
      <c r="I305" s="372"/>
      <c r="J305" s="372"/>
      <c r="K305" s="372"/>
      <c r="L305" s="375"/>
      <c r="M305" s="343"/>
      <c r="N305" s="343"/>
      <c r="O305" s="369"/>
      <c r="P305" s="375"/>
      <c r="Q305" s="343"/>
      <c r="R305" s="343"/>
      <c r="S305" s="369"/>
      <c r="T305" s="375"/>
      <c r="U305" s="343"/>
      <c r="V305" s="343"/>
      <c r="W305" s="369"/>
      <c r="X305" s="375"/>
      <c r="Y305" s="343"/>
      <c r="Z305" s="343"/>
      <c r="AA305" s="369"/>
      <c r="AB305" s="375"/>
      <c r="AC305" s="343"/>
      <c r="AD305" s="343"/>
      <c r="AE305" s="369"/>
      <c r="AF305" s="375"/>
      <c r="AG305" s="343"/>
      <c r="AH305" s="343"/>
      <c r="AI305" s="369"/>
      <c r="AJ305" s="422">
        <v>130.19999999999999</v>
      </c>
      <c r="AK305" s="423">
        <v>142.30000000000001</v>
      </c>
      <c r="AL305" s="423">
        <v>140.19999999999999</v>
      </c>
      <c r="AM305" s="401">
        <v>136.30000000000001</v>
      </c>
      <c r="AN305" s="422">
        <v>114.3</v>
      </c>
      <c r="AO305" s="423">
        <v>124.8</v>
      </c>
      <c r="AP305" s="423">
        <v>113.5</v>
      </c>
      <c r="AQ305" s="401">
        <v>106.6</v>
      </c>
      <c r="AR305" s="422">
        <v>106.9</v>
      </c>
      <c r="AS305" s="423">
        <v>110.4</v>
      </c>
      <c r="AT305" s="423">
        <v>119</v>
      </c>
      <c r="AU305" s="401">
        <v>119.3</v>
      </c>
      <c r="AV305" s="422">
        <v>126.1</v>
      </c>
      <c r="AW305" s="423">
        <v>136.9</v>
      </c>
      <c r="AX305" s="341">
        <f t="shared" ref="AX305:BC305" si="679">AX300*AX306</f>
        <v>121.22831341301463</v>
      </c>
      <c r="AY305" s="342">
        <f t="shared" si="679"/>
        <v>113.65154382470119</v>
      </c>
      <c r="AZ305" s="374">
        <f t="shared" si="679"/>
        <v>115.92457470119523</v>
      </c>
      <c r="BA305" s="341">
        <f t="shared" si="679"/>
        <v>118.24306619521913</v>
      </c>
      <c r="BB305" s="341">
        <f>BB300*BB306</f>
        <v>127.40153984063747</v>
      </c>
      <c r="BC305" s="342">
        <f t="shared" si="679"/>
        <v>129.94957063745022</v>
      </c>
      <c r="BD305" s="374">
        <f t="shared" ref="BD305:BK305" si="680">BD300*BD306</f>
        <v>132.54856205019925</v>
      </c>
      <c r="BE305" s="341">
        <f t="shared" si="680"/>
        <v>135.19953329120321</v>
      </c>
      <c r="BF305" s="341">
        <f t="shared" si="680"/>
        <v>137.90352395702726</v>
      </c>
      <c r="BG305" s="342">
        <f t="shared" si="680"/>
        <v>140.66159443616783</v>
      </c>
      <c r="BH305" s="374">
        <f t="shared" si="680"/>
        <v>143.47482632489121</v>
      </c>
      <c r="BI305" s="341">
        <f t="shared" si="680"/>
        <v>146.34432285138902</v>
      </c>
      <c r="BJ305" s="341">
        <f t="shared" si="680"/>
        <v>149.27120930841681</v>
      </c>
      <c r="BK305" s="342">
        <f t="shared" si="680"/>
        <v>152.25663349458515</v>
      </c>
      <c r="BL305" s="374"/>
      <c r="BM305" s="341"/>
      <c r="BN305" s="341"/>
      <c r="BO305" s="342"/>
      <c r="BP305" s="374"/>
      <c r="BQ305" s="341"/>
      <c r="BR305" s="341"/>
      <c r="BS305" s="342"/>
      <c r="BT305" s="374"/>
      <c r="BU305" s="341"/>
      <c r="BV305" s="341"/>
      <c r="BW305" s="342"/>
      <c r="BX305" s="263"/>
      <c r="BY305" s="235"/>
      <c r="BZ305" s="251"/>
      <c r="CA305" s="325"/>
      <c r="CB305" s="325"/>
      <c r="CC305" s="325"/>
      <c r="CD305" s="423">
        <v>406.7</v>
      </c>
      <c r="CE305" s="423">
        <v>372.4</v>
      </c>
      <c r="CF305" s="423">
        <f>532</f>
        <v>532</v>
      </c>
      <c r="CG305" s="325">
        <f>SUM(AJ305:AM305)</f>
        <v>549</v>
      </c>
      <c r="CH305" s="325">
        <f>SUM(AN305:AQ305)</f>
        <v>459.20000000000005</v>
      </c>
      <c r="CI305" s="325">
        <f>SUM(AR305:AU305)</f>
        <v>455.6</v>
      </c>
      <c r="CJ305" s="325">
        <f>SUM(AV305:AY305)</f>
        <v>497.87985723771584</v>
      </c>
      <c r="CK305" s="325">
        <f>SUM(AZ305:BC305)</f>
        <v>491.51875137450207</v>
      </c>
      <c r="CL305" s="325">
        <f>SUM(BD305:BG305)</f>
        <v>546.31321373459764</v>
      </c>
      <c r="CM305" s="325">
        <f>SUM(BH305:BK305)</f>
        <v>591.34699197928217</v>
      </c>
      <c r="CN305" s="325"/>
      <c r="CO305" s="325"/>
      <c r="CP305" s="326"/>
    </row>
    <row r="306" spans="1:94" ht="14.25" hidden="1" customHeight="1" outlineLevel="2">
      <c r="A306" s="9"/>
      <c r="B306" s="217" t="s">
        <v>373</v>
      </c>
      <c r="C306" s="372"/>
      <c r="D306" s="372"/>
      <c r="E306" s="372"/>
      <c r="F306" s="372"/>
      <c r="G306" s="218"/>
      <c r="H306" s="372"/>
      <c r="I306" s="372"/>
      <c r="J306" s="372"/>
      <c r="K306" s="372"/>
      <c r="L306" s="377"/>
      <c r="M306" s="370"/>
      <c r="N306" s="370"/>
      <c r="O306" s="335"/>
      <c r="P306" s="378"/>
      <c r="Q306" s="370"/>
      <c r="R306" s="370"/>
      <c r="S306" s="370"/>
      <c r="T306" s="378"/>
      <c r="U306" s="370"/>
      <c r="V306" s="370"/>
      <c r="W306" s="335"/>
      <c r="X306" s="378"/>
      <c r="Y306" s="370"/>
      <c r="Z306" s="370"/>
      <c r="AA306" s="335"/>
      <c r="AB306" s="378"/>
      <c r="AC306" s="370"/>
      <c r="AD306" s="370"/>
      <c r="AE306" s="335"/>
      <c r="AF306" s="377"/>
      <c r="AG306" s="370"/>
      <c r="AH306" s="370"/>
      <c r="AI306" s="335"/>
      <c r="AJ306" s="377">
        <f t="shared" ref="AJ306:AV306" si="681">AJ305/AJ300</f>
        <v>0.47797356828193832</v>
      </c>
      <c r="AK306" s="370">
        <f t="shared" si="681"/>
        <v>0.47417527490836386</v>
      </c>
      <c r="AL306" s="370">
        <f t="shared" si="681"/>
        <v>0.47997261211913722</v>
      </c>
      <c r="AM306" s="335">
        <f t="shared" si="681"/>
        <v>0.48522605909576372</v>
      </c>
      <c r="AN306" s="377">
        <f t="shared" si="681"/>
        <v>0.43978453251250482</v>
      </c>
      <c r="AO306" s="370">
        <f t="shared" si="681"/>
        <v>0.47963105303612608</v>
      </c>
      <c r="AP306" s="370">
        <f t="shared" si="681"/>
        <v>0.44914918876137716</v>
      </c>
      <c r="AQ306" s="335">
        <f t="shared" si="681"/>
        <v>0.43262987012987009</v>
      </c>
      <c r="AR306" s="377">
        <f t="shared" si="681"/>
        <v>0.43632653061224491</v>
      </c>
      <c r="AS306" s="370">
        <f t="shared" si="681"/>
        <v>0.43896620278330023</v>
      </c>
      <c r="AT306" s="370">
        <f t="shared" si="681"/>
        <v>0.44237918215613381</v>
      </c>
      <c r="AU306" s="335">
        <f>AU305/AU300</f>
        <v>0.440546528803545</v>
      </c>
      <c r="AV306" s="377">
        <f t="shared" si="681"/>
        <v>0.4511627906976744</v>
      </c>
      <c r="AW306" s="370">
        <f>AW305/AW300</f>
        <v>0.45451527224435595</v>
      </c>
      <c r="AX306" s="381">
        <f t="shared" ref="AX306:BC306" si="682">AW306</f>
        <v>0.45451527224435595</v>
      </c>
      <c r="AY306" s="292">
        <f t="shared" si="682"/>
        <v>0.45451527224435595</v>
      </c>
      <c r="AZ306" s="294">
        <f t="shared" si="682"/>
        <v>0.45451527224435595</v>
      </c>
      <c r="BA306" s="381">
        <f t="shared" si="682"/>
        <v>0.45451527224435595</v>
      </c>
      <c r="BB306" s="381">
        <f t="shared" si="682"/>
        <v>0.45451527224435595</v>
      </c>
      <c r="BC306" s="292">
        <f t="shared" si="682"/>
        <v>0.45451527224435595</v>
      </c>
      <c r="BD306" s="294">
        <f t="shared" ref="BD306:BK306" si="683">BC306</f>
        <v>0.45451527224435595</v>
      </c>
      <c r="BE306" s="381">
        <f t="shared" si="683"/>
        <v>0.45451527224435595</v>
      </c>
      <c r="BF306" s="381">
        <f t="shared" si="683"/>
        <v>0.45451527224435595</v>
      </c>
      <c r="BG306" s="292">
        <f t="shared" si="683"/>
        <v>0.45451527224435595</v>
      </c>
      <c r="BH306" s="294">
        <f t="shared" si="683"/>
        <v>0.45451527224435595</v>
      </c>
      <c r="BI306" s="381">
        <f t="shared" si="683"/>
        <v>0.45451527224435595</v>
      </c>
      <c r="BJ306" s="381">
        <f t="shared" si="683"/>
        <v>0.45451527224435595</v>
      </c>
      <c r="BK306" s="292">
        <f t="shared" si="683"/>
        <v>0.45451527224435595</v>
      </c>
      <c r="BL306" s="294"/>
      <c r="BM306" s="381"/>
      <c r="BN306" s="381"/>
      <c r="BO306" s="292"/>
      <c r="BP306" s="294"/>
      <c r="BQ306" s="381"/>
      <c r="BR306" s="381"/>
      <c r="BS306" s="292"/>
      <c r="BT306" s="294"/>
      <c r="BU306" s="381"/>
      <c r="BV306" s="381"/>
      <c r="BW306" s="292"/>
      <c r="BX306" s="21"/>
      <c r="BY306" s="22"/>
      <c r="BZ306" s="15"/>
      <c r="CA306" s="15"/>
      <c r="CB306" s="338"/>
      <c r="CC306" s="338"/>
      <c r="CD306" s="370">
        <f t="shared" ref="CD306:CL306" si="684">CD305/CD300</f>
        <v>0.40419399721725302</v>
      </c>
      <c r="CE306" s="370">
        <f t="shared" si="684"/>
        <v>0.4433333333333333</v>
      </c>
      <c r="CF306" s="370">
        <f t="shared" si="684"/>
        <v>0.50512723129510062</v>
      </c>
      <c r="CG306" s="338">
        <f t="shared" si="684"/>
        <v>0.47926669576604103</v>
      </c>
      <c r="CH306" s="338">
        <f t="shared" si="684"/>
        <v>0.45054945054945061</v>
      </c>
      <c r="CI306" s="338">
        <f t="shared" si="684"/>
        <v>0.43964103058959764</v>
      </c>
      <c r="CJ306" s="338">
        <f t="shared" si="684"/>
        <v>0.45366147342316038</v>
      </c>
      <c r="CK306" s="338">
        <f t="shared" si="684"/>
        <v>0.45451527224435606</v>
      </c>
      <c r="CL306" s="338">
        <f t="shared" si="684"/>
        <v>0.45451527224435601</v>
      </c>
      <c r="CM306" s="338">
        <f>CM305/CM300</f>
        <v>0.45451527224435601</v>
      </c>
      <c r="CN306" s="338"/>
      <c r="CO306" s="338"/>
      <c r="CP306" s="337"/>
    </row>
    <row r="307" spans="1:94" ht="14.25" hidden="1" customHeight="1" outlineLevel="2">
      <c r="A307" s="9"/>
      <c r="B307" s="217"/>
      <c r="C307" s="372"/>
      <c r="D307" s="372"/>
      <c r="E307" s="372"/>
      <c r="F307" s="372"/>
      <c r="G307" s="218"/>
      <c r="H307" s="372"/>
      <c r="I307" s="372"/>
      <c r="J307" s="372"/>
      <c r="K307" s="372"/>
      <c r="L307" s="219"/>
      <c r="M307" s="220"/>
      <c r="N307" s="220"/>
      <c r="O307" s="258"/>
      <c r="P307" s="379"/>
      <c r="Q307" s="220"/>
      <c r="R307" s="220"/>
      <c r="S307" s="220"/>
      <c r="T307" s="379"/>
      <c r="U307" s="220"/>
      <c r="V307" s="220"/>
      <c r="W307" s="258"/>
      <c r="X307" s="379"/>
      <c r="Y307" s="220"/>
      <c r="Z307" s="220"/>
      <c r="AA307" s="258"/>
      <c r="AB307" s="379"/>
      <c r="AC307" s="220"/>
      <c r="AD307" s="220"/>
      <c r="AE307" s="258"/>
      <c r="AF307" s="260"/>
      <c r="AG307" s="261"/>
      <c r="AH307" s="261"/>
      <c r="AI307" s="262"/>
      <c r="AJ307" s="82"/>
      <c r="AK307" s="80"/>
      <c r="AL307" s="80"/>
      <c r="AM307" s="262"/>
      <c r="AN307" s="82"/>
      <c r="AO307" s="80"/>
      <c r="AP307" s="80"/>
      <c r="AQ307" s="262"/>
      <c r="AR307" s="82"/>
      <c r="AS307" s="80"/>
      <c r="AT307" s="80"/>
      <c r="AU307" s="262"/>
      <c r="AV307" s="82"/>
      <c r="AW307" s="80"/>
      <c r="AX307" s="80"/>
      <c r="AY307" s="81"/>
      <c r="AZ307" s="82"/>
      <c r="BA307" s="80"/>
      <c r="BB307" s="80"/>
      <c r="BC307" s="81"/>
      <c r="BD307" s="82"/>
      <c r="BE307" s="80"/>
      <c r="BF307" s="80"/>
      <c r="BG307" s="81"/>
      <c r="BH307" s="82"/>
      <c r="BI307" s="80"/>
      <c r="BJ307" s="80"/>
      <c r="BK307" s="81"/>
      <c r="BL307" s="82"/>
      <c r="BM307" s="80"/>
      <c r="BN307" s="80"/>
      <c r="BO307" s="81"/>
      <c r="BP307" s="82"/>
      <c r="BQ307" s="80"/>
      <c r="BR307" s="80"/>
      <c r="BS307" s="81"/>
      <c r="BT307" s="82"/>
      <c r="BU307" s="80"/>
      <c r="BV307" s="80"/>
      <c r="BW307" s="81"/>
      <c r="BX307" s="21"/>
      <c r="BY307" s="22"/>
      <c r="BZ307" s="15"/>
      <c r="CA307" s="15"/>
      <c r="CB307" s="15"/>
      <c r="CC307" s="15"/>
      <c r="CD307" s="80"/>
      <c r="CE307" s="80"/>
      <c r="CF307" s="80"/>
      <c r="CG307" s="220"/>
      <c r="CH307" s="220"/>
      <c r="CI307" s="220"/>
      <c r="CJ307" s="220"/>
      <c r="CK307" s="220"/>
      <c r="CL307" s="220"/>
      <c r="CM307" s="220"/>
      <c r="CN307" s="220"/>
      <c r="CO307" s="220"/>
      <c r="CP307" s="258"/>
    </row>
    <row r="308" spans="1:94" ht="14.25" hidden="1" customHeight="1" outlineLevel="2">
      <c r="A308" s="9"/>
      <c r="B308" s="962" t="s">
        <v>564</v>
      </c>
      <c r="C308" s="949"/>
      <c r="D308" s="950"/>
      <c r="E308" s="950"/>
      <c r="F308" s="950"/>
      <c r="G308" s="949"/>
      <c r="H308" s="950"/>
      <c r="I308" s="950"/>
      <c r="J308" s="950"/>
      <c r="K308" s="949"/>
      <c r="L308" s="832"/>
      <c r="M308" s="951"/>
      <c r="N308" s="951"/>
      <c r="O308" s="834"/>
      <c r="P308" s="832"/>
      <c r="Q308" s="951"/>
      <c r="R308" s="951"/>
      <c r="S308" s="834"/>
      <c r="T308" s="832"/>
      <c r="U308" s="951"/>
      <c r="V308" s="951"/>
      <c r="W308" s="834"/>
      <c r="X308" s="832"/>
      <c r="Y308" s="951"/>
      <c r="Z308" s="951"/>
      <c r="AA308" s="834"/>
      <c r="AB308" s="832"/>
      <c r="AC308" s="951"/>
      <c r="AD308" s="951"/>
      <c r="AE308" s="834"/>
      <c r="AF308" s="832"/>
      <c r="AG308" s="951"/>
      <c r="AH308" s="951"/>
      <c r="AI308" s="834"/>
      <c r="AJ308" s="952">
        <f>+AJ300-AJ305</f>
        <v>142.19999999999999</v>
      </c>
      <c r="AK308" s="953">
        <f t="shared" ref="AK308:AS308" si="685">+AK300-AK305</f>
        <v>157.80000000000001</v>
      </c>
      <c r="AL308" s="953">
        <f t="shared" si="685"/>
        <v>151.90000000000003</v>
      </c>
      <c r="AM308" s="954">
        <f t="shared" si="685"/>
        <v>144.59999999999997</v>
      </c>
      <c r="AN308" s="952">
        <f t="shared" si="685"/>
        <v>145.59999999999997</v>
      </c>
      <c r="AO308" s="953">
        <f t="shared" si="685"/>
        <v>135.39999999999998</v>
      </c>
      <c r="AP308" s="953">
        <f t="shared" si="685"/>
        <v>139.19999999999999</v>
      </c>
      <c r="AQ308" s="954">
        <f t="shared" si="685"/>
        <v>139.80000000000001</v>
      </c>
      <c r="AR308" s="952">
        <f t="shared" si="685"/>
        <v>138.1</v>
      </c>
      <c r="AS308" s="953">
        <f t="shared" si="685"/>
        <v>141.1</v>
      </c>
      <c r="AT308" s="953">
        <f>+AT300-AT305</f>
        <v>150</v>
      </c>
      <c r="AU308" s="954">
        <f>+AU300-AU305</f>
        <v>151.5</v>
      </c>
      <c r="AV308" s="952">
        <f>+AV300-AV305</f>
        <v>153.4</v>
      </c>
      <c r="AW308" s="953">
        <f>+AW300-AW305</f>
        <v>164.29999999999998</v>
      </c>
      <c r="AX308" s="80"/>
      <c r="AY308" s="81"/>
      <c r="AZ308" s="82"/>
      <c r="BA308" s="80"/>
      <c r="BB308" s="80"/>
      <c r="BC308" s="81"/>
      <c r="BD308" s="82"/>
      <c r="BE308" s="80"/>
      <c r="BF308" s="80"/>
      <c r="BG308" s="81"/>
      <c r="BH308" s="82"/>
      <c r="BI308" s="80"/>
      <c r="BJ308" s="80"/>
      <c r="BK308" s="81"/>
      <c r="BL308" s="82"/>
      <c r="BM308" s="80"/>
      <c r="BN308" s="80"/>
      <c r="BO308" s="81"/>
      <c r="BP308" s="82"/>
      <c r="BQ308" s="80"/>
      <c r="BR308" s="80"/>
      <c r="BS308" s="81"/>
      <c r="BT308" s="82"/>
      <c r="BU308" s="80"/>
      <c r="BV308" s="80"/>
      <c r="BW308" s="81"/>
      <c r="BX308" s="21"/>
      <c r="BY308" s="22"/>
      <c r="BZ308" s="15"/>
      <c r="CA308" s="15"/>
      <c r="CB308" s="15"/>
      <c r="CC308" s="15"/>
      <c r="CD308" s="80"/>
      <c r="CE308" s="80"/>
      <c r="CF308" s="80"/>
      <c r="CG308" s="220"/>
      <c r="CH308" s="220"/>
      <c r="CI308" s="953">
        <f>SUM(AR308:AU308)</f>
        <v>580.70000000000005</v>
      </c>
      <c r="CJ308" s="220"/>
      <c r="CK308" s="220"/>
      <c r="CL308" s="220"/>
      <c r="CM308" s="220"/>
      <c r="CN308" s="220"/>
      <c r="CO308" s="220"/>
      <c r="CP308" s="258"/>
    </row>
    <row r="309" spans="1:94" ht="14.25" hidden="1" customHeight="1" outlineLevel="2">
      <c r="A309" s="409"/>
      <c r="B309" s="963" t="s">
        <v>565</v>
      </c>
      <c r="C309" s="964"/>
      <c r="D309" s="965"/>
      <c r="E309" s="965"/>
      <c r="F309" s="965"/>
      <c r="G309" s="964"/>
      <c r="H309" s="965"/>
      <c r="I309" s="965"/>
      <c r="J309" s="965"/>
      <c r="K309" s="964"/>
      <c r="L309" s="966"/>
      <c r="M309" s="967"/>
      <c r="N309" s="967"/>
      <c r="O309" s="968"/>
      <c r="P309" s="966"/>
      <c r="Q309" s="967"/>
      <c r="R309" s="967"/>
      <c r="S309" s="968"/>
      <c r="T309" s="966"/>
      <c r="U309" s="967"/>
      <c r="V309" s="967"/>
      <c r="W309" s="968"/>
      <c r="X309" s="966"/>
      <c r="Y309" s="967"/>
      <c r="Z309" s="967"/>
      <c r="AA309" s="968"/>
      <c r="AB309" s="966"/>
      <c r="AC309" s="967"/>
      <c r="AD309" s="967"/>
      <c r="AE309" s="968"/>
      <c r="AF309" s="966"/>
      <c r="AG309" s="967"/>
      <c r="AH309" s="967"/>
      <c r="AI309" s="968"/>
      <c r="AJ309" s="969">
        <f>+AJ305-AJ312</f>
        <v>91.199999999999989</v>
      </c>
      <c r="AK309" s="970">
        <f t="shared" ref="AK309:AS309" si="686">+AK305-AK312</f>
        <v>91.4</v>
      </c>
      <c r="AL309" s="970">
        <f t="shared" si="686"/>
        <v>87.999999999999986</v>
      </c>
      <c r="AM309" s="971">
        <f t="shared" si="686"/>
        <v>87.600000000000009</v>
      </c>
      <c r="AN309" s="969">
        <f t="shared" si="686"/>
        <v>88.9</v>
      </c>
      <c r="AO309" s="970">
        <f t="shared" si="686"/>
        <v>88.199999999999989</v>
      </c>
      <c r="AP309" s="970">
        <f t="shared" si="686"/>
        <v>84.7</v>
      </c>
      <c r="AQ309" s="971">
        <f t="shared" si="686"/>
        <v>86.199999999999989</v>
      </c>
      <c r="AR309" s="969">
        <f t="shared" si="686"/>
        <v>79.400000000000006</v>
      </c>
      <c r="AS309" s="970">
        <f t="shared" si="686"/>
        <v>88.2</v>
      </c>
      <c r="AT309" s="970">
        <f>+AT305-AT312</f>
        <v>88.6</v>
      </c>
      <c r="AU309" s="971">
        <f>+AU305-AU312</f>
        <v>88.8</v>
      </c>
      <c r="AV309" s="969">
        <f>+AV305-AV312</f>
        <v>88.3</v>
      </c>
      <c r="AW309" s="970">
        <f>+AW305-AW312</f>
        <v>100.4</v>
      </c>
      <c r="AX309" s="972"/>
      <c r="AY309" s="973"/>
      <c r="AZ309" s="974"/>
      <c r="BA309" s="972"/>
      <c r="BB309" s="972"/>
      <c r="BC309" s="973"/>
      <c r="BD309" s="974"/>
      <c r="BE309" s="972"/>
      <c r="BF309" s="972"/>
      <c r="BG309" s="973"/>
      <c r="BH309" s="974"/>
      <c r="BI309" s="972"/>
      <c r="BJ309" s="972"/>
      <c r="BK309" s="973"/>
      <c r="BL309" s="974"/>
      <c r="BM309" s="972"/>
      <c r="BN309" s="972"/>
      <c r="BO309" s="973"/>
      <c r="BP309" s="974"/>
      <c r="BQ309" s="972"/>
      <c r="BR309" s="972"/>
      <c r="BS309" s="973"/>
      <c r="BT309" s="974"/>
      <c r="BU309" s="972"/>
      <c r="BV309" s="972"/>
      <c r="BW309" s="973"/>
      <c r="BX309" s="413"/>
      <c r="BY309" s="410"/>
      <c r="BZ309" s="408"/>
      <c r="CA309" s="408"/>
      <c r="CB309" s="408"/>
      <c r="CC309" s="408"/>
      <c r="CD309" s="972"/>
      <c r="CE309" s="972"/>
      <c r="CF309" s="972"/>
      <c r="CG309" s="975"/>
      <c r="CH309" s="975"/>
      <c r="CI309" s="970">
        <f>SUM(AR309:AU309)</f>
        <v>345.00000000000006</v>
      </c>
      <c r="CJ309" s="975"/>
      <c r="CK309" s="975"/>
      <c r="CL309" s="975"/>
      <c r="CM309" s="975"/>
      <c r="CN309" s="975"/>
      <c r="CO309" s="975"/>
      <c r="CP309" s="976"/>
    </row>
    <row r="310" spans="1:94" ht="14.25" hidden="1" customHeight="1" outlineLevel="2">
      <c r="A310" s="9"/>
      <c r="B310" s="962" t="s">
        <v>570</v>
      </c>
      <c r="C310" s="950"/>
      <c r="D310" s="950"/>
      <c r="E310" s="950"/>
      <c r="F310" s="950"/>
      <c r="G310" s="949"/>
      <c r="H310" s="950"/>
      <c r="I310" s="950"/>
      <c r="J310" s="950"/>
      <c r="K310" s="950"/>
      <c r="L310" s="832"/>
      <c r="M310" s="951"/>
      <c r="N310" s="951"/>
      <c r="O310" s="834"/>
      <c r="P310" s="832"/>
      <c r="Q310" s="951"/>
      <c r="R310" s="951"/>
      <c r="S310" s="832"/>
      <c r="T310" s="832"/>
      <c r="U310" s="951"/>
      <c r="V310" s="951"/>
      <c r="W310" s="834"/>
      <c r="X310" s="832"/>
      <c r="Y310" s="951"/>
      <c r="Z310" s="951"/>
      <c r="AA310" s="834"/>
      <c r="AB310" s="832"/>
      <c r="AC310" s="951"/>
      <c r="AD310" s="951"/>
      <c r="AE310" s="834"/>
      <c r="AF310" s="832"/>
      <c r="AG310" s="951"/>
      <c r="AH310" s="951"/>
      <c r="AI310" s="834"/>
      <c r="AJ310" s="952">
        <f>+SUM(AJ308:AJ309)</f>
        <v>233.39999999999998</v>
      </c>
      <c r="AK310" s="953">
        <f t="shared" ref="AK310:AV310" si="687">+SUM(AK308:AK309)</f>
        <v>249.20000000000002</v>
      </c>
      <c r="AL310" s="953">
        <f t="shared" si="687"/>
        <v>239.90000000000003</v>
      </c>
      <c r="AM310" s="954">
        <f t="shared" si="687"/>
        <v>232.2</v>
      </c>
      <c r="AN310" s="952">
        <f t="shared" si="687"/>
        <v>234.49999999999997</v>
      </c>
      <c r="AO310" s="953">
        <f t="shared" si="687"/>
        <v>223.59999999999997</v>
      </c>
      <c r="AP310" s="953">
        <f t="shared" si="687"/>
        <v>223.89999999999998</v>
      </c>
      <c r="AQ310" s="954">
        <f t="shared" si="687"/>
        <v>226</v>
      </c>
      <c r="AR310" s="952">
        <f t="shared" si="687"/>
        <v>217.5</v>
      </c>
      <c r="AS310" s="953">
        <f t="shared" si="687"/>
        <v>229.3</v>
      </c>
      <c r="AT310" s="953">
        <f t="shared" si="687"/>
        <v>238.6</v>
      </c>
      <c r="AU310" s="954">
        <f>+SUM(AU308:AU309)</f>
        <v>240.3</v>
      </c>
      <c r="AV310" s="952">
        <f t="shared" si="687"/>
        <v>241.7</v>
      </c>
      <c r="AW310" s="953">
        <f>+SUM(AW308:AW309)</f>
        <v>264.7</v>
      </c>
      <c r="AX310" s="80"/>
      <c r="AY310" s="81"/>
      <c r="AZ310" s="82"/>
      <c r="BA310" s="80"/>
      <c r="BB310" s="80"/>
      <c r="BC310" s="81"/>
      <c r="BD310" s="82"/>
      <c r="BE310" s="80"/>
      <c r="BF310" s="80"/>
      <c r="BG310" s="81"/>
      <c r="BH310" s="82"/>
      <c r="BI310" s="80"/>
      <c r="BJ310" s="80"/>
      <c r="BK310" s="81"/>
      <c r="BL310" s="82"/>
      <c r="BM310" s="80"/>
      <c r="BN310" s="80"/>
      <c r="BO310" s="81"/>
      <c r="BP310" s="82"/>
      <c r="BQ310" s="80"/>
      <c r="BR310" s="80"/>
      <c r="BS310" s="81"/>
      <c r="BT310" s="82"/>
      <c r="BU310" s="80"/>
      <c r="BV310" s="80"/>
      <c r="BW310" s="81"/>
      <c r="BX310" s="21"/>
      <c r="BY310" s="22"/>
      <c r="BZ310" s="15"/>
      <c r="CA310" s="15"/>
      <c r="CB310" s="15"/>
      <c r="CC310" s="15"/>
      <c r="CD310" s="80"/>
      <c r="CE310" s="80"/>
      <c r="CF310" s="80"/>
      <c r="CG310" s="220"/>
      <c r="CH310" s="220"/>
      <c r="CI310" s="953">
        <f>SUM(AR310:AU310)</f>
        <v>925.7</v>
      </c>
      <c r="CJ310" s="220"/>
      <c r="CK310" s="220"/>
      <c r="CL310" s="220"/>
      <c r="CM310" s="220"/>
      <c r="CN310" s="220"/>
      <c r="CO310" s="220"/>
      <c r="CP310" s="258"/>
    </row>
    <row r="311" spans="1:94" ht="14.25" hidden="1" customHeight="1" outlineLevel="2">
      <c r="A311" s="9"/>
      <c r="B311" s="217"/>
      <c r="C311" s="372"/>
      <c r="D311" s="372"/>
      <c r="E311" s="372"/>
      <c r="F311" s="372"/>
      <c r="G311" s="218"/>
      <c r="H311" s="372"/>
      <c r="I311" s="372"/>
      <c r="J311" s="372"/>
      <c r="K311" s="372"/>
      <c r="L311" s="219"/>
      <c r="M311" s="220"/>
      <c r="N311" s="220"/>
      <c r="O311" s="258"/>
      <c r="P311" s="379"/>
      <c r="Q311" s="220"/>
      <c r="R311" s="220"/>
      <c r="S311" s="220"/>
      <c r="T311" s="379"/>
      <c r="U311" s="220"/>
      <c r="V311" s="220"/>
      <c r="W311" s="258"/>
      <c r="X311" s="379"/>
      <c r="Y311" s="220"/>
      <c r="Z311" s="220"/>
      <c r="AA311" s="258"/>
      <c r="AB311" s="379"/>
      <c r="AC311" s="220"/>
      <c r="AD311" s="220"/>
      <c r="AE311" s="258"/>
      <c r="AF311" s="260"/>
      <c r="AG311" s="261"/>
      <c r="AH311" s="261"/>
      <c r="AI311" s="262"/>
      <c r="AJ311" s="82"/>
      <c r="AK311" s="80"/>
      <c r="AL311" s="80"/>
      <c r="AM311" s="262"/>
      <c r="AN311" s="80"/>
      <c r="AO311" s="80"/>
      <c r="AP311" s="80"/>
      <c r="AQ311" s="262"/>
      <c r="AR311" s="80"/>
      <c r="AS311" s="80"/>
      <c r="AT311" s="80"/>
      <c r="AU311" s="262"/>
      <c r="AV311" s="82"/>
      <c r="AW311" s="80"/>
      <c r="AX311" s="80"/>
      <c r="AY311" s="81"/>
      <c r="AZ311" s="82"/>
      <c r="BA311" s="80"/>
      <c r="BB311" s="80"/>
      <c r="BC311" s="81"/>
      <c r="BD311" s="82"/>
      <c r="BE311" s="80"/>
      <c r="BF311" s="80"/>
      <c r="BG311" s="81"/>
      <c r="BH311" s="82"/>
      <c r="BI311" s="80"/>
      <c r="BJ311" s="80"/>
      <c r="BK311" s="81"/>
      <c r="BL311" s="82"/>
      <c r="BM311" s="80"/>
      <c r="BN311" s="80"/>
      <c r="BO311" s="81"/>
      <c r="BP311" s="82"/>
      <c r="BQ311" s="80"/>
      <c r="BR311" s="80"/>
      <c r="BS311" s="81"/>
      <c r="BT311" s="82"/>
      <c r="BU311" s="80"/>
      <c r="BV311" s="80"/>
      <c r="BW311" s="81"/>
      <c r="BX311" s="21"/>
      <c r="BY311" s="22"/>
      <c r="BZ311" s="15"/>
      <c r="CA311" s="15"/>
      <c r="CB311" s="15"/>
      <c r="CC311" s="15"/>
      <c r="CD311" s="80"/>
      <c r="CE311" s="80"/>
      <c r="CF311" s="80"/>
      <c r="CG311" s="220"/>
      <c r="CH311" s="220">
        <f>+CH329/CH380</f>
        <v>0.92521202775636091</v>
      </c>
      <c r="CI311" s="325"/>
      <c r="CJ311" s="220"/>
      <c r="CK311" s="220"/>
      <c r="CL311" s="220"/>
      <c r="CM311" s="220"/>
      <c r="CN311" s="220"/>
      <c r="CO311" s="220"/>
      <c r="CP311" s="258"/>
    </row>
    <row r="312" spans="1:94" ht="14.25" hidden="1" customHeight="1" outlineLevel="2">
      <c r="A312" s="9"/>
      <c r="B312" s="235" t="s">
        <v>194</v>
      </c>
      <c r="C312" s="372"/>
      <c r="D312" s="372"/>
      <c r="E312" s="372"/>
      <c r="F312" s="372"/>
      <c r="G312" s="218"/>
      <c r="H312" s="372"/>
      <c r="I312" s="372"/>
      <c r="J312" s="372"/>
      <c r="K312" s="372"/>
      <c r="L312" s="375"/>
      <c r="M312" s="343"/>
      <c r="N312" s="343"/>
      <c r="O312" s="369"/>
      <c r="P312" s="375"/>
      <c r="Q312" s="343"/>
      <c r="R312" s="343"/>
      <c r="S312" s="369"/>
      <c r="T312" s="375"/>
      <c r="U312" s="343"/>
      <c r="V312" s="343"/>
      <c r="W312" s="369"/>
      <c r="X312" s="375"/>
      <c r="Y312" s="343"/>
      <c r="Z312" s="343"/>
      <c r="AA312" s="369"/>
      <c r="AB312" s="375"/>
      <c r="AC312" s="343"/>
      <c r="AD312" s="343"/>
      <c r="AE312" s="369"/>
      <c r="AF312" s="375"/>
      <c r="AG312" s="343"/>
      <c r="AH312" s="343"/>
      <c r="AI312" s="369"/>
      <c r="AJ312" s="422">
        <v>39</v>
      </c>
      <c r="AK312" s="423">
        <v>50.9</v>
      </c>
      <c r="AL312" s="423">
        <v>52.2</v>
      </c>
      <c r="AM312" s="401">
        <v>48.7</v>
      </c>
      <c r="AN312" s="423">
        <v>25.4</v>
      </c>
      <c r="AO312" s="423">
        <v>36.6</v>
      </c>
      <c r="AP312" s="423">
        <v>28.8</v>
      </c>
      <c r="AQ312" s="401">
        <v>20.399999999999999</v>
      </c>
      <c r="AR312" s="423">
        <v>27.5</v>
      </c>
      <c r="AS312" s="423">
        <v>22.2</v>
      </c>
      <c r="AT312" s="423">
        <v>30.4</v>
      </c>
      <c r="AU312" s="401">
        <v>30.5</v>
      </c>
      <c r="AV312" s="423">
        <v>37.799999999999997</v>
      </c>
      <c r="AW312" s="423">
        <v>36.5</v>
      </c>
      <c r="AX312" s="341"/>
      <c r="AY312" s="342"/>
      <c r="AZ312" s="374"/>
      <c r="BA312" s="341"/>
      <c r="BB312" s="341"/>
      <c r="BC312" s="342"/>
      <c r="BD312" s="374"/>
      <c r="BE312" s="341"/>
      <c r="BF312" s="341"/>
      <c r="BG312" s="342"/>
      <c r="BH312" s="374"/>
      <c r="BI312" s="341"/>
      <c r="BJ312" s="341"/>
      <c r="BK312" s="342"/>
      <c r="BL312" s="374"/>
      <c r="BM312" s="341"/>
      <c r="BN312" s="341"/>
      <c r="BO312" s="342"/>
      <c r="BP312" s="374"/>
      <c r="BQ312" s="341"/>
      <c r="BR312" s="341"/>
      <c r="BS312" s="342"/>
      <c r="BT312" s="374"/>
      <c r="BU312" s="341"/>
      <c r="BV312" s="341"/>
      <c r="BW312" s="342"/>
      <c r="BX312" s="263"/>
      <c r="BY312" s="235"/>
      <c r="BZ312" s="251"/>
      <c r="CA312" s="325"/>
      <c r="CB312" s="325"/>
      <c r="CC312" s="325"/>
      <c r="CD312" s="423">
        <v>101.2</v>
      </c>
      <c r="CE312" s="423">
        <v>81.3</v>
      </c>
      <c r="CF312" s="423">
        <f>197.1</f>
        <v>197.1</v>
      </c>
      <c r="CG312" s="325">
        <f>SUM(AJ312:AM312)</f>
        <v>190.8</v>
      </c>
      <c r="CH312" s="325">
        <f>SUM(AN312:AQ312)</f>
        <v>111.19999999999999</v>
      </c>
      <c r="CI312" s="325">
        <f>SUM(AR312:AU312)</f>
        <v>110.6</v>
      </c>
      <c r="CJ312" s="325"/>
      <c r="CK312" s="325"/>
      <c r="CL312" s="325"/>
      <c r="CM312" s="325"/>
      <c r="CN312" s="325"/>
      <c r="CO312" s="325"/>
      <c r="CP312" s="326"/>
    </row>
    <row r="313" spans="1:94" ht="14.25" hidden="1" customHeight="1" outlineLevel="2">
      <c r="A313" s="9"/>
      <c r="B313" s="217" t="s">
        <v>297</v>
      </c>
      <c r="C313" s="372"/>
      <c r="D313" s="372"/>
      <c r="E313" s="372"/>
      <c r="F313" s="372"/>
      <c r="G313" s="218"/>
      <c r="H313" s="372"/>
      <c r="I313" s="372"/>
      <c r="J313" s="372"/>
      <c r="K313" s="372"/>
      <c r="L313" s="377"/>
      <c r="M313" s="370"/>
      <c r="N313" s="370"/>
      <c r="O313" s="335"/>
      <c r="P313" s="378"/>
      <c r="Q313" s="370"/>
      <c r="R313" s="370"/>
      <c r="S313" s="370"/>
      <c r="T313" s="378"/>
      <c r="U313" s="370"/>
      <c r="V313" s="370"/>
      <c r="W313" s="335"/>
      <c r="X313" s="378"/>
      <c r="Y313" s="370"/>
      <c r="Z313" s="370"/>
      <c r="AA313" s="335"/>
      <c r="AB313" s="378"/>
      <c r="AC313" s="370"/>
      <c r="AD313" s="370"/>
      <c r="AE313" s="335"/>
      <c r="AF313" s="377"/>
      <c r="AG313" s="370"/>
      <c r="AH313" s="370"/>
      <c r="AI313" s="335"/>
      <c r="AJ313" s="425"/>
      <c r="AK313" s="418">
        <f t="shared" ref="AK313:AW313" si="688">AK312/AJ312-1</f>
        <v>0.30512820512820515</v>
      </c>
      <c r="AL313" s="418">
        <f t="shared" si="688"/>
        <v>2.5540275049116046E-2</v>
      </c>
      <c r="AM313" s="419">
        <f t="shared" si="688"/>
        <v>-6.7049808429118785E-2</v>
      </c>
      <c r="AN313" s="377">
        <f t="shared" si="688"/>
        <v>-0.47843942505133474</v>
      </c>
      <c r="AO313" s="370">
        <f t="shared" si="688"/>
        <v>0.44094488188976388</v>
      </c>
      <c r="AP313" s="370">
        <f t="shared" si="688"/>
        <v>-0.21311475409836067</v>
      </c>
      <c r="AQ313" s="335">
        <f t="shared" si="688"/>
        <v>-0.29166666666666674</v>
      </c>
      <c r="AR313" s="377">
        <f t="shared" si="688"/>
        <v>0.34803921568627461</v>
      </c>
      <c r="AS313" s="370">
        <f t="shared" si="688"/>
        <v>-0.19272727272727275</v>
      </c>
      <c r="AT313" s="370">
        <f t="shared" si="688"/>
        <v>0.36936936936936937</v>
      </c>
      <c r="AU313" s="335">
        <f t="shared" si="688"/>
        <v>3.2894736842106198E-3</v>
      </c>
      <c r="AV313" s="377">
        <f t="shared" si="688"/>
        <v>0.23934426229508188</v>
      </c>
      <c r="AW313" s="370">
        <f t="shared" si="688"/>
        <v>-3.4391534391534306E-2</v>
      </c>
      <c r="AX313" s="78"/>
      <c r="AY313" s="79"/>
      <c r="AZ313" s="134"/>
      <c r="BA313" s="78"/>
      <c r="BB313" s="78"/>
      <c r="BC313" s="79"/>
      <c r="BD313" s="134"/>
      <c r="BE313" s="78"/>
      <c r="BF313" s="78"/>
      <c r="BG313" s="79"/>
      <c r="BH313" s="134"/>
      <c r="BI313" s="78"/>
      <c r="BJ313" s="78"/>
      <c r="BK313" s="79"/>
      <c r="BL313" s="134"/>
      <c r="BM313" s="78"/>
      <c r="BN313" s="78"/>
      <c r="BO313" s="79"/>
      <c r="BP313" s="134"/>
      <c r="BQ313" s="78"/>
      <c r="BR313" s="78"/>
      <c r="BS313" s="79"/>
      <c r="BT313" s="134"/>
      <c r="BU313" s="78"/>
      <c r="BV313" s="78"/>
      <c r="BW313" s="79"/>
      <c r="BX313" s="21"/>
      <c r="BY313" s="22"/>
      <c r="BZ313" s="15"/>
      <c r="CA313" s="15"/>
      <c r="CB313" s="15"/>
      <c r="CC313" s="15"/>
      <c r="CD313" s="370"/>
      <c r="CE313" s="370"/>
      <c r="CF313" s="370"/>
      <c r="CG313" s="220"/>
      <c r="CH313" s="220"/>
      <c r="CI313" s="220"/>
      <c r="CJ313" s="220"/>
      <c r="CK313" s="220"/>
      <c r="CL313" s="220"/>
      <c r="CM313" s="220"/>
      <c r="CN313" s="220"/>
      <c r="CO313" s="220"/>
      <c r="CP313" s="258"/>
    </row>
    <row r="314" spans="1:94" ht="14.25" hidden="1" customHeight="1" outlineLevel="2">
      <c r="A314" s="9"/>
      <c r="B314" s="32" t="s">
        <v>298</v>
      </c>
      <c r="C314" s="372"/>
      <c r="D314" s="372"/>
      <c r="E314" s="372"/>
      <c r="F314" s="372"/>
      <c r="G314" s="218"/>
      <c r="H314" s="372"/>
      <c r="I314" s="372"/>
      <c r="J314" s="372"/>
      <c r="K314" s="372"/>
      <c r="L314" s="377"/>
      <c r="M314" s="370"/>
      <c r="N314" s="370"/>
      <c r="O314" s="335"/>
      <c r="P314" s="378"/>
      <c r="Q314" s="370"/>
      <c r="R314" s="370"/>
      <c r="S314" s="370"/>
      <c r="T314" s="378"/>
      <c r="U314" s="370"/>
      <c r="V314" s="370"/>
      <c r="W314" s="335"/>
      <c r="X314" s="378"/>
      <c r="Y314" s="370"/>
      <c r="Z314" s="370"/>
      <c r="AA314" s="335"/>
      <c r="AB314" s="378"/>
      <c r="AC314" s="370"/>
      <c r="AD314" s="370"/>
      <c r="AE314" s="335"/>
      <c r="AF314" s="377"/>
      <c r="AG314" s="370"/>
      <c r="AH314" s="370"/>
      <c r="AI314" s="335"/>
      <c r="AJ314" s="425"/>
      <c r="AK314" s="418"/>
      <c r="AL314" s="418"/>
      <c r="AM314" s="419"/>
      <c r="AN314" s="377">
        <f t="shared" ref="AN314:AW314" si="689">AN312/AJ312-1</f>
        <v>-0.3487179487179487</v>
      </c>
      <c r="AO314" s="370">
        <f t="shared" si="689"/>
        <v>-0.28094302554027495</v>
      </c>
      <c r="AP314" s="370">
        <f t="shared" si="689"/>
        <v>-0.44827586206896552</v>
      </c>
      <c r="AQ314" s="335">
        <f t="shared" si="689"/>
        <v>-0.58110882956878851</v>
      </c>
      <c r="AR314" s="377">
        <f t="shared" si="689"/>
        <v>8.2677165354330784E-2</v>
      </c>
      <c r="AS314" s="370">
        <f t="shared" si="689"/>
        <v>-0.39344262295081966</v>
      </c>
      <c r="AT314" s="370">
        <f t="shared" si="689"/>
        <v>5.555555555555558E-2</v>
      </c>
      <c r="AU314" s="335">
        <f t="shared" si="689"/>
        <v>0.49509803921568629</v>
      </c>
      <c r="AV314" s="377">
        <f t="shared" si="689"/>
        <v>0.37454545454545451</v>
      </c>
      <c r="AW314" s="370">
        <f t="shared" si="689"/>
        <v>0.64414414414414423</v>
      </c>
      <c r="AX314" s="220"/>
      <c r="AY314" s="258"/>
      <c r="AZ314" s="219"/>
      <c r="BA314" s="220"/>
      <c r="BB314" s="220"/>
      <c r="BC314" s="258"/>
      <c r="BD314" s="219"/>
      <c r="BE314" s="220"/>
      <c r="BF314" s="220"/>
      <c r="BG314" s="258"/>
      <c r="BH314" s="219"/>
      <c r="BI314" s="220"/>
      <c r="BJ314" s="220"/>
      <c r="BK314" s="258"/>
      <c r="BL314" s="219"/>
      <c r="BM314" s="220"/>
      <c r="BN314" s="220"/>
      <c r="BO314" s="258"/>
      <c r="BP314" s="219"/>
      <c r="BQ314" s="220"/>
      <c r="BR314" s="220"/>
      <c r="BS314" s="258"/>
      <c r="BT314" s="219"/>
      <c r="BU314" s="220"/>
      <c r="BV314" s="220"/>
      <c r="BW314" s="258"/>
      <c r="BX314" s="21"/>
      <c r="BY314" s="22"/>
      <c r="BZ314" s="15"/>
      <c r="CA314" s="15"/>
      <c r="CB314" s="338"/>
      <c r="CC314" s="338"/>
      <c r="CD314" s="418"/>
      <c r="CE314" s="370">
        <f>CE312/CD312-1</f>
        <v>-0.19664031620553368</v>
      </c>
      <c r="CF314" s="370">
        <f>CF312/CE312-1</f>
        <v>1.4243542435424352</v>
      </c>
      <c r="CG314" s="338">
        <f>CG312/CF312-1</f>
        <v>-3.1963470319634646E-2</v>
      </c>
      <c r="CH314" s="338">
        <f>CH312/CG312-1</f>
        <v>-0.41719077568134177</v>
      </c>
      <c r="CI314" s="338">
        <f>CI312/CH312-1</f>
        <v>-5.3956834532373765E-3</v>
      </c>
      <c r="CJ314" s="338"/>
      <c r="CK314" s="338"/>
      <c r="CL314" s="338"/>
      <c r="CM314" s="338"/>
      <c r="CN314" s="338"/>
      <c r="CO314" s="338"/>
      <c r="CP314" s="337"/>
    </row>
    <row r="315" spans="1:94" ht="14.25" hidden="1" customHeight="1" outlineLevel="2">
      <c r="A315" s="9"/>
      <c r="B315" s="217" t="s">
        <v>374</v>
      </c>
      <c r="C315" s="372"/>
      <c r="D315" s="372"/>
      <c r="E315" s="372"/>
      <c r="F315" s="372"/>
      <c r="G315" s="218"/>
      <c r="H315" s="372"/>
      <c r="I315" s="372"/>
      <c r="J315" s="372"/>
      <c r="K315" s="372"/>
      <c r="L315" s="377"/>
      <c r="M315" s="370"/>
      <c r="N315" s="370"/>
      <c r="O315" s="335"/>
      <c r="P315" s="378"/>
      <c r="Q315" s="370"/>
      <c r="R315" s="370"/>
      <c r="S315" s="370"/>
      <c r="T315" s="378"/>
      <c r="U315" s="370"/>
      <c r="V315" s="370"/>
      <c r="W315" s="335"/>
      <c r="X315" s="378"/>
      <c r="Y315" s="370"/>
      <c r="Z315" s="370"/>
      <c r="AA315" s="335"/>
      <c r="AB315" s="378"/>
      <c r="AC315" s="370"/>
      <c r="AD315" s="370"/>
      <c r="AE315" s="335"/>
      <c r="AF315" s="377"/>
      <c r="AG315" s="370"/>
      <c r="AH315" s="370"/>
      <c r="AI315" s="335"/>
      <c r="AJ315" s="377">
        <f t="shared" ref="AJ315:AQ315" si="690">AJ312/AJ300</f>
        <v>0.14317180616740088</v>
      </c>
      <c r="AK315" s="370">
        <f t="shared" si="690"/>
        <v>0.16961012995668109</v>
      </c>
      <c r="AL315" s="370">
        <f t="shared" si="690"/>
        <v>0.17870592262923657</v>
      </c>
      <c r="AM315" s="335">
        <f t="shared" si="690"/>
        <v>0.17337130651477398</v>
      </c>
      <c r="AN315" s="377">
        <f t="shared" si="690"/>
        <v>9.7729896113889964E-2</v>
      </c>
      <c r="AO315" s="370">
        <f t="shared" si="690"/>
        <v>0.14066102997694083</v>
      </c>
      <c r="AP315" s="370">
        <f t="shared" si="690"/>
        <v>0.11396913335971509</v>
      </c>
      <c r="AQ315" s="335">
        <f t="shared" si="690"/>
        <v>8.2792207792207778E-2</v>
      </c>
      <c r="AR315" s="377">
        <f t="shared" ref="AR315:AW315" si="691">AR312/AR300</f>
        <v>0.11224489795918367</v>
      </c>
      <c r="AS315" s="370">
        <f t="shared" si="691"/>
        <v>8.8270377733598401E-2</v>
      </c>
      <c r="AT315" s="370">
        <f t="shared" si="691"/>
        <v>0.11301115241635687</v>
      </c>
      <c r="AU315" s="335">
        <f t="shared" si="691"/>
        <v>0.11262924667651403</v>
      </c>
      <c r="AV315" s="377">
        <f t="shared" si="691"/>
        <v>0.13524150268336313</v>
      </c>
      <c r="AW315" s="370">
        <f t="shared" si="691"/>
        <v>0.12118193891102258</v>
      </c>
      <c r="AX315" s="381"/>
      <c r="AY315" s="292"/>
      <c r="AZ315" s="294"/>
      <c r="BA315" s="381"/>
      <c r="BB315" s="381"/>
      <c r="BC315" s="292"/>
      <c r="BD315" s="294"/>
      <c r="BE315" s="381"/>
      <c r="BF315" s="381"/>
      <c r="BG315" s="292"/>
      <c r="BH315" s="294"/>
      <c r="BI315" s="381"/>
      <c r="BJ315" s="381"/>
      <c r="BK315" s="292"/>
      <c r="BL315" s="294"/>
      <c r="BM315" s="381"/>
      <c r="BN315" s="381"/>
      <c r="BO315" s="292"/>
      <c r="BP315" s="294"/>
      <c r="BQ315" s="381"/>
      <c r="BR315" s="381"/>
      <c r="BS315" s="292"/>
      <c r="BT315" s="294"/>
      <c r="BU315" s="381"/>
      <c r="BV315" s="381"/>
      <c r="BW315" s="292"/>
      <c r="BX315" s="21"/>
      <c r="BY315" s="22"/>
      <c r="BZ315" s="15"/>
      <c r="CA315" s="15"/>
      <c r="CB315" s="338"/>
      <c r="CC315" s="338"/>
      <c r="CD315" s="370">
        <f t="shared" ref="CD315:CI315" si="692">CD312/CD300</f>
        <v>0.1005764261578215</v>
      </c>
      <c r="CE315" s="370">
        <f t="shared" si="692"/>
        <v>9.678571428571428E-2</v>
      </c>
      <c r="CF315" s="370">
        <f t="shared" si="692"/>
        <v>0.18714394227117356</v>
      </c>
      <c r="CG315" s="338">
        <f t="shared" si="692"/>
        <v>0.1665648188563946</v>
      </c>
      <c r="CH315" s="338">
        <f t="shared" si="692"/>
        <v>0.10910518053375196</v>
      </c>
      <c r="CI315" s="338">
        <f t="shared" si="692"/>
        <v>0.10672585158737817</v>
      </c>
      <c r="CJ315" s="338"/>
      <c r="CK315" s="338"/>
      <c r="CL315" s="338"/>
      <c r="CM315" s="338"/>
      <c r="CN315" s="338"/>
      <c r="CO315" s="338"/>
      <c r="CP315" s="337"/>
    </row>
    <row r="316" spans="1:94" ht="14.25" hidden="1" customHeight="1" outlineLevel="2">
      <c r="A316" s="9"/>
      <c r="B316" s="236"/>
      <c r="C316" s="373"/>
      <c r="D316" s="373"/>
      <c r="E316" s="373"/>
      <c r="F316" s="373"/>
      <c r="G316" s="237"/>
      <c r="H316" s="373"/>
      <c r="I316" s="373"/>
      <c r="J316" s="373"/>
      <c r="K316" s="373"/>
      <c r="L316" s="285"/>
      <c r="M316" s="279"/>
      <c r="N316" s="279"/>
      <c r="O316" s="280"/>
      <c r="P316" s="380"/>
      <c r="Q316" s="279"/>
      <c r="R316" s="279"/>
      <c r="S316" s="279"/>
      <c r="T316" s="380"/>
      <c r="U316" s="279"/>
      <c r="V316" s="279"/>
      <c r="W316" s="280"/>
      <c r="X316" s="380"/>
      <c r="Y316" s="279"/>
      <c r="Z316" s="279"/>
      <c r="AA316" s="280"/>
      <c r="AB316" s="380"/>
      <c r="AC316" s="279"/>
      <c r="AD316" s="279"/>
      <c r="AE316" s="280"/>
      <c r="AF316" s="285"/>
      <c r="AG316" s="279"/>
      <c r="AH316" s="279"/>
      <c r="AI316" s="280"/>
      <c r="AJ316" s="285"/>
      <c r="AK316" s="1"/>
      <c r="AL316" s="279"/>
      <c r="AM316" s="280"/>
      <c r="AN316" s="285"/>
      <c r="AO316" s="1"/>
      <c r="AP316" s="279"/>
      <c r="AQ316" s="280"/>
      <c r="AR316" s="285"/>
      <c r="AS316" s="1"/>
      <c r="AT316" s="279"/>
      <c r="AU316" s="17"/>
      <c r="AV316" s="16"/>
      <c r="AW316" s="1"/>
      <c r="AX316" s="203"/>
      <c r="AY316" s="17"/>
      <c r="AZ316" s="16"/>
      <c r="BA316" s="203"/>
      <c r="BB316" s="203"/>
      <c r="BC316" s="17"/>
      <c r="BD316" s="16"/>
      <c r="BE316" s="203"/>
      <c r="BF316" s="203"/>
      <c r="BG316" s="17"/>
      <c r="BH316" s="16"/>
      <c r="BI316" s="203"/>
      <c r="BJ316" s="203"/>
      <c r="BK316" s="17"/>
      <c r="BL316" s="16"/>
      <c r="BM316" s="203"/>
      <c r="BN316" s="203"/>
      <c r="BO316" s="17"/>
      <c r="BP316" s="16"/>
      <c r="BQ316" s="203"/>
      <c r="BR316" s="203"/>
      <c r="BS316" s="17"/>
      <c r="BT316" s="16"/>
      <c r="BU316" s="203"/>
      <c r="BV316" s="203"/>
      <c r="BW316" s="17"/>
      <c r="BX316" s="21"/>
      <c r="BY316" s="16"/>
      <c r="BZ316" s="203"/>
      <c r="CA316" s="203"/>
      <c r="CB316" s="203"/>
      <c r="CC316" s="203"/>
      <c r="CD316" s="279"/>
      <c r="CE316" s="279"/>
      <c r="CF316" s="279"/>
      <c r="CG316" s="203"/>
      <c r="CH316" s="203"/>
      <c r="CI316" s="203"/>
      <c r="CJ316" s="203"/>
      <c r="CK316" s="203"/>
      <c r="CL316" s="203"/>
      <c r="CM316" s="203"/>
      <c r="CN316" s="203"/>
      <c r="CO316" s="203"/>
      <c r="CP316" s="17"/>
    </row>
    <row r="317" spans="1:94" ht="14.25" hidden="1" customHeight="1" outlineLevel="2">
      <c r="A317" s="281"/>
      <c r="B317" s="235" t="s">
        <v>195</v>
      </c>
      <c r="C317" s="277"/>
      <c r="D317" s="251"/>
      <c r="E317" s="251"/>
      <c r="F317" s="251"/>
      <c r="G317" s="277"/>
      <c r="H317" s="251"/>
      <c r="I317" s="251"/>
      <c r="J317" s="251"/>
      <c r="K317" s="11"/>
      <c r="L317" s="343"/>
      <c r="M317" s="343"/>
      <c r="N317" s="343"/>
      <c r="O317" s="369"/>
      <c r="P317" s="343"/>
      <c r="Q317" s="343"/>
      <c r="R317" s="343"/>
      <c r="S317" s="369"/>
      <c r="T317" s="343"/>
      <c r="U317" s="343"/>
      <c r="V317" s="343"/>
      <c r="W317" s="369"/>
      <c r="X317" s="343"/>
      <c r="Y317" s="343"/>
      <c r="Z317" s="343"/>
      <c r="AA317" s="369"/>
      <c r="AB317" s="343"/>
      <c r="AC317" s="343"/>
      <c r="AD317" s="343"/>
      <c r="AE317" s="369"/>
      <c r="AF317" s="343"/>
      <c r="AG317" s="343"/>
      <c r="AH317" s="343"/>
      <c r="AI317" s="369"/>
      <c r="AJ317" s="423">
        <v>320.10000000000002</v>
      </c>
      <c r="AK317" s="423">
        <v>331.3</v>
      </c>
      <c r="AL317" s="423">
        <v>311.10000000000002</v>
      </c>
      <c r="AM317" s="756">
        <v>274</v>
      </c>
      <c r="AN317" s="423">
        <v>278.60000000000002</v>
      </c>
      <c r="AO317" s="423">
        <v>279.2</v>
      </c>
      <c r="AP317" s="423">
        <v>279.8</v>
      </c>
      <c r="AQ317" s="401">
        <v>267.10000000000002</v>
      </c>
      <c r="AR317" s="423">
        <v>265.2</v>
      </c>
      <c r="AS317" s="423">
        <v>276.39999999999998</v>
      </c>
      <c r="AT317" s="423">
        <v>289.60000000000002</v>
      </c>
      <c r="AU317" s="401">
        <v>290</v>
      </c>
      <c r="AV317" s="423">
        <v>292.89999999999998</v>
      </c>
      <c r="AW317" s="423">
        <v>303.7</v>
      </c>
      <c r="AX317" s="815">
        <f>$AX$81*AX320</f>
        <v>316.73</v>
      </c>
      <c r="AY317" s="815">
        <f>$AX$81*AY320</f>
        <v>283.39000000000004</v>
      </c>
      <c r="AZ317" s="816">
        <f t="shared" ref="AZ317:BG317" si="693">AY317*(1+AZ318)</f>
        <v>289.05780000000004</v>
      </c>
      <c r="BA317" s="815">
        <f t="shared" si="693"/>
        <v>294.83895600000005</v>
      </c>
      <c r="BB317" s="815">
        <f>$BB$81*BB320</f>
        <v>307.42800000000005</v>
      </c>
      <c r="BC317" s="817">
        <f t="shared" si="693"/>
        <v>313.57656000000009</v>
      </c>
      <c r="BD317" s="816">
        <f t="shared" si="693"/>
        <v>319.84809120000011</v>
      </c>
      <c r="BE317" s="815">
        <f t="shared" si="693"/>
        <v>326.24505302400013</v>
      </c>
      <c r="BF317" s="815">
        <f t="shared" si="693"/>
        <v>332.76995408448016</v>
      </c>
      <c r="BG317" s="817">
        <f t="shared" si="693"/>
        <v>339.42535316616977</v>
      </c>
      <c r="BH317" s="816">
        <f>BG317*(1+BH318)</f>
        <v>346.21386022949315</v>
      </c>
      <c r="BI317" s="815">
        <f>BH317*(1+BI318)</f>
        <v>353.13813743408303</v>
      </c>
      <c r="BJ317" s="815">
        <f>BI317*(1+BJ318)</f>
        <v>360.20090018276471</v>
      </c>
      <c r="BK317" s="817">
        <f>BJ317*(1+BK318)</f>
        <v>367.40491818641999</v>
      </c>
      <c r="BL317" s="816"/>
      <c r="BM317" s="815"/>
      <c r="BN317" s="815"/>
      <c r="BO317" s="817"/>
      <c r="BP317" s="816"/>
      <c r="BQ317" s="815"/>
      <c r="BR317" s="815"/>
      <c r="BS317" s="817"/>
      <c r="BT317" s="816"/>
      <c r="BU317" s="815"/>
      <c r="BV317" s="815"/>
      <c r="BW317" s="817"/>
      <c r="BX317" s="283"/>
      <c r="BY317" s="667"/>
      <c r="BZ317" s="248"/>
      <c r="CA317" s="325"/>
      <c r="CB317" s="325"/>
      <c r="CC317" s="325"/>
      <c r="CD317" s="423">
        <v>1048.5999999999999</v>
      </c>
      <c r="CE317" s="423">
        <v>928.9</v>
      </c>
      <c r="CF317" s="423">
        <f>1260.2</f>
        <v>1260.2</v>
      </c>
      <c r="CG317" s="325">
        <f>SUM(AJ317:AM317)</f>
        <v>1236.5</v>
      </c>
      <c r="CH317" s="325">
        <f>SUM(AN317:AQ317)</f>
        <v>1104.6999999999998</v>
      </c>
      <c r="CI317" s="325">
        <f>SUM(AR317:AU317)</f>
        <v>1121.1999999999998</v>
      </c>
      <c r="CJ317" s="325">
        <f>SUM(AV317:AY317)</f>
        <v>1196.72</v>
      </c>
      <c r="CK317" s="325">
        <f>SUM(AZ317:BC317)</f>
        <v>1204.9013160000004</v>
      </c>
      <c r="CL317" s="325">
        <f>SUM(BD317:BG317)</f>
        <v>1318.2884514746502</v>
      </c>
      <c r="CM317" s="325">
        <f>SUM(BH317:BK317)</f>
        <v>1426.9578160327608</v>
      </c>
      <c r="CN317" s="325"/>
      <c r="CO317" s="325"/>
      <c r="CP317" s="326"/>
    </row>
    <row r="318" spans="1:94" ht="14.25" hidden="1" customHeight="1" outlineLevel="2">
      <c r="A318" s="9"/>
      <c r="B318" s="217" t="s">
        <v>297</v>
      </c>
      <c r="C318" s="218"/>
      <c r="D318" s="372"/>
      <c r="E318" s="372"/>
      <c r="F318" s="372"/>
      <c r="G318" s="218"/>
      <c r="H318" s="372"/>
      <c r="I318" s="372"/>
      <c r="J318" s="372"/>
      <c r="K318" s="218"/>
      <c r="L318" s="370"/>
      <c r="M318" s="370"/>
      <c r="N318" s="370"/>
      <c r="O318" s="335"/>
      <c r="P318" s="370"/>
      <c r="Q318" s="370"/>
      <c r="R318" s="370"/>
      <c r="S318" s="335"/>
      <c r="T318" s="370"/>
      <c r="U318" s="370"/>
      <c r="V318" s="370"/>
      <c r="W318" s="335"/>
      <c r="X318" s="370"/>
      <c r="Y318" s="370"/>
      <c r="Z318" s="370"/>
      <c r="AA318" s="335"/>
      <c r="AB318" s="370"/>
      <c r="AC318" s="370"/>
      <c r="AD318" s="370"/>
      <c r="AE318" s="335"/>
      <c r="AF318" s="370"/>
      <c r="AG318" s="370"/>
      <c r="AH318" s="370"/>
      <c r="AI318" s="335"/>
      <c r="AJ318" s="425"/>
      <c r="AK318" s="370">
        <f t="shared" ref="AK318:AW318" si="694">AK317/AJ317-1</f>
        <v>3.4989065916900985E-2</v>
      </c>
      <c r="AL318" s="370">
        <f t="shared" si="694"/>
        <v>-6.0971928765469308E-2</v>
      </c>
      <c r="AM318" s="335">
        <f t="shared" si="694"/>
        <v>-0.11925425908068155</v>
      </c>
      <c r="AN318" s="370">
        <f t="shared" si="694"/>
        <v>1.6788321167883202E-2</v>
      </c>
      <c r="AO318" s="370">
        <f t="shared" si="694"/>
        <v>2.1536252692029301E-3</v>
      </c>
      <c r="AP318" s="370">
        <f t="shared" si="694"/>
        <v>2.1489971346706493E-3</v>
      </c>
      <c r="AQ318" s="335">
        <f t="shared" si="694"/>
        <v>-4.53895639742673E-2</v>
      </c>
      <c r="AR318" s="370">
        <f t="shared" si="694"/>
        <v>-7.1134406589293819E-3</v>
      </c>
      <c r="AS318" s="370">
        <f t="shared" si="694"/>
        <v>4.2232277526395023E-2</v>
      </c>
      <c r="AT318" s="370">
        <f t="shared" si="694"/>
        <v>4.7756874095513879E-2</v>
      </c>
      <c r="AU318" s="335">
        <f t="shared" si="694"/>
        <v>1.3812154696131174E-3</v>
      </c>
      <c r="AV318" s="370">
        <f t="shared" si="694"/>
        <v>1.0000000000000009E-2</v>
      </c>
      <c r="AW318" s="370">
        <f t="shared" si="694"/>
        <v>3.687265278251961E-2</v>
      </c>
      <c r="AX318" s="420">
        <v>0.02</v>
      </c>
      <c r="AY318" s="420">
        <v>0.02</v>
      </c>
      <c r="AZ318" s="505">
        <v>0.02</v>
      </c>
      <c r="BA318" s="420">
        <v>0.02</v>
      </c>
      <c r="BB318" s="420">
        <v>0.02</v>
      </c>
      <c r="BC318" s="421">
        <v>0.02</v>
      </c>
      <c r="BD318" s="505">
        <v>0.02</v>
      </c>
      <c r="BE318" s="420">
        <v>0.02</v>
      </c>
      <c r="BF318" s="420">
        <v>0.02</v>
      </c>
      <c r="BG318" s="1381">
        <v>0.02</v>
      </c>
      <c r="BH318" s="505">
        <v>0.02</v>
      </c>
      <c r="BI318" s="420">
        <v>0.02</v>
      </c>
      <c r="BJ318" s="420">
        <v>0.02</v>
      </c>
      <c r="BK318" s="421">
        <v>0.02</v>
      </c>
      <c r="BL318" s="505"/>
      <c r="BM318" s="420"/>
      <c r="BN318" s="420"/>
      <c r="BO318" s="421"/>
      <c r="BP318" s="505"/>
      <c r="BQ318" s="420"/>
      <c r="BR318" s="420"/>
      <c r="BS318" s="421"/>
      <c r="BT318" s="505"/>
      <c r="BU318" s="420"/>
      <c r="BV318" s="420"/>
      <c r="BW318" s="421"/>
      <c r="BX318" s="21"/>
      <c r="BY318" s="22"/>
      <c r="BZ318" s="15"/>
      <c r="CA318" s="15"/>
      <c r="CB318" s="15"/>
      <c r="CC318" s="15"/>
      <c r="CD318" s="370"/>
      <c r="CE318" s="370"/>
      <c r="CF318" s="370"/>
      <c r="CG318" s="220"/>
      <c r="CH318" s="220"/>
      <c r="CI318" s="220"/>
      <c r="CJ318" s="220"/>
      <c r="CK318" s="220"/>
      <c r="CL318" s="220"/>
      <c r="CM318" s="220"/>
      <c r="CN318" s="220"/>
      <c r="CO318" s="220"/>
      <c r="CP318" s="258"/>
    </row>
    <row r="319" spans="1:94" ht="14.25" hidden="1" customHeight="1" outlineLevel="2">
      <c r="A319" s="9"/>
      <c r="B319" s="32" t="s">
        <v>298</v>
      </c>
      <c r="C319" s="33"/>
      <c r="D319" s="259"/>
      <c r="E319" s="259"/>
      <c r="F319" s="259"/>
      <c r="G319" s="33"/>
      <c r="H319" s="259"/>
      <c r="I319" s="259"/>
      <c r="J319" s="259"/>
      <c r="K319" s="33"/>
      <c r="L319" s="370"/>
      <c r="M319" s="370"/>
      <c r="N319" s="370"/>
      <c r="O319" s="335"/>
      <c r="P319" s="370"/>
      <c r="Q319" s="370"/>
      <c r="R319" s="370"/>
      <c r="S319" s="335"/>
      <c r="T319" s="370"/>
      <c r="U319" s="370"/>
      <c r="V319" s="370"/>
      <c r="W319" s="335"/>
      <c r="X319" s="370"/>
      <c r="Y319" s="370"/>
      <c r="Z319" s="370"/>
      <c r="AA319" s="335"/>
      <c r="AB319" s="370"/>
      <c r="AC319" s="370"/>
      <c r="AD319" s="370"/>
      <c r="AE319" s="335"/>
      <c r="AF319" s="370"/>
      <c r="AG319" s="370"/>
      <c r="AH319" s="370"/>
      <c r="AI319" s="335"/>
      <c r="AJ319" s="425"/>
      <c r="AK319" s="418"/>
      <c r="AL319" s="418"/>
      <c r="AM319" s="419"/>
      <c r="AN319" s="370">
        <f t="shared" ref="AN319:AW319" si="695">AN317/AJ317-1</f>
        <v>-0.1296469853170884</v>
      </c>
      <c r="AO319" s="370">
        <f t="shared" si="695"/>
        <v>-0.15725928161786906</v>
      </c>
      <c r="AP319" s="370">
        <f t="shared" si="695"/>
        <v>-0.10061073609771776</v>
      </c>
      <c r="AQ319" s="335">
        <f t="shared" si="695"/>
        <v>-2.5182481751824692E-2</v>
      </c>
      <c r="AR319" s="370">
        <f t="shared" si="695"/>
        <v>-4.809763101220399E-2</v>
      </c>
      <c r="AS319" s="370">
        <f t="shared" si="695"/>
        <v>-1.0028653295129031E-2</v>
      </c>
      <c r="AT319" s="370">
        <f t="shared" si="695"/>
        <v>3.5025017869907193E-2</v>
      </c>
      <c r="AU319" s="335">
        <f t="shared" si="695"/>
        <v>8.5735679520778652E-2</v>
      </c>
      <c r="AV319" s="370">
        <f t="shared" si="695"/>
        <v>0.10444947209653077</v>
      </c>
      <c r="AW319" s="370">
        <f t="shared" si="695"/>
        <v>9.8769898697539826E-2</v>
      </c>
      <c r="AX319" s="370">
        <f t="shared" ref="AX319:BC319" si="696">AX317/AT317-1</f>
        <v>9.3680939226519211E-2</v>
      </c>
      <c r="AY319" s="370">
        <f t="shared" si="696"/>
        <v>-2.2793103448275676E-2</v>
      </c>
      <c r="AZ319" s="377">
        <f t="shared" si="696"/>
        <v>-1.3117787640832823E-2</v>
      </c>
      <c r="BA319" s="370">
        <f t="shared" si="696"/>
        <v>-2.9176964109318249E-2</v>
      </c>
      <c r="BB319" s="370">
        <f t="shared" si="696"/>
        <v>-2.9368863069491269E-2</v>
      </c>
      <c r="BC319" s="335">
        <f t="shared" si="696"/>
        <v>0.10651949610078004</v>
      </c>
      <c r="BD319" s="377">
        <f t="shared" ref="BD319:BK319" si="697">BD317/AZ317-1</f>
        <v>0.10651949610078004</v>
      </c>
      <c r="BE319" s="370">
        <f t="shared" si="697"/>
        <v>0.10651949610078004</v>
      </c>
      <c r="BF319" s="370">
        <f t="shared" si="697"/>
        <v>8.2432160000000421E-2</v>
      </c>
      <c r="BG319" s="335">
        <f t="shared" si="697"/>
        <v>8.2432160000000199E-2</v>
      </c>
      <c r="BH319" s="377">
        <f t="shared" si="697"/>
        <v>8.2432160000000199E-2</v>
      </c>
      <c r="BI319" s="370">
        <f t="shared" si="697"/>
        <v>8.2432160000000199E-2</v>
      </c>
      <c r="BJ319" s="370">
        <f t="shared" si="697"/>
        <v>8.2432159999999977E-2</v>
      </c>
      <c r="BK319" s="335">
        <f t="shared" si="697"/>
        <v>8.2432159999999977E-2</v>
      </c>
      <c r="BL319" s="377"/>
      <c r="BM319" s="370"/>
      <c r="BN319" s="370"/>
      <c r="BO319" s="335"/>
      <c r="BP319" s="377"/>
      <c r="BQ319" s="370"/>
      <c r="BR319" s="370"/>
      <c r="BS319" s="335"/>
      <c r="BT319" s="377"/>
      <c r="BU319" s="370"/>
      <c r="BV319" s="370"/>
      <c r="BW319" s="335"/>
      <c r="BX319" s="21"/>
      <c r="BY319" s="22"/>
      <c r="BZ319" s="15"/>
      <c r="CA319" s="15"/>
      <c r="CB319" s="338"/>
      <c r="CC319" s="338"/>
      <c r="CD319" s="418"/>
      <c r="CE319" s="370">
        <f t="shared" ref="CE319:CM319" si="698">CE317/CD317-1</f>
        <v>-0.11415220293724959</v>
      </c>
      <c r="CF319" s="370">
        <f t="shared" si="698"/>
        <v>0.35665841317687597</v>
      </c>
      <c r="CG319" s="338">
        <f t="shared" si="698"/>
        <v>-1.8806538644659643E-2</v>
      </c>
      <c r="CH319" s="338">
        <f t="shared" si="698"/>
        <v>-0.10659118479579477</v>
      </c>
      <c r="CI319" s="338">
        <f t="shared" si="698"/>
        <v>1.4936181768806067E-2</v>
      </c>
      <c r="CJ319" s="338">
        <f t="shared" si="698"/>
        <v>6.7356403853014779E-2</v>
      </c>
      <c r="CK319" s="338">
        <f t="shared" si="698"/>
        <v>6.8364496289861076E-3</v>
      </c>
      <c r="CL319" s="338">
        <f t="shared" si="698"/>
        <v>9.4104914625763092E-2</v>
      </c>
      <c r="CM319" s="338">
        <f t="shared" si="698"/>
        <v>8.2432159999999977E-2</v>
      </c>
      <c r="CN319" s="338"/>
      <c r="CO319" s="338"/>
      <c r="CP319" s="337"/>
    </row>
    <row r="320" spans="1:94" ht="14.25" hidden="1" customHeight="1" outlineLevel="2">
      <c r="A320" s="9"/>
      <c r="B320" s="217" t="s">
        <v>299</v>
      </c>
      <c r="C320" s="218"/>
      <c r="D320" s="372"/>
      <c r="E320" s="372"/>
      <c r="F320" s="372"/>
      <c r="G320" s="218"/>
      <c r="H320" s="372"/>
      <c r="I320" s="372"/>
      <c r="J320" s="372"/>
      <c r="K320" s="218"/>
      <c r="L320" s="338"/>
      <c r="M320" s="370"/>
      <c r="N320" s="370"/>
      <c r="O320" s="337"/>
      <c r="P320" s="338"/>
      <c r="Q320" s="370"/>
      <c r="R320" s="370"/>
      <c r="S320" s="337"/>
      <c r="T320" s="338"/>
      <c r="U320" s="370"/>
      <c r="V320" s="370"/>
      <c r="W320" s="337"/>
      <c r="X320" s="338"/>
      <c r="Y320" s="370"/>
      <c r="Z320" s="370"/>
      <c r="AA320" s="337"/>
      <c r="AB320" s="338"/>
      <c r="AC320" s="370"/>
      <c r="AD320" s="370"/>
      <c r="AE320" s="337"/>
      <c r="AF320" s="338"/>
      <c r="AG320" s="370"/>
      <c r="AH320" s="370"/>
      <c r="AI320" s="337"/>
      <c r="AJ320" s="338">
        <f>AJ317/AJ368</f>
        <v>0.36767746381805655</v>
      </c>
      <c r="AK320" s="370">
        <f>AK317/AK368</f>
        <v>0.36579441316109085</v>
      </c>
      <c r="AL320" s="370">
        <f>AL317/AL368</f>
        <v>0.34643652561247212</v>
      </c>
      <c r="AM320" s="337">
        <f>AM317/AM368</f>
        <v>0.35677083333333331</v>
      </c>
      <c r="AN320" s="338">
        <f>AN317/AN368</f>
        <v>0.37426114991939824</v>
      </c>
      <c r="AO320" s="370">
        <f>AO317/(AO368)</f>
        <v>0.37486573576799143</v>
      </c>
      <c r="AP320" s="370">
        <f>AP317/(AP368)</f>
        <v>0.38566505858028949</v>
      </c>
      <c r="AQ320" s="337">
        <f>AQ317/(AQ368)</f>
        <v>0.39267862393413705</v>
      </c>
      <c r="AR320" s="338">
        <f>AR317/AR368</f>
        <v>0.40121028744326775</v>
      </c>
      <c r="AS320" s="370">
        <f>AS317/(AS368)</f>
        <v>0.40156908324858348</v>
      </c>
      <c r="AT320" s="370">
        <f>AT317/(AT368)</f>
        <v>0.40480849874196251</v>
      </c>
      <c r="AU320" s="337">
        <f>AU317/(AU368)</f>
        <v>0.40389972144846797</v>
      </c>
      <c r="AV320" s="338">
        <f>AV317/AV368</f>
        <v>0.41457891012031134</v>
      </c>
      <c r="AW320" s="370">
        <f>AW317/(AW368)</f>
        <v>0.40087117212249213</v>
      </c>
      <c r="AX320" s="1074">
        <v>0.38</v>
      </c>
      <c r="AY320" s="1074">
        <v>0.34</v>
      </c>
      <c r="AZ320" s="377">
        <f>AZ317/(AZ368)</f>
        <v>0.4250000000000001</v>
      </c>
      <c r="BA320" s="370">
        <f>BA317/(BA368)</f>
        <v>0.42500000000000004</v>
      </c>
      <c r="BB320" s="1074">
        <v>0.34</v>
      </c>
      <c r="BC320" s="335">
        <f>BC317/(BC368)</f>
        <v>0.43037974683544306</v>
      </c>
      <c r="BD320" s="377">
        <f t="shared" ref="BD320:BK320" si="699">BD317/(BD368)</f>
        <v>0.43037974683544306</v>
      </c>
      <c r="BE320" s="370">
        <f t="shared" si="699"/>
        <v>0.43037974683544317</v>
      </c>
      <c r="BF320" s="370">
        <f t="shared" si="699"/>
        <v>0.43037974683544317</v>
      </c>
      <c r="BG320" s="335">
        <f t="shared" si="699"/>
        <v>0.43037974683544311</v>
      </c>
      <c r="BH320" s="377">
        <f t="shared" si="699"/>
        <v>0.43037974683544311</v>
      </c>
      <c r="BI320" s="370">
        <f t="shared" si="699"/>
        <v>0.43037974683544311</v>
      </c>
      <c r="BJ320" s="370">
        <f t="shared" si="699"/>
        <v>0.43037974683544311</v>
      </c>
      <c r="BK320" s="335">
        <f t="shared" si="699"/>
        <v>0.43037974683544306</v>
      </c>
      <c r="BL320" s="377"/>
      <c r="BM320" s="370"/>
      <c r="BN320" s="370"/>
      <c r="BO320" s="335"/>
      <c r="BP320" s="377"/>
      <c r="BQ320" s="370"/>
      <c r="BR320" s="370"/>
      <c r="BS320" s="335"/>
      <c r="BT320" s="377"/>
      <c r="BU320" s="370"/>
      <c r="BV320" s="370"/>
      <c r="BW320" s="335"/>
      <c r="BX320" s="21"/>
      <c r="BY320" s="22"/>
      <c r="BZ320" s="15"/>
      <c r="CA320" s="338"/>
      <c r="CB320" s="338"/>
      <c r="CC320" s="338"/>
      <c r="CD320" s="370">
        <f>CD317/CD$368</f>
        <v>0.51031730582051771</v>
      </c>
      <c r="CE320" s="370">
        <f>CE317/CE$368</f>
        <v>0.52512861100118713</v>
      </c>
      <c r="CF320" s="370">
        <f>CF317/CF368</f>
        <v>0.54473934468747298</v>
      </c>
      <c r="CG320" s="338">
        <f t="shared" ref="CG320:CM320" si="700">CG317/CG$368</f>
        <v>0.35920750660895329</v>
      </c>
      <c r="CH320" s="338">
        <f t="shared" si="700"/>
        <v>0.38160212788006492</v>
      </c>
      <c r="CI320" s="338">
        <f t="shared" si="700"/>
        <v>0.40291802925216513</v>
      </c>
      <c r="CJ320" s="338">
        <f t="shared" si="700"/>
        <v>0.38322448214963345</v>
      </c>
      <c r="CK320" s="338">
        <f t="shared" si="700"/>
        <v>0.40074157698266893</v>
      </c>
      <c r="CL320" s="338">
        <f t="shared" si="700"/>
        <v>0.43037974683544306</v>
      </c>
      <c r="CM320" s="338">
        <f t="shared" si="700"/>
        <v>0.43037974683544306</v>
      </c>
      <c r="CN320" s="338"/>
      <c r="CO320" s="338"/>
      <c r="CP320" s="337"/>
    </row>
    <row r="321" spans="1:94" ht="14.25" hidden="1" customHeight="1" outlineLevel="2">
      <c r="A321" s="9"/>
      <c r="B321" s="217"/>
      <c r="C321" s="218"/>
      <c r="D321" s="372"/>
      <c r="E321" s="372"/>
      <c r="F321" s="372"/>
      <c r="G321" s="218"/>
      <c r="H321" s="372"/>
      <c r="I321" s="372"/>
      <c r="J321" s="372"/>
      <c r="K321" s="218"/>
      <c r="L321" s="261"/>
      <c r="M321" s="80"/>
      <c r="N321" s="80"/>
      <c r="O321" s="262"/>
      <c r="P321" s="261"/>
      <c r="Q321" s="80"/>
      <c r="R321" s="80"/>
      <c r="S321" s="262"/>
      <c r="T321" s="261"/>
      <c r="U321" s="80"/>
      <c r="V321" s="80"/>
      <c r="W321" s="262"/>
      <c r="X321" s="261"/>
      <c r="Y321" s="80"/>
      <c r="Z321" s="80"/>
      <c r="AA321" s="262"/>
      <c r="AB321" s="261"/>
      <c r="AC321" s="80"/>
      <c r="AD321" s="80"/>
      <c r="AE321" s="262"/>
      <c r="AF321" s="261"/>
      <c r="AG321" s="80"/>
      <c r="AH321" s="80"/>
      <c r="AI321" s="262"/>
      <c r="AJ321" s="261"/>
      <c r="AK321" s="80"/>
      <c r="AL321" s="80"/>
      <c r="AM321" s="262"/>
      <c r="AN321" s="261"/>
      <c r="AO321" s="80"/>
      <c r="AP321" s="80"/>
      <c r="AQ321" s="262"/>
      <c r="AR321" s="261"/>
      <c r="AS321" s="80"/>
      <c r="AT321" s="80"/>
      <c r="AU321" s="262"/>
      <c r="AV321" s="278"/>
      <c r="AW321" s="80"/>
      <c r="AX321" s="278"/>
      <c r="AY321" s="81"/>
      <c r="AZ321" s="278"/>
      <c r="BA321" s="278"/>
      <c r="BB321" s="278"/>
      <c r="BC321" s="81"/>
      <c r="BD321" s="278"/>
      <c r="BE321" s="278"/>
      <c r="BF321" s="278"/>
      <c r="BG321" s="81"/>
      <c r="BH321" s="278"/>
      <c r="BI321" s="278"/>
      <c r="BJ321" s="278"/>
      <c r="BK321" s="81"/>
      <c r="BL321" s="278"/>
      <c r="BM321" s="278"/>
      <c r="BN321" s="278"/>
      <c r="BO321" s="81"/>
      <c r="BP321" s="278"/>
      <c r="BQ321" s="278"/>
      <c r="BR321" s="278"/>
      <c r="BS321" s="81"/>
      <c r="BT321" s="278"/>
      <c r="BU321" s="278"/>
      <c r="BV321" s="278"/>
      <c r="BW321" s="81"/>
      <c r="BX321" s="21"/>
      <c r="BY321" s="22"/>
      <c r="BZ321" s="15"/>
      <c r="CA321" s="15"/>
      <c r="CB321" s="15"/>
      <c r="CC321" s="15"/>
      <c r="CD321" s="80"/>
      <c r="CE321" s="80"/>
      <c r="CF321" s="80"/>
      <c r="CG321" s="220"/>
      <c r="CH321" s="220"/>
      <c r="CI321" s="220"/>
      <c r="CJ321" s="220"/>
      <c r="CK321" s="220"/>
      <c r="CL321" s="220"/>
      <c r="CM321" s="220"/>
      <c r="CN321" s="220"/>
      <c r="CO321" s="220"/>
      <c r="CP321" s="258"/>
    </row>
    <row r="322" spans="1:94" ht="14.25" hidden="1" customHeight="1" outlineLevel="2">
      <c r="A322" s="9"/>
      <c r="B322" s="235" t="s">
        <v>196</v>
      </c>
      <c r="C322" s="218"/>
      <c r="D322" s="372"/>
      <c r="E322" s="372"/>
      <c r="F322" s="372"/>
      <c r="G322" s="218"/>
      <c r="H322" s="372"/>
      <c r="I322" s="372"/>
      <c r="J322" s="372"/>
      <c r="K322" s="218"/>
      <c r="L322" s="343"/>
      <c r="M322" s="343"/>
      <c r="N322" s="343"/>
      <c r="O322" s="369"/>
      <c r="P322" s="343"/>
      <c r="Q322" s="343"/>
      <c r="R322" s="343"/>
      <c r="S322" s="369"/>
      <c r="T322" s="343"/>
      <c r="U322" s="343"/>
      <c r="V322" s="343"/>
      <c r="W322" s="369"/>
      <c r="X322" s="343"/>
      <c r="Y322" s="343"/>
      <c r="Z322" s="343"/>
      <c r="AA322" s="369"/>
      <c r="AB322" s="343"/>
      <c r="AC322" s="343"/>
      <c r="AD322" s="343"/>
      <c r="AE322" s="369"/>
      <c r="AF322" s="343"/>
      <c r="AG322" s="343"/>
      <c r="AH322" s="343"/>
      <c r="AI322" s="369"/>
      <c r="AJ322" s="423">
        <v>124</v>
      </c>
      <c r="AK322" s="423">
        <v>120.3</v>
      </c>
      <c r="AL322" s="423">
        <v>104.8</v>
      </c>
      <c r="AM322" s="401">
        <v>86.6</v>
      </c>
      <c r="AN322" s="423">
        <v>103</v>
      </c>
      <c r="AO322" s="423">
        <v>109.4</v>
      </c>
      <c r="AP322" s="423">
        <v>100.1</v>
      </c>
      <c r="AQ322" s="401">
        <v>88.4</v>
      </c>
      <c r="AR322" s="423">
        <v>94.5</v>
      </c>
      <c r="AS322" s="423">
        <v>106</v>
      </c>
      <c r="AT322" s="423">
        <v>95.6</v>
      </c>
      <c r="AU322" s="401">
        <v>94.6</v>
      </c>
      <c r="AV322" s="423">
        <v>106.2</v>
      </c>
      <c r="AW322" s="423">
        <v>110.2</v>
      </c>
      <c r="AX322" s="341">
        <f t="shared" ref="AX322:BC322" si="701">AX317*AX323</f>
        <v>114.92804082976623</v>
      </c>
      <c r="AY322" s="342">
        <f t="shared" si="701"/>
        <v>102.8303523213698</v>
      </c>
      <c r="AZ322" s="374">
        <f t="shared" si="701"/>
        <v>104.88695936779719</v>
      </c>
      <c r="BA322" s="341">
        <f t="shared" si="701"/>
        <v>106.98469855515314</v>
      </c>
      <c r="BB322" s="341">
        <f>BB317*BB323</f>
        <v>111.55273493579193</v>
      </c>
      <c r="BC322" s="342">
        <f t="shared" si="701"/>
        <v>113.78378963450777</v>
      </c>
      <c r="BD322" s="374">
        <f t="shared" ref="BD322:BK322" si="702">BD317*BD323</f>
        <v>116.05946542719794</v>
      </c>
      <c r="BE322" s="341">
        <f t="shared" si="702"/>
        <v>118.3806547357419</v>
      </c>
      <c r="BF322" s="341">
        <f t="shared" si="702"/>
        <v>120.74826783045675</v>
      </c>
      <c r="BG322" s="342">
        <f t="shared" si="702"/>
        <v>123.16323318706588</v>
      </c>
      <c r="BH322" s="374">
        <f t="shared" si="702"/>
        <v>125.6264978508072</v>
      </c>
      <c r="BI322" s="341">
        <f t="shared" si="702"/>
        <v>128.13902780782337</v>
      </c>
      <c r="BJ322" s="341">
        <f t="shared" si="702"/>
        <v>130.70180836397984</v>
      </c>
      <c r="BK322" s="342">
        <f t="shared" si="702"/>
        <v>133.31584453125942</v>
      </c>
      <c r="BL322" s="374"/>
      <c r="BM322" s="341"/>
      <c r="BN322" s="341"/>
      <c r="BO322" s="342"/>
      <c r="BP322" s="374"/>
      <c r="BQ322" s="341"/>
      <c r="BR322" s="341"/>
      <c r="BS322" s="342"/>
      <c r="BT322" s="374"/>
      <c r="BU322" s="341"/>
      <c r="BV322" s="341"/>
      <c r="BW322" s="342"/>
      <c r="BX322" s="263"/>
      <c r="BY322" s="235"/>
      <c r="BZ322" s="251"/>
      <c r="CA322" s="325"/>
      <c r="CB322" s="325"/>
      <c r="CC322" s="325"/>
      <c r="CD322" s="423">
        <v>382.5</v>
      </c>
      <c r="CE322" s="423">
        <v>283.5</v>
      </c>
      <c r="CF322" s="423">
        <f>479.8</f>
        <v>479.8</v>
      </c>
      <c r="CG322" s="325">
        <f>SUM(AJ322:AM322)</f>
        <v>435.70000000000005</v>
      </c>
      <c r="CH322" s="325">
        <f>SUM(AN322:AQ322)</f>
        <v>400.9</v>
      </c>
      <c r="CI322" s="325">
        <f>SUM(AR322:AU322)</f>
        <v>390.70000000000005</v>
      </c>
      <c r="CJ322" s="325">
        <f>SUM(AV322:AY322)</f>
        <v>434.15839315113601</v>
      </c>
      <c r="CK322" s="325">
        <f>SUM(AZ322:BC322)</f>
        <v>437.20818249325009</v>
      </c>
      <c r="CL322" s="325">
        <f>SUM(BD322:BG322)</f>
        <v>478.35162118046247</v>
      </c>
      <c r="CM322" s="325">
        <f>SUM(BH322:BK322)</f>
        <v>517.7831785538699</v>
      </c>
      <c r="CN322" s="325"/>
      <c r="CO322" s="325"/>
      <c r="CP322" s="326"/>
    </row>
    <row r="323" spans="1:94" ht="14.25" hidden="1" customHeight="1" outlineLevel="2">
      <c r="A323" s="9"/>
      <c r="B323" s="217" t="s">
        <v>373</v>
      </c>
      <c r="C323" s="218"/>
      <c r="D323" s="372"/>
      <c r="E323" s="372"/>
      <c r="F323" s="372"/>
      <c r="G323" s="218"/>
      <c r="H323" s="372"/>
      <c r="I323" s="372"/>
      <c r="J323" s="372"/>
      <c r="K323" s="218"/>
      <c r="L323" s="370"/>
      <c r="M323" s="370"/>
      <c r="N323" s="370"/>
      <c r="O323" s="335"/>
      <c r="P323" s="370"/>
      <c r="Q323" s="370"/>
      <c r="R323" s="370"/>
      <c r="S323" s="335"/>
      <c r="T323" s="370"/>
      <c r="U323" s="370"/>
      <c r="V323" s="370"/>
      <c r="W323" s="335"/>
      <c r="X323" s="370"/>
      <c r="Y323" s="370"/>
      <c r="Z323" s="370"/>
      <c r="AA323" s="335"/>
      <c r="AB323" s="370"/>
      <c r="AC323" s="370"/>
      <c r="AD323" s="370"/>
      <c r="AE323" s="335"/>
      <c r="AF323" s="370"/>
      <c r="AG323" s="370"/>
      <c r="AH323" s="370"/>
      <c r="AI323" s="335"/>
      <c r="AJ323" s="370">
        <f t="shared" ref="AJ323:AV323" si="703">AJ322/AJ317</f>
        <v>0.38737894407997497</v>
      </c>
      <c r="AK323" s="370">
        <f t="shared" si="703"/>
        <v>0.36311500150920611</v>
      </c>
      <c r="AL323" s="370">
        <f t="shared" si="703"/>
        <v>0.33686917389906779</v>
      </c>
      <c r="AM323" s="335">
        <f t="shared" si="703"/>
        <v>0.3160583941605839</v>
      </c>
      <c r="AN323" s="370">
        <f t="shared" si="703"/>
        <v>0.36970567121320885</v>
      </c>
      <c r="AO323" s="370">
        <f t="shared" si="703"/>
        <v>0.3918338108882522</v>
      </c>
      <c r="AP323" s="370">
        <f t="shared" si="703"/>
        <v>0.35775553967119367</v>
      </c>
      <c r="AQ323" s="335">
        <f t="shared" si="703"/>
        <v>0.33096218644702358</v>
      </c>
      <c r="AR323" s="370">
        <f t="shared" si="703"/>
        <v>0.35633484162895929</v>
      </c>
      <c r="AS323" s="370">
        <f t="shared" si="703"/>
        <v>0.38350217076700438</v>
      </c>
      <c r="AT323" s="370">
        <f t="shared" si="703"/>
        <v>0.33011049723756902</v>
      </c>
      <c r="AU323" s="335">
        <f>AU322/AU317</f>
        <v>0.32620689655172413</v>
      </c>
      <c r="AV323" s="370">
        <f t="shared" si="703"/>
        <v>0.36258108569477643</v>
      </c>
      <c r="AW323" s="370">
        <f>AW322/AW317</f>
        <v>0.36285808363516631</v>
      </c>
      <c r="AX323" s="381">
        <f t="shared" ref="AX323:BC323" si="704">AW323</f>
        <v>0.36285808363516631</v>
      </c>
      <c r="AY323" s="292">
        <f t="shared" si="704"/>
        <v>0.36285808363516631</v>
      </c>
      <c r="AZ323" s="294">
        <f t="shared" si="704"/>
        <v>0.36285808363516631</v>
      </c>
      <c r="BA323" s="381">
        <f t="shared" si="704"/>
        <v>0.36285808363516631</v>
      </c>
      <c r="BB323" s="381">
        <f t="shared" si="704"/>
        <v>0.36285808363516631</v>
      </c>
      <c r="BC323" s="292">
        <f t="shared" si="704"/>
        <v>0.36285808363516631</v>
      </c>
      <c r="BD323" s="294">
        <f t="shared" ref="BD323:BK323" si="705">BC323</f>
        <v>0.36285808363516631</v>
      </c>
      <c r="BE323" s="381">
        <f t="shared" si="705"/>
        <v>0.36285808363516631</v>
      </c>
      <c r="BF323" s="381">
        <f t="shared" si="705"/>
        <v>0.36285808363516631</v>
      </c>
      <c r="BG323" s="292">
        <f t="shared" si="705"/>
        <v>0.36285808363516631</v>
      </c>
      <c r="BH323" s="294">
        <f t="shared" si="705"/>
        <v>0.36285808363516631</v>
      </c>
      <c r="BI323" s="381">
        <f t="shared" si="705"/>
        <v>0.36285808363516631</v>
      </c>
      <c r="BJ323" s="381">
        <f t="shared" si="705"/>
        <v>0.36285808363516631</v>
      </c>
      <c r="BK323" s="292">
        <f t="shared" si="705"/>
        <v>0.36285808363516631</v>
      </c>
      <c r="BL323" s="294"/>
      <c r="BM323" s="381"/>
      <c r="BN323" s="381"/>
      <c r="BO323" s="292"/>
      <c r="BP323" s="294"/>
      <c r="BQ323" s="381"/>
      <c r="BR323" s="381"/>
      <c r="BS323" s="292"/>
      <c r="BT323" s="294"/>
      <c r="BU323" s="381"/>
      <c r="BV323" s="381"/>
      <c r="BW323" s="292"/>
      <c r="BX323" s="21"/>
      <c r="BY323" s="22"/>
      <c r="BZ323" s="15"/>
      <c r="CA323" s="338"/>
      <c r="CB323" s="338"/>
      <c r="CC323" s="338"/>
      <c r="CD323" s="370">
        <f t="shared" ref="CD323:CL323" si="706">CD322/CD317</f>
        <v>0.36477207705512116</v>
      </c>
      <c r="CE323" s="370">
        <f t="shared" si="706"/>
        <v>0.30519969856819895</v>
      </c>
      <c r="CF323" s="370">
        <f t="shared" si="706"/>
        <v>0.38073321694969053</v>
      </c>
      <c r="CG323" s="338">
        <f t="shared" si="706"/>
        <v>0.35236554791750913</v>
      </c>
      <c r="CH323" s="338">
        <f t="shared" si="706"/>
        <v>0.36290395582511092</v>
      </c>
      <c r="CI323" s="338">
        <f t="shared" si="706"/>
        <v>0.34846592936139859</v>
      </c>
      <c r="CJ323" s="338">
        <f t="shared" si="706"/>
        <v>0.36279028774578514</v>
      </c>
      <c r="CK323" s="338">
        <f t="shared" si="706"/>
        <v>0.36285808363516631</v>
      </c>
      <c r="CL323" s="338">
        <f t="shared" si="706"/>
        <v>0.36285808363516631</v>
      </c>
      <c r="CM323" s="338">
        <f>CM322/CM317</f>
        <v>0.36285808363516642</v>
      </c>
      <c r="CN323" s="338"/>
      <c r="CO323" s="338"/>
      <c r="CP323" s="337"/>
    </row>
    <row r="324" spans="1:94" ht="14.25" hidden="1" customHeight="1" outlineLevel="2">
      <c r="A324" s="9"/>
      <c r="B324" s="217"/>
      <c r="C324" s="218"/>
      <c r="D324" s="372"/>
      <c r="E324" s="372"/>
      <c r="F324" s="372"/>
      <c r="G324" s="218"/>
      <c r="H324" s="372"/>
      <c r="I324" s="372"/>
      <c r="J324" s="372"/>
      <c r="K324" s="218"/>
      <c r="L324" s="80"/>
      <c r="M324" s="80"/>
      <c r="N324" s="80"/>
      <c r="O324" s="262"/>
      <c r="P324" s="80"/>
      <c r="Q324" s="80"/>
      <c r="R324" s="80"/>
      <c r="S324" s="262"/>
      <c r="T324" s="80"/>
      <c r="U324" s="80"/>
      <c r="V324" s="80"/>
      <c r="W324" s="262"/>
      <c r="X324" s="80"/>
      <c r="Y324" s="80"/>
      <c r="Z324" s="80"/>
      <c r="AA324" s="262"/>
      <c r="AB324" s="80"/>
      <c r="AC324" s="80"/>
      <c r="AD324" s="80"/>
      <c r="AE324" s="262"/>
      <c r="AF324" s="80"/>
      <c r="AG324" s="80"/>
      <c r="AH324" s="80"/>
      <c r="AI324" s="262"/>
      <c r="AJ324" s="80"/>
      <c r="AK324" s="80"/>
      <c r="AL324" s="80"/>
      <c r="AM324" s="262"/>
      <c r="AN324" s="80"/>
      <c r="AO324" s="80"/>
      <c r="AP324" s="80"/>
      <c r="AQ324" s="262"/>
      <c r="AR324" s="80"/>
      <c r="AS324" s="80"/>
      <c r="AT324" s="80"/>
      <c r="AU324" s="262"/>
      <c r="AV324" s="278"/>
      <c r="AW324" s="80"/>
      <c r="AX324" s="278"/>
      <c r="AY324" s="81"/>
      <c r="AZ324" s="278"/>
      <c r="BA324" s="278"/>
      <c r="BB324" s="278"/>
      <c r="BC324" s="81"/>
      <c r="BD324" s="278"/>
      <c r="BE324" s="278"/>
      <c r="BF324" s="278"/>
      <c r="BG324" s="81"/>
      <c r="BH324" s="278"/>
      <c r="BI324" s="278"/>
      <c r="BJ324" s="278"/>
      <c r="BK324" s="81"/>
      <c r="BL324" s="278"/>
      <c r="BM324" s="278"/>
      <c r="BN324" s="278"/>
      <c r="BO324" s="81"/>
      <c r="BP324" s="278"/>
      <c r="BQ324" s="278"/>
      <c r="BR324" s="278"/>
      <c r="BS324" s="81"/>
      <c r="BT324" s="278"/>
      <c r="BU324" s="278"/>
      <c r="BV324" s="278"/>
      <c r="BW324" s="81"/>
      <c r="BX324" s="21"/>
      <c r="BY324" s="22"/>
      <c r="BZ324" s="15"/>
      <c r="CA324" s="15"/>
      <c r="CB324" s="15"/>
      <c r="CC324" s="15"/>
      <c r="CD324" s="80"/>
      <c r="CE324" s="80"/>
      <c r="CF324" s="80"/>
      <c r="CG324" s="220"/>
      <c r="CH324" s="220"/>
      <c r="CI324" s="220"/>
      <c r="CJ324" s="220"/>
      <c r="CK324" s="220"/>
      <c r="CL324" s="220"/>
      <c r="CM324" s="220"/>
      <c r="CN324" s="220"/>
      <c r="CO324" s="220"/>
      <c r="CP324" s="258"/>
    </row>
    <row r="325" spans="1:94" ht="14.25" hidden="1" customHeight="1" outlineLevel="2">
      <c r="A325" s="9"/>
      <c r="B325" s="962" t="s">
        <v>564</v>
      </c>
      <c r="C325" s="949"/>
      <c r="D325" s="950"/>
      <c r="E325" s="950"/>
      <c r="F325" s="950"/>
      <c r="G325" s="949"/>
      <c r="H325" s="950"/>
      <c r="I325" s="950"/>
      <c r="J325" s="950"/>
      <c r="K325" s="949"/>
      <c r="L325" s="832"/>
      <c r="M325" s="951"/>
      <c r="N325" s="951"/>
      <c r="O325" s="834"/>
      <c r="P325" s="832"/>
      <c r="Q325" s="951"/>
      <c r="R325" s="951"/>
      <c r="S325" s="834"/>
      <c r="T325" s="832"/>
      <c r="U325" s="951"/>
      <c r="V325" s="951"/>
      <c r="W325" s="834"/>
      <c r="X325" s="832"/>
      <c r="Y325" s="951"/>
      <c r="Z325" s="951"/>
      <c r="AA325" s="834"/>
      <c r="AB325" s="832"/>
      <c r="AC325" s="951"/>
      <c r="AD325" s="951"/>
      <c r="AE325" s="834"/>
      <c r="AF325" s="832"/>
      <c r="AG325" s="951"/>
      <c r="AH325" s="951"/>
      <c r="AI325" s="834"/>
      <c r="AJ325" s="952">
        <f>+AJ317-AJ322</f>
        <v>196.10000000000002</v>
      </c>
      <c r="AK325" s="953">
        <f t="shared" ref="AK325:AS325" si="707">+AK317-AK322</f>
        <v>211</v>
      </c>
      <c r="AL325" s="953">
        <f t="shared" si="707"/>
        <v>206.3</v>
      </c>
      <c r="AM325" s="954">
        <f t="shared" si="707"/>
        <v>187.4</v>
      </c>
      <c r="AN325" s="952">
        <f t="shared" si="707"/>
        <v>175.60000000000002</v>
      </c>
      <c r="AO325" s="953">
        <f t="shared" si="707"/>
        <v>169.79999999999998</v>
      </c>
      <c r="AP325" s="953">
        <f t="shared" si="707"/>
        <v>179.70000000000002</v>
      </c>
      <c r="AQ325" s="954">
        <f t="shared" si="707"/>
        <v>178.70000000000002</v>
      </c>
      <c r="AR325" s="952">
        <f t="shared" si="707"/>
        <v>170.7</v>
      </c>
      <c r="AS325" s="953">
        <f t="shared" si="707"/>
        <v>170.39999999999998</v>
      </c>
      <c r="AT325" s="953">
        <f>+AT317-AT322</f>
        <v>194.00000000000003</v>
      </c>
      <c r="AU325" s="954">
        <f>+AU317-AU322</f>
        <v>195.4</v>
      </c>
      <c r="AV325" s="952">
        <f>+AV317-AV322</f>
        <v>186.7</v>
      </c>
      <c r="AW325" s="953">
        <f>+AW317-AW322</f>
        <v>193.5</v>
      </c>
      <c r="AX325" s="278"/>
      <c r="AY325" s="81"/>
      <c r="AZ325" s="278"/>
      <c r="BA325" s="278"/>
      <c r="BB325" s="278"/>
      <c r="BC325" s="81"/>
      <c r="BD325" s="278"/>
      <c r="BE325" s="278"/>
      <c r="BF325" s="278"/>
      <c r="BG325" s="81"/>
      <c r="BH325" s="278"/>
      <c r="BI325" s="278"/>
      <c r="BJ325" s="278"/>
      <c r="BK325" s="81"/>
      <c r="BL325" s="278"/>
      <c r="BM325" s="278"/>
      <c r="BN325" s="278"/>
      <c r="BO325" s="81"/>
      <c r="BP325" s="278"/>
      <c r="BQ325" s="278"/>
      <c r="BR325" s="278"/>
      <c r="BS325" s="81"/>
      <c r="BT325" s="278"/>
      <c r="BU325" s="278"/>
      <c r="BV325" s="278"/>
      <c r="BW325" s="81"/>
      <c r="BX325" s="21"/>
      <c r="BY325" s="22"/>
      <c r="BZ325" s="15"/>
      <c r="CA325" s="15"/>
      <c r="CB325" s="15"/>
      <c r="CC325" s="15"/>
      <c r="CD325" s="80"/>
      <c r="CE325" s="80"/>
      <c r="CF325" s="80"/>
      <c r="CG325" s="220"/>
      <c r="CH325" s="220"/>
      <c r="CI325" s="952">
        <f>SUM(AR325:AU325)</f>
        <v>730.5</v>
      </c>
      <c r="CJ325" s="220"/>
      <c r="CK325" s="220"/>
      <c r="CL325" s="220"/>
      <c r="CM325" s="220"/>
      <c r="CN325" s="220"/>
      <c r="CO325" s="220"/>
      <c r="CP325" s="258"/>
    </row>
    <row r="326" spans="1:94" ht="14.25" hidden="1" customHeight="1" outlineLevel="2">
      <c r="A326" s="9"/>
      <c r="B326" s="977" t="s">
        <v>565</v>
      </c>
      <c r="C326" s="978"/>
      <c r="D326" s="979"/>
      <c r="E326" s="979"/>
      <c r="F326" s="979"/>
      <c r="G326" s="978"/>
      <c r="H326" s="979"/>
      <c r="I326" s="979"/>
      <c r="J326" s="979"/>
      <c r="K326" s="978"/>
      <c r="L326" s="980"/>
      <c r="M326" s="981"/>
      <c r="N326" s="981"/>
      <c r="O326" s="982"/>
      <c r="P326" s="980"/>
      <c r="Q326" s="981"/>
      <c r="R326" s="981"/>
      <c r="S326" s="982"/>
      <c r="T326" s="980"/>
      <c r="U326" s="981"/>
      <c r="V326" s="981"/>
      <c r="W326" s="982"/>
      <c r="X326" s="980"/>
      <c r="Y326" s="981"/>
      <c r="Z326" s="981"/>
      <c r="AA326" s="982"/>
      <c r="AB326" s="980"/>
      <c r="AC326" s="981"/>
      <c r="AD326" s="981"/>
      <c r="AE326" s="982"/>
      <c r="AF326" s="980"/>
      <c r="AG326" s="981"/>
      <c r="AH326" s="981"/>
      <c r="AI326" s="982"/>
      <c r="AJ326" s="983">
        <f>+AJ322-AJ329</f>
        <v>48.5</v>
      </c>
      <c r="AK326" s="984">
        <f t="shared" ref="AK326:AS326" si="708">+AK322-AK329</f>
        <v>46.399999999999991</v>
      </c>
      <c r="AL326" s="984">
        <f t="shared" si="708"/>
        <v>45</v>
      </c>
      <c r="AM326" s="985">
        <f t="shared" si="708"/>
        <v>41.199999999999996</v>
      </c>
      <c r="AN326" s="983">
        <f t="shared" si="708"/>
        <v>40.9</v>
      </c>
      <c r="AO326" s="984">
        <f t="shared" si="708"/>
        <v>42.300000000000011</v>
      </c>
      <c r="AP326" s="984">
        <f t="shared" si="708"/>
        <v>39.199999999999996</v>
      </c>
      <c r="AQ326" s="985">
        <f t="shared" si="708"/>
        <v>38.500000000000007</v>
      </c>
      <c r="AR326" s="983">
        <f t="shared" si="708"/>
        <v>36.9</v>
      </c>
      <c r="AS326" s="984">
        <f t="shared" si="708"/>
        <v>40.700000000000003</v>
      </c>
      <c r="AT326" s="984">
        <f>+AT322-AT329</f>
        <v>40.699999999999996</v>
      </c>
      <c r="AU326" s="985">
        <f>+AU322-AU329</f>
        <v>44.199999999999996</v>
      </c>
      <c r="AV326" s="983">
        <f>+AV322-AV329</f>
        <v>46</v>
      </c>
      <c r="AW326" s="984">
        <f>+AW322-AW329</f>
        <v>49.5</v>
      </c>
      <c r="AX326" s="278"/>
      <c r="AY326" s="81"/>
      <c r="AZ326" s="278"/>
      <c r="BA326" s="278"/>
      <c r="BB326" s="278"/>
      <c r="BC326" s="81"/>
      <c r="BD326" s="278"/>
      <c r="BE326" s="278"/>
      <c r="BF326" s="278"/>
      <c r="BG326" s="81"/>
      <c r="BH326" s="278"/>
      <c r="BI326" s="278"/>
      <c r="BJ326" s="278"/>
      <c r="BK326" s="81"/>
      <c r="BL326" s="278"/>
      <c r="BM326" s="278"/>
      <c r="BN326" s="278"/>
      <c r="BO326" s="81"/>
      <c r="BP326" s="278"/>
      <c r="BQ326" s="278"/>
      <c r="BR326" s="278"/>
      <c r="BS326" s="81"/>
      <c r="BT326" s="278"/>
      <c r="BU326" s="278"/>
      <c r="BV326" s="278"/>
      <c r="BW326" s="81"/>
      <c r="BX326" s="21"/>
      <c r="BY326" s="22"/>
      <c r="BZ326" s="15"/>
      <c r="CA326" s="15"/>
      <c r="CB326" s="15"/>
      <c r="CC326" s="15"/>
      <c r="CD326" s="80"/>
      <c r="CE326" s="80"/>
      <c r="CF326" s="80"/>
      <c r="CG326" s="220"/>
      <c r="CH326" s="220"/>
      <c r="CI326" s="983">
        <f>SUM(AR326:AU326)</f>
        <v>162.49999999999997</v>
      </c>
      <c r="CJ326" s="220"/>
      <c r="CK326" s="220"/>
      <c r="CL326" s="220"/>
      <c r="CM326" s="220"/>
      <c r="CN326" s="220"/>
      <c r="CO326" s="220"/>
      <c r="CP326" s="258"/>
    </row>
    <row r="327" spans="1:94" ht="14.25" hidden="1" customHeight="1" outlineLevel="2">
      <c r="A327" s="9"/>
      <c r="B327" s="962" t="s">
        <v>570</v>
      </c>
      <c r="C327" s="950"/>
      <c r="D327" s="950"/>
      <c r="E327" s="950"/>
      <c r="F327" s="950"/>
      <c r="G327" s="949"/>
      <c r="H327" s="950"/>
      <c r="I327" s="950"/>
      <c r="J327" s="950"/>
      <c r="K327" s="950"/>
      <c r="L327" s="832"/>
      <c r="M327" s="951"/>
      <c r="N327" s="951"/>
      <c r="O327" s="834"/>
      <c r="P327" s="832"/>
      <c r="Q327" s="951"/>
      <c r="R327" s="951"/>
      <c r="S327" s="832"/>
      <c r="T327" s="832"/>
      <c r="U327" s="951"/>
      <c r="V327" s="951"/>
      <c r="W327" s="834"/>
      <c r="X327" s="832"/>
      <c r="Y327" s="951"/>
      <c r="Z327" s="951"/>
      <c r="AA327" s="834"/>
      <c r="AB327" s="832"/>
      <c r="AC327" s="951"/>
      <c r="AD327" s="951"/>
      <c r="AE327" s="834"/>
      <c r="AF327" s="832"/>
      <c r="AG327" s="951"/>
      <c r="AH327" s="951"/>
      <c r="AI327" s="834"/>
      <c r="AJ327" s="952">
        <f t="shared" ref="AJ327:AV327" si="709">+SUM(AJ325:AJ326)</f>
        <v>244.60000000000002</v>
      </c>
      <c r="AK327" s="953">
        <f t="shared" si="709"/>
        <v>257.39999999999998</v>
      </c>
      <c r="AL327" s="953">
        <f t="shared" si="709"/>
        <v>251.3</v>
      </c>
      <c r="AM327" s="954">
        <f t="shared" si="709"/>
        <v>228.6</v>
      </c>
      <c r="AN327" s="952">
        <f t="shared" si="709"/>
        <v>216.50000000000003</v>
      </c>
      <c r="AO327" s="953">
        <f t="shared" si="709"/>
        <v>212.1</v>
      </c>
      <c r="AP327" s="953">
        <f t="shared" si="709"/>
        <v>218.9</v>
      </c>
      <c r="AQ327" s="954">
        <f t="shared" si="709"/>
        <v>217.20000000000002</v>
      </c>
      <c r="AR327" s="952">
        <f t="shared" si="709"/>
        <v>207.6</v>
      </c>
      <c r="AS327" s="953">
        <f t="shared" si="709"/>
        <v>211.09999999999997</v>
      </c>
      <c r="AT327" s="953">
        <f t="shared" si="709"/>
        <v>234.70000000000002</v>
      </c>
      <c r="AU327" s="954">
        <f>+SUM(AU325:AU326)</f>
        <v>239.6</v>
      </c>
      <c r="AV327" s="952">
        <f t="shared" si="709"/>
        <v>232.7</v>
      </c>
      <c r="AW327" s="953">
        <f>+SUM(AW325:AW326)</f>
        <v>243</v>
      </c>
      <c r="AX327" s="278"/>
      <c r="AY327" s="81"/>
      <c r="AZ327" s="278"/>
      <c r="BA327" s="278"/>
      <c r="BB327" s="278"/>
      <c r="BC327" s="81"/>
      <c r="BD327" s="278"/>
      <c r="BE327" s="278"/>
      <c r="BF327" s="278"/>
      <c r="BG327" s="81"/>
      <c r="BH327" s="278"/>
      <c r="BI327" s="278"/>
      <c r="BJ327" s="278"/>
      <c r="BK327" s="81"/>
      <c r="BL327" s="278"/>
      <c r="BM327" s="278"/>
      <c r="BN327" s="278"/>
      <c r="BO327" s="81"/>
      <c r="BP327" s="278"/>
      <c r="BQ327" s="278"/>
      <c r="BR327" s="278"/>
      <c r="BS327" s="81"/>
      <c r="BT327" s="278"/>
      <c r="BU327" s="278"/>
      <c r="BV327" s="278"/>
      <c r="BW327" s="81"/>
      <c r="BX327" s="21"/>
      <c r="BY327" s="22"/>
      <c r="BZ327" s="15"/>
      <c r="CA327" s="15"/>
      <c r="CB327" s="15"/>
      <c r="CC327" s="15"/>
      <c r="CD327" s="80"/>
      <c r="CE327" s="80"/>
      <c r="CF327" s="80"/>
      <c r="CG327" s="220"/>
      <c r="CH327" s="220"/>
      <c r="CI327" s="952">
        <f>SUM(AR327:AU327)</f>
        <v>893</v>
      </c>
      <c r="CJ327" s="220"/>
      <c r="CK327" s="220"/>
      <c r="CL327" s="220"/>
      <c r="CM327" s="220"/>
      <c r="CN327" s="220"/>
      <c r="CO327" s="220"/>
      <c r="CP327" s="258"/>
    </row>
    <row r="328" spans="1:94" ht="14.25" hidden="1" customHeight="1" outlineLevel="2">
      <c r="A328" s="9"/>
      <c r="B328" s="217"/>
      <c r="C328" s="218"/>
      <c r="D328" s="372"/>
      <c r="E328" s="372"/>
      <c r="F328" s="372"/>
      <c r="G328" s="218"/>
      <c r="H328" s="372"/>
      <c r="I328" s="372"/>
      <c r="J328" s="372"/>
      <c r="K328" s="218"/>
      <c r="L328" s="80"/>
      <c r="M328" s="80"/>
      <c r="N328" s="80"/>
      <c r="O328" s="262"/>
      <c r="P328" s="80"/>
      <c r="Q328" s="80"/>
      <c r="R328" s="80"/>
      <c r="S328" s="262"/>
      <c r="T328" s="80"/>
      <c r="U328" s="80"/>
      <c r="V328" s="80"/>
      <c r="W328" s="262"/>
      <c r="X328" s="80"/>
      <c r="Y328" s="80"/>
      <c r="Z328" s="80"/>
      <c r="AA328" s="262"/>
      <c r="AB328" s="80"/>
      <c r="AC328" s="80"/>
      <c r="AD328" s="80"/>
      <c r="AE328" s="262"/>
      <c r="AF328" s="80"/>
      <c r="AG328" s="80"/>
      <c r="AH328" s="80"/>
      <c r="AI328" s="262"/>
      <c r="AJ328" s="80"/>
      <c r="AK328" s="80"/>
      <c r="AL328" s="80"/>
      <c r="AM328" s="262"/>
      <c r="AN328" s="80"/>
      <c r="AO328" s="80"/>
      <c r="AP328" s="80"/>
      <c r="AQ328" s="262"/>
      <c r="AR328" s="80"/>
      <c r="AS328" s="80"/>
      <c r="AT328" s="80"/>
      <c r="AU328" s="262"/>
      <c r="AV328" s="278"/>
      <c r="AW328" s="80"/>
      <c r="AX328" s="278"/>
      <c r="AY328" s="81"/>
      <c r="AZ328" s="278"/>
      <c r="BA328" s="278"/>
      <c r="BB328" s="278"/>
      <c r="BC328" s="81"/>
      <c r="BD328" s="278"/>
      <c r="BE328" s="278"/>
      <c r="BF328" s="278"/>
      <c r="BG328" s="81"/>
      <c r="BH328" s="278"/>
      <c r="BI328" s="278"/>
      <c r="BJ328" s="278"/>
      <c r="BK328" s="81"/>
      <c r="BL328" s="278"/>
      <c r="BM328" s="278"/>
      <c r="BN328" s="278"/>
      <c r="BO328" s="81"/>
      <c r="BP328" s="278"/>
      <c r="BQ328" s="278"/>
      <c r="BR328" s="278"/>
      <c r="BS328" s="81"/>
      <c r="BT328" s="278"/>
      <c r="BU328" s="278"/>
      <c r="BV328" s="278"/>
      <c r="BW328" s="81"/>
      <c r="BX328" s="21"/>
      <c r="BY328" s="22"/>
      <c r="BZ328" s="15"/>
      <c r="CA328" s="15"/>
      <c r="CB328" s="15"/>
      <c r="CC328" s="15"/>
      <c r="CD328" s="80"/>
      <c r="CE328" s="80"/>
      <c r="CF328" s="80"/>
      <c r="CG328" s="220"/>
      <c r="CH328" s="220"/>
      <c r="CI328" s="220"/>
      <c r="CJ328" s="220"/>
      <c r="CK328" s="220"/>
      <c r="CL328" s="220"/>
      <c r="CM328" s="220"/>
      <c r="CN328" s="220"/>
      <c r="CO328" s="220"/>
      <c r="CP328" s="258"/>
    </row>
    <row r="329" spans="1:94" ht="14.25" hidden="1" customHeight="1" outlineLevel="2">
      <c r="A329" s="9"/>
      <c r="B329" s="235" t="s">
        <v>197</v>
      </c>
      <c r="C329" s="218"/>
      <c r="D329" s="372"/>
      <c r="E329" s="372"/>
      <c r="F329" s="372"/>
      <c r="G329" s="218"/>
      <c r="H329" s="372"/>
      <c r="I329" s="372"/>
      <c r="J329" s="372"/>
      <c r="K329" s="218"/>
      <c r="L329" s="343"/>
      <c r="M329" s="343"/>
      <c r="N329" s="343"/>
      <c r="O329" s="369"/>
      <c r="P329" s="343"/>
      <c r="Q329" s="343"/>
      <c r="R329" s="343"/>
      <c r="S329" s="369"/>
      <c r="T329" s="343"/>
      <c r="U329" s="343"/>
      <c r="V329" s="343"/>
      <c r="W329" s="369"/>
      <c r="X329" s="343"/>
      <c r="Y329" s="343"/>
      <c r="Z329" s="343"/>
      <c r="AA329" s="369"/>
      <c r="AB329" s="343"/>
      <c r="AC329" s="343"/>
      <c r="AD329" s="343"/>
      <c r="AE329" s="369"/>
      <c r="AF329" s="343"/>
      <c r="AG329" s="343"/>
      <c r="AH329" s="343"/>
      <c r="AI329" s="369"/>
      <c r="AJ329" s="423">
        <v>75.5</v>
      </c>
      <c r="AK329" s="423">
        <v>73.900000000000006</v>
      </c>
      <c r="AL329" s="423">
        <v>59.8</v>
      </c>
      <c r="AM329" s="401">
        <v>45.4</v>
      </c>
      <c r="AN329" s="423">
        <v>62.1</v>
      </c>
      <c r="AO329" s="423">
        <v>67.099999999999994</v>
      </c>
      <c r="AP329" s="423">
        <v>60.9</v>
      </c>
      <c r="AQ329" s="401">
        <v>49.9</v>
      </c>
      <c r="AR329" s="423">
        <v>57.6</v>
      </c>
      <c r="AS329" s="423">
        <v>65.3</v>
      </c>
      <c r="AT329" s="423">
        <v>54.9</v>
      </c>
      <c r="AU329" s="401">
        <v>50.4</v>
      </c>
      <c r="AV329" s="423">
        <v>60.2</v>
      </c>
      <c r="AW329" s="423">
        <v>60.7</v>
      </c>
      <c r="AX329" s="341"/>
      <c r="AY329" s="342"/>
      <c r="AZ329" s="341"/>
      <c r="BA329" s="341"/>
      <c r="BB329" s="341"/>
      <c r="BC329" s="342"/>
      <c r="BD329" s="341"/>
      <c r="BE329" s="341"/>
      <c r="BF329" s="341"/>
      <c r="BG329" s="342"/>
      <c r="BH329" s="341"/>
      <c r="BI329" s="341"/>
      <c r="BJ329" s="341"/>
      <c r="BK329" s="342"/>
      <c r="BL329" s="341"/>
      <c r="BM329" s="341"/>
      <c r="BN329" s="341"/>
      <c r="BO329" s="342"/>
      <c r="BP329" s="341"/>
      <c r="BQ329" s="341"/>
      <c r="BR329" s="341"/>
      <c r="BS329" s="342"/>
      <c r="BT329" s="341"/>
      <c r="BU329" s="341"/>
      <c r="BV329" s="341"/>
      <c r="BW329" s="342"/>
      <c r="BX329" s="263"/>
      <c r="BY329" s="235"/>
      <c r="BZ329" s="251"/>
      <c r="CA329" s="325"/>
      <c r="CB329" s="325"/>
      <c r="CC329" s="325"/>
      <c r="CD329" s="423">
        <v>207.2</v>
      </c>
      <c r="CE329" s="423">
        <v>145.5</v>
      </c>
      <c r="CF329" s="423">
        <f>301</f>
        <v>301</v>
      </c>
      <c r="CG329" s="325">
        <f>SUM(AJ329:AM329)</f>
        <v>254.6</v>
      </c>
      <c r="CH329" s="325">
        <f>SUM(AN329:AQ329)</f>
        <v>240</v>
      </c>
      <c r="CI329" s="325">
        <f>SUM(AR329:AU329)</f>
        <v>228.20000000000002</v>
      </c>
      <c r="CJ329" s="325"/>
      <c r="CK329" s="325"/>
      <c r="CL329" s="325"/>
      <c r="CM329" s="325"/>
      <c r="CN329" s="325"/>
      <c r="CO329" s="325"/>
      <c r="CP329" s="326"/>
    </row>
    <row r="330" spans="1:94" ht="14.25" hidden="1" customHeight="1" outlineLevel="2">
      <c r="A330" s="9"/>
      <c r="B330" s="217" t="s">
        <v>297</v>
      </c>
      <c r="C330" s="218"/>
      <c r="D330" s="372"/>
      <c r="E330" s="372"/>
      <c r="F330" s="372"/>
      <c r="G330" s="218"/>
      <c r="H330" s="372"/>
      <c r="I330" s="372"/>
      <c r="J330" s="372"/>
      <c r="K330" s="218"/>
      <c r="L330" s="370"/>
      <c r="M330" s="370"/>
      <c r="N330" s="370"/>
      <c r="O330" s="335"/>
      <c r="P330" s="336"/>
      <c r="Q330" s="370"/>
      <c r="R330" s="370"/>
      <c r="S330" s="335"/>
      <c r="T330" s="336"/>
      <c r="U330" s="370"/>
      <c r="V330" s="370"/>
      <c r="W330" s="335"/>
      <c r="X330" s="336"/>
      <c r="Y330" s="370"/>
      <c r="Z330" s="370"/>
      <c r="AA330" s="335"/>
      <c r="AB330" s="336"/>
      <c r="AC330" s="370"/>
      <c r="AD330" s="370"/>
      <c r="AE330" s="335"/>
      <c r="AF330" s="370"/>
      <c r="AG330" s="370"/>
      <c r="AH330" s="370"/>
      <c r="AI330" s="335"/>
      <c r="AJ330" s="425"/>
      <c r="AK330" s="370">
        <f t="shared" ref="AK330:AW330" si="710">AK329/AJ329-1</f>
        <v>-2.1192052980132381E-2</v>
      </c>
      <c r="AL330" s="370">
        <f t="shared" si="710"/>
        <v>-0.19079837618403261</v>
      </c>
      <c r="AM330" s="335">
        <f t="shared" si="710"/>
        <v>-0.24080267558528423</v>
      </c>
      <c r="AN330" s="370">
        <f t="shared" si="710"/>
        <v>0.36784140969163004</v>
      </c>
      <c r="AO330" s="370">
        <f t="shared" si="710"/>
        <v>8.0515297906602168E-2</v>
      </c>
      <c r="AP330" s="370">
        <f t="shared" si="710"/>
        <v>-9.2399403874813602E-2</v>
      </c>
      <c r="AQ330" s="335">
        <f t="shared" si="710"/>
        <v>-0.180623973727422</v>
      </c>
      <c r="AR330" s="370">
        <f t="shared" si="710"/>
        <v>0.15430861723446898</v>
      </c>
      <c r="AS330" s="370">
        <f t="shared" si="710"/>
        <v>0.13368055555555558</v>
      </c>
      <c r="AT330" s="370">
        <f t="shared" si="710"/>
        <v>-0.15926493108728945</v>
      </c>
      <c r="AU330" s="335">
        <f t="shared" si="710"/>
        <v>-8.1967213114754078E-2</v>
      </c>
      <c r="AV330" s="370">
        <f t="shared" si="710"/>
        <v>0.19444444444444464</v>
      </c>
      <c r="AW330" s="370">
        <f t="shared" si="710"/>
        <v>8.3056478405316714E-3</v>
      </c>
      <c r="AX330" s="231"/>
      <c r="AY330" s="79"/>
      <c r="AZ330" s="231"/>
      <c r="BA330" s="231"/>
      <c r="BB330" s="231"/>
      <c r="BC330" s="79"/>
      <c r="BD330" s="231"/>
      <c r="BE330" s="231"/>
      <c r="BF330" s="231"/>
      <c r="BG330" s="79"/>
      <c r="BH330" s="231"/>
      <c r="BI330" s="231"/>
      <c r="BJ330" s="231"/>
      <c r="BK330" s="79"/>
      <c r="BL330" s="231"/>
      <c r="BM330" s="231"/>
      <c r="BN330" s="231"/>
      <c r="BO330" s="79"/>
      <c r="BP330" s="231"/>
      <c r="BQ330" s="231"/>
      <c r="BR330" s="231"/>
      <c r="BS330" s="79"/>
      <c r="BT330" s="231"/>
      <c r="BU330" s="231"/>
      <c r="BV330" s="231"/>
      <c r="BW330" s="79"/>
      <c r="BX330" s="21"/>
      <c r="BY330" s="22"/>
      <c r="BZ330" s="15"/>
      <c r="CA330" s="15"/>
      <c r="CB330" s="15"/>
      <c r="CC330" s="15"/>
      <c r="CD330" s="370"/>
      <c r="CE330" s="370"/>
      <c r="CF330" s="370"/>
      <c r="CG330" s="220"/>
      <c r="CH330" s="220"/>
      <c r="CI330" s="220"/>
      <c r="CJ330" s="220"/>
      <c r="CK330" s="220"/>
      <c r="CL330" s="220"/>
      <c r="CM330" s="220"/>
      <c r="CN330" s="220"/>
      <c r="CO330" s="220"/>
      <c r="CP330" s="258"/>
    </row>
    <row r="331" spans="1:94" ht="14.25" hidden="1" customHeight="1" outlineLevel="2">
      <c r="A331" s="9"/>
      <c r="B331" s="32" t="s">
        <v>298</v>
      </c>
      <c r="C331" s="218"/>
      <c r="D331" s="372"/>
      <c r="E331" s="372"/>
      <c r="F331" s="372"/>
      <c r="G331" s="218"/>
      <c r="H331" s="372"/>
      <c r="I331" s="372"/>
      <c r="J331" s="372"/>
      <c r="K331" s="218"/>
      <c r="L331" s="370"/>
      <c r="M331" s="370"/>
      <c r="N331" s="370"/>
      <c r="O331" s="335"/>
      <c r="P331" s="336"/>
      <c r="Q331" s="370"/>
      <c r="R331" s="370"/>
      <c r="S331" s="335"/>
      <c r="T331" s="336"/>
      <c r="U331" s="370"/>
      <c r="V331" s="370"/>
      <c r="W331" s="335"/>
      <c r="X331" s="336"/>
      <c r="Y331" s="370"/>
      <c r="Z331" s="370"/>
      <c r="AA331" s="335"/>
      <c r="AB331" s="336"/>
      <c r="AC331" s="370"/>
      <c r="AD331" s="370"/>
      <c r="AE331" s="335"/>
      <c r="AF331" s="370"/>
      <c r="AG331" s="370"/>
      <c r="AH331" s="370"/>
      <c r="AI331" s="335"/>
      <c r="AJ331" s="425"/>
      <c r="AK331" s="418"/>
      <c r="AL331" s="418"/>
      <c r="AM331" s="419"/>
      <c r="AN331" s="370">
        <f t="shared" ref="AN331:AW331" si="711">AN329/AJ329-1</f>
        <v>-0.17748344370860925</v>
      </c>
      <c r="AO331" s="370">
        <f t="shared" si="711"/>
        <v>-9.2016238159675412E-2</v>
      </c>
      <c r="AP331" s="370">
        <f t="shared" si="711"/>
        <v>1.8394648829431537E-2</v>
      </c>
      <c r="AQ331" s="335">
        <f t="shared" si="711"/>
        <v>9.9118942731277526E-2</v>
      </c>
      <c r="AR331" s="370">
        <f t="shared" si="711"/>
        <v>-7.2463768115942018E-2</v>
      </c>
      <c r="AS331" s="370">
        <f t="shared" si="711"/>
        <v>-2.6825633383010361E-2</v>
      </c>
      <c r="AT331" s="370">
        <f t="shared" si="711"/>
        <v>-9.852216748768472E-2</v>
      </c>
      <c r="AU331" s="335">
        <f t="shared" si="711"/>
        <v>1.002004008016022E-2</v>
      </c>
      <c r="AV331" s="370">
        <f t="shared" si="711"/>
        <v>4.513888888888884E-2</v>
      </c>
      <c r="AW331" s="370">
        <f t="shared" si="711"/>
        <v>-7.0444104134762542E-2</v>
      </c>
      <c r="AX331" s="257"/>
      <c r="AY331" s="258"/>
      <c r="AZ331" s="257"/>
      <c r="BA331" s="257"/>
      <c r="BB331" s="257"/>
      <c r="BC331" s="258"/>
      <c r="BD331" s="257"/>
      <c r="BE331" s="257"/>
      <c r="BF331" s="257"/>
      <c r="BG331" s="258"/>
      <c r="BH331" s="257"/>
      <c r="BI331" s="257"/>
      <c r="BJ331" s="257"/>
      <c r="BK331" s="258"/>
      <c r="BL331" s="257"/>
      <c r="BM331" s="257"/>
      <c r="BN331" s="257"/>
      <c r="BO331" s="258"/>
      <c r="BP331" s="257"/>
      <c r="BQ331" s="257"/>
      <c r="BR331" s="257"/>
      <c r="BS331" s="258"/>
      <c r="BT331" s="257"/>
      <c r="BU331" s="257"/>
      <c r="BV331" s="257"/>
      <c r="BW331" s="258"/>
      <c r="BX331" s="21"/>
      <c r="BY331" s="22"/>
      <c r="BZ331" s="15"/>
      <c r="CA331" s="15"/>
      <c r="CB331" s="338"/>
      <c r="CC331" s="338"/>
      <c r="CD331" s="418"/>
      <c r="CE331" s="370">
        <f>CE329/CD329-1</f>
        <v>-0.29777992277992271</v>
      </c>
      <c r="CF331" s="370">
        <f>CF329/CE329-1</f>
        <v>1.06872852233677</v>
      </c>
      <c r="CG331" s="338">
        <f>CG329/CF329-1</f>
        <v>-0.15415282392026575</v>
      </c>
      <c r="CH331" s="338">
        <f>CH329/CG329-1</f>
        <v>-5.7344854673998413E-2</v>
      </c>
      <c r="CI331" s="338">
        <f>CI329/CH329-1</f>
        <v>-4.9166666666666581E-2</v>
      </c>
      <c r="CJ331" s="338"/>
      <c r="CK331" s="338"/>
      <c r="CL331" s="338"/>
      <c r="CM331" s="338"/>
      <c r="CN331" s="338"/>
      <c r="CO331" s="338"/>
      <c r="CP331" s="337"/>
    </row>
    <row r="332" spans="1:94" ht="14.25" hidden="1" customHeight="1" outlineLevel="2">
      <c r="A332" s="9"/>
      <c r="B332" s="217" t="s">
        <v>374</v>
      </c>
      <c r="C332" s="218"/>
      <c r="D332" s="372"/>
      <c r="E332" s="372"/>
      <c r="F332" s="372"/>
      <c r="G332" s="218"/>
      <c r="H332" s="372"/>
      <c r="I332" s="372"/>
      <c r="J332" s="372"/>
      <c r="K332" s="218"/>
      <c r="L332" s="370"/>
      <c r="M332" s="370"/>
      <c r="N332" s="370"/>
      <c r="O332" s="335"/>
      <c r="P332" s="336"/>
      <c r="Q332" s="370"/>
      <c r="R332" s="370"/>
      <c r="S332" s="335"/>
      <c r="T332" s="336"/>
      <c r="U332" s="370"/>
      <c r="V332" s="370"/>
      <c r="W332" s="335"/>
      <c r="X332" s="336"/>
      <c r="Y332" s="370"/>
      <c r="Z332" s="370"/>
      <c r="AA332" s="335"/>
      <c r="AB332" s="336"/>
      <c r="AC332" s="370"/>
      <c r="AD332" s="370"/>
      <c r="AE332" s="335"/>
      <c r="AF332" s="370"/>
      <c r="AG332" s="370"/>
      <c r="AH332" s="370"/>
      <c r="AI332" s="335"/>
      <c r="AJ332" s="370">
        <f t="shared" ref="AJ332:AQ332" si="712">AJ329/AJ317</f>
        <v>0.23586379256482348</v>
      </c>
      <c r="AK332" s="370">
        <f t="shared" si="712"/>
        <v>0.22306067008753397</v>
      </c>
      <c r="AL332" s="370">
        <f t="shared" si="712"/>
        <v>0.1922211507553841</v>
      </c>
      <c r="AM332" s="335">
        <f t="shared" si="712"/>
        <v>0.16569343065693432</v>
      </c>
      <c r="AN332" s="370">
        <f t="shared" si="712"/>
        <v>0.22290021536252691</v>
      </c>
      <c r="AO332" s="370">
        <f t="shared" si="712"/>
        <v>0.2403295128939828</v>
      </c>
      <c r="AP332" s="370">
        <f t="shared" si="712"/>
        <v>0.21765546819156539</v>
      </c>
      <c r="AQ332" s="335">
        <f t="shared" si="712"/>
        <v>0.18682141520029949</v>
      </c>
      <c r="AR332" s="370">
        <f t="shared" ref="AR332:AW332" si="713">AR329/AR317</f>
        <v>0.21719457013574661</v>
      </c>
      <c r="AS332" s="370">
        <f t="shared" si="713"/>
        <v>0.23625180897250364</v>
      </c>
      <c r="AT332" s="370">
        <f t="shared" si="713"/>
        <v>0.18957182320441987</v>
      </c>
      <c r="AU332" s="335">
        <f t="shared" si="713"/>
        <v>0.17379310344827587</v>
      </c>
      <c r="AV332" s="370">
        <f t="shared" si="713"/>
        <v>0.20553089791737797</v>
      </c>
      <c r="AW332" s="370">
        <f t="shared" si="713"/>
        <v>0.19986829107672047</v>
      </c>
      <c r="AX332" s="293"/>
      <c r="AY332" s="292"/>
      <c r="AZ332" s="293"/>
      <c r="BA332" s="293"/>
      <c r="BB332" s="293"/>
      <c r="BC332" s="292"/>
      <c r="BD332" s="293"/>
      <c r="BE332" s="293"/>
      <c r="BF332" s="293"/>
      <c r="BG332" s="292"/>
      <c r="BH332" s="293"/>
      <c r="BI332" s="293"/>
      <c r="BJ332" s="293"/>
      <c r="BK332" s="292"/>
      <c r="BL332" s="293"/>
      <c r="BM332" s="293"/>
      <c r="BN332" s="293"/>
      <c r="BO332" s="292"/>
      <c r="BP332" s="293"/>
      <c r="BQ332" s="293"/>
      <c r="BR332" s="293"/>
      <c r="BS332" s="292"/>
      <c r="BT332" s="293"/>
      <c r="BU332" s="293"/>
      <c r="BV332" s="293"/>
      <c r="BW332" s="292"/>
      <c r="BX332" s="21"/>
      <c r="BY332" s="22"/>
      <c r="BZ332" s="15"/>
      <c r="CA332" s="338"/>
      <c r="CB332" s="338"/>
      <c r="CC332" s="338"/>
      <c r="CD332" s="370">
        <f t="shared" ref="CD332:CI332" si="714">CD329/CD317</f>
        <v>0.19759679572763686</v>
      </c>
      <c r="CE332" s="370">
        <f t="shared" si="714"/>
        <v>0.15663688233394338</v>
      </c>
      <c r="CF332" s="370">
        <f t="shared" si="714"/>
        <v>0.23885097603554992</v>
      </c>
      <c r="CG332" s="338">
        <f t="shared" si="714"/>
        <v>0.20590376061463808</v>
      </c>
      <c r="CH332" s="338">
        <f t="shared" si="714"/>
        <v>0.21725355300081473</v>
      </c>
      <c r="CI332" s="338">
        <f t="shared" si="714"/>
        <v>0.20353193007491976</v>
      </c>
      <c r="CJ332" s="338"/>
      <c r="CK332" s="338"/>
      <c r="CL332" s="338"/>
      <c r="CM332" s="338"/>
      <c r="CN332" s="338"/>
      <c r="CO332" s="338"/>
      <c r="CP332" s="337"/>
    </row>
    <row r="333" spans="1:94" ht="14.25" hidden="1" customHeight="1" outlineLevel="2">
      <c r="A333" s="9"/>
      <c r="B333" s="236"/>
      <c r="C333" s="237"/>
      <c r="D333" s="373"/>
      <c r="E333" s="373"/>
      <c r="F333" s="373"/>
      <c r="G333" s="237"/>
      <c r="H333" s="373"/>
      <c r="I333" s="373"/>
      <c r="J333" s="373"/>
      <c r="K333" s="237"/>
      <c r="L333" s="279"/>
      <c r="M333" s="279"/>
      <c r="N333" s="279"/>
      <c r="O333" s="280"/>
      <c r="P333" s="285"/>
      <c r="Q333" s="279"/>
      <c r="R333" s="279"/>
      <c r="S333" s="280"/>
      <c r="T333" s="285"/>
      <c r="U333" s="279"/>
      <c r="V333" s="279"/>
      <c r="W333" s="280"/>
      <c r="X333" s="285"/>
      <c r="Y333" s="279"/>
      <c r="Z333" s="279"/>
      <c r="AA333" s="280"/>
      <c r="AB333" s="285"/>
      <c r="AC333" s="279"/>
      <c r="AD333" s="279"/>
      <c r="AE333" s="280"/>
      <c r="AF333" s="279"/>
      <c r="AG333" s="279"/>
      <c r="AH333" s="279"/>
      <c r="AI333" s="280"/>
      <c r="AJ333" s="279"/>
      <c r="AK333" s="279"/>
      <c r="AL333" s="279"/>
      <c r="AM333" s="280"/>
      <c r="AN333" s="960"/>
      <c r="AO333" s="960"/>
      <c r="AP333" s="960"/>
      <c r="AQ333" s="280"/>
      <c r="AR333" s="961"/>
      <c r="AS333" s="960"/>
      <c r="AT333" s="960"/>
      <c r="AU333" s="280"/>
      <c r="AV333" s="203"/>
      <c r="AW333" s="960"/>
      <c r="AX333" s="203"/>
      <c r="AY333" s="17"/>
      <c r="AZ333" s="203"/>
      <c r="BA333" s="203"/>
      <c r="BB333" s="203"/>
      <c r="BC333" s="17"/>
      <c r="BD333" s="203"/>
      <c r="BE333" s="203"/>
      <c r="BF333" s="203"/>
      <c r="BG333" s="17"/>
      <c r="BH333" s="203"/>
      <c r="BI333" s="203"/>
      <c r="BJ333" s="203"/>
      <c r="BK333" s="17"/>
      <c r="BL333" s="203"/>
      <c r="BM333" s="203"/>
      <c r="BN333" s="203"/>
      <c r="BO333" s="17"/>
      <c r="BP333" s="203"/>
      <c r="BQ333" s="203"/>
      <c r="BR333" s="203"/>
      <c r="BS333" s="17"/>
      <c r="BT333" s="203"/>
      <c r="BU333" s="203"/>
      <c r="BV333" s="203"/>
      <c r="BW333" s="17"/>
      <c r="BX333" s="21"/>
      <c r="BY333" s="16"/>
      <c r="BZ333" s="203"/>
      <c r="CA333" s="203"/>
      <c r="CB333" s="203"/>
      <c r="CC333" s="203"/>
      <c r="CD333" s="279"/>
      <c r="CE333" s="279"/>
      <c r="CF333" s="279"/>
      <c r="CG333" s="203"/>
      <c r="CH333" s="203"/>
      <c r="CI333" s="203"/>
      <c r="CJ333" s="203"/>
      <c r="CK333" s="203"/>
      <c r="CL333" s="203"/>
      <c r="CM333" s="203"/>
      <c r="CN333" s="203"/>
      <c r="CO333" s="203"/>
      <c r="CP333" s="17"/>
    </row>
    <row r="334" spans="1:94" ht="14.25" hidden="1" customHeight="1" outlineLevel="2">
      <c r="A334" s="9"/>
      <c r="B334" s="286" t="s">
        <v>198</v>
      </c>
      <c r="C334" s="287"/>
      <c r="D334" s="284"/>
      <c r="E334" s="284"/>
      <c r="F334" s="284"/>
      <c r="G334" s="287"/>
      <c r="H334" s="284"/>
      <c r="I334" s="284"/>
      <c r="J334" s="284"/>
      <c r="K334" s="287"/>
      <c r="L334" s="343"/>
      <c r="M334" s="343"/>
      <c r="N334" s="343"/>
      <c r="O334" s="369"/>
      <c r="P334" s="343"/>
      <c r="Q334" s="343"/>
      <c r="R334" s="343"/>
      <c r="S334" s="369"/>
      <c r="T334" s="343"/>
      <c r="U334" s="343"/>
      <c r="V334" s="343"/>
      <c r="W334" s="369"/>
      <c r="X334" s="343"/>
      <c r="Y334" s="343"/>
      <c r="Z334" s="343"/>
      <c r="AA334" s="369"/>
      <c r="AB334" s="343"/>
      <c r="AC334" s="343"/>
      <c r="AD334" s="343"/>
      <c r="AE334" s="369"/>
      <c r="AF334" s="343"/>
      <c r="AG334" s="343"/>
      <c r="AH334" s="343"/>
      <c r="AI334" s="369"/>
      <c r="AJ334" s="423">
        <v>278.10000000000002</v>
      </c>
      <c r="AK334" s="423">
        <v>274.3</v>
      </c>
      <c r="AL334" s="423">
        <v>294.8</v>
      </c>
      <c r="AM334" s="401">
        <v>213.1</v>
      </c>
      <c r="AN334" s="423">
        <v>205.9</v>
      </c>
      <c r="AO334" s="423">
        <v>205.4</v>
      </c>
      <c r="AP334" s="423">
        <v>193</v>
      </c>
      <c r="AQ334" s="401">
        <v>166.7</v>
      </c>
      <c r="AR334" s="423">
        <v>150.80000000000001</v>
      </c>
      <c r="AS334" s="423">
        <v>160.4</v>
      </c>
      <c r="AT334" s="423">
        <v>156.80000000000001</v>
      </c>
      <c r="AU334" s="401">
        <v>157.19999999999999</v>
      </c>
      <c r="AV334" s="423">
        <v>134.1</v>
      </c>
      <c r="AW334" s="423">
        <v>152.69999999999999</v>
      </c>
      <c r="AX334" s="815">
        <f>$AX$81*AX337</f>
        <v>150.03</v>
      </c>
      <c r="AY334" s="815">
        <f>$AX$81*AY337</f>
        <v>133.36000000000001</v>
      </c>
      <c r="AZ334" s="816">
        <f t="shared" ref="AZ334:BG334" si="715">AY334*(1+AZ335)</f>
        <v>136.02720000000002</v>
      </c>
      <c r="BA334" s="815">
        <f t="shared" si="715"/>
        <v>138.74774400000001</v>
      </c>
      <c r="BB334" s="815">
        <f>$BB$81*BB337</f>
        <v>126.58800000000002</v>
      </c>
      <c r="BC334" s="817">
        <f t="shared" si="715"/>
        <v>129.11976000000001</v>
      </c>
      <c r="BD334" s="816">
        <f t="shared" si="715"/>
        <v>131.70215520000002</v>
      </c>
      <c r="BE334" s="815">
        <f t="shared" si="715"/>
        <v>134.33619830400002</v>
      </c>
      <c r="BF334" s="815">
        <f t="shared" si="715"/>
        <v>137.02292227008002</v>
      </c>
      <c r="BG334" s="817">
        <f t="shared" si="715"/>
        <v>139.76338071548162</v>
      </c>
      <c r="BH334" s="816">
        <f>BG334*(1+BH335)</f>
        <v>142.55864832979125</v>
      </c>
      <c r="BI334" s="815">
        <f>BH334*(1+BI335)</f>
        <v>145.40982129638709</v>
      </c>
      <c r="BJ334" s="815">
        <f>BI334*(1+BJ335)</f>
        <v>148.31801772231483</v>
      </c>
      <c r="BK334" s="817">
        <f>BJ334*(1+BK335)</f>
        <v>151.28437807676113</v>
      </c>
      <c r="BL334" s="816"/>
      <c r="BM334" s="815"/>
      <c r="BN334" s="815"/>
      <c r="BO334" s="817"/>
      <c r="BP334" s="816"/>
      <c r="BQ334" s="815"/>
      <c r="BR334" s="815"/>
      <c r="BS334" s="817"/>
      <c r="BT334" s="816"/>
      <c r="BU334" s="815"/>
      <c r="BV334" s="815"/>
      <c r="BW334" s="817"/>
      <c r="BX334" s="283"/>
      <c r="BY334" s="667"/>
      <c r="BZ334" s="248"/>
      <c r="CA334" s="325"/>
      <c r="CB334" s="325"/>
      <c r="CC334" s="325"/>
      <c r="CD334" s="423">
        <v>0</v>
      </c>
      <c r="CE334" s="423">
        <v>0</v>
      </c>
      <c r="CF334" s="423">
        <v>0</v>
      </c>
      <c r="CG334" s="325">
        <f>SUM(AJ334:AM334)</f>
        <v>1060.3</v>
      </c>
      <c r="CH334" s="325">
        <f>SUM(AN334:AQ334)</f>
        <v>771</v>
      </c>
      <c r="CI334" s="325">
        <f>SUM(AR334:AU334)</f>
        <v>625.20000000000005</v>
      </c>
      <c r="CJ334" s="325">
        <f>SUM(AV334:AY334)</f>
        <v>570.18999999999994</v>
      </c>
      <c r="CK334" s="325">
        <f>SUM(AZ334:BC334)</f>
        <v>530.48270400000001</v>
      </c>
      <c r="CL334" s="325">
        <f>SUM(BD334:BG334)</f>
        <v>542.82465648956168</v>
      </c>
      <c r="CM334" s="325">
        <f>SUM(BH334:BK334)</f>
        <v>587.5708654252544</v>
      </c>
      <c r="CN334" s="325"/>
      <c r="CO334" s="325"/>
      <c r="CP334" s="326"/>
    </row>
    <row r="335" spans="1:94" ht="14.25" hidden="1" customHeight="1" outlineLevel="2">
      <c r="A335" s="9"/>
      <c r="B335" s="217" t="s">
        <v>297</v>
      </c>
      <c r="C335" s="218"/>
      <c r="D335" s="372"/>
      <c r="E335" s="372"/>
      <c r="F335" s="372"/>
      <c r="G335" s="218"/>
      <c r="H335" s="372"/>
      <c r="I335" s="372"/>
      <c r="J335" s="372"/>
      <c r="K335" s="218"/>
      <c r="L335" s="370"/>
      <c r="M335" s="370"/>
      <c r="N335" s="370"/>
      <c r="O335" s="335"/>
      <c r="P335" s="370"/>
      <c r="Q335" s="370"/>
      <c r="R335" s="370"/>
      <c r="S335" s="335"/>
      <c r="T335" s="370"/>
      <c r="U335" s="370"/>
      <c r="V335" s="370"/>
      <c r="W335" s="335"/>
      <c r="X335" s="370"/>
      <c r="Y335" s="370"/>
      <c r="Z335" s="370"/>
      <c r="AA335" s="335"/>
      <c r="AB335" s="370"/>
      <c r="AC335" s="370"/>
      <c r="AD335" s="370"/>
      <c r="AE335" s="335"/>
      <c r="AF335" s="370"/>
      <c r="AG335" s="370"/>
      <c r="AH335" s="370"/>
      <c r="AI335" s="335"/>
      <c r="AJ335" s="425"/>
      <c r="AK335" s="370">
        <f t="shared" ref="AK335:AW335" si="716">AK334/AJ334-1</f>
        <v>-1.3664149586479768E-2</v>
      </c>
      <c r="AL335" s="370">
        <f t="shared" si="716"/>
        <v>7.4735690849434988E-2</v>
      </c>
      <c r="AM335" s="335">
        <f t="shared" si="716"/>
        <v>-0.2771370420624153</v>
      </c>
      <c r="AN335" s="370">
        <f t="shared" si="716"/>
        <v>-3.3786954481464071E-2</v>
      </c>
      <c r="AO335" s="370">
        <f t="shared" si="716"/>
        <v>-2.4283632831471058E-3</v>
      </c>
      <c r="AP335" s="370">
        <f t="shared" si="716"/>
        <v>-6.0370009737098385E-2</v>
      </c>
      <c r="AQ335" s="335">
        <f t="shared" si="716"/>
        <v>-0.13626943005181358</v>
      </c>
      <c r="AR335" s="370">
        <f t="shared" si="716"/>
        <v>-9.5380923815236773E-2</v>
      </c>
      <c r="AS335" s="370">
        <f t="shared" si="716"/>
        <v>6.3660477453580944E-2</v>
      </c>
      <c r="AT335" s="370">
        <f t="shared" si="716"/>
        <v>-2.2443890274314149E-2</v>
      </c>
      <c r="AU335" s="335">
        <f t="shared" si="716"/>
        <v>2.5510204081631294E-3</v>
      </c>
      <c r="AV335" s="370">
        <f t="shared" si="716"/>
        <v>-0.14694656488549618</v>
      </c>
      <c r="AW335" s="370">
        <f t="shared" si="716"/>
        <v>0.13870246085011173</v>
      </c>
      <c r="AX335" s="420">
        <v>0.02</v>
      </c>
      <c r="AY335" s="420">
        <v>0.02</v>
      </c>
      <c r="AZ335" s="505">
        <v>0.02</v>
      </c>
      <c r="BA335" s="420">
        <v>0.02</v>
      </c>
      <c r="BB335" s="420">
        <v>0.02</v>
      </c>
      <c r="BC335" s="421">
        <v>0.02</v>
      </c>
      <c r="BD335" s="505">
        <v>0.02</v>
      </c>
      <c r="BE335" s="420">
        <v>0.02</v>
      </c>
      <c r="BF335" s="420">
        <v>0.02</v>
      </c>
      <c r="BG335" s="1381">
        <v>0.02</v>
      </c>
      <c r="BH335" s="505">
        <v>0.02</v>
      </c>
      <c r="BI335" s="420">
        <v>0.02</v>
      </c>
      <c r="BJ335" s="420">
        <v>0.02</v>
      </c>
      <c r="BK335" s="421">
        <v>0.02</v>
      </c>
      <c r="BL335" s="505"/>
      <c r="BM335" s="420"/>
      <c r="BN335" s="420"/>
      <c r="BO335" s="421"/>
      <c r="BP335" s="505"/>
      <c r="BQ335" s="420"/>
      <c r="BR335" s="420"/>
      <c r="BS335" s="421"/>
      <c r="BT335" s="505"/>
      <c r="BU335" s="420"/>
      <c r="BV335" s="420"/>
      <c r="BW335" s="421"/>
      <c r="BX335" s="21"/>
      <c r="BY335" s="22"/>
      <c r="BZ335" s="15"/>
      <c r="CA335" s="15"/>
      <c r="CB335" s="15"/>
      <c r="CC335" s="15"/>
      <c r="CD335" s="370"/>
      <c r="CE335" s="370"/>
      <c r="CF335" s="370"/>
      <c r="CG335" s="220"/>
      <c r="CH335" s="220"/>
      <c r="CI335" s="220"/>
      <c r="CJ335" s="220"/>
      <c r="CK335" s="220"/>
      <c r="CL335" s="220"/>
      <c r="CM335" s="220"/>
      <c r="CN335" s="220"/>
      <c r="CO335" s="220"/>
      <c r="CP335" s="258"/>
    </row>
    <row r="336" spans="1:94" ht="14.25" hidden="1" customHeight="1" outlineLevel="2">
      <c r="A336" s="9"/>
      <c r="B336" s="32" t="s">
        <v>298</v>
      </c>
      <c r="C336" s="33"/>
      <c r="D336" s="259"/>
      <c r="E336" s="259"/>
      <c r="F336" s="259"/>
      <c r="G336" s="33"/>
      <c r="H336" s="259"/>
      <c r="I336" s="259"/>
      <c r="J336" s="259"/>
      <c r="K336" s="33"/>
      <c r="L336" s="370"/>
      <c r="M336" s="370"/>
      <c r="N336" s="370"/>
      <c r="O336" s="335"/>
      <c r="P336" s="370"/>
      <c r="Q336" s="370"/>
      <c r="R336" s="370"/>
      <c r="S336" s="335"/>
      <c r="T336" s="370"/>
      <c r="U336" s="370"/>
      <c r="V336" s="370"/>
      <c r="W336" s="335"/>
      <c r="X336" s="370"/>
      <c r="Y336" s="370"/>
      <c r="Z336" s="370"/>
      <c r="AA336" s="335"/>
      <c r="AB336" s="370"/>
      <c r="AC336" s="370"/>
      <c r="AD336" s="370"/>
      <c r="AE336" s="335"/>
      <c r="AF336" s="370"/>
      <c r="AG336" s="370"/>
      <c r="AH336" s="370"/>
      <c r="AI336" s="335"/>
      <c r="AJ336" s="425"/>
      <c r="AK336" s="418"/>
      <c r="AL336" s="418"/>
      <c r="AM336" s="419"/>
      <c r="AN336" s="370">
        <f t="shared" ref="AN336:AW336" si="717">AN334/AJ334-1</f>
        <v>-0.25961884214311404</v>
      </c>
      <c r="AO336" s="370">
        <f t="shared" si="717"/>
        <v>-0.25118483412322279</v>
      </c>
      <c r="AP336" s="370">
        <f t="shared" si="717"/>
        <v>-0.34531886024423342</v>
      </c>
      <c r="AQ336" s="335">
        <f t="shared" si="717"/>
        <v>-0.21773815110276873</v>
      </c>
      <c r="AR336" s="370">
        <f t="shared" si="717"/>
        <v>-0.26760563380281688</v>
      </c>
      <c r="AS336" s="370">
        <f t="shared" si="717"/>
        <v>-0.21908471275559882</v>
      </c>
      <c r="AT336" s="370">
        <f t="shared" si="717"/>
        <v>-0.18756476683937817</v>
      </c>
      <c r="AU336" s="335">
        <f t="shared" si="717"/>
        <v>-5.6988602279544054E-2</v>
      </c>
      <c r="AV336" s="370">
        <f t="shared" si="717"/>
        <v>-0.11074270557029187</v>
      </c>
      <c r="AW336" s="370">
        <f t="shared" si="717"/>
        <v>-4.8004987531172216E-2</v>
      </c>
      <c r="AX336" s="370">
        <f t="shared" ref="AX336:BC336" si="718">AX334/AT334-1</f>
        <v>-4.3176020408163374E-2</v>
      </c>
      <c r="AY336" s="370">
        <f t="shared" si="718"/>
        <v>-0.15165394402035604</v>
      </c>
      <c r="AZ336" s="377">
        <f t="shared" si="718"/>
        <v>1.4371364653243957E-2</v>
      </c>
      <c r="BA336" s="370">
        <f t="shared" si="718"/>
        <v>-9.1370373280942885E-2</v>
      </c>
      <c r="BB336" s="370">
        <f t="shared" si="718"/>
        <v>-0.15624875024994989</v>
      </c>
      <c r="BC336" s="335">
        <f t="shared" si="718"/>
        <v>-3.179544091181763E-2</v>
      </c>
      <c r="BD336" s="377">
        <f t="shared" ref="BD336:BK336" si="719">BD334/AZ334-1</f>
        <v>-3.179544091181763E-2</v>
      </c>
      <c r="BE336" s="370">
        <f t="shared" si="719"/>
        <v>-3.1795440911817519E-2</v>
      </c>
      <c r="BF336" s="370">
        <f t="shared" si="719"/>
        <v>8.2432159999999977E-2</v>
      </c>
      <c r="BG336" s="335">
        <f t="shared" si="719"/>
        <v>8.2432159999999977E-2</v>
      </c>
      <c r="BH336" s="377">
        <f t="shared" si="719"/>
        <v>8.2432159999999977E-2</v>
      </c>
      <c r="BI336" s="370">
        <f t="shared" si="719"/>
        <v>8.2432160000000199E-2</v>
      </c>
      <c r="BJ336" s="370">
        <f t="shared" si="719"/>
        <v>8.2432160000000199E-2</v>
      </c>
      <c r="BK336" s="335">
        <f t="shared" si="719"/>
        <v>8.2432160000000199E-2</v>
      </c>
      <c r="BL336" s="377"/>
      <c r="BM336" s="370"/>
      <c r="BN336" s="370"/>
      <c r="BO336" s="335"/>
      <c r="BP336" s="377"/>
      <c r="BQ336" s="370"/>
      <c r="BR336" s="370"/>
      <c r="BS336" s="335"/>
      <c r="BT336" s="377"/>
      <c r="BU336" s="370"/>
      <c r="BV336" s="370"/>
      <c r="BW336" s="335"/>
      <c r="BX336" s="21"/>
      <c r="BY336" s="22"/>
      <c r="BZ336" s="15"/>
      <c r="CA336" s="15"/>
      <c r="CB336" s="338"/>
      <c r="CC336" s="338"/>
      <c r="CD336" s="418"/>
      <c r="CE336" s="418" t="str">
        <f>IF(ISERROR(CE334/CD334-1),"NM",CE334/CD334-1)</f>
        <v>NM</v>
      </c>
      <c r="CF336" s="418" t="str">
        <f>IF(ISERROR(CF334/CE334-1),"NM",CF334/CE334-1)</f>
        <v>NM</v>
      </c>
      <c r="CG336" s="418" t="str">
        <f>IF(ISERROR(CG334/CF334-1),"NM",CG334/CF334-1)</f>
        <v>NM</v>
      </c>
      <c r="CH336" s="338">
        <f t="shared" ref="CH336:CM336" si="720">CH334/CG334-1</f>
        <v>-0.27284730736583984</v>
      </c>
      <c r="CI336" s="338">
        <f t="shared" si="720"/>
        <v>-0.18910505836575875</v>
      </c>
      <c r="CJ336" s="338">
        <f t="shared" si="720"/>
        <v>-8.7987843889955397E-2</v>
      </c>
      <c r="CK336" s="338">
        <f t="shared" si="720"/>
        <v>-6.9638709903716234E-2</v>
      </c>
      <c r="CL336" s="338">
        <f t="shared" si="720"/>
        <v>2.3265513458779363E-2</v>
      </c>
      <c r="CM336" s="338">
        <f t="shared" si="720"/>
        <v>8.2432160000000199E-2</v>
      </c>
      <c r="CN336" s="338"/>
      <c r="CO336" s="338"/>
      <c r="CP336" s="337"/>
    </row>
    <row r="337" spans="1:94" ht="14.25" hidden="1" customHeight="1" outlineLevel="2">
      <c r="A337" s="9"/>
      <c r="B337" s="217" t="s">
        <v>299</v>
      </c>
      <c r="C337" s="218"/>
      <c r="D337" s="372"/>
      <c r="E337" s="372"/>
      <c r="F337" s="372"/>
      <c r="G337" s="218"/>
      <c r="H337" s="372"/>
      <c r="I337" s="372"/>
      <c r="J337" s="372"/>
      <c r="K337" s="218"/>
      <c r="L337" s="338"/>
      <c r="M337" s="370"/>
      <c r="N337" s="370"/>
      <c r="O337" s="337"/>
      <c r="P337" s="338"/>
      <c r="Q337" s="370"/>
      <c r="R337" s="370"/>
      <c r="S337" s="337"/>
      <c r="T337" s="338"/>
      <c r="U337" s="370"/>
      <c r="V337" s="370"/>
      <c r="W337" s="337"/>
      <c r="X337" s="338"/>
      <c r="Y337" s="370"/>
      <c r="Z337" s="370"/>
      <c r="AA337" s="337"/>
      <c r="AB337" s="338"/>
      <c r="AC337" s="370"/>
      <c r="AD337" s="370"/>
      <c r="AE337" s="337"/>
      <c r="AF337" s="338"/>
      <c r="AG337" s="370"/>
      <c r="AH337" s="370"/>
      <c r="AI337" s="337"/>
      <c r="AJ337" s="338">
        <f>AJ334/AJ368</f>
        <v>0.31943487250172298</v>
      </c>
      <c r="AK337" s="370">
        <f>AK334/AK368</f>
        <v>0.30285966655625485</v>
      </c>
      <c r="AL337" s="370">
        <f>AL334/AL368</f>
        <v>0.3282850779510022</v>
      </c>
      <c r="AM337" s="337">
        <f>AM334/AM368</f>
        <v>0.27747395833333333</v>
      </c>
      <c r="AN337" s="338">
        <f>AN334/AN368</f>
        <v>0.27659860290166577</v>
      </c>
      <c r="AO337" s="370">
        <f>AO334/(AO368)</f>
        <v>0.27577873254564989</v>
      </c>
      <c r="AP337" s="370">
        <f>AP334/(AP368)</f>
        <v>0.26602343211578222</v>
      </c>
      <c r="AQ337" s="337">
        <f>AQ334/(AQ368)</f>
        <v>0.24507497794766242</v>
      </c>
      <c r="AR337" s="338">
        <f>AR334/AR368</f>
        <v>0.2281391830559758</v>
      </c>
      <c r="AS337" s="370">
        <f>AS334/(AS368)</f>
        <v>0.2330379195118408</v>
      </c>
      <c r="AT337" s="370">
        <f>AT334/(AT368)</f>
        <v>0.21917808219178081</v>
      </c>
      <c r="AU337" s="337">
        <f>AU334/(AU368)</f>
        <v>0.21894150417827296</v>
      </c>
      <c r="AV337" s="338">
        <f>AV334/AV368</f>
        <v>0.18980891719745221</v>
      </c>
      <c r="AW337" s="370">
        <f>AW334/(AW368)</f>
        <v>0.20155755015839494</v>
      </c>
      <c r="AX337" s="1074">
        <v>0.18</v>
      </c>
      <c r="AY337" s="1074">
        <v>0.16</v>
      </c>
      <c r="AZ337" s="377">
        <f>AZ334/(AZ368)</f>
        <v>0.20000000000000004</v>
      </c>
      <c r="BA337" s="370">
        <f>BA334/(BA368)</f>
        <v>0.2</v>
      </c>
      <c r="BB337" s="1074">
        <v>0.14000000000000001</v>
      </c>
      <c r="BC337" s="335">
        <f>BC334/(BC368)</f>
        <v>0.17721518987341769</v>
      </c>
      <c r="BD337" s="377">
        <f t="shared" ref="BD337:BK337" si="721">BD334/(BD368)</f>
        <v>0.17721518987341769</v>
      </c>
      <c r="BE337" s="370">
        <f t="shared" si="721"/>
        <v>0.17721518987341772</v>
      </c>
      <c r="BF337" s="370">
        <f t="shared" si="721"/>
        <v>0.17721518987341769</v>
      </c>
      <c r="BG337" s="335">
        <f t="shared" si="721"/>
        <v>0.17721518987341767</v>
      </c>
      <c r="BH337" s="377">
        <f t="shared" si="721"/>
        <v>0.17721518987341769</v>
      </c>
      <c r="BI337" s="370">
        <f t="shared" si="721"/>
        <v>0.17721518987341772</v>
      </c>
      <c r="BJ337" s="370">
        <f t="shared" si="721"/>
        <v>0.17721518987341769</v>
      </c>
      <c r="BK337" s="335">
        <f t="shared" si="721"/>
        <v>0.17721518987341769</v>
      </c>
      <c r="BL337" s="377"/>
      <c r="BM337" s="370"/>
      <c r="BN337" s="370"/>
      <c r="BO337" s="335"/>
      <c r="BP337" s="377"/>
      <c r="BQ337" s="370"/>
      <c r="BR337" s="370"/>
      <c r="BS337" s="335"/>
      <c r="BT337" s="377"/>
      <c r="BU337" s="370"/>
      <c r="BV337" s="370"/>
      <c r="BW337" s="335"/>
      <c r="BX337" s="21"/>
      <c r="BY337" s="22"/>
      <c r="BZ337" s="15"/>
      <c r="CA337" s="338"/>
      <c r="CB337" s="338"/>
      <c r="CC337" s="338"/>
      <c r="CD337" s="370">
        <f>CD334/CD$368</f>
        <v>0</v>
      </c>
      <c r="CE337" s="370">
        <f>CE334/CE$368</f>
        <v>0</v>
      </c>
      <c r="CF337" s="370">
        <f>CF334/CF368</f>
        <v>0</v>
      </c>
      <c r="CG337" s="338">
        <f t="shared" ref="CG337:CM337" si="722">CG334/CG$368</f>
        <v>0.30802080004648053</v>
      </c>
      <c r="CH337" s="338">
        <f t="shared" si="722"/>
        <v>0.26633044319320187</v>
      </c>
      <c r="CI337" s="338">
        <f t="shared" si="722"/>
        <v>0.22467387788838181</v>
      </c>
      <c r="CJ337" s="338">
        <f t="shared" si="722"/>
        <v>0.18259138936167146</v>
      </c>
      <c r="CK337" s="338">
        <f t="shared" si="722"/>
        <v>0.17643476070615424</v>
      </c>
      <c r="CL337" s="338">
        <f t="shared" si="722"/>
        <v>0.17721518987341769</v>
      </c>
      <c r="CM337" s="338">
        <f t="shared" si="722"/>
        <v>0.17721518987341772</v>
      </c>
      <c r="CN337" s="338"/>
      <c r="CO337" s="338"/>
      <c r="CP337" s="337"/>
    </row>
    <row r="338" spans="1:94" ht="14.25" hidden="1" customHeight="1" outlineLevel="2">
      <c r="A338" s="9"/>
      <c r="B338" s="217"/>
      <c r="C338" s="218"/>
      <c r="D338" s="372"/>
      <c r="E338" s="372"/>
      <c r="F338" s="372"/>
      <c r="G338" s="218"/>
      <c r="H338" s="372"/>
      <c r="I338" s="372"/>
      <c r="J338" s="372"/>
      <c r="K338" s="218"/>
      <c r="L338" s="261"/>
      <c r="M338" s="80"/>
      <c r="N338" s="80"/>
      <c r="O338" s="262"/>
      <c r="P338" s="261"/>
      <c r="Q338" s="80"/>
      <c r="R338" s="80"/>
      <c r="S338" s="262"/>
      <c r="T338" s="261"/>
      <c r="U338" s="80"/>
      <c r="V338" s="80"/>
      <c r="W338" s="262"/>
      <c r="X338" s="261"/>
      <c r="Y338" s="80"/>
      <c r="Z338" s="80"/>
      <c r="AA338" s="262"/>
      <c r="AB338" s="261"/>
      <c r="AC338" s="80"/>
      <c r="AD338" s="80"/>
      <c r="AE338" s="262"/>
      <c r="AF338" s="261"/>
      <c r="AG338" s="80"/>
      <c r="AH338" s="80"/>
      <c r="AI338" s="262"/>
      <c r="AJ338" s="261"/>
      <c r="AK338" s="80"/>
      <c r="AL338" s="80"/>
      <c r="AM338" s="262"/>
      <c r="AN338" s="261"/>
      <c r="AO338" s="80"/>
      <c r="AP338" s="80"/>
      <c r="AQ338" s="262"/>
      <c r="AR338" s="955"/>
      <c r="AS338" s="80"/>
      <c r="AT338" s="80"/>
      <c r="AU338" s="262"/>
      <c r="AV338" s="9"/>
      <c r="AW338" s="80"/>
      <c r="AX338" s="9"/>
      <c r="AY338" s="211"/>
      <c r="AZ338" s="9"/>
      <c r="BA338" s="9"/>
      <c r="BB338" s="9"/>
      <c r="BC338" s="211"/>
      <c r="BD338" s="9"/>
      <c r="BE338" s="9"/>
      <c r="BF338" s="9"/>
      <c r="BG338" s="211"/>
      <c r="BH338" s="9"/>
      <c r="BI338" s="9"/>
      <c r="BJ338" s="9"/>
      <c r="BK338" s="211"/>
      <c r="BL338" s="9"/>
      <c r="BM338" s="9"/>
      <c r="BN338" s="9"/>
      <c r="BO338" s="211"/>
      <c r="BP338" s="9"/>
      <c r="BQ338" s="9"/>
      <c r="BR338" s="9"/>
      <c r="BS338" s="211"/>
      <c r="BT338" s="9"/>
      <c r="BU338" s="9"/>
      <c r="BV338" s="9"/>
      <c r="BW338" s="211"/>
      <c r="BX338" s="21"/>
      <c r="BY338" s="22"/>
      <c r="BZ338" s="15"/>
      <c r="CA338" s="15"/>
      <c r="CB338" s="15"/>
      <c r="CC338" s="15"/>
      <c r="CD338" s="80"/>
      <c r="CE338" s="80"/>
      <c r="CF338" s="80"/>
      <c r="CG338" s="15"/>
      <c r="CH338" s="15"/>
      <c r="CI338" s="15"/>
      <c r="CJ338" s="15"/>
      <c r="CK338" s="15"/>
      <c r="CL338" s="15"/>
      <c r="CM338" s="15"/>
      <c r="CN338" s="15"/>
      <c r="CO338" s="15"/>
      <c r="CP338" s="211"/>
    </row>
    <row r="339" spans="1:94" ht="14.25" hidden="1" customHeight="1" outlineLevel="2">
      <c r="A339" s="247"/>
      <c r="B339" s="962" t="s">
        <v>564</v>
      </c>
      <c r="C339" s="949"/>
      <c r="D339" s="950"/>
      <c r="E339" s="950"/>
      <c r="F339" s="950"/>
      <c r="G339" s="949"/>
      <c r="H339" s="950"/>
      <c r="I339" s="950"/>
      <c r="J339" s="950"/>
      <c r="K339" s="949"/>
      <c r="L339" s="832"/>
      <c r="M339" s="951"/>
      <c r="N339" s="951"/>
      <c r="O339" s="834"/>
      <c r="P339" s="832"/>
      <c r="Q339" s="951"/>
      <c r="R339" s="951"/>
      <c r="S339" s="834"/>
      <c r="T339" s="832"/>
      <c r="U339" s="951"/>
      <c r="V339" s="951"/>
      <c r="W339" s="834"/>
      <c r="X339" s="832"/>
      <c r="Y339" s="951"/>
      <c r="Z339" s="951"/>
      <c r="AA339" s="834"/>
      <c r="AB339" s="832"/>
      <c r="AC339" s="951"/>
      <c r="AD339" s="951"/>
      <c r="AE339" s="834"/>
      <c r="AF339" s="832"/>
      <c r="AG339" s="951"/>
      <c r="AH339" s="951"/>
      <c r="AI339" s="834"/>
      <c r="AJ339" s="952">
        <f t="shared" ref="AJ339:AS339" si="723">+AJ334-AJ343</f>
        <v>273.70000000000005</v>
      </c>
      <c r="AK339" s="953">
        <f t="shared" si="723"/>
        <v>252.70000000000002</v>
      </c>
      <c r="AL339" s="953">
        <f t="shared" si="723"/>
        <v>268.3</v>
      </c>
      <c r="AM339" s="954">
        <f t="shared" si="723"/>
        <v>186.5</v>
      </c>
      <c r="AN339" s="952">
        <f t="shared" si="723"/>
        <v>166</v>
      </c>
      <c r="AO339" s="953">
        <f t="shared" si="723"/>
        <v>171.5</v>
      </c>
      <c r="AP339" s="953">
        <f t="shared" si="723"/>
        <v>156</v>
      </c>
      <c r="AQ339" s="954">
        <f t="shared" si="723"/>
        <v>134.39999999999998</v>
      </c>
      <c r="AR339" s="952">
        <f t="shared" si="723"/>
        <v>142.20000000000002</v>
      </c>
      <c r="AS339" s="953">
        <f t="shared" si="723"/>
        <v>139.9</v>
      </c>
      <c r="AT339" s="953">
        <f>+AT334-AT343</f>
        <v>122.50000000000001</v>
      </c>
      <c r="AU339" s="954">
        <f>+AU334-AU343</f>
        <v>117.19999999999999</v>
      </c>
      <c r="AV339" s="952">
        <f>+AV334-AV343</f>
        <v>109.1</v>
      </c>
      <c r="AW339" s="953">
        <f>+AW334-AW343</f>
        <v>121.69999999999999</v>
      </c>
      <c r="AX339" s="247"/>
      <c r="AY339" s="396"/>
      <c r="AZ339" s="247"/>
      <c r="BA339" s="247"/>
      <c r="BB339" s="247"/>
      <c r="BC339" s="396"/>
      <c r="BD339" s="247"/>
      <c r="BE339" s="247"/>
      <c r="BF339" s="247"/>
      <c r="BG339" s="396"/>
      <c r="BH339" s="247"/>
      <c r="BI339" s="247"/>
      <c r="BJ339" s="247"/>
      <c r="BK339" s="396"/>
      <c r="BL339" s="247"/>
      <c r="BM339" s="247"/>
      <c r="BN339" s="247"/>
      <c r="BO339" s="396"/>
      <c r="BP339" s="247"/>
      <c r="BQ339" s="247"/>
      <c r="BR339" s="247"/>
      <c r="BS339" s="396"/>
      <c r="BT339" s="247"/>
      <c r="BU339" s="247"/>
      <c r="BV339" s="247"/>
      <c r="BW339" s="396"/>
      <c r="BX339" s="772"/>
      <c r="BY339" s="288"/>
      <c r="BZ339" s="392"/>
      <c r="CA339" s="392"/>
      <c r="CB339" s="392"/>
      <c r="CC339" s="392"/>
      <c r="CD339" s="951"/>
      <c r="CE339" s="951"/>
      <c r="CF339" s="951"/>
      <c r="CG339" s="392"/>
      <c r="CH339" s="392"/>
      <c r="CI339" s="952">
        <f>SUM(AR339:AU339)</f>
        <v>521.79999999999995</v>
      </c>
      <c r="CJ339" s="392"/>
      <c r="CK339" s="392"/>
      <c r="CL339" s="392"/>
      <c r="CM339" s="392"/>
      <c r="CN339" s="392"/>
      <c r="CO339" s="392"/>
      <c r="CP339" s="396"/>
    </row>
    <row r="340" spans="1:94" ht="14.25" hidden="1" customHeight="1" outlineLevel="2">
      <c r="A340" s="986"/>
      <c r="B340" s="977" t="s">
        <v>565</v>
      </c>
      <c r="C340" s="978"/>
      <c r="D340" s="979"/>
      <c r="E340" s="979"/>
      <c r="F340" s="979"/>
      <c r="G340" s="978"/>
      <c r="H340" s="979"/>
      <c r="I340" s="979"/>
      <c r="J340" s="979"/>
      <c r="K340" s="978"/>
      <c r="L340" s="980"/>
      <c r="M340" s="981"/>
      <c r="N340" s="981"/>
      <c r="O340" s="982"/>
      <c r="P340" s="980"/>
      <c r="Q340" s="981"/>
      <c r="R340" s="981"/>
      <c r="S340" s="982"/>
      <c r="T340" s="980"/>
      <c r="U340" s="981"/>
      <c r="V340" s="981"/>
      <c r="W340" s="982"/>
      <c r="X340" s="980"/>
      <c r="Y340" s="981"/>
      <c r="Z340" s="981"/>
      <c r="AA340" s="982"/>
      <c r="AB340" s="980"/>
      <c r="AC340" s="981"/>
      <c r="AD340" s="981"/>
      <c r="AE340" s="982"/>
      <c r="AF340" s="980"/>
      <c r="AG340" s="981"/>
      <c r="AH340" s="981"/>
      <c r="AI340" s="982"/>
      <c r="AJ340" s="983">
        <f>+AJ343-AJ346</f>
        <v>47.199999999999996</v>
      </c>
      <c r="AK340" s="984">
        <f t="shared" ref="AK340:AQ340" si="724">+AK343-AK346</f>
        <v>64</v>
      </c>
      <c r="AL340" s="984">
        <f t="shared" si="724"/>
        <v>68.400000000000006</v>
      </c>
      <c r="AM340" s="985">
        <f t="shared" si="724"/>
        <v>58.9</v>
      </c>
      <c r="AN340" s="983">
        <f t="shared" si="724"/>
        <v>60.3</v>
      </c>
      <c r="AO340" s="984">
        <f t="shared" si="724"/>
        <v>65.3</v>
      </c>
      <c r="AP340" s="984">
        <f t="shared" si="724"/>
        <v>58.4</v>
      </c>
      <c r="AQ340" s="985">
        <f t="shared" si="724"/>
        <v>50.9</v>
      </c>
      <c r="AR340" s="983">
        <f t="shared" ref="AR340:AW340" si="725">+AR343-AR346</f>
        <v>54.300000000000004</v>
      </c>
      <c r="AS340" s="984">
        <f t="shared" si="725"/>
        <v>43.5</v>
      </c>
      <c r="AT340" s="984">
        <f t="shared" si="725"/>
        <v>37.299999999999997</v>
      </c>
      <c r="AU340" s="985">
        <f t="shared" si="725"/>
        <v>34.6</v>
      </c>
      <c r="AV340" s="983">
        <f t="shared" si="725"/>
        <v>33.700000000000003</v>
      </c>
      <c r="AW340" s="984">
        <f t="shared" si="725"/>
        <v>31.1</v>
      </c>
      <c r="AX340" s="986"/>
      <c r="AY340" s="987"/>
      <c r="AZ340" s="986"/>
      <c r="BA340" s="986"/>
      <c r="BB340" s="986"/>
      <c r="BC340" s="987"/>
      <c r="BD340" s="986"/>
      <c r="BE340" s="986"/>
      <c r="BF340" s="986"/>
      <c r="BG340" s="987"/>
      <c r="BH340" s="986"/>
      <c r="BI340" s="986"/>
      <c r="BJ340" s="986"/>
      <c r="BK340" s="987"/>
      <c r="BL340" s="986"/>
      <c r="BM340" s="986"/>
      <c r="BN340" s="986"/>
      <c r="BO340" s="987"/>
      <c r="BP340" s="986"/>
      <c r="BQ340" s="986"/>
      <c r="BR340" s="986"/>
      <c r="BS340" s="987"/>
      <c r="BT340" s="986"/>
      <c r="BU340" s="986"/>
      <c r="BV340" s="986"/>
      <c r="BW340" s="987"/>
      <c r="BX340" s="988"/>
      <c r="BY340" s="989"/>
      <c r="BZ340" s="990"/>
      <c r="CA340" s="990"/>
      <c r="CB340" s="990"/>
      <c r="CC340" s="990"/>
      <c r="CD340" s="981"/>
      <c r="CE340" s="981"/>
      <c r="CF340" s="981"/>
      <c r="CG340" s="990"/>
      <c r="CH340" s="990"/>
      <c r="CI340" s="983">
        <f>SUM(AR340:AU340)</f>
        <v>169.70000000000002</v>
      </c>
      <c r="CJ340" s="990"/>
      <c r="CK340" s="990"/>
      <c r="CL340" s="990"/>
      <c r="CM340" s="990"/>
      <c r="CN340" s="990"/>
      <c r="CO340" s="990"/>
      <c r="CP340" s="987"/>
    </row>
    <row r="341" spans="1:94" ht="14.25" hidden="1" customHeight="1" outlineLevel="2">
      <c r="A341" s="247"/>
      <c r="B341" s="962" t="s">
        <v>570</v>
      </c>
      <c r="C341" s="950"/>
      <c r="D341" s="950"/>
      <c r="E341" s="950"/>
      <c r="F341" s="950"/>
      <c r="G341" s="949"/>
      <c r="H341" s="950"/>
      <c r="I341" s="950"/>
      <c r="J341" s="950"/>
      <c r="K341" s="950"/>
      <c r="L341" s="832"/>
      <c r="M341" s="951"/>
      <c r="N341" s="951"/>
      <c r="O341" s="834"/>
      <c r="P341" s="832"/>
      <c r="Q341" s="951"/>
      <c r="R341" s="951"/>
      <c r="S341" s="832"/>
      <c r="T341" s="832"/>
      <c r="U341" s="951"/>
      <c r="V341" s="951"/>
      <c r="W341" s="834"/>
      <c r="X341" s="832"/>
      <c r="Y341" s="951"/>
      <c r="Z341" s="951"/>
      <c r="AA341" s="834"/>
      <c r="AB341" s="832"/>
      <c r="AC341" s="951"/>
      <c r="AD341" s="951"/>
      <c r="AE341" s="834"/>
      <c r="AF341" s="832"/>
      <c r="AG341" s="951"/>
      <c r="AH341" s="951"/>
      <c r="AI341" s="834"/>
      <c r="AJ341" s="952">
        <f t="shared" ref="AJ341:AV341" si="726">+SUM(AJ339:AJ340)</f>
        <v>320.90000000000003</v>
      </c>
      <c r="AK341" s="953">
        <f t="shared" si="726"/>
        <v>316.70000000000005</v>
      </c>
      <c r="AL341" s="953">
        <f t="shared" si="726"/>
        <v>336.70000000000005</v>
      </c>
      <c r="AM341" s="954">
        <f t="shared" si="726"/>
        <v>245.4</v>
      </c>
      <c r="AN341" s="952">
        <f t="shared" si="726"/>
        <v>226.3</v>
      </c>
      <c r="AO341" s="953">
        <f t="shared" si="726"/>
        <v>236.8</v>
      </c>
      <c r="AP341" s="953">
        <f t="shared" si="726"/>
        <v>214.4</v>
      </c>
      <c r="AQ341" s="954">
        <f t="shared" si="726"/>
        <v>185.29999999999998</v>
      </c>
      <c r="AR341" s="952">
        <f t="shared" si="726"/>
        <v>196.50000000000003</v>
      </c>
      <c r="AS341" s="953">
        <f t="shared" si="726"/>
        <v>183.4</v>
      </c>
      <c r="AT341" s="953">
        <f t="shared" si="726"/>
        <v>159.80000000000001</v>
      </c>
      <c r="AU341" s="954">
        <f>+SUM(AU339:AU340)</f>
        <v>151.79999999999998</v>
      </c>
      <c r="AV341" s="952">
        <f t="shared" si="726"/>
        <v>142.80000000000001</v>
      </c>
      <c r="AW341" s="953">
        <f>+SUM(AW339:AW340)</f>
        <v>152.79999999999998</v>
      </c>
      <c r="AX341" s="247"/>
      <c r="AY341" s="396"/>
      <c r="AZ341" s="247"/>
      <c r="BA341" s="247"/>
      <c r="BB341" s="247"/>
      <c r="BC341" s="396"/>
      <c r="BD341" s="247"/>
      <c r="BE341" s="247"/>
      <c r="BF341" s="247"/>
      <c r="BG341" s="396"/>
      <c r="BH341" s="247"/>
      <c r="BI341" s="247"/>
      <c r="BJ341" s="247"/>
      <c r="BK341" s="396"/>
      <c r="BL341" s="247"/>
      <c r="BM341" s="247"/>
      <c r="BN341" s="247"/>
      <c r="BO341" s="396"/>
      <c r="BP341" s="247"/>
      <c r="BQ341" s="247"/>
      <c r="BR341" s="247"/>
      <c r="BS341" s="396"/>
      <c r="BT341" s="247"/>
      <c r="BU341" s="247"/>
      <c r="BV341" s="247"/>
      <c r="BW341" s="396"/>
      <c r="BX341" s="772"/>
      <c r="BY341" s="288"/>
      <c r="BZ341" s="392"/>
      <c r="CA341" s="392"/>
      <c r="CB341" s="392"/>
      <c r="CC341" s="392"/>
      <c r="CD341" s="951"/>
      <c r="CE341" s="951"/>
      <c r="CF341" s="951"/>
      <c r="CG341" s="392"/>
      <c r="CH341" s="392"/>
      <c r="CI341" s="952">
        <f>SUM(AR341:AU341)</f>
        <v>691.5</v>
      </c>
      <c r="CJ341" s="392"/>
      <c r="CK341" s="392"/>
      <c r="CL341" s="392"/>
      <c r="CM341" s="392"/>
      <c r="CN341" s="392"/>
      <c r="CO341" s="392"/>
      <c r="CP341" s="396"/>
    </row>
    <row r="342" spans="1:94" ht="14.25" hidden="1" customHeight="1" outlineLevel="2">
      <c r="A342" s="9"/>
      <c r="B342" s="217"/>
      <c r="C342" s="218"/>
      <c r="D342" s="372"/>
      <c r="E342" s="372"/>
      <c r="F342" s="372"/>
      <c r="G342" s="218"/>
      <c r="H342" s="372"/>
      <c r="I342" s="372"/>
      <c r="J342" s="372"/>
      <c r="K342" s="218"/>
      <c r="L342" s="261"/>
      <c r="M342" s="80"/>
      <c r="N342" s="80"/>
      <c r="O342" s="262"/>
      <c r="P342" s="261"/>
      <c r="Q342" s="80"/>
      <c r="R342" s="80"/>
      <c r="S342" s="262"/>
      <c r="T342" s="261"/>
      <c r="U342" s="80"/>
      <c r="V342" s="80"/>
      <c r="W342" s="262"/>
      <c r="X342" s="261"/>
      <c r="Y342" s="80"/>
      <c r="Z342" s="80"/>
      <c r="AA342" s="262"/>
      <c r="AB342" s="261"/>
      <c r="AC342" s="80"/>
      <c r="AD342" s="80"/>
      <c r="AE342" s="262"/>
      <c r="AF342" s="261"/>
      <c r="AG342" s="80"/>
      <c r="AH342" s="80"/>
      <c r="AI342" s="262"/>
      <c r="AJ342" s="261"/>
      <c r="AK342" s="80"/>
      <c r="AL342" s="80"/>
      <c r="AM342" s="262"/>
      <c r="AN342" s="261"/>
      <c r="AO342" s="80"/>
      <c r="AP342" s="80"/>
      <c r="AQ342" s="262"/>
      <c r="AR342" s="955"/>
      <c r="AS342" s="80"/>
      <c r="AT342" s="80"/>
      <c r="AU342" s="262"/>
      <c r="AV342" s="9"/>
      <c r="AW342" s="80"/>
      <c r="AX342" s="9"/>
      <c r="AY342" s="211"/>
      <c r="AZ342" s="9"/>
      <c r="BA342" s="9"/>
      <c r="BB342" s="9"/>
      <c r="BC342" s="211"/>
      <c r="BD342" s="9"/>
      <c r="BE342" s="9"/>
      <c r="BF342" s="9"/>
      <c r="BG342" s="211"/>
      <c r="BH342" s="9"/>
      <c r="BI342" s="9"/>
      <c r="BJ342" s="9"/>
      <c r="BK342" s="211"/>
      <c r="BL342" s="9"/>
      <c r="BM342" s="9"/>
      <c r="BN342" s="9"/>
      <c r="BO342" s="211"/>
      <c r="BP342" s="9"/>
      <c r="BQ342" s="9"/>
      <c r="BR342" s="9"/>
      <c r="BS342" s="211"/>
      <c r="BT342" s="9"/>
      <c r="BU342" s="9"/>
      <c r="BV342" s="9"/>
      <c r="BW342" s="211"/>
      <c r="BX342" s="21"/>
      <c r="BY342" s="22"/>
      <c r="BZ342" s="15"/>
      <c r="CA342" s="15"/>
      <c r="CB342" s="15"/>
      <c r="CC342" s="15"/>
      <c r="CD342" s="80"/>
      <c r="CE342" s="80"/>
      <c r="CF342" s="80"/>
      <c r="CG342" s="15"/>
      <c r="CH342" s="15"/>
      <c r="CI342" s="15"/>
      <c r="CJ342" s="15"/>
      <c r="CK342" s="15"/>
      <c r="CL342" s="15"/>
      <c r="CM342" s="15"/>
      <c r="CN342" s="15"/>
      <c r="CO342" s="15"/>
      <c r="CP342" s="211"/>
    </row>
    <row r="343" spans="1:94" ht="14.25" hidden="1" customHeight="1" outlineLevel="2">
      <c r="A343" s="9"/>
      <c r="B343" s="235" t="s">
        <v>199</v>
      </c>
      <c r="C343" s="218"/>
      <c r="D343" s="372"/>
      <c r="E343" s="372"/>
      <c r="F343" s="372"/>
      <c r="G343" s="218"/>
      <c r="H343" s="372"/>
      <c r="I343" s="372"/>
      <c r="J343" s="372"/>
      <c r="K343" s="218"/>
      <c r="L343" s="343"/>
      <c r="M343" s="343"/>
      <c r="N343" s="343"/>
      <c r="O343" s="369"/>
      <c r="P343" s="343"/>
      <c r="Q343" s="343"/>
      <c r="R343" s="343"/>
      <c r="S343" s="369"/>
      <c r="T343" s="343"/>
      <c r="U343" s="343"/>
      <c r="V343" s="343"/>
      <c r="W343" s="369"/>
      <c r="X343" s="343"/>
      <c r="Y343" s="343"/>
      <c r="Z343" s="343"/>
      <c r="AA343" s="369"/>
      <c r="AB343" s="343"/>
      <c r="AC343" s="343"/>
      <c r="AD343" s="343"/>
      <c r="AE343" s="369"/>
      <c r="AF343" s="343"/>
      <c r="AG343" s="343"/>
      <c r="AH343" s="343"/>
      <c r="AI343" s="369"/>
      <c r="AJ343" s="423">
        <v>4.4000000000000004</v>
      </c>
      <c r="AK343" s="423">
        <v>21.6</v>
      </c>
      <c r="AL343" s="423">
        <v>26.5</v>
      </c>
      <c r="AM343" s="401">
        <v>26.6</v>
      </c>
      <c r="AN343" s="423">
        <v>39.9</v>
      </c>
      <c r="AO343" s="423">
        <v>33.9</v>
      </c>
      <c r="AP343" s="423">
        <v>37</v>
      </c>
      <c r="AQ343" s="401">
        <v>32.299999999999997</v>
      </c>
      <c r="AR343" s="423">
        <v>8.6</v>
      </c>
      <c r="AS343" s="423">
        <v>20.5</v>
      </c>
      <c r="AT343" s="423">
        <v>34.299999999999997</v>
      </c>
      <c r="AU343" s="401">
        <v>40</v>
      </c>
      <c r="AV343" s="423">
        <v>25</v>
      </c>
      <c r="AW343" s="423">
        <v>31</v>
      </c>
      <c r="AX343" s="341">
        <f t="shared" ref="AX343:BC343" si="727">AX334*AX344</f>
        <v>30.457956777996074</v>
      </c>
      <c r="AY343" s="342">
        <f t="shared" si="727"/>
        <v>27.073739358218734</v>
      </c>
      <c r="AZ343" s="374">
        <f t="shared" si="727"/>
        <v>27.61521414538311</v>
      </c>
      <c r="BA343" s="341">
        <f t="shared" si="727"/>
        <v>28.167518428290773</v>
      </c>
      <c r="BB343" s="341">
        <f>BB334*BB344</f>
        <v>25.698939096267196</v>
      </c>
      <c r="BC343" s="342">
        <f t="shared" si="727"/>
        <v>26.212917878192538</v>
      </c>
      <c r="BD343" s="374">
        <f t="shared" ref="BD343:BK343" si="728">BD334*BD344</f>
        <v>26.73717623575639</v>
      </c>
      <c r="BE343" s="341">
        <f t="shared" si="728"/>
        <v>27.271919760471519</v>
      </c>
      <c r="BF343" s="341">
        <f t="shared" si="728"/>
        <v>27.817358155680949</v>
      </c>
      <c r="BG343" s="342">
        <f t="shared" si="728"/>
        <v>28.373705318794567</v>
      </c>
      <c r="BH343" s="374">
        <f t="shared" si="728"/>
        <v>28.941179425170461</v>
      </c>
      <c r="BI343" s="341">
        <f t="shared" si="728"/>
        <v>29.520003013673872</v>
      </c>
      <c r="BJ343" s="341">
        <f t="shared" si="728"/>
        <v>30.110403073947349</v>
      </c>
      <c r="BK343" s="342">
        <f t="shared" si="728"/>
        <v>30.712611135426297</v>
      </c>
      <c r="BL343" s="374"/>
      <c r="BM343" s="341"/>
      <c r="BN343" s="341"/>
      <c r="BO343" s="342"/>
      <c r="BP343" s="374"/>
      <c r="BQ343" s="341"/>
      <c r="BR343" s="341"/>
      <c r="BS343" s="342"/>
      <c r="BT343" s="374"/>
      <c r="BU343" s="341"/>
      <c r="BV343" s="341"/>
      <c r="BW343" s="342"/>
      <c r="BX343" s="263"/>
      <c r="BY343" s="235"/>
      <c r="BZ343" s="251"/>
      <c r="CA343" s="325"/>
      <c r="CB343" s="325"/>
      <c r="CC343" s="325"/>
      <c r="CD343" s="423">
        <v>0</v>
      </c>
      <c r="CE343" s="423">
        <v>0</v>
      </c>
      <c r="CF343" s="423">
        <v>0</v>
      </c>
      <c r="CG343" s="325">
        <f>SUM(AJ343:AM343)</f>
        <v>79.099999999999994</v>
      </c>
      <c r="CH343" s="325">
        <f>SUM(AN343:AQ343)</f>
        <v>143.1</v>
      </c>
      <c r="CI343" s="325">
        <f>SUM(AR343:AU343)</f>
        <v>103.4</v>
      </c>
      <c r="CJ343" s="325">
        <f>SUM(AV343:AY343)</f>
        <v>113.5316961362148</v>
      </c>
      <c r="CK343" s="325">
        <f>SUM(AZ343:BC343)</f>
        <v>107.69458954813362</v>
      </c>
      <c r="CL343" s="325">
        <f>SUM(BD343:BG343)</f>
        <v>110.20015947070343</v>
      </c>
      <c r="CM343" s="325">
        <f>SUM(BH343:BK343)</f>
        <v>119.28419664821799</v>
      </c>
      <c r="CN343" s="325"/>
      <c r="CO343" s="325"/>
      <c r="CP343" s="326"/>
    </row>
    <row r="344" spans="1:94" ht="14.25" hidden="1" customHeight="1" outlineLevel="2">
      <c r="A344" s="9"/>
      <c r="B344" s="217" t="s">
        <v>373</v>
      </c>
      <c r="C344" s="218"/>
      <c r="D344" s="372"/>
      <c r="E344" s="372"/>
      <c r="F344" s="372"/>
      <c r="G344" s="218"/>
      <c r="H344" s="372"/>
      <c r="I344" s="372"/>
      <c r="J344" s="372"/>
      <c r="K344" s="218"/>
      <c r="L344" s="370"/>
      <c r="M344" s="370"/>
      <c r="N344" s="370"/>
      <c r="O344" s="335"/>
      <c r="P344" s="370"/>
      <c r="Q344" s="370"/>
      <c r="R344" s="370"/>
      <c r="S344" s="335"/>
      <c r="T344" s="370"/>
      <c r="U344" s="370"/>
      <c r="V344" s="370"/>
      <c r="W344" s="335"/>
      <c r="X344" s="370"/>
      <c r="Y344" s="370"/>
      <c r="Z344" s="370"/>
      <c r="AA344" s="335"/>
      <c r="AB344" s="370"/>
      <c r="AC344" s="370"/>
      <c r="AD344" s="370"/>
      <c r="AE344" s="335"/>
      <c r="AF344" s="370"/>
      <c r="AG344" s="370"/>
      <c r="AH344" s="370"/>
      <c r="AI344" s="335"/>
      <c r="AJ344" s="370">
        <f t="shared" ref="AJ344:AV344" si="729">AJ343/AJ334</f>
        <v>1.5821646889608056E-2</v>
      </c>
      <c r="AK344" s="370">
        <f t="shared" si="729"/>
        <v>7.8745898651111923E-2</v>
      </c>
      <c r="AL344" s="370">
        <f t="shared" si="729"/>
        <v>8.9891451831750332E-2</v>
      </c>
      <c r="AM344" s="335">
        <f t="shared" si="729"/>
        <v>0.12482402627874238</v>
      </c>
      <c r="AN344" s="370">
        <f t="shared" si="729"/>
        <v>0.19378338999514327</v>
      </c>
      <c r="AO344" s="370">
        <f t="shared" si="729"/>
        <v>0.1650438169425511</v>
      </c>
      <c r="AP344" s="370">
        <f t="shared" si="729"/>
        <v>0.19170984455958548</v>
      </c>
      <c r="AQ344" s="335">
        <f t="shared" si="729"/>
        <v>0.19376124775044989</v>
      </c>
      <c r="AR344" s="370">
        <f t="shared" si="729"/>
        <v>5.7029177718832882E-2</v>
      </c>
      <c r="AS344" s="370">
        <f t="shared" si="729"/>
        <v>0.12780548628428928</v>
      </c>
      <c r="AT344" s="370">
        <f t="shared" si="729"/>
        <v>0.21874999999999997</v>
      </c>
      <c r="AU344" s="335">
        <f>AU343/AU334</f>
        <v>0.2544529262086514</v>
      </c>
      <c r="AV344" s="370">
        <f t="shared" si="729"/>
        <v>0.18642803877703207</v>
      </c>
      <c r="AW344" s="370">
        <f>AW343/AW334</f>
        <v>0.20301244269810087</v>
      </c>
      <c r="AX344" s="381">
        <f t="shared" ref="AX344:BC344" si="730">AW344</f>
        <v>0.20301244269810087</v>
      </c>
      <c r="AY344" s="292">
        <f t="shared" si="730"/>
        <v>0.20301244269810087</v>
      </c>
      <c r="AZ344" s="294">
        <f t="shared" si="730"/>
        <v>0.20301244269810087</v>
      </c>
      <c r="BA344" s="381">
        <f t="shared" si="730"/>
        <v>0.20301244269810087</v>
      </c>
      <c r="BB344" s="381">
        <f t="shared" si="730"/>
        <v>0.20301244269810087</v>
      </c>
      <c r="BC344" s="292">
        <f t="shared" si="730"/>
        <v>0.20301244269810087</v>
      </c>
      <c r="BD344" s="294">
        <f t="shared" ref="BD344:BK344" si="731">BC344</f>
        <v>0.20301244269810087</v>
      </c>
      <c r="BE344" s="381">
        <f t="shared" si="731"/>
        <v>0.20301244269810087</v>
      </c>
      <c r="BF344" s="381">
        <f t="shared" si="731"/>
        <v>0.20301244269810087</v>
      </c>
      <c r="BG344" s="292">
        <f t="shared" si="731"/>
        <v>0.20301244269810087</v>
      </c>
      <c r="BH344" s="294">
        <f t="shared" si="731"/>
        <v>0.20301244269810087</v>
      </c>
      <c r="BI344" s="381">
        <f t="shared" si="731"/>
        <v>0.20301244269810087</v>
      </c>
      <c r="BJ344" s="381">
        <f t="shared" si="731"/>
        <v>0.20301244269810087</v>
      </c>
      <c r="BK344" s="292">
        <f t="shared" si="731"/>
        <v>0.20301244269810087</v>
      </c>
      <c r="BL344" s="294"/>
      <c r="BM344" s="381"/>
      <c r="BN344" s="381"/>
      <c r="BO344" s="292"/>
      <c r="BP344" s="294"/>
      <c r="BQ344" s="381"/>
      <c r="BR344" s="381"/>
      <c r="BS344" s="292"/>
      <c r="BT344" s="294"/>
      <c r="BU344" s="381"/>
      <c r="BV344" s="381"/>
      <c r="BW344" s="292"/>
      <c r="BX344" s="21"/>
      <c r="BY344" s="22"/>
      <c r="BZ344" s="15"/>
      <c r="CA344" s="338"/>
      <c r="CB344" s="338"/>
      <c r="CC344" s="338"/>
      <c r="CD344" s="418" t="str">
        <f>IF(ISERROR(CD343/CD334),"NM",CD343/CD334)</f>
        <v>NM</v>
      </c>
      <c r="CE344" s="418" t="str">
        <f>IF(ISERROR(CE343/CE334),"NM",CE343/CE334)</f>
        <v>NM</v>
      </c>
      <c r="CF344" s="418" t="str">
        <f>IF(ISERROR(CF343/CF334),"NM",CF343/CF334)</f>
        <v>NM</v>
      </c>
      <c r="CG344" s="338">
        <f t="shared" ref="CG344:CL344" si="732">CG343/CG334</f>
        <v>7.4601527869470899E-2</v>
      </c>
      <c r="CH344" s="338">
        <f t="shared" si="732"/>
        <v>0.18560311284046691</v>
      </c>
      <c r="CI344" s="338">
        <f t="shared" si="732"/>
        <v>0.16538707613563661</v>
      </c>
      <c r="CJ344" s="338">
        <f t="shared" si="732"/>
        <v>0.19911204359286347</v>
      </c>
      <c r="CK344" s="338">
        <f t="shared" si="732"/>
        <v>0.2030124426981009</v>
      </c>
      <c r="CL344" s="338">
        <f t="shared" si="732"/>
        <v>0.20301244269810087</v>
      </c>
      <c r="CM344" s="338">
        <f>CM343/CM334</f>
        <v>0.20301244269810084</v>
      </c>
      <c r="CN344" s="338"/>
      <c r="CO344" s="338"/>
      <c r="CP344" s="337"/>
    </row>
    <row r="345" spans="1:94" ht="14.25" hidden="1" customHeight="1" outlineLevel="2">
      <c r="A345" s="9"/>
      <c r="B345" s="217"/>
      <c r="C345" s="218"/>
      <c r="D345" s="372"/>
      <c r="E345" s="372"/>
      <c r="F345" s="372"/>
      <c r="G345" s="218"/>
      <c r="H345" s="372"/>
      <c r="I345" s="372"/>
      <c r="J345" s="372"/>
      <c r="K345" s="218"/>
      <c r="L345" s="80"/>
      <c r="M345" s="80"/>
      <c r="N345" s="80"/>
      <c r="O345" s="262"/>
      <c r="P345" s="80"/>
      <c r="Q345" s="80"/>
      <c r="R345" s="80"/>
      <c r="S345" s="262"/>
      <c r="T345" s="80"/>
      <c r="U345" s="80"/>
      <c r="V345" s="80"/>
      <c r="W345" s="262"/>
      <c r="X345" s="80"/>
      <c r="Y345" s="80"/>
      <c r="Z345" s="80"/>
      <c r="AA345" s="262"/>
      <c r="AB345" s="80"/>
      <c r="AC345" s="80"/>
      <c r="AD345" s="80"/>
      <c r="AE345" s="262"/>
      <c r="AF345" s="80"/>
      <c r="AG345" s="80"/>
      <c r="AH345" s="80"/>
      <c r="AI345" s="262"/>
      <c r="AJ345" s="80"/>
      <c r="AK345" s="80"/>
      <c r="AL345" s="80"/>
      <c r="AM345" s="262"/>
      <c r="AN345" s="80"/>
      <c r="AO345" s="80"/>
      <c r="AP345" s="80"/>
      <c r="AQ345" s="262"/>
      <c r="AR345" s="80"/>
      <c r="AS345" s="80"/>
      <c r="AT345" s="80"/>
      <c r="AU345" s="262"/>
      <c r="AV345" s="9"/>
      <c r="AW345" s="80"/>
      <c r="AX345" s="9"/>
      <c r="AY345" s="211"/>
      <c r="AZ345" s="9"/>
      <c r="BA345" s="9"/>
      <c r="BB345" s="9"/>
      <c r="BC345" s="211"/>
      <c r="BD345" s="9"/>
      <c r="BE345" s="9"/>
      <c r="BF345" s="9"/>
      <c r="BG345" s="211"/>
      <c r="BH345" s="9"/>
      <c r="BI345" s="9"/>
      <c r="BJ345" s="9"/>
      <c r="BK345" s="211"/>
      <c r="BL345" s="9"/>
      <c r="BM345" s="9"/>
      <c r="BN345" s="9"/>
      <c r="BO345" s="211"/>
      <c r="BP345" s="9"/>
      <c r="BQ345" s="9"/>
      <c r="BR345" s="9"/>
      <c r="BS345" s="211"/>
      <c r="BT345" s="9"/>
      <c r="BU345" s="9"/>
      <c r="BV345" s="9"/>
      <c r="BW345" s="211"/>
      <c r="BX345" s="21"/>
      <c r="BY345" s="22"/>
      <c r="BZ345" s="15"/>
      <c r="CA345" s="15"/>
      <c r="CB345" s="15"/>
      <c r="CC345" s="325"/>
      <c r="CD345" s="80"/>
      <c r="CE345" s="80"/>
      <c r="CF345" s="80"/>
      <c r="CG345" s="386"/>
      <c r="CH345" s="386"/>
      <c r="CI345" s="386"/>
      <c r="CJ345" s="386"/>
      <c r="CK345" s="386"/>
      <c r="CL345" s="386"/>
      <c r="CM345" s="386"/>
      <c r="CN345" s="386"/>
      <c r="CO345" s="386"/>
      <c r="CP345" s="948"/>
    </row>
    <row r="346" spans="1:94" ht="14.25" hidden="1" customHeight="1" outlineLevel="2">
      <c r="A346" s="9"/>
      <c r="B346" s="235" t="s">
        <v>200</v>
      </c>
      <c r="C346" s="218"/>
      <c r="D346" s="372"/>
      <c r="E346" s="372"/>
      <c r="F346" s="372"/>
      <c r="G346" s="218"/>
      <c r="H346" s="372"/>
      <c r="I346" s="372"/>
      <c r="J346" s="372"/>
      <c r="K346" s="218"/>
      <c r="L346" s="343"/>
      <c r="M346" s="343"/>
      <c r="N346" s="343"/>
      <c r="O346" s="369"/>
      <c r="P346" s="343"/>
      <c r="Q346" s="343"/>
      <c r="R346" s="343"/>
      <c r="S346" s="369"/>
      <c r="T346" s="343"/>
      <c r="U346" s="343"/>
      <c r="V346" s="343"/>
      <c r="W346" s="369"/>
      <c r="X346" s="343"/>
      <c r="Y346" s="343"/>
      <c r="Z346" s="343"/>
      <c r="AA346" s="369"/>
      <c r="AB346" s="343"/>
      <c r="AC346" s="343"/>
      <c r="AD346" s="343"/>
      <c r="AE346" s="369"/>
      <c r="AF346" s="343"/>
      <c r="AG346" s="343"/>
      <c r="AH346" s="343"/>
      <c r="AI346" s="369"/>
      <c r="AJ346" s="423">
        <v>-42.8</v>
      </c>
      <c r="AK346" s="423">
        <v>-42.4</v>
      </c>
      <c r="AL346" s="423">
        <v>-41.9</v>
      </c>
      <c r="AM346" s="401">
        <v>-32.299999999999997</v>
      </c>
      <c r="AN346" s="423">
        <v>-20.399999999999999</v>
      </c>
      <c r="AO346" s="423">
        <v>-31.4</v>
      </c>
      <c r="AP346" s="423">
        <v>-21.4</v>
      </c>
      <c r="AQ346" s="401">
        <v>-18.600000000000001</v>
      </c>
      <c r="AR346" s="423">
        <v>-45.7</v>
      </c>
      <c r="AS346" s="423">
        <v>-23</v>
      </c>
      <c r="AT346" s="423">
        <v>-3</v>
      </c>
      <c r="AU346" s="401">
        <v>5.4</v>
      </c>
      <c r="AV346" s="423">
        <v>-8.6999999999999993</v>
      </c>
      <c r="AW346" s="423">
        <v>-0.1</v>
      </c>
      <c r="AX346" s="341"/>
      <c r="AY346" s="342"/>
      <c r="AZ346" s="341"/>
      <c r="BA346" s="341"/>
      <c r="BB346" s="341"/>
      <c r="BC346" s="342"/>
      <c r="BD346" s="341"/>
      <c r="BE346" s="341"/>
      <c r="BF346" s="341"/>
      <c r="BG346" s="342"/>
      <c r="BH346" s="341"/>
      <c r="BI346" s="341"/>
      <c r="BJ346" s="341"/>
      <c r="BK346" s="342"/>
      <c r="BL346" s="341"/>
      <c r="BM346" s="341"/>
      <c r="BN346" s="341"/>
      <c r="BO346" s="342"/>
      <c r="BP346" s="341"/>
      <c r="BQ346" s="341"/>
      <c r="BR346" s="341"/>
      <c r="BS346" s="342"/>
      <c r="BT346" s="341"/>
      <c r="BU346" s="341"/>
      <c r="BV346" s="341"/>
      <c r="BW346" s="342"/>
      <c r="BX346" s="263"/>
      <c r="BY346" s="235"/>
      <c r="BZ346" s="251"/>
      <c r="CA346" s="325"/>
      <c r="CB346" s="325"/>
      <c r="CC346" s="325"/>
      <c r="CD346" s="423">
        <v>0</v>
      </c>
      <c r="CE346" s="423">
        <v>0</v>
      </c>
      <c r="CF346" s="423">
        <v>0</v>
      </c>
      <c r="CG346" s="325">
        <f>SUM(AJ346:AM346)</f>
        <v>-159.39999999999998</v>
      </c>
      <c r="CH346" s="325">
        <f>SUM(AN346:AQ346)</f>
        <v>-91.799999999999983</v>
      </c>
      <c r="CI346" s="325">
        <f>SUM(AR346:AU346)</f>
        <v>-66.3</v>
      </c>
      <c r="CJ346" s="325"/>
      <c r="CK346" s="325"/>
      <c r="CL346" s="325"/>
      <c r="CM346" s="325"/>
      <c r="CN346" s="325"/>
      <c r="CO346" s="325"/>
      <c r="CP346" s="326"/>
    </row>
    <row r="347" spans="1:94" ht="14.25" hidden="1" customHeight="1" outlineLevel="2">
      <c r="A347" s="9"/>
      <c r="B347" s="217" t="s">
        <v>297</v>
      </c>
      <c r="C347" s="218"/>
      <c r="D347" s="372"/>
      <c r="E347" s="372"/>
      <c r="F347" s="372"/>
      <c r="G347" s="218"/>
      <c r="H347" s="372"/>
      <c r="I347" s="372"/>
      <c r="J347" s="372"/>
      <c r="K347" s="218"/>
      <c r="L347" s="370"/>
      <c r="M347" s="370"/>
      <c r="N347" s="370"/>
      <c r="O347" s="335"/>
      <c r="P347" s="370"/>
      <c r="Q347" s="370"/>
      <c r="R347" s="370"/>
      <c r="S347" s="335"/>
      <c r="T347" s="370"/>
      <c r="U347" s="370"/>
      <c r="V347" s="370"/>
      <c r="W347" s="335"/>
      <c r="X347" s="370"/>
      <c r="Y347" s="370"/>
      <c r="Z347" s="370"/>
      <c r="AA347" s="335"/>
      <c r="AB347" s="370"/>
      <c r="AC347" s="370"/>
      <c r="AD347" s="370"/>
      <c r="AE347" s="335"/>
      <c r="AF347" s="370"/>
      <c r="AG347" s="370"/>
      <c r="AH347" s="370"/>
      <c r="AI347" s="335"/>
      <c r="AJ347" s="425"/>
      <c r="AK347" s="370">
        <f t="shared" ref="AK347:AW347" si="733">AK346/AJ346-1</f>
        <v>-9.3457943925233655E-3</v>
      </c>
      <c r="AL347" s="370">
        <f t="shared" si="733"/>
        <v>-1.1792452830188704E-2</v>
      </c>
      <c r="AM347" s="335">
        <f t="shared" si="733"/>
        <v>-0.22911694510739866</v>
      </c>
      <c r="AN347" s="370">
        <f t="shared" si="733"/>
        <v>-0.36842105263157898</v>
      </c>
      <c r="AO347" s="370">
        <f t="shared" si="733"/>
        <v>0.53921568627450989</v>
      </c>
      <c r="AP347" s="370">
        <f t="shared" si="733"/>
        <v>-0.31847133757961787</v>
      </c>
      <c r="AQ347" s="335">
        <f t="shared" si="733"/>
        <v>-0.13084112149532701</v>
      </c>
      <c r="AR347" s="370">
        <f t="shared" si="733"/>
        <v>1.456989247311828</v>
      </c>
      <c r="AS347" s="370">
        <f t="shared" si="733"/>
        <v>-0.49671772428884031</v>
      </c>
      <c r="AT347" s="370">
        <f t="shared" si="733"/>
        <v>-0.86956521739130432</v>
      </c>
      <c r="AU347" s="335">
        <f t="shared" si="733"/>
        <v>-2.8</v>
      </c>
      <c r="AV347" s="370">
        <f t="shared" si="733"/>
        <v>-2.6111111111111107</v>
      </c>
      <c r="AW347" s="370">
        <f t="shared" si="733"/>
        <v>-0.9885057471264368</v>
      </c>
      <c r="AX347" s="231"/>
      <c r="AY347" s="79"/>
      <c r="AZ347" s="231"/>
      <c r="BA347" s="231"/>
      <c r="BB347" s="231"/>
      <c r="BC347" s="79"/>
      <c r="BD347" s="231"/>
      <c r="BE347" s="231"/>
      <c r="BF347" s="231"/>
      <c r="BG347" s="79"/>
      <c r="BH347" s="231"/>
      <c r="BI347" s="231"/>
      <c r="BJ347" s="231"/>
      <c r="BK347" s="79"/>
      <c r="BL347" s="231"/>
      <c r="BM347" s="231"/>
      <c r="BN347" s="231"/>
      <c r="BO347" s="79"/>
      <c r="BP347" s="231"/>
      <c r="BQ347" s="231"/>
      <c r="BR347" s="231"/>
      <c r="BS347" s="79"/>
      <c r="BT347" s="231"/>
      <c r="BU347" s="231"/>
      <c r="BV347" s="231"/>
      <c r="BW347" s="79"/>
      <c r="BX347" s="21"/>
      <c r="BY347" s="22"/>
      <c r="BZ347" s="15"/>
      <c r="CA347" s="15"/>
      <c r="CB347" s="15"/>
      <c r="CC347" s="15"/>
      <c r="CD347" s="15"/>
      <c r="CE347" s="220"/>
      <c r="CF347" s="370"/>
      <c r="CG347" s="220"/>
      <c r="CH347" s="220"/>
      <c r="CI347" s="370"/>
      <c r="CJ347" s="220"/>
      <c r="CK347" s="220"/>
      <c r="CL347" s="220"/>
      <c r="CM347" s="220"/>
      <c r="CN347" s="220"/>
      <c r="CO347" s="220"/>
      <c r="CP347" s="258"/>
    </row>
    <row r="348" spans="1:94" ht="14.25" hidden="1" customHeight="1" outlineLevel="2">
      <c r="A348" s="9"/>
      <c r="B348" s="32" t="s">
        <v>298</v>
      </c>
      <c r="C348" s="218"/>
      <c r="D348" s="372"/>
      <c r="E348" s="372"/>
      <c r="F348" s="372"/>
      <c r="G348" s="218"/>
      <c r="H348" s="372"/>
      <c r="I348" s="372"/>
      <c r="J348" s="372"/>
      <c r="K348" s="218"/>
      <c r="L348" s="370"/>
      <c r="M348" s="370"/>
      <c r="N348" s="370"/>
      <c r="O348" s="335"/>
      <c r="P348" s="370"/>
      <c r="Q348" s="370"/>
      <c r="R348" s="370"/>
      <c r="S348" s="335"/>
      <c r="T348" s="370"/>
      <c r="U348" s="370"/>
      <c r="V348" s="370"/>
      <c r="W348" s="335"/>
      <c r="X348" s="370"/>
      <c r="Y348" s="370"/>
      <c r="Z348" s="370"/>
      <c r="AA348" s="335"/>
      <c r="AB348" s="370"/>
      <c r="AC348" s="370"/>
      <c r="AD348" s="370"/>
      <c r="AE348" s="335"/>
      <c r="AF348" s="370"/>
      <c r="AG348" s="370"/>
      <c r="AH348" s="370"/>
      <c r="AI348" s="335"/>
      <c r="AJ348" s="425"/>
      <c r="AK348" s="418"/>
      <c r="AL348" s="418"/>
      <c r="AM348" s="419"/>
      <c r="AN348" s="370">
        <f t="shared" ref="AN348:AW348" si="734">AN346/AJ346-1</f>
        <v>-0.52336448598130847</v>
      </c>
      <c r="AO348" s="370">
        <f t="shared" si="734"/>
        <v>-0.25943396226415094</v>
      </c>
      <c r="AP348" s="370">
        <f t="shared" si="734"/>
        <v>-0.48926014319809075</v>
      </c>
      <c r="AQ348" s="335">
        <f t="shared" si="734"/>
        <v>-0.42414860681114541</v>
      </c>
      <c r="AR348" s="370">
        <f t="shared" si="734"/>
        <v>1.240196078431373</v>
      </c>
      <c r="AS348" s="370">
        <f t="shared" si="734"/>
        <v>-0.26751592356687892</v>
      </c>
      <c r="AT348" s="370">
        <f t="shared" si="734"/>
        <v>-0.85981308411214952</v>
      </c>
      <c r="AU348" s="335">
        <f t="shared" si="734"/>
        <v>-1.2903225806451613</v>
      </c>
      <c r="AV348" s="370">
        <f t="shared" si="734"/>
        <v>-0.80962800875273522</v>
      </c>
      <c r="AW348" s="370">
        <f t="shared" si="734"/>
        <v>-0.9956521739130435</v>
      </c>
      <c r="AX348" s="257"/>
      <c r="AY348" s="258"/>
      <c r="AZ348" s="257"/>
      <c r="BA348" s="257"/>
      <c r="BB348" s="257"/>
      <c r="BC348" s="258"/>
      <c r="BD348" s="257"/>
      <c r="BE348" s="257"/>
      <c r="BF348" s="257"/>
      <c r="BG348" s="258"/>
      <c r="BH348" s="257"/>
      <c r="BI348" s="257"/>
      <c r="BJ348" s="257"/>
      <c r="BK348" s="258"/>
      <c r="BL348" s="257"/>
      <c r="BM348" s="257"/>
      <c r="BN348" s="257"/>
      <c r="BO348" s="258"/>
      <c r="BP348" s="257"/>
      <c r="BQ348" s="257"/>
      <c r="BR348" s="257"/>
      <c r="BS348" s="258"/>
      <c r="BT348" s="257"/>
      <c r="BU348" s="257"/>
      <c r="BV348" s="257"/>
      <c r="BW348" s="258"/>
      <c r="BX348" s="21"/>
      <c r="BY348" s="22"/>
      <c r="BZ348" s="15"/>
      <c r="CA348" s="15"/>
      <c r="CB348" s="338"/>
      <c r="CC348" s="338"/>
      <c r="CD348" s="418"/>
      <c r="CE348" s="418" t="str">
        <f>IF(ISERROR(CE346/CD346-1),"NM",CE346/CD346-1)</f>
        <v>NM</v>
      </c>
      <c r="CF348" s="418" t="str">
        <f>IF(ISERROR(CF346/CE346-1),"NM",CF346/CE346-1)</f>
        <v>NM</v>
      </c>
      <c r="CG348" s="418" t="str">
        <f>IF(ISERROR(CG346/CF346-1),"NM",CG346/CF346-1)</f>
        <v>NM</v>
      </c>
      <c r="CH348" s="338">
        <f>CH346/CG346-1</f>
        <v>-0.42409033877038893</v>
      </c>
      <c r="CI348" s="338">
        <f>CI346/CH346-1</f>
        <v>-0.27777777777777768</v>
      </c>
      <c r="CJ348" s="338"/>
      <c r="CK348" s="338"/>
      <c r="CL348" s="338"/>
      <c r="CM348" s="338"/>
      <c r="CN348" s="338"/>
      <c r="CO348" s="338"/>
      <c r="CP348" s="337"/>
    </row>
    <row r="349" spans="1:94" ht="14.25" hidden="1" customHeight="1" outlineLevel="2">
      <c r="A349" s="9"/>
      <c r="B349" s="217" t="s">
        <v>374</v>
      </c>
      <c r="C349" s="218"/>
      <c r="D349" s="372"/>
      <c r="E349" s="372"/>
      <c r="F349" s="372"/>
      <c r="G349" s="218"/>
      <c r="H349" s="372"/>
      <c r="I349" s="372"/>
      <c r="J349" s="372"/>
      <c r="K349" s="218"/>
      <c r="L349" s="370"/>
      <c r="M349" s="370"/>
      <c r="N349" s="370"/>
      <c r="O349" s="335"/>
      <c r="P349" s="370"/>
      <c r="Q349" s="370"/>
      <c r="R349" s="370"/>
      <c r="S349" s="335"/>
      <c r="T349" s="370"/>
      <c r="U349" s="370"/>
      <c r="V349" s="370"/>
      <c r="W349" s="335"/>
      <c r="X349" s="370"/>
      <c r="Y349" s="370"/>
      <c r="Z349" s="370"/>
      <c r="AA349" s="335"/>
      <c r="AB349" s="370"/>
      <c r="AC349" s="370"/>
      <c r="AD349" s="370"/>
      <c r="AE349" s="335"/>
      <c r="AF349" s="370"/>
      <c r="AG349" s="370"/>
      <c r="AH349" s="370"/>
      <c r="AI349" s="335"/>
      <c r="AJ349" s="370">
        <f t="shared" ref="AJ349:AS349" si="735">AJ346/AJ334</f>
        <v>-0.15390147428982379</v>
      </c>
      <c r="AK349" s="370">
        <f t="shared" si="735"/>
        <v>-0.15457528253736783</v>
      </c>
      <c r="AL349" s="370">
        <f t="shared" si="735"/>
        <v>-0.14213025780189958</v>
      </c>
      <c r="AM349" s="335">
        <f t="shared" si="735"/>
        <v>-0.15157203190990146</v>
      </c>
      <c r="AN349" s="370">
        <f t="shared" si="735"/>
        <v>-9.9077221952404065E-2</v>
      </c>
      <c r="AO349" s="370">
        <f t="shared" si="735"/>
        <v>-0.15287244401168451</v>
      </c>
      <c r="AP349" s="370">
        <f t="shared" si="735"/>
        <v>-0.11088082901554404</v>
      </c>
      <c r="AQ349" s="335">
        <f t="shared" si="735"/>
        <v>-0.1115776844631074</v>
      </c>
      <c r="AR349" s="370">
        <f t="shared" si="735"/>
        <v>-0.3030503978779841</v>
      </c>
      <c r="AS349" s="370">
        <f t="shared" si="735"/>
        <v>-0.14339152119700749</v>
      </c>
      <c r="AT349" s="370">
        <f>AT346/AT334</f>
        <v>-1.9132653061224487E-2</v>
      </c>
      <c r="AU349" s="335">
        <f>AU346/AU334</f>
        <v>3.4351145038167941E-2</v>
      </c>
      <c r="AV349" s="370">
        <f>AV346/AV334</f>
        <v>-6.4876957494407153E-2</v>
      </c>
      <c r="AW349" s="370">
        <f>AW346/AW334</f>
        <v>-6.5487884741322869E-4</v>
      </c>
      <c r="AX349" s="293"/>
      <c r="AY349" s="292"/>
      <c r="AZ349" s="293"/>
      <c r="BA349" s="293"/>
      <c r="BB349" s="293"/>
      <c r="BC349" s="292"/>
      <c r="BD349" s="293"/>
      <c r="BE349" s="293"/>
      <c r="BF349" s="293"/>
      <c r="BG349" s="292"/>
      <c r="BH349" s="293"/>
      <c r="BI349" s="293"/>
      <c r="BJ349" s="293"/>
      <c r="BK349" s="292"/>
      <c r="BL349" s="293"/>
      <c r="BM349" s="293"/>
      <c r="BN349" s="293"/>
      <c r="BO349" s="292"/>
      <c r="BP349" s="293"/>
      <c r="BQ349" s="293"/>
      <c r="BR349" s="293"/>
      <c r="BS349" s="292"/>
      <c r="BT349" s="293"/>
      <c r="BU349" s="293"/>
      <c r="BV349" s="293"/>
      <c r="BW349" s="292"/>
      <c r="BX349" s="21"/>
      <c r="BY349" s="22"/>
      <c r="BZ349" s="15"/>
      <c r="CA349" s="338"/>
      <c r="CB349" s="338"/>
      <c r="CC349" s="338"/>
      <c r="CD349" s="418" t="str">
        <f>IF(ISERROR(CD346/CD334),"NM",CD346/CD334)</f>
        <v>NM</v>
      </c>
      <c r="CE349" s="418" t="str">
        <f>IF(ISERROR(CE346/CE334),"NM",CE346/CE334)</f>
        <v>NM</v>
      </c>
      <c r="CF349" s="418" t="str">
        <f>IF(ISERROR(CF346/CF334),"NM",CF346/CF334)</f>
        <v>NM</v>
      </c>
      <c r="CG349" s="338">
        <f>CG346/CG334</f>
        <v>-0.15033481090257472</v>
      </c>
      <c r="CH349" s="338">
        <f>CH346/CH334</f>
        <v>-0.11906614785992216</v>
      </c>
      <c r="CI349" s="338">
        <f>CI346/CI334</f>
        <v>-0.10604606525911707</v>
      </c>
      <c r="CJ349" s="338"/>
      <c r="CK349" s="338"/>
      <c r="CL349" s="338"/>
      <c r="CM349" s="338"/>
      <c r="CN349" s="338"/>
      <c r="CO349" s="338"/>
      <c r="CP349" s="337"/>
    </row>
    <row r="350" spans="1:94" ht="14.25" hidden="1" customHeight="1" outlineLevel="2">
      <c r="A350" s="9"/>
      <c r="B350" s="236"/>
      <c r="C350" s="237"/>
      <c r="D350" s="373"/>
      <c r="E350" s="373"/>
      <c r="F350" s="373"/>
      <c r="G350" s="237"/>
      <c r="H350" s="373"/>
      <c r="I350" s="373"/>
      <c r="J350" s="373"/>
      <c r="K350" s="237"/>
      <c r="L350" s="279"/>
      <c r="M350" s="279"/>
      <c r="N350" s="279"/>
      <c r="O350" s="280"/>
      <c r="P350" s="279"/>
      <c r="Q350" s="279"/>
      <c r="R350" s="279"/>
      <c r="S350" s="280"/>
      <c r="T350" s="279"/>
      <c r="U350" s="279"/>
      <c r="V350" s="279"/>
      <c r="W350" s="280"/>
      <c r="X350" s="279"/>
      <c r="Y350" s="279"/>
      <c r="Z350" s="279"/>
      <c r="AA350" s="280"/>
      <c r="AB350" s="279"/>
      <c r="AC350" s="279"/>
      <c r="AD350" s="279"/>
      <c r="AE350" s="280"/>
      <c r="AF350" s="279"/>
      <c r="AG350" s="279"/>
      <c r="AH350" s="279"/>
      <c r="AI350" s="280"/>
      <c r="AJ350" s="279"/>
      <c r="AK350" s="279"/>
      <c r="AL350" s="279"/>
      <c r="AM350" s="280"/>
      <c r="AN350" s="279"/>
      <c r="AO350" s="279"/>
      <c r="AP350" s="279"/>
      <c r="AQ350" s="280"/>
      <c r="AR350" s="499"/>
      <c r="AS350" s="279"/>
      <c r="AT350" s="279"/>
      <c r="AU350" s="280"/>
      <c r="AV350" s="499"/>
      <c r="AW350" s="279"/>
      <c r="AX350" s="499"/>
      <c r="AY350" s="500"/>
      <c r="AZ350" s="499"/>
      <c r="BA350" s="499"/>
      <c r="BB350" s="499"/>
      <c r="BC350" s="500"/>
      <c r="BD350" s="499"/>
      <c r="BE350" s="499"/>
      <c r="BF350" s="499"/>
      <c r="BG350" s="500"/>
      <c r="BH350" s="499"/>
      <c r="BI350" s="499"/>
      <c r="BJ350" s="499"/>
      <c r="BK350" s="500"/>
      <c r="BL350" s="499"/>
      <c r="BM350" s="499"/>
      <c r="BN350" s="499"/>
      <c r="BO350" s="500"/>
      <c r="BP350" s="499"/>
      <c r="BQ350" s="499"/>
      <c r="BR350" s="499"/>
      <c r="BS350" s="500"/>
      <c r="BT350" s="499"/>
      <c r="BU350" s="499"/>
      <c r="BV350" s="499"/>
      <c r="BW350" s="500"/>
      <c r="BX350" s="21"/>
      <c r="BY350" s="16"/>
      <c r="BZ350" s="203"/>
      <c r="CA350" s="203"/>
      <c r="CB350" s="203"/>
      <c r="CC350" s="203"/>
      <c r="CD350" s="203"/>
      <c r="CE350" s="238"/>
      <c r="CF350" s="279"/>
      <c r="CG350" s="238"/>
      <c r="CH350" s="238"/>
      <c r="CI350" s="238"/>
      <c r="CJ350" s="238"/>
      <c r="CK350" s="238"/>
      <c r="CL350" s="238"/>
      <c r="CM350" s="238"/>
      <c r="CN350" s="238"/>
      <c r="CO350" s="238"/>
      <c r="CP350" s="914"/>
    </row>
    <row r="351" spans="1:94" ht="14.25" hidden="1" customHeight="1" outlineLevel="2">
      <c r="A351" s="9"/>
      <c r="B351" s="235" t="s">
        <v>8</v>
      </c>
      <c r="C351" s="287"/>
      <c r="D351" s="284"/>
      <c r="E351" s="284"/>
      <c r="F351" s="284"/>
      <c r="G351" s="287"/>
      <c r="H351" s="284"/>
      <c r="I351" s="284"/>
      <c r="J351" s="284"/>
      <c r="K351" s="287"/>
      <c r="L351" s="343"/>
      <c r="M351" s="343"/>
      <c r="N351" s="343"/>
      <c r="O351" s="369"/>
      <c r="P351" s="343"/>
      <c r="Q351" s="343"/>
      <c r="R351" s="343"/>
      <c r="S351" s="369"/>
      <c r="T351" s="343"/>
      <c r="U351" s="343"/>
      <c r="V351" s="343"/>
      <c r="W351" s="369"/>
      <c r="X351" s="343"/>
      <c r="Y351" s="343"/>
      <c r="Z351" s="343"/>
      <c r="AA351" s="369"/>
      <c r="AB351" s="343"/>
      <c r="AC351" s="343"/>
      <c r="AD351" s="343"/>
      <c r="AE351" s="369"/>
      <c r="AF351" s="343"/>
      <c r="AG351" s="343"/>
      <c r="AH351" s="343"/>
      <c r="AI351" s="369"/>
      <c r="AJ351" s="423"/>
      <c r="AK351" s="423"/>
      <c r="AL351" s="423"/>
      <c r="AM351" s="401"/>
      <c r="AN351" s="423"/>
      <c r="AO351" s="423"/>
      <c r="AP351" s="423"/>
      <c r="AQ351" s="401">
        <f t="shared" ref="AQ351:AW351" si="736">AQ81*AQ354</f>
        <v>13.604000000000001</v>
      </c>
      <c r="AR351" s="423">
        <f t="shared" si="736"/>
        <v>13.22</v>
      </c>
      <c r="AS351" s="423">
        <f t="shared" si="736"/>
        <v>6.883</v>
      </c>
      <c r="AT351" s="423">
        <f t="shared" si="736"/>
        <v>7.1539999999999999</v>
      </c>
      <c r="AU351" s="401">
        <f t="shared" si="736"/>
        <v>14.36</v>
      </c>
      <c r="AV351" s="423">
        <f t="shared" si="736"/>
        <v>14.13</v>
      </c>
      <c r="AW351" s="423">
        <f t="shared" si="736"/>
        <v>22.728000000000002</v>
      </c>
      <c r="AX351" s="815">
        <f>$AX$81*AX354</f>
        <v>100.02</v>
      </c>
      <c r="AY351" s="815">
        <f>$AX$81*AY354</f>
        <v>158.36500000000001</v>
      </c>
      <c r="AZ351" s="816"/>
      <c r="BA351" s="815"/>
      <c r="BB351" s="815">
        <f>$BB$81*BB354</f>
        <v>189.88200000000001</v>
      </c>
      <c r="BC351" s="817"/>
      <c r="BD351" s="816"/>
      <c r="BE351" s="815"/>
      <c r="BF351" s="815"/>
      <c r="BG351" s="817"/>
      <c r="BH351" s="816"/>
      <c r="BI351" s="815"/>
      <c r="BJ351" s="815"/>
      <c r="BK351" s="817"/>
      <c r="BL351" s="816"/>
      <c r="BM351" s="815"/>
      <c r="BN351" s="815"/>
      <c r="BO351" s="817"/>
      <c r="BP351" s="816"/>
      <c r="BQ351" s="815"/>
      <c r="BR351" s="815"/>
      <c r="BS351" s="817"/>
      <c r="BT351" s="816"/>
      <c r="BU351" s="815"/>
      <c r="BV351" s="815"/>
      <c r="BW351" s="817"/>
      <c r="BX351" s="283"/>
      <c r="BY351" s="667"/>
      <c r="BZ351" s="248"/>
      <c r="CA351" s="325"/>
      <c r="CB351" s="325"/>
      <c r="CC351" s="325"/>
      <c r="CD351" s="423">
        <v>0</v>
      </c>
      <c r="CE351" s="423">
        <v>0</v>
      </c>
      <c r="CF351" s="423">
        <v>0</v>
      </c>
      <c r="CG351" s="325">
        <f>SUM(AJ351:AM351)</f>
        <v>0</v>
      </c>
      <c r="CH351" s="325">
        <f>SUM(AN351:AQ351)</f>
        <v>13.604000000000001</v>
      </c>
      <c r="CI351" s="325">
        <f>SUM(AR351:AU351)</f>
        <v>41.617000000000004</v>
      </c>
      <c r="CJ351" s="325">
        <f>SUM(AV351:AY351)</f>
        <v>295.24299999999999</v>
      </c>
      <c r="CK351" s="325">
        <f>SUM(AZ351:BC351)</f>
        <v>189.88200000000001</v>
      </c>
      <c r="CL351" s="325">
        <f>SUM(BD351:BG351)</f>
        <v>0</v>
      </c>
      <c r="CM351" s="325">
        <f>SUM(BH351:BK351)</f>
        <v>0</v>
      </c>
      <c r="CN351" s="325"/>
      <c r="CO351" s="325"/>
      <c r="CP351" s="326"/>
    </row>
    <row r="352" spans="1:94" ht="14.25" hidden="1" customHeight="1" outlineLevel="2">
      <c r="A352" s="9"/>
      <c r="B352" s="217" t="s">
        <v>297</v>
      </c>
      <c r="C352" s="218"/>
      <c r="D352" s="372"/>
      <c r="E352" s="372"/>
      <c r="F352" s="372"/>
      <c r="G352" s="218"/>
      <c r="H352" s="372"/>
      <c r="I352" s="372"/>
      <c r="J352" s="372"/>
      <c r="K352" s="218"/>
      <c r="L352" s="370"/>
      <c r="M352" s="370"/>
      <c r="N352" s="370"/>
      <c r="O352" s="335"/>
      <c r="P352" s="370"/>
      <c r="Q352" s="370"/>
      <c r="R352" s="370"/>
      <c r="S352" s="335"/>
      <c r="T352" s="370"/>
      <c r="U352" s="370"/>
      <c r="V352" s="370"/>
      <c r="W352" s="335"/>
      <c r="X352" s="370"/>
      <c r="Y352" s="370"/>
      <c r="Z352" s="370"/>
      <c r="AA352" s="335"/>
      <c r="AB352" s="370"/>
      <c r="AC352" s="370"/>
      <c r="AD352" s="370"/>
      <c r="AE352" s="335"/>
      <c r="AF352" s="370"/>
      <c r="AG352" s="370"/>
      <c r="AH352" s="370"/>
      <c r="AI352" s="335"/>
      <c r="AJ352" s="425"/>
      <c r="AK352" s="370"/>
      <c r="AL352" s="370"/>
      <c r="AM352" s="335"/>
      <c r="AN352" s="370"/>
      <c r="AO352" s="370"/>
      <c r="AP352" s="370"/>
      <c r="AQ352" s="335"/>
      <c r="AR352" s="370">
        <f t="shared" ref="AR352:AW352" si="737">AR351/AQ351-1</f>
        <v>-2.8226992061158529E-2</v>
      </c>
      <c r="AS352" s="370">
        <f t="shared" si="737"/>
        <v>-0.47934947049924359</v>
      </c>
      <c r="AT352" s="370">
        <f t="shared" si="737"/>
        <v>3.9372366700566541E-2</v>
      </c>
      <c r="AU352" s="335">
        <f t="shared" si="737"/>
        <v>1.0072686608890131</v>
      </c>
      <c r="AV352" s="370">
        <f t="shared" si="737"/>
        <v>-1.6016713091921875E-2</v>
      </c>
      <c r="AW352" s="370">
        <f t="shared" si="737"/>
        <v>0.60849256900212323</v>
      </c>
      <c r="AX352" s="420">
        <v>0.02</v>
      </c>
      <c r="AY352" s="420">
        <v>0.02</v>
      </c>
      <c r="AZ352" s="505"/>
      <c r="BA352" s="420"/>
      <c r="BB352" s="420">
        <v>0.02</v>
      </c>
      <c r="BC352" s="421"/>
      <c r="BD352" s="505"/>
      <c r="BE352" s="420"/>
      <c r="BF352" s="420"/>
      <c r="BG352" s="421"/>
      <c r="BH352" s="505"/>
      <c r="BI352" s="420"/>
      <c r="BJ352" s="420"/>
      <c r="BK352" s="421"/>
      <c r="BL352" s="505"/>
      <c r="BM352" s="420"/>
      <c r="BN352" s="420"/>
      <c r="BO352" s="421"/>
      <c r="BP352" s="505"/>
      <c r="BQ352" s="420"/>
      <c r="BR352" s="420"/>
      <c r="BS352" s="421"/>
      <c r="BT352" s="505"/>
      <c r="BU352" s="420"/>
      <c r="BV352" s="420"/>
      <c r="BW352" s="421"/>
      <c r="BX352" s="21"/>
      <c r="BY352" s="22"/>
      <c r="BZ352" s="15"/>
      <c r="CA352" s="15"/>
      <c r="CB352" s="15"/>
      <c r="CC352" s="15"/>
      <c r="CD352" s="370"/>
      <c r="CE352" s="370"/>
      <c r="CF352" s="370"/>
      <c r="CG352" s="220"/>
      <c r="CH352" s="220"/>
      <c r="CI352" s="220"/>
      <c r="CJ352" s="220"/>
      <c r="CK352" s="220"/>
      <c r="CL352" s="220"/>
      <c r="CM352" s="220"/>
      <c r="CN352" s="220"/>
      <c r="CO352" s="220"/>
      <c r="CP352" s="258"/>
    </row>
    <row r="353" spans="1:94" ht="14.25" hidden="1" customHeight="1" outlineLevel="2">
      <c r="A353" s="9"/>
      <c r="B353" s="32" t="s">
        <v>298</v>
      </c>
      <c r="C353" s="33"/>
      <c r="D353" s="259"/>
      <c r="E353" s="259"/>
      <c r="F353" s="259"/>
      <c r="G353" s="33"/>
      <c r="H353" s="259"/>
      <c r="I353" s="259"/>
      <c r="J353" s="259"/>
      <c r="K353" s="33"/>
      <c r="L353" s="370"/>
      <c r="M353" s="370"/>
      <c r="N353" s="370"/>
      <c r="O353" s="335"/>
      <c r="P353" s="370"/>
      <c r="Q353" s="370"/>
      <c r="R353" s="370"/>
      <c r="S353" s="335"/>
      <c r="T353" s="370"/>
      <c r="U353" s="370"/>
      <c r="V353" s="370"/>
      <c r="W353" s="335"/>
      <c r="X353" s="370"/>
      <c r="Y353" s="370"/>
      <c r="Z353" s="370"/>
      <c r="AA353" s="335"/>
      <c r="AB353" s="370"/>
      <c r="AC353" s="370"/>
      <c r="AD353" s="370"/>
      <c r="AE353" s="335"/>
      <c r="AF353" s="370"/>
      <c r="AG353" s="370"/>
      <c r="AH353" s="370"/>
      <c r="AI353" s="335"/>
      <c r="AJ353" s="425"/>
      <c r="AK353" s="418"/>
      <c r="AL353" s="418"/>
      <c r="AM353" s="419"/>
      <c r="AN353" s="370"/>
      <c r="AO353" s="370"/>
      <c r="AP353" s="370"/>
      <c r="AQ353" s="335"/>
      <c r="AR353" s="370"/>
      <c r="AS353" s="370"/>
      <c r="AT353" s="370"/>
      <c r="AU353" s="335">
        <f>AU351/AQ351-1</f>
        <v>5.5571890620405684E-2</v>
      </c>
      <c r="AV353" s="370">
        <f>AV351/AR351-1</f>
        <v>6.8835098335854772E-2</v>
      </c>
      <c r="AW353" s="370">
        <f>AW351/AS351-1</f>
        <v>2.3020485253523177</v>
      </c>
      <c r="AX353" s="370">
        <f>AX351/AT351-1</f>
        <v>12.980989656136426</v>
      </c>
      <c r="AY353" s="370">
        <f>AY351/AU351-1</f>
        <v>10.028203342618385</v>
      </c>
      <c r="AZ353" s="377"/>
      <c r="BA353" s="370"/>
      <c r="BB353" s="370">
        <f>BB351/AX351-1</f>
        <v>0.89844031193761253</v>
      </c>
      <c r="BC353" s="335"/>
      <c r="BD353" s="377"/>
      <c r="BE353" s="370"/>
      <c r="BF353" s="370"/>
      <c r="BG353" s="335"/>
      <c r="BH353" s="377"/>
      <c r="BI353" s="370"/>
      <c r="BJ353" s="370"/>
      <c r="BK353" s="335"/>
      <c r="BL353" s="377"/>
      <c r="BM353" s="370"/>
      <c r="BN353" s="370"/>
      <c r="BO353" s="335"/>
      <c r="BP353" s="377"/>
      <c r="BQ353" s="370"/>
      <c r="BR353" s="370"/>
      <c r="BS353" s="335"/>
      <c r="BT353" s="377"/>
      <c r="BU353" s="370"/>
      <c r="BV353" s="370"/>
      <c r="BW353" s="335"/>
      <c r="BX353" s="21"/>
      <c r="BY353" s="22"/>
      <c r="BZ353" s="15"/>
      <c r="CA353" s="15"/>
      <c r="CB353" s="338"/>
      <c r="CC353" s="338"/>
      <c r="CD353" s="418"/>
      <c r="CE353" s="418" t="str">
        <f>IF(ISERROR(CE351/CD351-1),"NM",CE351/CD351-1)</f>
        <v>NM</v>
      </c>
      <c r="CF353" s="418" t="str">
        <f>IF(ISERROR(CF351/CE351-1),"NM",CF351/CE351-1)</f>
        <v>NM</v>
      </c>
      <c r="CG353" s="418" t="str">
        <f>IF(ISERROR(CG351/CF351-1),"NM",CG351/CF351-1)</f>
        <v>NM</v>
      </c>
      <c r="CH353" s="338"/>
      <c r="CI353" s="338">
        <f t="shared" ref="CI353:CM353" si="738">CI351/CH351-1</f>
        <v>2.0591737724198764</v>
      </c>
      <c r="CJ353" s="338">
        <f t="shared" si="738"/>
        <v>6.0942883917629809</v>
      </c>
      <c r="CK353" s="338">
        <f t="shared" si="738"/>
        <v>-0.35686197471235559</v>
      </c>
      <c r="CL353" s="338">
        <f t="shared" si="738"/>
        <v>-1</v>
      </c>
      <c r="CM353" s="338" t="e">
        <f t="shared" si="738"/>
        <v>#DIV/0!</v>
      </c>
      <c r="CN353" s="338"/>
      <c r="CO353" s="338"/>
      <c r="CP353" s="337"/>
    </row>
    <row r="354" spans="1:94" ht="14.25" hidden="1" customHeight="1" outlineLevel="2">
      <c r="A354" s="9"/>
      <c r="B354" s="217" t="s">
        <v>299</v>
      </c>
      <c r="C354" s="218"/>
      <c r="D354" s="372"/>
      <c r="E354" s="372"/>
      <c r="F354" s="372"/>
      <c r="G354" s="218"/>
      <c r="H354" s="372"/>
      <c r="I354" s="372"/>
      <c r="J354" s="372"/>
      <c r="K354" s="218"/>
      <c r="L354" s="338"/>
      <c r="M354" s="370"/>
      <c r="N354" s="370"/>
      <c r="O354" s="337"/>
      <c r="P354" s="338"/>
      <c r="Q354" s="370"/>
      <c r="R354" s="370"/>
      <c r="S354" s="337"/>
      <c r="T354" s="338"/>
      <c r="U354" s="370"/>
      <c r="V354" s="370"/>
      <c r="W354" s="337"/>
      <c r="X354" s="338"/>
      <c r="Y354" s="370"/>
      <c r="Z354" s="370"/>
      <c r="AA354" s="337"/>
      <c r="AB354" s="338"/>
      <c r="AC354" s="370"/>
      <c r="AD354" s="370"/>
      <c r="AE354" s="337"/>
      <c r="AF354" s="338"/>
      <c r="AG354" s="370"/>
      <c r="AH354" s="370"/>
      <c r="AI354" s="337"/>
      <c r="AJ354" s="338"/>
      <c r="AK354" s="370"/>
      <c r="AL354" s="370"/>
      <c r="AM354" s="337"/>
      <c r="AN354" s="338"/>
      <c r="AO354" s="370"/>
      <c r="AP354" s="370"/>
      <c r="AQ354" s="1074">
        <v>0.02</v>
      </c>
      <c r="AR354" s="1075">
        <v>0.02</v>
      </c>
      <c r="AS354" s="1074">
        <v>0.01</v>
      </c>
      <c r="AT354" s="1074">
        <v>0.01</v>
      </c>
      <c r="AU354" s="1073">
        <v>0.02</v>
      </c>
      <c r="AV354" s="1074">
        <v>0.02</v>
      </c>
      <c r="AW354" s="1074">
        <v>0.03</v>
      </c>
      <c r="AX354" s="1074">
        <v>0.12</v>
      </c>
      <c r="AY354" s="1074">
        <v>0.19</v>
      </c>
      <c r="AZ354" s="377"/>
      <c r="BA354" s="370"/>
      <c r="BB354" s="1074">
        <v>0.21</v>
      </c>
      <c r="BC354" s="335"/>
      <c r="BD354" s="377"/>
      <c r="BE354" s="370"/>
      <c r="BF354" s="370"/>
      <c r="BG354" s="335"/>
      <c r="BH354" s="377"/>
      <c r="BI354" s="370"/>
      <c r="BJ354" s="370"/>
      <c r="BK354" s="335"/>
      <c r="BL354" s="377"/>
      <c r="BM354" s="370"/>
      <c r="BN354" s="370"/>
      <c r="BO354" s="335"/>
      <c r="BP354" s="377"/>
      <c r="BQ354" s="370"/>
      <c r="BR354" s="370"/>
      <c r="BS354" s="335"/>
      <c r="BT354" s="377"/>
      <c r="BU354" s="370"/>
      <c r="BV354" s="370"/>
      <c r="BW354" s="335"/>
      <c r="BX354" s="21"/>
      <c r="BY354" s="22"/>
      <c r="BZ354" s="15"/>
      <c r="CA354" s="338"/>
      <c r="CB354" s="338"/>
      <c r="CC354" s="338"/>
      <c r="CD354" s="370">
        <f>CD351/CD$368</f>
        <v>0</v>
      </c>
      <c r="CE354" s="370">
        <f>CE351/CE$368</f>
        <v>0</v>
      </c>
      <c r="CF354" s="370">
        <f>CF351/CF385</f>
        <v>0</v>
      </c>
      <c r="CG354" s="338">
        <f t="shared" ref="CG354:CM354" si="739">CG351/CG$368</f>
        <v>0</v>
      </c>
      <c r="CH354" s="338">
        <f t="shared" si="739"/>
        <v>4.6992987667967816E-3</v>
      </c>
      <c r="CI354" s="338">
        <f t="shared" si="739"/>
        <v>1.4955618643763255E-2</v>
      </c>
      <c r="CJ354" s="338">
        <f t="shared" si="739"/>
        <v>9.4545378854957063E-2</v>
      </c>
      <c r="CK354" s="338">
        <f t="shared" si="739"/>
        <v>6.3153397801271161E-2</v>
      </c>
      <c r="CL354" s="338">
        <f t="shared" si="739"/>
        <v>0</v>
      </c>
      <c r="CM354" s="338">
        <f t="shared" si="739"/>
        <v>0</v>
      </c>
      <c r="CN354" s="338"/>
      <c r="CO354" s="338"/>
      <c r="CP354" s="337"/>
    </row>
    <row r="355" spans="1:94" ht="14.25" hidden="1" customHeight="1" outlineLevel="2">
      <c r="A355" s="9"/>
      <c r="B355" s="217"/>
      <c r="C355" s="218"/>
      <c r="D355" s="372"/>
      <c r="E355" s="372"/>
      <c r="F355" s="372"/>
      <c r="G355" s="218"/>
      <c r="H355" s="372"/>
      <c r="I355" s="372"/>
      <c r="J355" s="372"/>
      <c r="K355" s="218"/>
      <c r="L355" s="261"/>
      <c r="M355" s="80"/>
      <c r="N355" s="80"/>
      <c r="O355" s="262"/>
      <c r="P355" s="261"/>
      <c r="Q355" s="80"/>
      <c r="R355" s="80"/>
      <c r="S355" s="262"/>
      <c r="T355" s="261"/>
      <c r="U355" s="80"/>
      <c r="V355" s="80"/>
      <c r="W355" s="262"/>
      <c r="X355" s="261"/>
      <c r="Y355" s="80"/>
      <c r="Z355" s="80"/>
      <c r="AA355" s="262"/>
      <c r="AB355" s="261"/>
      <c r="AC355" s="80"/>
      <c r="AD355" s="80"/>
      <c r="AE355" s="262"/>
      <c r="AF355" s="261"/>
      <c r="AG355" s="80"/>
      <c r="AH355" s="80"/>
      <c r="AI355" s="262"/>
      <c r="AJ355" s="261"/>
      <c r="AK355" s="80"/>
      <c r="AL355" s="80"/>
      <c r="AM355" s="262"/>
      <c r="AN355" s="261"/>
      <c r="AO355" s="80"/>
      <c r="AP355" s="80"/>
      <c r="AQ355" s="262"/>
      <c r="AR355" s="955"/>
      <c r="AS355" s="80"/>
      <c r="AT355" s="80"/>
      <c r="AU355" s="262"/>
      <c r="AV355" s="9"/>
      <c r="AW355" s="80"/>
      <c r="AX355" s="9"/>
      <c r="AY355" s="211"/>
      <c r="AZ355" s="9"/>
      <c r="BA355" s="9"/>
      <c r="BB355" s="9"/>
      <c r="BC355" s="211"/>
      <c r="BD355" s="9"/>
      <c r="BE355" s="9"/>
      <c r="BF355" s="9"/>
      <c r="BG355" s="211"/>
      <c r="BH355" s="9"/>
      <c r="BI355" s="9"/>
      <c r="BJ355" s="9"/>
      <c r="BK355" s="211"/>
      <c r="BL355" s="9"/>
      <c r="BM355" s="9"/>
      <c r="BN355" s="9"/>
      <c r="BO355" s="211"/>
      <c r="BP355" s="9"/>
      <c r="BQ355" s="9"/>
      <c r="BR355" s="9"/>
      <c r="BS355" s="211"/>
      <c r="BT355" s="9"/>
      <c r="BU355" s="9"/>
      <c r="BV355" s="9"/>
      <c r="BW355" s="211"/>
      <c r="BX355" s="21"/>
      <c r="BY355" s="22"/>
      <c r="BZ355" s="15"/>
      <c r="CA355" s="15"/>
      <c r="CB355" s="15"/>
      <c r="CC355" s="15"/>
      <c r="CD355" s="80"/>
      <c r="CE355" s="80"/>
      <c r="CF355" s="80"/>
      <c r="CG355" s="15"/>
      <c r="CH355" s="15"/>
      <c r="CI355" s="15"/>
      <c r="CJ355" s="15"/>
      <c r="CK355" s="15"/>
      <c r="CL355" s="15"/>
      <c r="CM355" s="15"/>
      <c r="CN355" s="15"/>
      <c r="CO355" s="15"/>
      <c r="CP355" s="211"/>
    </row>
    <row r="356" spans="1:94" ht="14.25" hidden="1" customHeight="1" outlineLevel="2">
      <c r="A356" s="247"/>
      <c r="B356" s="962" t="s">
        <v>564</v>
      </c>
      <c r="C356" s="949"/>
      <c r="D356" s="950"/>
      <c r="E356" s="950"/>
      <c r="F356" s="950"/>
      <c r="G356" s="949"/>
      <c r="H356" s="950"/>
      <c r="I356" s="950"/>
      <c r="J356" s="950"/>
      <c r="K356" s="949"/>
      <c r="L356" s="832"/>
      <c r="M356" s="951"/>
      <c r="N356" s="951"/>
      <c r="O356" s="834"/>
      <c r="P356" s="832"/>
      <c r="Q356" s="951"/>
      <c r="R356" s="951"/>
      <c r="S356" s="834"/>
      <c r="T356" s="832"/>
      <c r="U356" s="951"/>
      <c r="V356" s="951"/>
      <c r="W356" s="834"/>
      <c r="X356" s="832"/>
      <c r="Y356" s="951"/>
      <c r="Z356" s="951"/>
      <c r="AA356" s="834"/>
      <c r="AB356" s="832"/>
      <c r="AC356" s="951"/>
      <c r="AD356" s="951"/>
      <c r="AE356" s="834"/>
      <c r="AF356" s="832"/>
      <c r="AG356" s="951"/>
      <c r="AH356" s="951"/>
      <c r="AI356" s="834"/>
      <c r="AJ356" s="952">
        <f t="shared" ref="AJ356:AS356" si="740">+AJ351-AJ360</f>
        <v>0</v>
      </c>
      <c r="AK356" s="953">
        <f t="shared" si="740"/>
        <v>0</v>
      </c>
      <c r="AL356" s="953">
        <f t="shared" si="740"/>
        <v>0</v>
      </c>
      <c r="AM356" s="954">
        <f t="shared" si="740"/>
        <v>0</v>
      </c>
      <c r="AN356" s="952">
        <f t="shared" si="740"/>
        <v>0</v>
      </c>
      <c r="AO356" s="953">
        <f t="shared" si="740"/>
        <v>0</v>
      </c>
      <c r="AP356" s="953">
        <f t="shared" si="740"/>
        <v>0</v>
      </c>
      <c r="AQ356" s="954">
        <f t="shared" si="740"/>
        <v>13.604000000000001</v>
      </c>
      <c r="AR356" s="952">
        <f t="shared" si="740"/>
        <v>13.22</v>
      </c>
      <c r="AS356" s="953">
        <f t="shared" si="740"/>
        <v>6.883</v>
      </c>
      <c r="AT356" s="953">
        <f>+AT351-AT360</f>
        <v>7.1539999999999999</v>
      </c>
      <c r="AU356" s="954">
        <f>+AU351-AU360</f>
        <v>14.36</v>
      </c>
      <c r="AV356" s="952">
        <f>+AV351-AV360</f>
        <v>14.13</v>
      </c>
      <c r="AW356" s="953">
        <f>+AW351-AW360</f>
        <v>22.728000000000002</v>
      </c>
      <c r="AX356" s="247"/>
      <c r="AY356" s="396"/>
      <c r="AZ356" s="247"/>
      <c r="BA356" s="247"/>
      <c r="BB356" s="247"/>
      <c r="BC356" s="396"/>
      <c r="BD356" s="247"/>
      <c r="BE356" s="247"/>
      <c r="BF356" s="247"/>
      <c r="BG356" s="396"/>
      <c r="BH356" s="247"/>
      <c r="BI356" s="247"/>
      <c r="BJ356" s="247"/>
      <c r="BK356" s="396"/>
      <c r="BL356" s="247"/>
      <c r="BM356" s="247"/>
      <c r="BN356" s="247"/>
      <c r="BO356" s="396"/>
      <c r="BP356" s="247"/>
      <c r="BQ356" s="247"/>
      <c r="BR356" s="247"/>
      <c r="BS356" s="396"/>
      <c r="BT356" s="247"/>
      <c r="BU356" s="247"/>
      <c r="BV356" s="247"/>
      <c r="BW356" s="396"/>
      <c r="BX356" s="772"/>
      <c r="BY356" s="288"/>
      <c r="BZ356" s="392"/>
      <c r="CA356" s="392"/>
      <c r="CB356" s="392"/>
      <c r="CC356" s="392"/>
      <c r="CD356" s="951"/>
      <c r="CE356" s="951"/>
      <c r="CF356" s="951"/>
      <c r="CG356" s="392"/>
      <c r="CH356" s="392"/>
      <c r="CI356" s="952">
        <f>SUM(AR356:AU356)</f>
        <v>41.617000000000004</v>
      </c>
      <c r="CJ356" s="392"/>
      <c r="CK356" s="392"/>
      <c r="CL356" s="392"/>
      <c r="CM356" s="392"/>
      <c r="CN356" s="392"/>
      <c r="CO356" s="392"/>
      <c r="CP356" s="396"/>
    </row>
    <row r="357" spans="1:94" ht="14.25" hidden="1" customHeight="1" outlineLevel="2">
      <c r="A357" s="986"/>
      <c r="B357" s="977" t="s">
        <v>565</v>
      </c>
      <c r="C357" s="978"/>
      <c r="D357" s="979"/>
      <c r="E357" s="979"/>
      <c r="F357" s="979"/>
      <c r="G357" s="978"/>
      <c r="H357" s="979"/>
      <c r="I357" s="979"/>
      <c r="J357" s="979"/>
      <c r="K357" s="978"/>
      <c r="L357" s="980"/>
      <c r="M357" s="981"/>
      <c r="N357" s="981"/>
      <c r="O357" s="982"/>
      <c r="P357" s="980"/>
      <c r="Q357" s="981"/>
      <c r="R357" s="981"/>
      <c r="S357" s="982"/>
      <c r="T357" s="980"/>
      <c r="U357" s="981"/>
      <c r="V357" s="981"/>
      <c r="W357" s="982"/>
      <c r="X357" s="980"/>
      <c r="Y357" s="981"/>
      <c r="Z357" s="981"/>
      <c r="AA357" s="982"/>
      <c r="AB357" s="980"/>
      <c r="AC357" s="981"/>
      <c r="AD357" s="981"/>
      <c r="AE357" s="982"/>
      <c r="AF357" s="980"/>
      <c r="AG357" s="981"/>
      <c r="AH357" s="981"/>
      <c r="AI357" s="982"/>
      <c r="AJ357" s="983">
        <f>+AJ360-AJ363</f>
        <v>0</v>
      </c>
      <c r="AK357" s="984">
        <f t="shared" ref="AK357:AW357" si="741">+AK360-AK363</f>
        <v>0</v>
      </c>
      <c r="AL357" s="984">
        <f t="shared" si="741"/>
        <v>0</v>
      </c>
      <c r="AM357" s="985">
        <f t="shared" si="741"/>
        <v>0</v>
      </c>
      <c r="AN357" s="983">
        <f t="shared" si="741"/>
        <v>0</v>
      </c>
      <c r="AO357" s="984">
        <f t="shared" si="741"/>
        <v>0</v>
      </c>
      <c r="AP357" s="984">
        <f t="shared" si="741"/>
        <v>0</v>
      </c>
      <c r="AQ357" s="985">
        <f t="shared" si="741"/>
        <v>0</v>
      </c>
      <c r="AR357" s="983">
        <f t="shared" si="741"/>
        <v>0</v>
      </c>
      <c r="AS357" s="984">
        <f t="shared" si="741"/>
        <v>0</v>
      </c>
      <c r="AT357" s="984">
        <f t="shared" si="741"/>
        <v>0</v>
      </c>
      <c r="AU357" s="985">
        <f t="shared" si="741"/>
        <v>0</v>
      </c>
      <c r="AV357" s="983">
        <f t="shared" si="741"/>
        <v>0</v>
      </c>
      <c r="AW357" s="984">
        <f t="shared" si="741"/>
        <v>0</v>
      </c>
      <c r="AX357" s="986"/>
      <c r="AY357" s="987"/>
      <c r="AZ357" s="986"/>
      <c r="BA357" s="986"/>
      <c r="BB357" s="986"/>
      <c r="BC357" s="987"/>
      <c r="BD357" s="986"/>
      <c r="BE357" s="986"/>
      <c r="BF357" s="986"/>
      <c r="BG357" s="987"/>
      <c r="BH357" s="986"/>
      <c r="BI357" s="986"/>
      <c r="BJ357" s="986"/>
      <c r="BK357" s="987"/>
      <c r="BL357" s="986"/>
      <c r="BM357" s="986"/>
      <c r="BN357" s="986"/>
      <c r="BO357" s="987"/>
      <c r="BP357" s="986"/>
      <c r="BQ357" s="986"/>
      <c r="BR357" s="986"/>
      <c r="BS357" s="987"/>
      <c r="BT357" s="986"/>
      <c r="BU357" s="986"/>
      <c r="BV357" s="986"/>
      <c r="BW357" s="987"/>
      <c r="BX357" s="988"/>
      <c r="BY357" s="989"/>
      <c r="BZ357" s="990"/>
      <c r="CA357" s="990"/>
      <c r="CB357" s="990"/>
      <c r="CC357" s="990"/>
      <c r="CD357" s="981"/>
      <c r="CE357" s="981"/>
      <c r="CF357" s="981"/>
      <c r="CG357" s="990"/>
      <c r="CH357" s="990"/>
      <c r="CI357" s="983">
        <f>SUM(AR357:AU357)</f>
        <v>0</v>
      </c>
      <c r="CJ357" s="990"/>
      <c r="CK357" s="990"/>
      <c r="CL357" s="990"/>
      <c r="CM357" s="990"/>
      <c r="CN357" s="990"/>
      <c r="CO357" s="990"/>
      <c r="CP357" s="987"/>
    </row>
    <row r="358" spans="1:94" ht="14.25" hidden="1" customHeight="1" outlineLevel="2">
      <c r="A358" s="247"/>
      <c r="B358" s="962" t="s">
        <v>570</v>
      </c>
      <c r="C358" s="950"/>
      <c r="D358" s="950"/>
      <c r="E358" s="950"/>
      <c r="F358" s="950"/>
      <c r="G358" s="949"/>
      <c r="H358" s="950"/>
      <c r="I358" s="950"/>
      <c r="J358" s="950"/>
      <c r="K358" s="950"/>
      <c r="L358" s="832"/>
      <c r="M358" s="951"/>
      <c r="N358" s="951"/>
      <c r="O358" s="834"/>
      <c r="P358" s="832"/>
      <c r="Q358" s="951"/>
      <c r="R358" s="951"/>
      <c r="S358" s="832"/>
      <c r="T358" s="832"/>
      <c r="U358" s="951"/>
      <c r="V358" s="951"/>
      <c r="W358" s="834"/>
      <c r="X358" s="832"/>
      <c r="Y358" s="951"/>
      <c r="Z358" s="951"/>
      <c r="AA358" s="834"/>
      <c r="AB358" s="832"/>
      <c r="AC358" s="951"/>
      <c r="AD358" s="951"/>
      <c r="AE358" s="834"/>
      <c r="AF358" s="832"/>
      <c r="AG358" s="951"/>
      <c r="AH358" s="951"/>
      <c r="AI358" s="834"/>
      <c r="AJ358" s="952">
        <f t="shared" ref="AJ358:AT358" si="742">+SUM(AJ356:AJ357)</f>
        <v>0</v>
      </c>
      <c r="AK358" s="953">
        <f t="shared" si="742"/>
        <v>0</v>
      </c>
      <c r="AL358" s="953">
        <f t="shared" si="742"/>
        <v>0</v>
      </c>
      <c r="AM358" s="954">
        <f t="shared" si="742"/>
        <v>0</v>
      </c>
      <c r="AN358" s="952">
        <f t="shared" si="742"/>
        <v>0</v>
      </c>
      <c r="AO358" s="953">
        <f t="shared" si="742"/>
        <v>0</v>
      </c>
      <c r="AP358" s="953">
        <f t="shared" si="742"/>
        <v>0</v>
      </c>
      <c r="AQ358" s="954">
        <f t="shared" si="742"/>
        <v>13.604000000000001</v>
      </c>
      <c r="AR358" s="952">
        <f t="shared" si="742"/>
        <v>13.22</v>
      </c>
      <c r="AS358" s="953">
        <f t="shared" si="742"/>
        <v>6.883</v>
      </c>
      <c r="AT358" s="953">
        <f t="shared" si="742"/>
        <v>7.1539999999999999</v>
      </c>
      <c r="AU358" s="954">
        <f>+SUM(AU356:AU357)</f>
        <v>14.36</v>
      </c>
      <c r="AV358" s="952">
        <f>+SUM(AV356:AV357)</f>
        <v>14.13</v>
      </c>
      <c r="AW358" s="953">
        <f>+SUM(AW356:AW357)</f>
        <v>22.728000000000002</v>
      </c>
      <c r="AX358" s="247"/>
      <c r="AY358" s="396"/>
      <c r="AZ358" s="247"/>
      <c r="BA358" s="247"/>
      <c r="BB358" s="247"/>
      <c r="BC358" s="396"/>
      <c r="BD358" s="247"/>
      <c r="BE358" s="247"/>
      <c r="BF358" s="247"/>
      <c r="BG358" s="396"/>
      <c r="BH358" s="247"/>
      <c r="BI358" s="247"/>
      <c r="BJ358" s="247"/>
      <c r="BK358" s="396"/>
      <c r="BL358" s="247"/>
      <c r="BM358" s="247"/>
      <c r="BN358" s="247"/>
      <c r="BO358" s="396"/>
      <c r="BP358" s="247"/>
      <c r="BQ358" s="247"/>
      <c r="BR358" s="247"/>
      <c r="BS358" s="396"/>
      <c r="BT358" s="247"/>
      <c r="BU358" s="247"/>
      <c r="BV358" s="247"/>
      <c r="BW358" s="396"/>
      <c r="BX358" s="772"/>
      <c r="BY358" s="288"/>
      <c r="BZ358" s="392"/>
      <c r="CA358" s="392"/>
      <c r="CB358" s="392"/>
      <c r="CC358" s="392"/>
      <c r="CD358" s="951"/>
      <c r="CE358" s="951"/>
      <c r="CF358" s="951"/>
      <c r="CG358" s="392"/>
      <c r="CH358" s="392"/>
      <c r="CI358" s="952">
        <f>SUM(AR358:AU358)</f>
        <v>41.617000000000004</v>
      </c>
      <c r="CJ358" s="392"/>
      <c r="CK358" s="392"/>
      <c r="CL358" s="392"/>
      <c r="CM358" s="392"/>
      <c r="CN358" s="392"/>
      <c r="CO358" s="392"/>
      <c r="CP358" s="396"/>
    </row>
    <row r="359" spans="1:94" ht="14.25" hidden="1" customHeight="1" outlineLevel="2">
      <c r="A359" s="9"/>
      <c r="B359" s="217"/>
      <c r="C359" s="218"/>
      <c r="D359" s="372"/>
      <c r="E359" s="372"/>
      <c r="F359" s="372"/>
      <c r="G359" s="218"/>
      <c r="H359" s="372"/>
      <c r="I359" s="372"/>
      <c r="J359" s="372"/>
      <c r="K359" s="218"/>
      <c r="L359" s="261"/>
      <c r="M359" s="80"/>
      <c r="N359" s="80"/>
      <c r="O359" s="262"/>
      <c r="P359" s="261"/>
      <c r="Q359" s="80"/>
      <c r="R359" s="80"/>
      <c r="S359" s="262"/>
      <c r="T359" s="261"/>
      <c r="U359" s="80"/>
      <c r="V359" s="80"/>
      <c r="W359" s="262"/>
      <c r="X359" s="261"/>
      <c r="Y359" s="80"/>
      <c r="Z359" s="80"/>
      <c r="AA359" s="262"/>
      <c r="AB359" s="261"/>
      <c r="AC359" s="80"/>
      <c r="AD359" s="80"/>
      <c r="AE359" s="262"/>
      <c r="AF359" s="261"/>
      <c r="AG359" s="80"/>
      <c r="AH359" s="80"/>
      <c r="AI359" s="262"/>
      <c r="AJ359" s="261"/>
      <c r="AK359" s="80"/>
      <c r="AL359" s="80"/>
      <c r="AM359" s="262"/>
      <c r="AN359" s="261"/>
      <c r="AO359" s="80"/>
      <c r="AP359" s="80"/>
      <c r="AQ359" s="262"/>
      <c r="AR359" s="955"/>
      <c r="AS359" s="80"/>
      <c r="AT359" s="80"/>
      <c r="AU359" s="262"/>
      <c r="AV359" s="9"/>
      <c r="AW359" s="80"/>
      <c r="AX359" s="9"/>
      <c r="AY359" s="211"/>
      <c r="AZ359" s="9"/>
      <c r="BA359" s="9"/>
      <c r="BB359" s="9"/>
      <c r="BC359" s="211"/>
      <c r="BD359" s="9"/>
      <c r="BE359" s="9"/>
      <c r="BF359" s="9"/>
      <c r="BG359" s="211"/>
      <c r="BH359" s="9"/>
      <c r="BI359" s="9"/>
      <c r="BJ359" s="9"/>
      <c r="BK359" s="211"/>
      <c r="BL359" s="9"/>
      <c r="BM359" s="9"/>
      <c r="BN359" s="9"/>
      <c r="BO359" s="211"/>
      <c r="BP359" s="9"/>
      <c r="BQ359" s="9"/>
      <c r="BR359" s="9"/>
      <c r="BS359" s="211"/>
      <c r="BT359" s="9"/>
      <c r="BU359" s="9"/>
      <c r="BV359" s="9"/>
      <c r="BW359" s="211"/>
      <c r="BX359" s="21"/>
      <c r="BY359" s="22"/>
      <c r="BZ359" s="15"/>
      <c r="CA359" s="15"/>
      <c r="CB359" s="15"/>
      <c r="CC359" s="15"/>
      <c r="CD359" s="80"/>
      <c r="CE359" s="80"/>
      <c r="CF359" s="80"/>
      <c r="CG359" s="15"/>
      <c r="CH359" s="15"/>
      <c r="CI359" s="15"/>
      <c r="CJ359" s="15"/>
      <c r="CK359" s="15"/>
      <c r="CL359" s="15"/>
      <c r="CM359" s="15"/>
      <c r="CN359" s="15"/>
      <c r="CO359" s="15"/>
      <c r="CP359" s="211"/>
    </row>
    <row r="360" spans="1:94" ht="14.25" hidden="1" customHeight="1" outlineLevel="2">
      <c r="A360" s="9"/>
      <c r="B360" s="235" t="s">
        <v>9</v>
      </c>
      <c r="C360" s="218"/>
      <c r="D360" s="372"/>
      <c r="E360" s="372"/>
      <c r="F360" s="372"/>
      <c r="G360" s="218"/>
      <c r="H360" s="372"/>
      <c r="I360" s="372"/>
      <c r="J360" s="372"/>
      <c r="K360" s="218"/>
      <c r="L360" s="343"/>
      <c r="M360" s="343"/>
      <c r="N360" s="343"/>
      <c r="O360" s="369"/>
      <c r="P360" s="343"/>
      <c r="Q360" s="343"/>
      <c r="R360" s="343"/>
      <c r="S360" s="369"/>
      <c r="T360" s="343"/>
      <c r="U360" s="343"/>
      <c r="V360" s="343"/>
      <c r="W360" s="369"/>
      <c r="X360" s="343"/>
      <c r="Y360" s="343"/>
      <c r="Z360" s="343"/>
      <c r="AA360" s="369"/>
      <c r="AB360" s="343"/>
      <c r="AC360" s="343"/>
      <c r="AD360" s="343"/>
      <c r="AE360" s="369"/>
      <c r="AF360" s="343"/>
      <c r="AG360" s="343"/>
      <c r="AH360" s="343"/>
      <c r="AI360" s="369"/>
      <c r="AJ360" s="423"/>
      <c r="AK360" s="423"/>
      <c r="AL360" s="423"/>
      <c r="AM360" s="401"/>
      <c r="AN360" s="423"/>
      <c r="AO360" s="423"/>
      <c r="AP360" s="423"/>
      <c r="AQ360" s="401"/>
      <c r="AR360" s="423"/>
      <c r="AS360" s="423"/>
      <c r="AT360" s="423"/>
      <c r="AU360" s="401"/>
      <c r="AV360" s="423"/>
      <c r="AW360" s="423"/>
      <c r="AX360" s="341">
        <f>AX351*AX361</f>
        <v>0</v>
      </c>
      <c r="AY360" s="342"/>
      <c r="AZ360" s="374"/>
      <c r="BA360" s="341"/>
      <c r="BB360" s="341">
        <f>BB351*BB361</f>
        <v>0</v>
      </c>
      <c r="BC360" s="342"/>
      <c r="BD360" s="374"/>
      <c r="BE360" s="341"/>
      <c r="BF360" s="341"/>
      <c r="BG360" s="342"/>
      <c r="BH360" s="374"/>
      <c r="BI360" s="341"/>
      <c r="BJ360" s="341"/>
      <c r="BK360" s="342"/>
      <c r="BL360" s="374"/>
      <c r="BM360" s="341"/>
      <c r="BN360" s="341"/>
      <c r="BO360" s="342"/>
      <c r="BP360" s="374"/>
      <c r="BQ360" s="341"/>
      <c r="BR360" s="341"/>
      <c r="BS360" s="342"/>
      <c r="BT360" s="374"/>
      <c r="BU360" s="341"/>
      <c r="BV360" s="341"/>
      <c r="BW360" s="342"/>
      <c r="BX360" s="263"/>
      <c r="BY360" s="235"/>
      <c r="BZ360" s="251"/>
      <c r="CA360" s="325"/>
      <c r="CB360" s="325"/>
      <c r="CC360" s="325"/>
      <c r="CD360" s="423">
        <v>0</v>
      </c>
      <c r="CE360" s="423">
        <v>0</v>
      </c>
      <c r="CF360" s="423">
        <v>0</v>
      </c>
      <c r="CG360" s="325">
        <f>SUM(AJ360:AM360)</f>
        <v>0</v>
      </c>
      <c r="CH360" s="325">
        <f>SUM(AN360:AQ360)</f>
        <v>0</v>
      </c>
      <c r="CI360" s="325">
        <f>SUM(AR360:AU360)</f>
        <v>0</v>
      </c>
      <c r="CJ360" s="325">
        <f>SUM(AV360:AY360)</f>
        <v>0</v>
      </c>
      <c r="CK360" s="325"/>
      <c r="CL360" s="325">
        <f>SUM(BA360:BD360)</f>
        <v>0</v>
      </c>
      <c r="CM360" s="325">
        <f>SUM(BH360:BK360)</f>
        <v>0</v>
      </c>
      <c r="CN360" s="325"/>
      <c r="CO360" s="325"/>
      <c r="CP360" s="326"/>
    </row>
    <row r="361" spans="1:94" ht="14.25" hidden="1" customHeight="1" outlineLevel="2">
      <c r="A361" s="9"/>
      <c r="B361" s="217" t="s">
        <v>373</v>
      </c>
      <c r="C361" s="218"/>
      <c r="D361" s="372"/>
      <c r="E361" s="372"/>
      <c r="F361" s="372"/>
      <c r="G361" s="218"/>
      <c r="H361" s="372"/>
      <c r="I361" s="372"/>
      <c r="J361" s="372"/>
      <c r="K361" s="218"/>
      <c r="L361" s="370"/>
      <c r="M361" s="370"/>
      <c r="N361" s="370"/>
      <c r="O361" s="335"/>
      <c r="P361" s="370"/>
      <c r="Q361" s="370"/>
      <c r="R361" s="370"/>
      <c r="S361" s="335"/>
      <c r="T361" s="370"/>
      <c r="U361" s="370"/>
      <c r="V361" s="370"/>
      <c r="W361" s="335"/>
      <c r="X361" s="370"/>
      <c r="Y361" s="370"/>
      <c r="Z361" s="370"/>
      <c r="AA361" s="335"/>
      <c r="AB361" s="370"/>
      <c r="AC361" s="370"/>
      <c r="AD361" s="370"/>
      <c r="AE361" s="335"/>
      <c r="AF361" s="370"/>
      <c r="AG361" s="370"/>
      <c r="AH361" s="370"/>
      <c r="AI361" s="335"/>
      <c r="AJ361" s="370"/>
      <c r="AK361" s="370"/>
      <c r="AL361" s="370"/>
      <c r="AM361" s="335"/>
      <c r="AN361" s="370"/>
      <c r="AO361" s="370"/>
      <c r="AP361" s="370"/>
      <c r="AQ361" s="335">
        <f t="shared" ref="AQ361:AW361" si="743">AQ360/AQ351</f>
        <v>0</v>
      </c>
      <c r="AR361" s="370">
        <f t="shared" si="743"/>
        <v>0</v>
      </c>
      <c r="AS361" s="370">
        <f t="shared" si="743"/>
        <v>0</v>
      </c>
      <c r="AT361" s="370">
        <f t="shared" si="743"/>
        <v>0</v>
      </c>
      <c r="AU361" s="335">
        <f t="shared" si="743"/>
        <v>0</v>
      </c>
      <c r="AV361" s="370">
        <f t="shared" si="743"/>
        <v>0</v>
      </c>
      <c r="AW361" s="370">
        <f t="shared" si="743"/>
        <v>0</v>
      </c>
      <c r="AX361" s="381">
        <f>AW361</f>
        <v>0</v>
      </c>
      <c r="AY361" s="292"/>
      <c r="AZ361" s="294"/>
      <c r="BA361" s="381"/>
      <c r="BB361" s="381">
        <f>BA361</f>
        <v>0</v>
      </c>
      <c r="BC361" s="292"/>
      <c r="BD361" s="294"/>
      <c r="BE361" s="381"/>
      <c r="BF361" s="381"/>
      <c r="BG361" s="292"/>
      <c r="BH361" s="294"/>
      <c r="BI361" s="381"/>
      <c r="BJ361" s="381"/>
      <c r="BK361" s="292"/>
      <c r="BL361" s="294"/>
      <c r="BM361" s="381"/>
      <c r="BN361" s="381"/>
      <c r="BO361" s="292"/>
      <c r="BP361" s="294"/>
      <c r="BQ361" s="381"/>
      <c r="BR361" s="381"/>
      <c r="BS361" s="292"/>
      <c r="BT361" s="294"/>
      <c r="BU361" s="381"/>
      <c r="BV361" s="381"/>
      <c r="BW361" s="292"/>
      <c r="BX361" s="21"/>
      <c r="BY361" s="22"/>
      <c r="BZ361" s="15"/>
      <c r="CA361" s="338"/>
      <c r="CB361" s="338"/>
      <c r="CC361" s="338"/>
      <c r="CD361" s="418" t="str">
        <f>IF(ISERROR(CD360/CD351),"NM",CD360/CD351)</f>
        <v>NM</v>
      </c>
      <c r="CE361" s="418" t="str">
        <f>IF(ISERROR(CE360/CE351),"NM",CE360/CE351)</f>
        <v>NM</v>
      </c>
      <c r="CF361" s="418" t="str">
        <f>IF(ISERROR(CF360/CF351),"NM",CF360/CF351)</f>
        <v>NM</v>
      </c>
      <c r="CG361" s="338"/>
      <c r="CH361" s="338">
        <f t="shared" ref="CH361:CM361" si="744">CH360/CH351</f>
        <v>0</v>
      </c>
      <c r="CI361" s="338">
        <f t="shared" si="744"/>
        <v>0</v>
      </c>
      <c r="CJ361" s="338">
        <f t="shared" si="744"/>
        <v>0</v>
      </c>
      <c r="CK361" s="338">
        <f t="shared" si="744"/>
        <v>0</v>
      </c>
      <c r="CL361" s="338" t="e">
        <f t="shared" si="744"/>
        <v>#DIV/0!</v>
      </c>
      <c r="CM361" s="338" t="e">
        <f t="shared" si="744"/>
        <v>#DIV/0!</v>
      </c>
      <c r="CN361" s="338"/>
      <c r="CO361" s="338"/>
      <c r="CP361" s="337"/>
    </row>
    <row r="362" spans="1:94" ht="14.25" hidden="1" customHeight="1" outlineLevel="2">
      <c r="A362" s="9"/>
      <c r="B362" s="217"/>
      <c r="C362" s="218"/>
      <c r="D362" s="372"/>
      <c r="E362" s="372"/>
      <c r="F362" s="372"/>
      <c r="G362" s="218"/>
      <c r="H362" s="372"/>
      <c r="I362" s="372"/>
      <c r="J362" s="372"/>
      <c r="K362" s="218"/>
      <c r="L362" s="80"/>
      <c r="M362" s="80"/>
      <c r="N362" s="80"/>
      <c r="O362" s="262"/>
      <c r="P362" s="80"/>
      <c r="Q362" s="80"/>
      <c r="R362" s="80"/>
      <c r="S362" s="262"/>
      <c r="T362" s="80"/>
      <c r="U362" s="80"/>
      <c r="V362" s="80"/>
      <c r="W362" s="262"/>
      <c r="X362" s="80"/>
      <c r="Y362" s="80"/>
      <c r="Z362" s="80"/>
      <c r="AA362" s="262"/>
      <c r="AB362" s="80"/>
      <c r="AC362" s="80"/>
      <c r="AD362" s="80"/>
      <c r="AE362" s="262"/>
      <c r="AF362" s="80"/>
      <c r="AG362" s="80"/>
      <c r="AH362" s="80"/>
      <c r="AI362" s="262"/>
      <c r="AJ362" s="80"/>
      <c r="AK362" s="80"/>
      <c r="AL362" s="80"/>
      <c r="AM362" s="262"/>
      <c r="AN362" s="80"/>
      <c r="AO362" s="80"/>
      <c r="AP362" s="80"/>
      <c r="AQ362" s="262"/>
      <c r="AR362" s="80"/>
      <c r="AS362" s="80"/>
      <c r="AT362" s="80"/>
      <c r="AU362" s="262"/>
      <c r="AV362" s="9"/>
      <c r="AW362" s="80"/>
      <c r="AX362" s="9"/>
      <c r="AY362" s="211"/>
      <c r="AZ362" s="9"/>
      <c r="BA362" s="9"/>
      <c r="BB362" s="9"/>
      <c r="BC362" s="211"/>
      <c r="BD362" s="9"/>
      <c r="BE362" s="9"/>
      <c r="BF362" s="9"/>
      <c r="BG362" s="211"/>
      <c r="BH362" s="9"/>
      <c r="BI362" s="9"/>
      <c r="BJ362" s="9"/>
      <c r="BK362" s="211"/>
      <c r="BL362" s="9"/>
      <c r="BM362" s="9"/>
      <c r="BN362" s="9"/>
      <c r="BO362" s="211"/>
      <c r="BP362" s="9"/>
      <c r="BQ362" s="9"/>
      <c r="BR362" s="9"/>
      <c r="BS362" s="211"/>
      <c r="BT362" s="9"/>
      <c r="BU362" s="9"/>
      <c r="BV362" s="9"/>
      <c r="BW362" s="211"/>
      <c r="BX362" s="21"/>
      <c r="BY362" s="22"/>
      <c r="BZ362" s="15"/>
      <c r="CA362" s="15"/>
      <c r="CB362" s="15"/>
      <c r="CC362" s="325"/>
      <c r="CD362" s="80"/>
      <c r="CE362" s="80"/>
      <c r="CF362" s="80"/>
      <c r="CG362" s="386"/>
      <c r="CH362" s="386"/>
      <c r="CI362" s="386"/>
      <c r="CJ362" s="386"/>
      <c r="CK362" s="386"/>
      <c r="CL362" s="386"/>
      <c r="CM362" s="386"/>
      <c r="CN362" s="386"/>
      <c r="CO362" s="386"/>
      <c r="CP362" s="948"/>
    </row>
    <row r="363" spans="1:94" ht="14.25" hidden="1" customHeight="1" outlineLevel="2">
      <c r="A363" s="9"/>
      <c r="B363" s="235" t="s">
        <v>10</v>
      </c>
      <c r="C363" s="218"/>
      <c r="D363" s="372"/>
      <c r="E363" s="372"/>
      <c r="F363" s="372"/>
      <c r="G363" s="218"/>
      <c r="H363" s="372"/>
      <c r="I363" s="372"/>
      <c r="J363" s="372"/>
      <c r="K363" s="218"/>
      <c r="L363" s="343"/>
      <c r="M363" s="343"/>
      <c r="N363" s="343"/>
      <c r="O363" s="369"/>
      <c r="P363" s="343"/>
      <c r="Q363" s="343"/>
      <c r="R363" s="343"/>
      <c r="S363" s="369"/>
      <c r="T363" s="343"/>
      <c r="U363" s="343"/>
      <c r="V363" s="343"/>
      <c r="W363" s="369"/>
      <c r="X363" s="343"/>
      <c r="Y363" s="343"/>
      <c r="Z363" s="343"/>
      <c r="AA363" s="369"/>
      <c r="AB363" s="343"/>
      <c r="AC363" s="343"/>
      <c r="AD363" s="343"/>
      <c r="AE363" s="369"/>
      <c r="AF363" s="343"/>
      <c r="AG363" s="343"/>
      <c r="AH363" s="343"/>
      <c r="AI363" s="369"/>
      <c r="AJ363" s="423"/>
      <c r="AK363" s="423"/>
      <c r="AL363" s="423"/>
      <c r="AM363" s="401"/>
      <c r="AN363" s="423"/>
      <c r="AO363" s="423"/>
      <c r="AP363" s="423"/>
      <c r="AQ363" s="401"/>
      <c r="AR363" s="423"/>
      <c r="AS363" s="423"/>
      <c r="AT363" s="423"/>
      <c r="AU363" s="401"/>
      <c r="AV363" s="423"/>
      <c r="AW363" s="423"/>
      <c r="AX363" s="341"/>
      <c r="AY363" s="342"/>
      <c r="AZ363" s="341"/>
      <c r="BA363" s="341"/>
      <c r="BB363" s="341"/>
      <c r="BC363" s="342"/>
      <c r="BD363" s="341"/>
      <c r="BE363" s="341"/>
      <c r="BF363" s="341"/>
      <c r="BG363" s="342"/>
      <c r="BH363" s="341"/>
      <c r="BI363" s="341"/>
      <c r="BJ363" s="341"/>
      <c r="BK363" s="342"/>
      <c r="BL363" s="341"/>
      <c r="BM363" s="341"/>
      <c r="BN363" s="341"/>
      <c r="BO363" s="342"/>
      <c r="BP363" s="341"/>
      <c r="BQ363" s="341"/>
      <c r="BR363" s="341"/>
      <c r="BS363" s="342"/>
      <c r="BT363" s="341"/>
      <c r="BU363" s="341"/>
      <c r="BV363" s="341"/>
      <c r="BW363" s="342"/>
      <c r="BX363" s="263"/>
      <c r="BY363" s="235"/>
      <c r="BZ363" s="251"/>
      <c r="CA363" s="325"/>
      <c r="CB363" s="325"/>
      <c r="CC363" s="325"/>
      <c r="CD363" s="423">
        <v>0</v>
      </c>
      <c r="CE363" s="423">
        <v>0</v>
      </c>
      <c r="CF363" s="423">
        <v>0</v>
      </c>
      <c r="CG363" s="325">
        <f>SUM(AJ363:AM363)</f>
        <v>0</v>
      </c>
      <c r="CH363" s="325">
        <f>SUM(AN363:AQ363)</f>
        <v>0</v>
      </c>
      <c r="CI363" s="325">
        <f>SUM(AR363:AU363)</f>
        <v>0</v>
      </c>
      <c r="CJ363" s="325"/>
      <c r="CK363" s="325"/>
      <c r="CL363" s="325"/>
      <c r="CM363" s="325"/>
      <c r="CN363" s="325"/>
      <c r="CO363" s="325"/>
      <c r="CP363" s="326"/>
    </row>
    <row r="364" spans="1:94" ht="14.25" hidden="1" customHeight="1" outlineLevel="2">
      <c r="A364" s="9"/>
      <c r="B364" s="217" t="s">
        <v>297</v>
      </c>
      <c r="C364" s="218"/>
      <c r="D364" s="372"/>
      <c r="E364" s="372"/>
      <c r="F364" s="372"/>
      <c r="G364" s="218"/>
      <c r="H364" s="372"/>
      <c r="I364" s="372"/>
      <c r="J364" s="372"/>
      <c r="K364" s="218"/>
      <c r="L364" s="370"/>
      <c r="M364" s="370"/>
      <c r="N364" s="370"/>
      <c r="O364" s="335"/>
      <c r="P364" s="370"/>
      <c r="Q364" s="370"/>
      <c r="R364" s="370"/>
      <c r="S364" s="335"/>
      <c r="T364" s="370"/>
      <c r="U364" s="370"/>
      <c r="V364" s="370"/>
      <c r="W364" s="335"/>
      <c r="X364" s="370"/>
      <c r="Y364" s="370"/>
      <c r="Z364" s="370"/>
      <c r="AA364" s="335"/>
      <c r="AB364" s="370"/>
      <c r="AC364" s="370"/>
      <c r="AD364" s="370"/>
      <c r="AE364" s="335"/>
      <c r="AF364" s="370"/>
      <c r="AG364" s="370"/>
      <c r="AH364" s="370"/>
      <c r="AI364" s="335"/>
      <c r="AJ364" s="425"/>
      <c r="AK364" s="370"/>
      <c r="AL364" s="370"/>
      <c r="AM364" s="335"/>
      <c r="AN364" s="370"/>
      <c r="AO364" s="370"/>
      <c r="AP364" s="370"/>
      <c r="AQ364" s="335"/>
      <c r="AR364" s="370"/>
      <c r="AS364" s="370"/>
      <c r="AT364" s="370"/>
      <c r="AU364" s="335"/>
      <c r="AV364" s="370"/>
      <c r="AW364" s="370"/>
      <c r="AX364" s="231"/>
      <c r="AY364" s="79"/>
      <c r="AZ364" s="231"/>
      <c r="BA364" s="231"/>
      <c r="BB364" s="231"/>
      <c r="BC364" s="79"/>
      <c r="BD364" s="231"/>
      <c r="BE364" s="231"/>
      <c r="BF364" s="231"/>
      <c r="BG364" s="79"/>
      <c r="BH364" s="231"/>
      <c r="BI364" s="231"/>
      <c r="BJ364" s="231"/>
      <c r="BK364" s="79"/>
      <c r="BL364" s="231"/>
      <c r="BM364" s="231"/>
      <c r="BN364" s="231"/>
      <c r="BO364" s="79"/>
      <c r="BP364" s="231"/>
      <c r="BQ364" s="231"/>
      <c r="BR364" s="231"/>
      <c r="BS364" s="79"/>
      <c r="BT364" s="231"/>
      <c r="BU364" s="231"/>
      <c r="BV364" s="231"/>
      <c r="BW364" s="79"/>
      <c r="BX364" s="21"/>
      <c r="BY364" s="22"/>
      <c r="BZ364" s="15"/>
      <c r="CA364" s="15"/>
      <c r="CB364" s="15"/>
      <c r="CC364" s="15"/>
      <c r="CD364" s="15"/>
      <c r="CE364" s="220"/>
      <c r="CF364" s="370"/>
      <c r="CG364" s="220"/>
      <c r="CH364" s="220"/>
      <c r="CI364" s="370"/>
      <c r="CJ364" s="220"/>
      <c r="CK364" s="220"/>
      <c r="CL364" s="220"/>
      <c r="CM364" s="220"/>
      <c r="CN364" s="220"/>
      <c r="CO364" s="220"/>
      <c r="CP364" s="258"/>
    </row>
    <row r="365" spans="1:94" ht="14.25" hidden="1" customHeight="1" outlineLevel="2">
      <c r="A365" s="9"/>
      <c r="B365" s="32" t="s">
        <v>298</v>
      </c>
      <c r="C365" s="218"/>
      <c r="D365" s="372"/>
      <c r="E365" s="372"/>
      <c r="F365" s="372"/>
      <c r="G365" s="218"/>
      <c r="H365" s="372"/>
      <c r="I365" s="372"/>
      <c r="J365" s="372"/>
      <c r="K365" s="218"/>
      <c r="L365" s="370"/>
      <c r="M365" s="370"/>
      <c r="N365" s="370"/>
      <c r="O365" s="335"/>
      <c r="P365" s="370"/>
      <c r="Q365" s="370"/>
      <c r="R365" s="370"/>
      <c r="S365" s="335"/>
      <c r="T365" s="370"/>
      <c r="U365" s="370"/>
      <c r="V365" s="370"/>
      <c r="W365" s="335"/>
      <c r="X365" s="370"/>
      <c r="Y365" s="370"/>
      <c r="Z365" s="370"/>
      <c r="AA365" s="335"/>
      <c r="AB365" s="370"/>
      <c r="AC365" s="370"/>
      <c r="AD365" s="370"/>
      <c r="AE365" s="335"/>
      <c r="AF365" s="370"/>
      <c r="AG365" s="370"/>
      <c r="AH365" s="370"/>
      <c r="AI365" s="335"/>
      <c r="AJ365" s="425"/>
      <c r="AK365" s="418"/>
      <c r="AL365" s="418"/>
      <c r="AM365" s="419"/>
      <c r="AN365" s="370"/>
      <c r="AO365" s="370"/>
      <c r="AP365" s="370"/>
      <c r="AQ365" s="335"/>
      <c r="AR365" s="370"/>
      <c r="AS365" s="370"/>
      <c r="AT365" s="370"/>
      <c r="AU365" s="335"/>
      <c r="AV365" s="370"/>
      <c r="AW365" s="370"/>
      <c r="AX365" s="257"/>
      <c r="AY365" s="258"/>
      <c r="AZ365" s="257"/>
      <c r="BA365" s="257"/>
      <c r="BB365" s="257"/>
      <c r="BC365" s="258"/>
      <c r="BD365" s="257"/>
      <c r="BE365" s="257"/>
      <c r="BF365" s="257"/>
      <c r="BG365" s="258"/>
      <c r="BH365" s="257"/>
      <c r="BI365" s="257"/>
      <c r="BJ365" s="257"/>
      <c r="BK365" s="258"/>
      <c r="BL365" s="257"/>
      <c r="BM365" s="257"/>
      <c r="BN365" s="257"/>
      <c r="BO365" s="258"/>
      <c r="BP365" s="257"/>
      <c r="BQ365" s="257"/>
      <c r="BR365" s="257"/>
      <c r="BS365" s="258"/>
      <c r="BT365" s="257"/>
      <c r="BU365" s="257"/>
      <c r="BV365" s="257"/>
      <c r="BW365" s="258"/>
      <c r="BX365" s="21"/>
      <c r="BY365" s="22"/>
      <c r="BZ365" s="15"/>
      <c r="CA365" s="15"/>
      <c r="CB365" s="338"/>
      <c r="CC365" s="338"/>
      <c r="CD365" s="418"/>
      <c r="CE365" s="418" t="str">
        <f>IF(ISERROR(CE363/CD363-1),"NM",CE363/CD363-1)</f>
        <v>NM</v>
      </c>
      <c r="CF365" s="418" t="str">
        <f>IF(ISERROR(CF363/CE363-1),"NM",CF363/CE363-1)</f>
        <v>NM</v>
      </c>
      <c r="CG365" s="418" t="str">
        <f>IF(ISERROR(CG363/CF363-1),"NM",CG363/CF363-1)</f>
        <v>NM</v>
      </c>
      <c r="CH365" s="338"/>
      <c r="CI365" s="338"/>
      <c r="CJ365" s="338"/>
      <c r="CK365" s="338"/>
      <c r="CL365" s="338"/>
      <c r="CM365" s="338"/>
      <c r="CN365" s="338"/>
      <c r="CO365" s="338"/>
      <c r="CP365" s="337"/>
    </row>
    <row r="366" spans="1:94" ht="14.25" hidden="1" customHeight="1" outlineLevel="2">
      <c r="A366" s="9"/>
      <c r="B366" s="217" t="s">
        <v>374</v>
      </c>
      <c r="C366" s="218"/>
      <c r="D366" s="372"/>
      <c r="E366" s="372"/>
      <c r="F366" s="372"/>
      <c r="G366" s="218"/>
      <c r="H366" s="372"/>
      <c r="I366" s="372"/>
      <c r="J366" s="372"/>
      <c r="K366" s="218"/>
      <c r="L366" s="370"/>
      <c r="M366" s="370"/>
      <c r="N366" s="370"/>
      <c r="O366" s="335"/>
      <c r="P366" s="370"/>
      <c r="Q366" s="370"/>
      <c r="R366" s="370"/>
      <c r="S366" s="335"/>
      <c r="T366" s="370"/>
      <c r="U366" s="370"/>
      <c r="V366" s="370"/>
      <c r="W366" s="335"/>
      <c r="X366" s="370"/>
      <c r="Y366" s="370"/>
      <c r="Z366" s="370"/>
      <c r="AA366" s="335"/>
      <c r="AB366" s="370"/>
      <c r="AC366" s="370"/>
      <c r="AD366" s="370"/>
      <c r="AE366" s="335"/>
      <c r="AF366" s="370"/>
      <c r="AG366" s="370"/>
      <c r="AH366" s="370"/>
      <c r="AI366" s="335"/>
      <c r="AJ366" s="370"/>
      <c r="AK366" s="370"/>
      <c r="AL366" s="370"/>
      <c r="AM366" s="335"/>
      <c r="AN366" s="370"/>
      <c r="AO366" s="370"/>
      <c r="AP366" s="370"/>
      <c r="AQ366" s="335">
        <f t="shared" ref="AQ366:AW366" si="745">AQ363/AQ351</f>
        <v>0</v>
      </c>
      <c r="AR366" s="370">
        <f t="shared" si="745"/>
        <v>0</v>
      </c>
      <c r="AS366" s="370">
        <f t="shared" si="745"/>
        <v>0</v>
      </c>
      <c r="AT366" s="370">
        <f t="shared" si="745"/>
        <v>0</v>
      </c>
      <c r="AU366" s="335">
        <f t="shared" si="745"/>
        <v>0</v>
      </c>
      <c r="AV366" s="370">
        <f t="shared" si="745"/>
        <v>0</v>
      </c>
      <c r="AW366" s="370">
        <f t="shared" si="745"/>
        <v>0</v>
      </c>
      <c r="AX366" s="293"/>
      <c r="AY366" s="292"/>
      <c r="AZ366" s="293"/>
      <c r="BA366" s="293"/>
      <c r="BB366" s="293"/>
      <c r="BC366" s="292"/>
      <c r="BD366" s="293"/>
      <c r="BE366" s="293"/>
      <c r="BF366" s="293"/>
      <c r="BG366" s="292"/>
      <c r="BH366" s="293"/>
      <c r="BI366" s="293"/>
      <c r="BJ366" s="293"/>
      <c r="BK366" s="292"/>
      <c r="BL366" s="293"/>
      <c r="BM366" s="293"/>
      <c r="BN366" s="293"/>
      <c r="BO366" s="292"/>
      <c r="BP366" s="293"/>
      <c r="BQ366" s="293"/>
      <c r="BR366" s="293"/>
      <c r="BS366" s="292"/>
      <c r="BT366" s="293"/>
      <c r="BU366" s="293"/>
      <c r="BV366" s="293"/>
      <c r="BW366" s="292"/>
      <c r="BX366" s="21"/>
      <c r="BY366" s="22"/>
      <c r="BZ366" s="15"/>
      <c r="CA366" s="338"/>
      <c r="CB366" s="338"/>
      <c r="CC366" s="338"/>
      <c r="CD366" s="418" t="str">
        <f>IF(ISERROR(CD363/CD351),"NM",CD363/CD351)</f>
        <v>NM</v>
      </c>
      <c r="CE366" s="418" t="str">
        <f>IF(ISERROR(CE363/CE351),"NM",CE363/CE351)</f>
        <v>NM</v>
      </c>
      <c r="CF366" s="418" t="str">
        <f>IF(ISERROR(CF363/CF351),"NM",CF363/CF351)</f>
        <v>NM</v>
      </c>
      <c r="CG366" s="338"/>
      <c r="CH366" s="338">
        <f>CH363/CH351</f>
        <v>0</v>
      </c>
      <c r="CI366" s="338">
        <f>CI363/CI351</f>
        <v>0</v>
      </c>
      <c r="CJ366" s="338"/>
      <c r="CK366" s="338"/>
      <c r="CL366" s="338"/>
      <c r="CM366" s="338"/>
      <c r="CN366" s="338"/>
      <c r="CO366" s="338"/>
      <c r="CP366" s="337"/>
    </row>
    <row r="367" spans="1:94" ht="14.25" hidden="1" customHeight="1" outlineLevel="2">
      <c r="A367" s="9"/>
      <c r="B367" s="236"/>
      <c r="C367" s="237"/>
      <c r="D367" s="373"/>
      <c r="E367" s="373"/>
      <c r="F367" s="373"/>
      <c r="G367" s="237"/>
      <c r="H367" s="373"/>
      <c r="I367" s="373"/>
      <c r="J367" s="373"/>
      <c r="K367" s="237"/>
      <c r="L367" s="279"/>
      <c r="M367" s="279"/>
      <c r="N367" s="279"/>
      <c r="O367" s="280"/>
      <c r="P367" s="279"/>
      <c r="Q367" s="279"/>
      <c r="R367" s="279"/>
      <c r="S367" s="280"/>
      <c r="T367" s="279"/>
      <c r="U367" s="279"/>
      <c r="V367" s="279"/>
      <c r="W367" s="280"/>
      <c r="X367" s="279"/>
      <c r="Y367" s="279"/>
      <c r="Z367" s="279"/>
      <c r="AA367" s="280"/>
      <c r="AB367" s="279"/>
      <c r="AC367" s="279"/>
      <c r="AD367" s="279"/>
      <c r="AE367" s="280"/>
      <c r="AF367" s="279"/>
      <c r="AG367" s="279"/>
      <c r="AH367" s="279"/>
      <c r="AI367" s="280"/>
      <c r="AJ367" s="279"/>
      <c r="AK367" s="279"/>
      <c r="AL367" s="279"/>
      <c r="AM367" s="280"/>
      <c r="AN367" s="279"/>
      <c r="AO367" s="279"/>
      <c r="AP367" s="279"/>
      <c r="AQ367" s="280"/>
      <c r="AR367" s="499"/>
      <c r="AS367" s="279"/>
      <c r="AT367" s="279"/>
      <c r="AU367" s="280"/>
      <c r="AV367" s="499"/>
      <c r="AW367" s="279"/>
      <c r="AX367" s="499"/>
      <c r="AY367" s="500"/>
      <c r="AZ367" s="499"/>
      <c r="BA367" s="499"/>
      <c r="BB367" s="499"/>
      <c r="BC367" s="500"/>
      <c r="BD367" s="499"/>
      <c r="BE367" s="499"/>
      <c r="BF367" s="499"/>
      <c r="BG367" s="500"/>
      <c r="BH367" s="499"/>
      <c r="BI367" s="499"/>
      <c r="BJ367" s="499"/>
      <c r="BK367" s="500"/>
      <c r="BL367" s="499"/>
      <c r="BM367" s="499"/>
      <c r="BN367" s="499"/>
      <c r="BO367" s="500"/>
      <c r="BP367" s="499"/>
      <c r="BQ367" s="499"/>
      <c r="BR367" s="499"/>
      <c r="BS367" s="500"/>
      <c r="BT367" s="499"/>
      <c r="BU367" s="499"/>
      <c r="BV367" s="499"/>
      <c r="BW367" s="500"/>
      <c r="BX367" s="21"/>
      <c r="BY367" s="16"/>
      <c r="BZ367" s="203"/>
      <c r="CA367" s="203"/>
      <c r="CB367" s="203"/>
      <c r="CC367" s="203"/>
      <c r="CD367" s="203"/>
      <c r="CE367" s="238"/>
      <c r="CF367" s="279"/>
      <c r="CG367" s="238"/>
      <c r="CH367" s="238"/>
      <c r="CI367" s="238"/>
      <c r="CJ367" s="238"/>
      <c r="CK367" s="238"/>
      <c r="CL367" s="238"/>
      <c r="CM367" s="238"/>
      <c r="CN367" s="238"/>
      <c r="CO367" s="238"/>
      <c r="CP367" s="914"/>
    </row>
    <row r="368" spans="1:94" ht="14.25" hidden="1" customHeight="1" outlineLevel="2">
      <c r="A368" s="9"/>
      <c r="B368" s="235" t="s">
        <v>201</v>
      </c>
      <c r="C368" s="277"/>
      <c r="D368" s="251"/>
      <c r="E368" s="251"/>
      <c r="F368" s="251"/>
      <c r="G368" s="277"/>
      <c r="H368" s="251"/>
      <c r="I368" s="251"/>
      <c r="J368" s="251"/>
      <c r="K368" s="277"/>
      <c r="L368" s="328"/>
      <c r="M368" s="328"/>
      <c r="N368" s="328"/>
      <c r="O368" s="332"/>
      <c r="P368" s="333"/>
      <c r="Q368" s="328"/>
      <c r="R368" s="328"/>
      <c r="S368" s="332"/>
      <c r="T368" s="333"/>
      <c r="U368" s="328"/>
      <c r="V368" s="328"/>
      <c r="W368" s="332"/>
      <c r="X368" s="333"/>
      <c r="Y368" s="328"/>
      <c r="Z368" s="328"/>
      <c r="AA368" s="332"/>
      <c r="AB368" s="333"/>
      <c r="AC368" s="328"/>
      <c r="AD368" s="328"/>
      <c r="AE368" s="332"/>
      <c r="AF368" s="333"/>
      <c r="AG368" s="328"/>
      <c r="AH368" s="328"/>
      <c r="AI368" s="332"/>
      <c r="AJ368" s="333">
        <f t="shared" ref="AJ368:AQ368" si="746">AJ334+AJ317+AJ300</f>
        <v>870.6</v>
      </c>
      <c r="AK368" s="328">
        <f t="shared" si="746"/>
        <v>905.7</v>
      </c>
      <c r="AL368" s="328">
        <f t="shared" si="746"/>
        <v>898.00000000000011</v>
      </c>
      <c r="AM368" s="332">
        <f t="shared" si="746"/>
        <v>768</v>
      </c>
      <c r="AN368" s="333">
        <f t="shared" si="746"/>
        <v>744.4</v>
      </c>
      <c r="AO368" s="328">
        <f t="shared" si="746"/>
        <v>744.8</v>
      </c>
      <c r="AP368" s="328">
        <f t="shared" si="746"/>
        <v>725.5</v>
      </c>
      <c r="AQ368" s="332">
        <f t="shared" si="746"/>
        <v>680.2</v>
      </c>
      <c r="AR368" s="333">
        <f t="shared" ref="AR368:AW368" si="747">AR334+AR317+AR300</f>
        <v>661</v>
      </c>
      <c r="AS368" s="328">
        <f t="shared" si="747"/>
        <v>688.3</v>
      </c>
      <c r="AT368" s="328">
        <f t="shared" si="747"/>
        <v>715.40000000000009</v>
      </c>
      <c r="AU368" s="332">
        <f t="shared" si="747"/>
        <v>718</v>
      </c>
      <c r="AV368" s="333">
        <f t="shared" si="747"/>
        <v>706.5</v>
      </c>
      <c r="AW368" s="328">
        <f t="shared" si="747"/>
        <v>757.59999999999991</v>
      </c>
      <c r="AX368" s="1076">
        <f t="shared" ref="AX368:BG368" si="748">AX334+AX317+AX300+AX351</f>
        <v>833.5</v>
      </c>
      <c r="AY368" s="1077">
        <f t="shared" si="748"/>
        <v>825.16500000000008</v>
      </c>
      <c r="AZ368" s="1078">
        <f t="shared" si="748"/>
        <v>680.13599999999997</v>
      </c>
      <c r="BA368" s="1076">
        <f t="shared" si="748"/>
        <v>693.73872000000006</v>
      </c>
      <c r="BB368" s="1076">
        <f>BB334+BB317+BB300+BB351</f>
        <v>904.2</v>
      </c>
      <c r="BC368" s="1077">
        <f t="shared" si="748"/>
        <v>728.60436000000016</v>
      </c>
      <c r="BD368" s="1078">
        <f t="shared" si="748"/>
        <v>743.17644720000021</v>
      </c>
      <c r="BE368" s="1076">
        <f t="shared" si="748"/>
        <v>758.03997614400009</v>
      </c>
      <c r="BF368" s="1076">
        <f t="shared" si="748"/>
        <v>773.20077566688019</v>
      </c>
      <c r="BG368" s="1077">
        <f t="shared" si="748"/>
        <v>788.66479118021789</v>
      </c>
      <c r="BH368" s="1078">
        <f>BH334+BH317+BH300+BH351</f>
        <v>804.43808700382215</v>
      </c>
      <c r="BI368" s="1076">
        <f>BI334+BI317+BI300+BI351</f>
        <v>820.52684874389865</v>
      </c>
      <c r="BJ368" s="1076">
        <f>BJ334+BJ317+BJ300+BJ351</f>
        <v>836.93738571877668</v>
      </c>
      <c r="BK368" s="1077">
        <f>BK334+BK317+BK300+BK351</f>
        <v>853.67613343315224</v>
      </c>
      <c r="BL368" s="1078"/>
      <c r="BM368" s="1076"/>
      <c r="BN368" s="1076"/>
      <c r="BO368" s="1077"/>
      <c r="BP368" s="1078"/>
      <c r="BQ368" s="1076"/>
      <c r="BR368" s="1076"/>
      <c r="BS368" s="1077"/>
      <c r="BT368" s="1078"/>
      <c r="BU368" s="1076"/>
      <c r="BV368" s="1076"/>
      <c r="BW368" s="1077"/>
      <c r="BX368" s="21"/>
      <c r="BY368" s="668"/>
      <c r="BZ368" s="382"/>
      <c r="CA368" s="325"/>
      <c r="CB368" s="387"/>
      <c r="CC368" s="387"/>
      <c r="CD368" s="328">
        <f>CD334+CD317+CD300</f>
        <v>2054.8000000000002</v>
      </c>
      <c r="CE368" s="328">
        <f>CE334+CE317+CE300</f>
        <v>1768.9</v>
      </c>
      <c r="CF368" s="328">
        <f>CF334+CF317+CF300</f>
        <v>2313.4</v>
      </c>
      <c r="CG368" s="325">
        <f>SUM(AJ368:AM368)</f>
        <v>3442.3</v>
      </c>
      <c r="CH368" s="387">
        <f>SUM(AN368:AQ368)</f>
        <v>2894.8999999999996</v>
      </c>
      <c r="CI368" s="325">
        <f>SUM(AR368:AU368)</f>
        <v>2782.7</v>
      </c>
      <c r="CJ368" s="325">
        <f>SUM(AV368:AY368)</f>
        <v>3122.7649999999999</v>
      </c>
      <c r="CK368" s="325">
        <f>SUM(AZ368:BC368)</f>
        <v>3006.6790800000003</v>
      </c>
      <c r="CL368" s="325">
        <f>SUM(BD368:BG368)</f>
        <v>3063.0819901910986</v>
      </c>
      <c r="CM368" s="325">
        <f>SUM(BH368:BK368)</f>
        <v>3315.5784548996498</v>
      </c>
      <c r="CN368" s="325"/>
      <c r="CO368" s="325"/>
      <c r="CP368" s="326"/>
    </row>
    <row r="369" spans="1:94" ht="14.25" hidden="1" customHeight="1" outlineLevel="2">
      <c r="A369" s="9"/>
      <c r="B369" s="217" t="s">
        <v>297</v>
      </c>
      <c r="C369" s="218"/>
      <c r="D369" s="372"/>
      <c r="E369" s="372"/>
      <c r="F369" s="372"/>
      <c r="G369" s="218"/>
      <c r="H369" s="372"/>
      <c r="I369" s="372"/>
      <c r="J369" s="372"/>
      <c r="K369" s="218"/>
      <c r="L369" s="220"/>
      <c r="M369" s="220"/>
      <c r="N369" s="220"/>
      <c r="O369" s="258"/>
      <c r="P369" s="220"/>
      <c r="Q369" s="220"/>
      <c r="R369" s="220"/>
      <c r="S369" s="258"/>
      <c r="T369" s="220"/>
      <c r="U369" s="220"/>
      <c r="V369" s="220"/>
      <c r="W369" s="258"/>
      <c r="X369" s="220"/>
      <c r="Y369" s="220"/>
      <c r="Z369" s="220"/>
      <c r="AA369" s="258"/>
      <c r="AB369" s="220"/>
      <c r="AC369" s="220"/>
      <c r="AD369" s="220"/>
      <c r="AE369" s="258"/>
      <c r="AF369" s="220"/>
      <c r="AG369" s="220"/>
      <c r="AH369" s="220"/>
      <c r="AI369" s="258"/>
      <c r="AJ369" s="425"/>
      <c r="AK369" s="220">
        <f t="shared" ref="AK369:AT369" si="749">AK368/AJ368-1</f>
        <v>4.0317022742935915E-2</v>
      </c>
      <c r="AL369" s="220">
        <f t="shared" si="749"/>
        <v>-8.5017113834602309E-3</v>
      </c>
      <c r="AM369" s="258">
        <f t="shared" si="749"/>
        <v>-0.14476614699331858</v>
      </c>
      <c r="AN369" s="220">
        <f t="shared" si="749"/>
        <v>-3.0729166666666696E-2</v>
      </c>
      <c r="AO369" s="257">
        <f t="shared" si="749"/>
        <v>5.3734551316497736E-4</v>
      </c>
      <c r="AP369" s="257">
        <f t="shared" si="749"/>
        <v>-2.5912996777658348E-2</v>
      </c>
      <c r="AQ369" s="258">
        <f t="shared" si="749"/>
        <v>-6.243969676085448E-2</v>
      </c>
      <c r="AR369" s="219">
        <f t="shared" ref="AR369:AY369" si="750">AR368/AQ368-1</f>
        <v>-2.8226992061158529E-2</v>
      </c>
      <c r="AS369" s="257">
        <f t="shared" si="749"/>
        <v>4.1301059001512819E-2</v>
      </c>
      <c r="AT369" s="257">
        <f t="shared" si="749"/>
        <v>3.9372366700566763E-2</v>
      </c>
      <c r="AU369" s="258">
        <f t="shared" si="750"/>
        <v>3.6343304445063396E-3</v>
      </c>
      <c r="AV369" s="219">
        <f t="shared" si="750"/>
        <v>-1.6016713091921986E-2</v>
      </c>
      <c r="AW369" s="257">
        <f t="shared" si="750"/>
        <v>7.2328379334748671E-2</v>
      </c>
      <c r="AX369" s="220">
        <f t="shared" si="750"/>
        <v>0.10018479408658942</v>
      </c>
      <c r="AY369" s="258">
        <f t="shared" si="750"/>
        <v>-9.9999999999998979E-3</v>
      </c>
      <c r="AZ369" s="219">
        <f t="shared" ref="AZ369:BG369" si="751">AZ368/AY368-1</f>
        <v>-0.17575757575757589</v>
      </c>
      <c r="BA369" s="220">
        <f t="shared" si="751"/>
        <v>2.000000000000024E-2</v>
      </c>
      <c r="BB369" s="220">
        <f t="shared" si="751"/>
        <v>0.30337254348438258</v>
      </c>
      <c r="BC369" s="258">
        <f t="shared" si="751"/>
        <v>-0.19419999999999982</v>
      </c>
      <c r="BD369" s="219">
        <f t="shared" si="751"/>
        <v>2.0000000000000018E-2</v>
      </c>
      <c r="BE369" s="220">
        <f t="shared" si="751"/>
        <v>1.9999999999999796E-2</v>
      </c>
      <c r="BF369" s="220">
        <f t="shared" si="751"/>
        <v>2.0000000000000018E-2</v>
      </c>
      <c r="BG369" s="258">
        <f t="shared" si="751"/>
        <v>2.0000000000000018E-2</v>
      </c>
      <c r="BH369" s="219">
        <f>BH368/BG368-1</f>
        <v>1.9999999999999796E-2</v>
      </c>
      <c r="BI369" s="220">
        <f>BI368/BH368-1</f>
        <v>2.0000000000000018E-2</v>
      </c>
      <c r="BJ369" s="220">
        <f>BJ368/BI368-1</f>
        <v>2.0000000000000018E-2</v>
      </c>
      <c r="BK369" s="258">
        <f>BK368/BJ368-1</f>
        <v>2.0000000000000018E-2</v>
      </c>
      <c r="BL369" s="219"/>
      <c r="BM369" s="220"/>
      <c r="BN369" s="220"/>
      <c r="BO369" s="258"/>
      <c r="BP369" s="219"/>
      <c r="BQ369" s="220"/>
      <c r="BR369" s="220"/>
      <c r="BS369" s="258"/>
      <c r="BT369" s="219"/>
      <c r="BU369" s="220"/>
      <c r="BV369" s="220"/>
      <c r="BW369" s="258"/>
      <c r="BX369" s="21"/>
      <c r="BY369" s="22"/>
      <c r="BZ369" s="15"/>
      <c r="CA369" s="15"/>
      <c r="CB369" s="15"/>
      <c r="CC369" s="15"/>
      <c r="CD369" s="15"/>
      <c r="CE369" s="220"/>
      <c r="CF369" s="220"/>
      <c r="CG369" s="220"/>
      <c r="CH369" s="220"/>
      <c r="CI369" s="220"/>
      <c r="CJ369" s="220"/>
      <c r="CK369" s="220"/>
      <c r="CL369" s="220"/>
      <c r="CM369" s="220"/>
      <c r="CN369" s="220"/>
      <c r="CO369" s="220"/>
      <c r="CP369" s="258"/>
    </row>
    <row r="370" spans="1:94" ht="14.25" hidden="1" customHeight="1" outlineLevel="2">
      <c r="A370" s="9"/>
      <c r="B370" s="32" t="s">
        <v>298</v>
      </c>
      <c r="C370" s="33"/>
      <c r="D370" s="259"/>
      <c r="E370" s="259"/>
      <c r="F370" s="259"/>
      <c r="G370" s="33"/>
      <c r="H370" s="259"/>
      <c r="I370" s="259"/>
      <c r="J370" s="259"/>
      <c r="K370" s="33"/>
      <c r="L370" s="220"/>
      <c r="M370" s="220"/>
      <c r="N370" s="220"/>
      <c r="O370" s="258"/>
      <c r="P370" s="220"/>
      <c r="Q370" s="220"/>
      <c r="R370" s="220"/>
      <c r="S370" s="258"/>
      <c r="T370" s="220"/>
      <c r="U370" s="220"/>
      <c r="V370" s="220"/>
      <c r="W370" s="258"/>
      <c r="X370" s="220"/>
      <c r="Y370" s="220"/>
      <c r="Z370" s="220"/>
      <c r="AA370" s="258"/>
      <c r="AB370" s="220"/>
      <c r="AC370" s="220"/>
      <c r="AD370" s="220"/>
      <c r="AE370" s="258"/>
      <c r="AF370" s="220"/>
      <c r="AG370" s="220"/>
      <c r="AH370" s="220"/>
      <c r="AI370" s="258"/>
      <c r="AJ370" s="425"/>
      <c r="AK370" s="418"/>
      <c r="AL370" s="418"/>
      <c r="AM370" s="419"/>
      <c r="AN370" s="220">
        <f>AN368/AJ368-1</f>
        <v>-0.14495750057431667</v>
      </c>
      <c r="AO370" s="257">
        <f>AO368/AK368-1</f>
        <v>-0.17765264436347583</v>
      </c>
      <c r="AP370" s="257">
        <f>AP368/AL368-1</f>
        <v>-0.19209354120267275</v>
      </c>
      <c r="AQ370" s="258">
        <f>AQ368/AM368-1</f>
        <v>-0.11432291666666661</v>
      </c>
      <c r="AR370" s="219">
        <f t="shared" ref="AR370:AY370" si="752">AR368/AN368-1</f>
        <v>-0.11203653949489523</v>
      </c>
      <c r="AS370" s="257">
        <f>AS368/AO368-1</f>
        <v>-7.5859291084855007E-2</v>
      </c>
      <c r="AT370" s="257">
        <f>AT368/AP368-1</f>
        <v>-1.3921433494141877E-2</v>
      </c>
      <c r="AU370" s="258">
        <f t="shared" si="752"/>
        <v>5.5571890620405684E-2</v>
      </c>
      <c r="AV370" s="219">
        <f t="shared" si="752"/>
        <v>6.8835098335854772E-2</v>
      </c>
      <c r="AW370" s="257">
        <f>AW368/AS368-1</f>
        <v>0.10068284178410569</v>
      </c>
      <c r="AX370" s="220">
        <f t="shared" si="752"/>
        <v>0.16508247134470211</v>
      </c>
      <c r="AY370" s="258">
        <f t="shared" si="752"/>
        <v>0.14925487465181075</v>
      </c>
      <c r="AZ370" s="219">
        <f t="shared" ref="AZ370:BG370" si="753">AZ368/AV368-1</f>
        <v>-3.7316348195329141E-2</v>
      </c>
      <c r="BA370" s="220">
        <f t="shared" si="753"/>
        <v>-8.4294192185849881E-2</v>
      </c>
      <c r="BB370" s="220">
        <f t="shared" si="753"/>
        <v>8.4823035392921575E-2</v>
      </c>
      <c r="BC370" s="258">
        <f t="shared" si="753"/>
        <v>-0.11701979604079171</v>
      </c>
      <c r="BD370" s="219">
        <f t="shared" si="753"/>
        <v>9.2688002399520464E-2</v>
      </c>
      <c r="BE370" s="220">
        <f t="shared" si="753"/>
        <v>9.2688002399520242E-2</v>
      </c>
      <c r="BF370" s="220">
        <f t="shared" si="753"/>
        <v>-0.14487859359999988</v>
      </c>
      <c r="BG370" s="258">
        <f t="shared" si="753"/>
        <v>8.2432160000000199E-2</v>
      </c>
      <c r="BH370" s="219">
        <f>BH368/BD368-1</f>
        <v>8.2432159999999977E-2</v>
      </c>
      <c r="BI370" s="220">
        <f>BI368/BE368-1</f>
        <v>8.2432160000000199E-2</v>
      </c>
      <c r="BJ370" s="220">
        <f>BJ368/BF368-1</f>
        <v>8.2432160000000199E-2</v>
      </c>
      <c r="BK370" s="258">
        <f>BK368/BG368-1</f>
        <v>8.2432159999999977E-2</v>
      </c>
      <c r="BL370" s="219"/>
      <c r="BM370" s="220"/>
      <c r="BN370" s="220"/>
      <c r="BO370" s="258"/>
      <c r="BP370" s="219"/>
      <c r="BQ370" s="220"/>
      <c r="BR370" s="220"/>
      <c r="BS370" s="258"/>
      <c r="BT370" s="219"/>
      <c r="BU370" s="220"/>
      <c r="BV370" s="220"/>
      <c r="BW370" s="258"/>
      <c r="BX370" s="21"/>
      <c r="BY370" s="22"/>
      <c r="BZ370" s="15"/>
      <c r="CA370" s="15"/>
      <c r="CB370" s="338"/>
      <c r="CC370" s="338"/>
      <c r="CD370" s="418"/>
      <c r="CE370" s="338">
        <f t="shared" ref="CE370:CM370" si="754">CE368/CD368-1</f>
        <v>-0.13913762896632276</v>
      </c>
      <c r="CF370" s="220">
        <f t="shared" si="754"/>
        <v>0.30781841822601619</v>
      </c>
      <c r="CG370" s="338">
        <f t="shared" si="754"/>
        <v>0.48798305524336483</v>
      </c>
      <c r="CH370" s="338">
        <f t="shared" si="754"/>
        <v>-0.15902158440577541</v>
      </c>
      <c r="CI370" s="338">
        <f t="shared" si="754"/>
        <v>-3.875781546858259E-2</v>
      </c>
      <c r="CJ370" s="338">
        <f t="shared" si="754"/>
        <v>0.12220684946275195</v>
      </c>
      <c r="CK370" s="338">
        <f t="shared" si="754"/>
        <v>-3.7174081302947748E-2</v>
      </c>
      <c r="CL370" s="338">
        <f t="shared" si="754"/>
        <v>1.8759205319344607E-2</v>
      </c>
      <c r="CM370" s="338">
        <f t="shared" si="754"/>
        <v>8.2432159999999977E-2</v>
      </c>
      <c r="CN370" s="338"/>
      <c r="CO370" s="338"/>
      <c r="CP370" s="337"/>
    </row>
    <row r="371" spans="1:94" ht="14.25" hidden="1" customHeight="1" outlineLevel="2">
      <c r="A371" s="9"/>
      <c r="B371" s="22"/>
      <c r="C371" s="211"/>
      <c r="D371" s="15"/>
      <c r="E371" s="15"/>
      <c r="F371" s="15"/>
      <c r="G371" s="211"/>
      <c r="H371" s="15"/>
      <c r="I371" s="15"/>
      <c r="J371" s="15"/>
      <c r="K371" s="211"/>
      <c r="L371" s="15"/>
      <c r="M371" s="15"/>
      <c r="N371" s="15"/>
      <c r="O371" s="211"/>
      <c r="P371" s="15"/>
      <c r="Q371" s="15"/>
      <c r="R371" s="15"/>
      <c r="S371" s="211"/>
      <c r="T371" s="15"/>
      <c r="U371" s="15"/>
      <c r="V371" s="15"/>
      <c r="W371" s="211"/>
      <c r="X371" s="15"/>
      <c r="Y371" s="15"/>
      <c r="Z371" s="15"/>
      <c r="AA371" s="211"/>
      <c r="AB371" s="15"/>
      <c r="AC371" s="15"/>
      <c r="AD371" s="15"/>
      <c r="AE371" s="211"/>
      <c r="AF371" s="220"/>
      <c r="AG371" s="220"/>
      <c r="AH371" s="220"/>
      <c r="AI371" s="258"/>
      <c r="AJ371" s="220"/>
      <c r="AK371" s="220"/>
      <c r="AL371" s="220"/>
      <c r="AM371" s="258"/>
      <c r="AN371" s="220"/>
      <c r="AO371" s="257"/>
      <c r="AP371" s="257"/>
      <c r="AQ371" s="258"/>
      <c r="AR371" s="257"/>
      <c r="AS371" s="257"/>
      <c r="AT371" s="257"/>
      <c r="AU371" s="258"/>
      <c r="AV371" s="257"/>
      <c r="AW371" s="257"/>
      <c r="AX371" s="257"/>
      <c r="AY371" s="258"/>
      <c r="AZ371" s="257"/>
      <c r="BA371" s="257"/>
      <c r="BB371" s="257"/>
      <c r="BC371" s="258"/>
      <c r="BD371" s="257"/>
      <c r="BE371" s="257"/>
      <c r="BF371" s="257"/>
      <c r="BG371" s="258"/>
      <c r="BH371" s="257"/>
      <c r="BI371" s="257"/>
      <c r="BJ371" s="257"/>
      <c r="BK371" s="258"/>
      <c r="BL371" s="257"/>
      <c r="BM371" s="257"/>
      <c r="BN371" s="257"/>
      <c r="BO371" s="258"/>
      <c r="BP371" s="257"/>
      <c r="BQ371" s="257"/>
      <c r="BR371" s="257"/>
      <c r="BS371" s="258"/>
      <c r="BT371" s="257"/>
      <c r="BU371" s="257"/>
      <c r="BV371" s="257"/>
      <c r="BW371" s="258"/>
      <c r="BX371" s="21"/>
      <c r="BY371" s="22"/>
      <c r="BZ371" s="15"/>
      <c r="CA371" s="15"/>
      <c r="CB371" s="15"/>
      <c r="CC371" s="15"/>
      <c r="CD371" s="15"/>
      <c r="CE371" s="15"/>
      <c r="CF371" s="220"/>
      <c r="CG371" s="15"/>
      <c r="CH371" s="15"/>
      <c r="CI371" s="15"/>
      <c r="CJ371" s="15"/>
      <c r="CK371" s="15"/>
      <c r="CL371" s="15"/>
      <c r="CM371" s="15"/>
      <c r="CN371" s="15"/>
      <c r="CO371" s="15"/>
      <c r="CP371" s="211"/>
    </row>
    <row r="372" spans="1:94" ht="14.25" hidden="1" customHeight="1" outlineLevel="2">
      <c r="A372" s="247"/>
      <c r="B372" s="288" t="s">
        <v>202</v>
      </c>
      <c r="C372" s="396"/>
      <c r="D372" s="392"/>
      <c r="E372" s="392"/>
      <c r="F372" s="392"/>
      <c r="G372" s="396"/>
      <c r="H372" s="392"/>
      <c r="I372" s="392"/>
      <c r="J372" s="392"/>
      <c r="K372" s="396"/>
      <c r="L372" s="384"/>
      <c r="M372" s="384"/>
      <c r="N372" s="384"/>
      <c r="O372" s="385"/>
      <c r="P372" s="383"/>
      <c r="Q372" s="384"/>
      <c r="R372" s="384"/>
      <c r="S372" s="385"/>
      <c r="T372" s="383"/>
      <c r="U372" s="384"/>
      <c r="V372" s="384"/>
      <c r="W372" s="385"/>
      <c r="X372" s="383"/>
      <c r="Y372" s="384"/>
      <c r="Z372" s="384"/>
      <c r="AA372" s="385"/>
      <c r="AB372" s="383"/>
      <c r="AC372" s="384"/>
      <c r="AD372" s="384"/>
      <c r="AE372" s="385"/>
      <c r="AF372" s="383"/>
      <c r="AG372" s="384"/>
      <c r="AH372" s="384"/>
      <c r="AI372" s="385"/>
      <c r="AJ372" s="383">
        <f t="shared" ref="AJ372:BC372" si="755">AJ343+AJ322+AJ305</f>
        <v>258.60000000000002</v>
      </c>
      <c r="AK372" s="384">
        <f t="shared" si="755"/>
        <v>284.20000000000005</v>
      </c>
      <c r="AL372" s="384">
        <f t="shared" si="755"/>
        <v>271.5</v>
      </c>
      <c r="AM372" s="385">
        <f t="shared" si="755"/>
        <v>249.5</v>
      </c>
      <c r="AN372" s="383">
        <f t="shared" si="755"/>
        <v>257.2</v>
      </c>
      <c r="AO372" s="384">
        <f t="shared" si="755"/>
        <v>268.10000000000002</v>
      </c>
      <c r="AP372" s="384">
        <f t="shared" si="755"/>
        <v>250.6</v>
      </c>
      <c r="AQ372" s="385">
        <f t="shared" si="755"/>
        <v>227.3</v>
      </c>
      <c r="AR372" s="383">
        <f t="shared" si="755"/>
        <v>210</v>
      </c>
      <c r="AS372" s="384">
        <f t="shared" si="755"/>
        <v>236.9</v>
      </c>
      <c r="AT372" s="384">
        <f>AT343+AT322+AT305</f>
        <v>248.89999999999998</v>
      </c>
      <c r="AU372" s="385">
        <f t="shared" si="755"/>
        <v>253.89999999999998</v>
      </c>
      <c r="AV372" s="383">
        <f t="shared" si="755"/>
        <v>257.29999999999995</v>
      </c>
      <c r="AW372" s="384">
        <f>AW343+AW322+AW305</f>
        <v>278.10000000000002</v>
      </c>
      <c r="AX372" s="384">
        <f t="shared" si="755"/>
        <v>266.61431102077694</v>
      </c>
      <c r="AY372" s="385">
        <f t="shared" si="755"/>
        <v>243.55563550428974</v>
      </c>
      <c r="AZ372" s="383">
        <f t="shared" si="755"/>
        <v>248.42674821437555</v>
      </c>
      <c r="BA372" s="384">
        <f t="shared" si="755"/>
        <v>253.39528317866302</v>
      </c>
      <c r="BB372" s="384">
        <f>BB343+BB322+BB305</f>
        <v>264.6532138726966</v>
      </c>
      <c r="BC372" s="385">
        <f t="shared" si="755"/>
        <v>269.94627815015053</v>
      </c>
      <c r="BD372" s="383">
        <f t="shared" ref="BD372:BK372" si="756">BD343+BD322+BD305</f>
        <v>275.34520371315358</v>
      </c>
      <c r="BE372" s="384">
        <f t="shared" si="756"/>
        <v>280.85210778741663</v>
      </c>
      <c r="BF372" s="384">
        <f t="shared" si="756"/>
        <v>286.46914994316501</v>
      </c>
      <c r="BG372" s="385">
        <f t="shared" si="756"/>
        <v>292.19853294202829</v>
      </c>
      <c r="BH372" s="383">
        <f t="shared" si="756"/>
        <v>298.04250360086883</v>
      </c>
      <c r="BI372" s="384">
        <f t="shared" si="756"/>
        <v>304.00335367288631</v>
      </c>
      <c r="BJ372" s="384">
        <f t="shared" si="756"/>
        <v>310.08342074634402</v>
      </c>
      <c r="BK372" s="385">
        <f t="shared" si="756"/>
        <v>316.28508916127089</v>
      </c>
      <c r="BL372" s="383"/>
      <c r="BM372" s="384"/>
      <c r="BN372" s="384"/>
      <c r="BO372" s="385"/>
      <c r="BP372" s="383"/>
      <c r="BQ372" s="384"/>
      <c r="BR372" s="384"/>
      <c r="BS372" s="385"/>
      <c r="BT372" s="383"/>
      <c r="BU372" s="384"/>
      <c r="BV372" s="384"/>
      <c r="BW372" s="385"/>
      <c r="BX372" s="772"/>
      <c r="BY372" s="288"/>
      <c r="BZ372" s="392"/>
      <c r="CA372" s="384"/>
      <c r="CB372" s="384"/>
      <c r="CC372" s="384"/>
      <c r="CD372" s="384">
        <f>CD343+CD322+CD305</f>
        <v>789.2</v>
      </c>
      <c r="CE372" s="384">
        <f>CE343+CE322+CE305</f>
        <v>655.9</v>
      </c>
      <c r="CF372" s="384">
        <f>CF343+CF322+CF305</f>
        <v>1011.8</v>
      </c>
      <c r="CG372" s="384">
        <f>SUM(AJ372:AM372)</f>
        <v>1063.8000000000002</v>
      </c>
      <c r="CH372" s="384">
        <f>SUM(AN372:AQ372)</f>
        <v>1003.2</v>
      </c>
      <c r="CI372" s="384">
        <f>SUM(AR372:AU372)</f>
        <v>949.69999999999993</v>
      </c>
      <c r="CJ372" s="384">
        <f>SUM(AV372:AY372)</f>
        <v>1045.5699465250666</v>
      </c>
      <c r="CK372" s="384">
        <f>SUM(AZ372:BC372)</f>
        <v>1036.4215234158855</v>
      </c>
      <c r="CL372" s="384">
        <f>SUM(BD372:BG372)</f>
        <v>1134.8649943857636</v>
      </c>
      <c r="CM372" s="384">
        <f>SUM(BH372:BK372)</f>
        <v>1228.4143671813699</v>
      </c>
      <c r="CN372" s="384"/>
      <c r="CO372" s="384"/>
      <c r="CP372" s="385"/>
    </row>
    <row r="373" spans="1:94" ht="14.25" hidden="1" customHeight="1" outlineLevel="2">
      <c r="A373" s="402"/>
      <c r="B373" s="301" t="s">
        <v>203</v>
      </c>
      <c r="C373" s="669"/>
      <c r="D373" s="670"/>
      <c r="E373" s="670"/>
      <c r="F373" s="670"/>
      <c r="G373" s="669"/>
      <c r="H373" s="670"/>
      <c r="I373" s="670"/>
      <c r="J373" s="670"/>
      <c r="K373" s="669"/>
      <c r="L373" s="671"/>
      <c r="M373" s="671"/>
      <c r="N373" s="671"/>
      <c r="O373" s="672"/>
      <c r="P373" s="673"/>
      <c r="Q373" s="671"/>
      <c r="R373" s="671"/>
      <c r="S373" s="672"/>
      <c r="T373" s="673"/>
      <c r="U373" s="671"/>
      <c r="V373" s="671"/>
      <c r="W373" s="672"/>
      <c r="X373" s="673"/>
      <c r="Y373" s="671"/>
      <c r="Z373" s="671"/>
      <c r="AA373" s="672"/>
      <c r="AB373" s="673"/>
      <c r="AC373" s="671"/>
      <c r="AD373" s="671"/>
      <c r="AE373" s="672"/>
      <c r="AF373" s="671"/>
      <c r="AG373" s="671"/>
      <c r="AH373" s="671"/>
      <c r="AI373" s="672"/>
      <c r="AJ373" s="671"/>
      <c r="AK373" s="671"/>
      <c r="AL373" s="671"/>
      <c r="AM373" s="672"/>
      <c r="AN373" s="671"/>
      <c r="AO373" s="671"/>
      <c r="AP373" s="671"/>
      <c r="AQ373" s="672"/>
      <c r="AR373" s="671"/>
      <c r="AS373" s="671"/>
      <c r="AT373" s="671"/>
      <c r="AU373" s="672"/>
      <c r="AV373" s="671"/>
      <c r="AW373" s="671"/>
      <c r="AX373" s="671"/>
      <c r="AY373" s="672"/>
      <c r="AZ373" s="671"/>
      <c r="BA373" s="671"/>
      <c r="BB373" s="671"/>
      <c r="BC373" s="672"/>
      <c r="BD373" s="671"/>
      <c r="BE373" s="671"/>
      <c r="BF373" s="671"/>
      <c r="BG373" s="672"/>
      <c r="BH373" s="671"/>
      <c r="BI373" s="671"/>
      <c r="BJ373" s="671"/>
      <c r="BK373" s="672"/>
      <c r="BL373" s="671"/>
      <c r="BM373" s="671"/>
      <c r="BN373" s="671"/>
      <c r="BO373" s="672"/>
      <c r="BP373" s="671"/>
      <c r="BQ373" s="671"/>
      <c r="BR373" s="671"/>
      <c r="BS373" s="672"/>
      <c r="BT373" s="671"/>
      <c r="BU373" s="671"/>
      <c r="BV373" s="671"/>
      <c r="BW373" s="672"/>
      <c r="BX373" s="773"/>
      <c r="BY373" s="674"/>
      <c r="BZ373" s="670"/>
      <c r="CA373" s="671"/>
      <c r="CB373" s="671"/>
      <c r="CC373" s="384"/>
      <c r="CD373" s="384"/>
      <c r="CE373" s="384"/>
      <c r="CF373" s="671"/>
      <c r="CG373" s="384"/>
      <c r="CH373" s="384"/>
      <c r="CI373" s="384"/>
      <c r="CJ373" s="384"/>
      <c r="CK373" s="384"/>
      <c r="CL373" s="384"/>
      <c r="CM373" s="384"/>
      <c r="CN373" s="384"/>
      <c r="CO373" s="384"/>
      <c r="CP373" s="385"/>
    </row>
    <row r="374" spans="1:94" ht="14.25" hidden="1" customHeight="1" outlineLevel="2">
      <c r="A374" s="247"/>
      <c r="B374" s="288" t="s">
        <v>204</v>
      </c>
      <c r="C374" s="396"/>
      <c r="D374" s="392"/>
      <c r="E374" s="392"/>
      <c r="F374" s="392"/>
      <c r="G374" s="396"/>
      <c r="H374" s="392"/>
      <c r="I374" s="392"/>
      <c r="J374" s="392"/>
      <c r="K374" s="396"/>
      <c r="L374" s="384"/>
      <c r="M374" s="384"/>
      <c r="N374" s="384"/>
      <c r="O374" s="385"/>
      <c r="P374" s="383"/>
      <c r="Q374" s="384"/>
      <c r="R374" s="384"/>
      <c r="S374" s="385"/>
      <c r="T374" s="383"/>
      <c r="U374" s="384"/>
      <c r="V374" s="384"/>
      <c r="W374" s="385"/>
      <c r="X374" s="383"/>
      <c r="Y374" s="384"/>
      <c r="Z374" s="384"/>
      <c r="AA374" s="385"/>
      <c r="AB374" s="383"/>
      <c r="AC374" s="384"/>
      <c r="AD374" s="384"/>
      <c r="AE374" s="385"/>
      <c r="AF374" s="384"/>
      <c r="AG374" s="384"/>
      <c r="AH374" s="384"/>
      <c r="AI374" s="385"/>
      <c r="AJ374" s="781">
        <v>-16.2</v>
      </c>
      <c r="AK374" s="781">
        <v>-18.100000000000001</v>
      </c>
      <c r="AL374" s="781">
        <v>-10.4</v>
      </c>
      <c r="AM374" s="782">
        <f>-55-SUM(AJ374:AL374)</f>
        <v>-10.300000000000004</v>
      </c>
      <c r="AN374" s="781">
        <v>-12</v>
      </c>
      <c r="AO374" s="781">
        <v>-9.8000000000000007</v>
      </c>
      <c r="AP374" s="781">
        <v>-12.6</v>
      </c>
      <c r="AQ374" s="782">
        <f>-51.3-SUM(AN374:AP374)</f>
        <v>-16.899999999999999</v>
      </c>
      <c r="AR374" s="781">
        <f>-AR372*AR375</f>
        <v>-15.613726352837656</v>
      </c>
      <c r="AS374" s="781">
        <v>-5.0999999999999996</v>
      </c>
      <c r="AT374" s="781">
        <v>0.3</v>
      </c>
      <c r="AU374" s="1068">
        <f>-11.3-SUM(AR374:AT374)</f>
        <v>9.1137263528376522</v>
      </c>
      <c r="AV374" s="781">
        <v>-6.5</v>
      </c>
      <c r="AW374" s="781">
        <v>-5.0999999999999996</v>
      </c>
      <c r="AX374" s="781">
        <v>0</v>
      </c>
      <c r="AY374" s="385">
        <f t="shared" ref="AY374:BG374" si="757">-AY372*AY375</f>
        <v>0</v>
      </c>
      <c r="AZ374" s="383">
        <f t="shared" si="757"/>
        <v>0</v>
      </c>
      <c r="BA374" s="384">
        <f t="shared" si="757"/>
        <v>0</v>
      </c>
      <c r="BB374" s="781">
        <v>0</v>
      </c>
      <c r="BC374" s="385">
        <f t="shared" si="757"/>
        <v>0</v>
      </c>
      <c r="BD374" s="383">
        <f t="shared" si="757"/>
        <v>0</v>
      </c>
      <c r="BE374" s="384">
        <f t="shared" si="757"/>
        <v>0</v>
      </c>
      <c r="BF374" s="384">
        <f t="shared" si="757"/>
        <v>0</v>
      </c>
      <c r="BG374" s="385">
        <f t="shared" si="757"/>
        <v>0</v>
      </c>
      <c r="BH374" s="383">
        <f>-BH372*BH375</f>
        <v>0</v>
      </c>
      <c r="BI374" s="384">
        <f>-BI372*BI375</f>
        <v>0</v>
      </c>
      <c r="BJ374" s="384">
        <f>-BJ372*BJ375</f>
        <v>0</v>
      </c>
      <c r="BK374" s="385">
        <f>-BK372*BK375</f>
        <v>0</v>
      </c>
      <c r="BL374" s="383"/>
      <c r="BM374" s="384"/>
      <c r="BN374" s="384"/>
      <c r="BO374" s="385"/>
      <c r="BP374" s="383"/>
      <c r="BQ374" s="384"/>
      <c r="BR374" s="384"/>
      <c r="BS374" s="385"/>
      <c r="BT374" s="383"/>
      <c r="BU374" s="384"/>
      <c r="BV374" s="384"/>
      <c r="BW374" s="385"/>
      <c r="BX374" s="772"/>
      <c r="BY374" s="288"/>
      <c r="BZ374" s="392"/>
      <c r="CA374" s="384"/>
      <c r="CB374" s="384"/>
      <c r="CC374" s="384"/>
      <c r="CD374" s="781">
        <v>-43.7</v>
      </c>
      <c r="CE374" s="781">
        <v>-35.200000000000003</v>
      </c>
      <c r="CF374" s="781">
        <v>-55.8</v>
      </c>
      <c r="CG374" s="384">
        <f>SUM(AJ374:AM374)</f>
        <v>-55</v>
      </c>
      <c r="CH374" s="384">
        <f>SUM(AN374:AQ374)</f>
        <v>-51.3</v>
      </c>
      <c r="CI374" s="384">
        <f>SUM(AR374:AU374)</f>
        <v>-11.3</v>
      </c>
      <c r="CJ374" s="384">
        <f>SUM(AV374:AY374)</f>
        <v>-11.6</v>
      </c>
      <c r="CK374" s="384">
        <f>SUM(AZ374:BC374)</f>
        <v>0</v>
      </c>
      <c r="CL374" s="384">
        <f>SUM(BD374:BG374)</f>
        <v>0</v>
      </c>
      <c r="CM374" s="384">
        <f>SUM(BH374:BK374)</f>
        <v>0</v>
      </c>
      <c r="CN374" s="384"/>
      <c r="CO374" s="384"/>
      <c r="CP374" s="385"/>
    </row>
    <row r="375" spans="1:94" ht="14.25" hidden="1" customHeight="1" outlineLevel="2">
      <c r="A375" s="247"/>
      <c r="B375" s="288" t="s">
        <v>513</v>
      </c>
      <c r="C375" s="396"/>
      <c r="D375" s="392"/>
      <c r="E375" s="392"/>
      <c r="F375" s="392"/>
      <c r="G375" s="396"/>
      <c r="H375" s="392"/>
      <c r="I375" s="392"/>
      <c r="J375" s="392"/>
      <c r="K375" s="396"/>
      <c r="L375" s="384"/>
      <c r="M375" s="384"/>
      <c r="N375" s="384"/>
      <c r="O375" s="385"/>
      <c r="P375" s="383"/>
      <c r="Q375" s="384"/>
      <c r="R375" s="384"/>
      <c r="S375" s="385"/>
      <c r="T375" s="383"/>
      <c r="U375" s="384"/>
      <c r="V375" s="384"/>
      <c r="W375" s="385"/>
      <c r="X375" s="383"/>
      <c r="Y375" s="384"/>
      <c r="Z375" s="384"/>
      <c r="AA375" s="385"/>
      <c r="AB375" s="383"/>
      <c r="AC375" s="384"/>
      <c r="AD375" s="384"/>
      <c r="AE375" s="385"/>
      <c r="AF375" s="384"/>
      <c r="AG375" s="384"/>
      <c r="AH375" s="384"/>
      <c r="AI375" s="385"/>
      <c r="AJ375" s="831">
        <f>-AJ374/AJ372</f>
        <v>6.2645011600928072E-2</v>
      </c>
      <c r="AK375" s="831">
        <f t="shared" ref="AK375:AQ375" si="758">-AK374/AK372</f>
        <v>6.3687543983110481E-2</v>
      </c>
      <c r="AL375" s="831">
        <f t="shared" si="758"/>
        <v>3.8305709023941072E-2</v>
      </c>
      <c r="AM375" s="833">
        <f t="shared" si="758"/>
        <v>4.1282565130260539E-2</v>
      </c>
      <c r="AN375" s="831">
        <f t="shared" si="758"/>
        <v>4.6656298600311043E-2</v>
      </c>
      <c r="AO375" s="831">
        <f t="shared" si="758"/>
        <v>3.6553524804177548E-2</v>
      </c>
      <c r="AP375" s="831">
        <f t="shared" si="758"/>
        <v>5.027932960893855E-2</v>
      </c>
      <c r="AQ375" s="833">
        <f t="shared" si="758"/>
        <v>7.4351077870655508E-2</v>
      </c>
      <c r="AR375" s="831">
        <f>AQ375</f>
        <v>7.4351077870655508E-2</v>
      </c>
      <c r="AS375" s="831">
        <f t="shared" ref="AS375:AY375" si="759">AR375</f>
        <v>7.4351077870655508E-2</v>
      </c>
      <c r="AT375" s="831">
        <f>-AT374/AT372</f>
        <v>-1.2053033346725594E-3</v>
      </c>
      <c r="AU375" s="833">
        <f>-AU374/AU372</f>
        <v>-3.589494428057366E-2</v>
      </c>
      <c r="AV375" s="831">
        <f>AU375</f>
        <v>-3.589494428057366E-2</v>
      </c>
      <c r="AW375" s="831">
        <f t="shared" si="759"/>
        <v>-3.589494428057366E-2</v>
      </c>
      <c r="AX375" s="831">
        <f>-AX374/AX372</f>
        <v>0</v>
      </c>
      <c r="AY375" s="834">
        <f t="shared" si="759"/>
        <v>0</v>
      </c>
      <c r="AZ375" s="832">
        <f t="shared" ref="AZ375:BG375" si="760">AY375</f>
        <v>0</v>
      </c>
      <c r="BA375" s="832">
        <f t="shared" si="760"/>
        <v>0</v>
      </c>
      <c r="BB375" s="831">
        <f>-BB374/BB372</f>
        <v>0</v>
      </c>
      <c r="BC375" s="834">
        <f t="shared" si="760"/>
        <v>0</v>
      </c>
      <c r="BD375" s="832">
        <f t="shared" si="760"/>
        <v>0</v>
      </c>
      <c r="BE375" s="832">
        <f t="shared" si="760"/>
        <v>0</v>
      </c>
      <c r="BF375" s="832">
        <f t="shared" si="760"/>
        <v>0</v>
      </c>
      <c r="BG375" s="834">
        <f t="shared" si="760"/>
        <v>0</v>
      </c>
      <c r="BH375" s="832">
        <f>BG375</f>
        <v>0</v>
      </c>
      <c r="BI375" s="832">
        <f>BH375</f>
        <v>0</v>
      </c>
      <c r="BJ375" s="832">
        <f>BI375</f>
        <v>0</v>
      </c>
      <c r="BK375" s="834">
        <f>BJ375</f>
        <v>0</v>
      </c>
      <c r="BL375" s="832"/>
      <c r="BM375" s="832"/>
      <c r="BN375" s="832"/>
      <c r="BO375" s="834"/>
      <c r="BP375" s="832"/>
      <c r="BQ375" s="832"/>
      <c r="BR375" s="832"/>
      <c r="BS375" s="834"/>
      <c r="BT375" s="832"/>
      <c r="BU375" s="832"/>
      <c r="BV375" s="832"/>
      <c r="BW375" s="834"/>
      <c r="BX375" s="772"/>
      <c r="BY375" s="288"/>
      <c r="BZ375" s="392"/>
      <c r="CA375" s="384"/>
      <c r="CB375" s="384"/>
      <c r="CC375" s="384"/>
      <c r="CD375" s="831">
        <f t="shared" ref="CD375:CL375" si="761">-CD374/CD372</f>
        <v>5.5372529143436391E-2</v>
      </c>
      <c r="CE375" s="831">
        <f t="shared" si="761"/>
        <v>5.3666717487421869E-2</v>
      </c>
      <c r="CF375" s="831">
        <f t="shared" si="761"/>
        <v>5.5149238980035577E-2</v>
      </c>
      <c r="CG375" s="831">
        <f t="shared" si="761"/>
        <v>5.1701447640533929E-2</v>
      </c>
      <c r="CH375" s="831">
        <f t="shared" si="761"/>
        <v>5.1136363636363633E-2</v>
      </c>
      <c r="CI375" s="831">
        <f t="shared" si="761"/>
        <v>1.1898494261345689E-2</v>
      </c>
      <c r="CJ375" s="831">
        <f t="shared" si="761"/>
        <v>1.1094427530699783E-2</v>
      </c>
      <c r="CK375" s="831">
        <f t="shared" si="761"/>
        <v>0</v>
      </c>
      <c r="CL375" s="831">
        <f t="shared" si="761"/>
        <v>0</v>
      </c>
      <c r="CM375" s="831">
        <f>-CM374/CM372</f>
        <v>0</v>
      </c>
      <c r="CN375" s="831"/>
      <c r="CO375" s="831"/>
      <c r="CP375" s="833"/>
    </row>
    <row r="376" spans="1:94" ht="14.25" hidden="1" customHeight="1" outlineLevel="2">
      <c r="A376" s="247"/>
      <c r="B376" s="288"/>
      <c r="C376" s="396"/>
      <c r="D376" s="392"/>
      <c r="E376" s="392"/>
      <c r="F376" s="392"/>
      <c r="G376" s="396"/>
      <c r="H376" s="392"/>
      <c r="I376" s="392"/>
      <c r="J376" s="392"/>
      <c r="K376" s="396"/>
      <c r="L376" s="384"/>
      <c r="M376" s="384"/>
      <c r="N376" s="384"/>
      <c r="O376" s="385"/>
      <c r="P376" s="383"/>
      <c r="Q376" s="384"/>
      <c r="R376" s="384"/>
      <c r="S376" s="385"/>
      <c r="T376" s="383"/>
      <c r="U376" s="384"/>
      <c r="V376" s="384"/>
      <c r="W376" s="385"/>
      <c r="X376" s="383"/>
      <c r="Y376" s="384"/>
      <c r="Z376" s="384"/>
      <c r="AA376" s="385"/>
      <c r="AB376" s="383"/>
      <c r="AC376" s="384"/>
      <c r="AD376" s="384"/>
      <c r="AE376" s="385"/>
      <c r="AF376" s="384"/>
      <c r="AG376" s="384"/>
      <c r="AH376" s="384"/>
      <c r="AI376" s="385"/>
      <c r="AJ376" s="781"/>
      <c r="AK376" s="781"/>
      <c r="AL376" s="781"/>
      <c r="AM376" s="782"/>
      <c r="AN376" s="781"/>
      <c r="AO376" s="781"/>
      <c r="AP376" s="781"/>
      <c r="AQ376" s="782"/>
      <c r="AR376" s="781"/>
      <c r="AS376" s="781"/>
      <c r="AT376" s="781"/>
      <c r="AU376" s="818"/>
      <c r="AV376" s="781"/>
      <c r="AW376" s="781"/>
      <c r="AX376" s="781"/>
      <c r="AY376" s="818"/>
      <c r="AZ376" s="781"/>
      <c r="BA376" s="781"/>
      <c r="BB376" s="781"/>
      <c r="BC376" s="818"/>
      <c r="BD376" s="781"/>
      <c r="BE376" s="781"/>
      <c r="BF376" s="781"/>
      <c r="BG376" s="818"/>
      <c r="BH376" s="781"/>
      <c r="BI376" s="781"/>
      <c r="BJ376" s="781"/>
      <c r="BK376" s="818"/>
      <c r="BL376" s="781"/>
      <c r="BM376" s="781"/>
      <c r="BN376" s="781"/>
      <c r="BO376" s="818"/>
      <c r="BP376" s="781"/>
      <c r="BQ376" s="781"/>
      <c r="BR376" s="781"/>
      <c r="BS376" s="818"/>
      <c r="BT376" s="781"/>
      <c r="BU376" s="781"/>
      <c r="BV376" s="781"/>
      <c r="BW376" s="818"/>
      <c r="BX376" s="772"/>
      <c r="BY376" s="288"/>
      <c r="BZ376" s="392"/>
      <c r="CA376" s="384"/>
      <c r="CB376" s="384"/>
      <c r="CC376" s="384"/>
      <c r="CD376" s="781"/>
      <c r="CE376" s="781"/>
      <c r="CF376" s="781"/>
      <c r="CG376" s="384"/>
      <c r="CH376" s="384"/>
      <c r="CI376" s="384"/>
      <c r="CJ376" s="384"/>
      <c r="CK376" s="384"/>
      <c r="CL376" s="384"/>
      <c r="CM376" s="384"/>
      <c r="CN376" s="384"/>
      <c r="CO376" s="384"/>
      <c r="CP376" s="385"/>
    </row>
    <row r="377" spans="1:94" ht="18" hidden="1" customHeight="1" outlineLevel="2">
      <c r="A377" s="9"/>
      <c r="B377" s="235" t="s">
        <v>304</v>
      </c>
      <c r="C377" s="277"/>
      <c r="D377" s="251"/>
      <c r="E377" s="251"/>
      <c r="F377" s="251"/>
      <c r="G377" s="277"/>
      <c r="H377" s="251"/>
      <c r="I377" s="251"/>
      <c r="J377" s="251"/>
      <c r="K377" s="277"/>
      <c r="L377" s="325"/>
      <c r="M377" s="325"/>
      <c r="N377" s="325"/>
      <c r="O377" s="326"/>
      <c r="P377" s="334"/>
      <c r="Q377" s="325"/>
      <c r="R377" s="325"/>
      <c r="S377" s="326"/>
      <c r="T377" s="334"/>
      <c r="U377" s="325"/>
      <c r="V377" s="325"/>
      <c r="W377" s="326"/>
      <c r="X377" s="334"/>
      <c r="Y377" s="325"/>
      <c r="Z377" s="325"/>
      <c r="AA377" s="326"/>
      <c r="AB377" s="334"/>
      <c r="AC377" s="325"/>
      <c r="AD377" s="325"/>
      <c r="AE377" s="326"/>
      <c r="AF377" s="325"/>
      <c r="AG377" s="325"/>
      <c r="AH377" s="325"/>
      <c r="AI377" s="326"/>
      <c r="AJ377" s="325">
        <f t="shared" ref="AJ377:AQ377" si="762">AJ372+AJ374</f>
        <v>242.40000000000003</v>
      </c>
      <c r="AK377" s="325">
        <f t="shared" si="762"/>
        <v>266.10000000000002</v>
      </c>
      <c r="AL377" s="325">
        <f t="shared" si="762"/>
        <v>261.10000000000002</v>
      </c>
      <c r="AM377" s="332">
        <f t="shared" si="762"/>
        <v>239.2</v>
      </c>
      <c r="AN377" s="325">
        <f t="shared" si="762"/>
        <v>245.2</v>
      </c>
      <c r="AO377" s="328">
        <f>AO372+AO374</f>
        <v>258.3</v>
      </c>
      <c r="AP377" s="328">
        <f t="shared" si="762"/>
        <v>238</v>
      </c>
      <c r="AQ377" s="332">
        <f t="shared" si="762"/>
        <v>210.4</v>
      </c>
      <c r="AR377" s="325">
        <f t="shared" ref="AR377:AY377" si="763">AR372+AR374</f>
        <v>194.38627364716234</v>
      </c>
      <c r="AS377" s="328">
        <f t="shared" si="763"/>
        <v>231.8</v>
      </c>
      <c r="AT377" s="328">
        <f t="shared" si="763"/>
        <v>249.2</v>
      </c>
      <c r="AU377" s="332">
        <f t="shared" si="763"/>
        <v>263.01372635283764</v>
      </c>
      <c r="AV377" s="328">
        <f t="shared" si="763"/>
        <v>250.79999999999995</v>
      </c>
      <c r="AW377" s="328">
        <f>AW372+AW374</f>
        <v>273</v>
      </c>
      <c r="AX377" s="328">
        <f>AX372+AX374</f>
        <v>266.61431102077694</v>
      </c>
      <c r="AY377" s="332">
        <f t="shared" si="763"/>
        <v>243.55563550428974</v>
      </c>
      <c r="AZ377" s="328">
        <f t="shared" ref="AZ377:BG377" si="764">AZ372+AZ374</f>
        <v>248.42674821437555</v>
      </c>
      <c r="BA377" s="328">
        <f t="shared" si="764"/>
        <v>253.39528317866302</v>
      </c>
      <c r="BB377" s="328">
        <f>BB372+BB374</f>
        <v>264.6532138726966</v>
      </c>
      <c r="BC377" s="332">
        <f t="shared" si="764"/>
        <v>269.94627815015053</v>
      </c>
      <c r="BD377" s="328">
        <f t="shared" si="764"/>
        <v>275.34520371315358</v>
      </c>
      <c r="BE377" s="328">
        <f t="shared" si="764"/>
        <v>280.85210778741663</v>
      </c>
      <c r="BF377" s="328">
        <f t="shared" si="764"/>
        <v>286.46914994316501</v>
      </c>
      <c r="BG377" s="332">
        <f t="shared" si="764"/>
        <v>292.19853294202829</v>
      </c>
      <c r="BH377" s="328">
        <f>BH372+BH374</f>
        <v>298.04250360086883</v>
      </c>
      <c r="BI377" s="328">
        <f>BI372+BI374</f>
        <v>304.00335367288631</v>
      </c>
      <c r="BJ377" s="328">
        <f>BJ372+BJ374</f>
        <v>310.08342074634402</v>
      </c>
      <c r="BK377" s="332">
        <f>BK372+BK374</f>
        <v>316.28508916127089</v>
      </c>
      <c r="BL377" s="328"/>
      <c r="BM377" s="328"/>
      <c r="BN377" s="328"/>
      <c r="BO377" s="332"/>
      <c r="BP377" s="328"/>
      <c r="BQ377" s="328"/>
      <c r="BR377" s="328"/>
      <c r="BS377" s="332"/>
      <c r="BT377" s="328"/>
      <c r="BU377" s="328"/>
      <c r="BV377" s="328"/>
      <c r="BW377" s="332"/>
      <c r="BX377" s="263"/>
      <c r="BY377" s="235"/>
      <c r="BZ377" s="251"/>
      <c r="CA377" s="325"/>
      <c r="CB377" s="325"/>
      <c r="CC377" s="325"/>
      <c r="CD377" s="325">
        <f t="shared" ref="CD377:CJ377" si="765">CD372+CD374</f>
        <v>745.5</v>
      </c>
      <c r="CE377" s="325">
        <f t="shared" si="765"/>
        <v>620.69999999999993</v>
      </c>
      <c r="CF377" s="325">
        <f t="shared" si="765"/>
        <v>956</v>
      </c>
      <c r="CG377" s="325">
        <f t="shared" si="765"/>
        <v>1008.8000000000002</v>
      </c>
      <c r="CH377" s="325">
        <f t="shared" si="765"/>
        <v>951.90000000000009</v>
      </c>
      <c r="CI377" s="325">
        <f t="shared" si="765"/>
        <v>938.4</v>
      </c>
      <c r="CJ377" s="325">
        <f t="shared" si="765"/>
        <v>1033.9699465250667</v>
      </c>
      <c r="CK377" s="325">
        <f>CK372+CK374</f>
        <v>1036.4215234158855</v>
      </c>
      <c r="CL377" s="325">
        <f>CL372+CL374</f>
        <v>1134.8649943857636</v>
      </c>
      <c r="CM377" s="325">
        <f>CM372+CM374</f>
        <v>1228.4143671813699</v>
      </c>
      <c r="CN377" s="325"/>
      <c r="CO377" s="325"/>
      <c r="CP377" s="326"/>
    </row>
    <row r="378" spans="1:94" ht="14.25" hidden="1" customHeight="1" outlineLevel="2">
      <c r="A378" s="9"/>
      <c r="B378" s="288" t="s">
        <v>205</v>
      </c>
      <c r="C378" s="277"/>
      <c r="D378" s="251"/>
      <c r="E378" s="251"/>
      <c r="F378" s="251"/>
      <c r="G378" s="277"/>
      <c r="H378" s="251"/>
      <c r="I378" s="251"/>
      <c r="J378" s="251"/>
      <c r="K378" s="277"/>
      <c r="L378" s="289"/>
      <c r="M378" s="289"/>
      <c r="N378" s="289"/>
      <c r="O378" s="290"/>
      <c r="P378" s="323"/>
      <c r="Q378" s="289"/>
      <c r="R378" s="289"/>
      <c r="S378" s="290"/>
      <c r="T378" s="323"/>
      <c r="U378" s="289"/>
      <c r="V378" s="289"/>
      <c r="W378" s="290"/>
      <c r="X378" s="323"/>
      <c r="Y378" s="289"/>
      <c r="Z378" s="289"/>
      <c r="AA378" s="290"/>
      <c r="AB378" s="323"/>
      <c r="AC378" s="289"/>
      <c r="AD378" s="289"/>
      <c r="AE378" s="290"/>
      <c r="AF378" s="289"/>
      <c r="AG378" s="289"/>
      <c r="AH378" s="289"/>
      <c r="AI378" s="290"/>
      <c r="AJ378" s="289">
        <f t="shared" ref="AJ378:AQ378" si="766">AJ377/AJ368</f>
        <v>0.27842866988283943</v>
      </c>
      <c r="AK378" s="338">
        <f t="shared" si="766"/>
        <v>0.29380589599205037</v>
      </c>
      <c r="AL378" s="289">
        <f t="shared" si="766"/>
        <v>0.29075723830734967</v>
      </c>
      <c r="AM378" s="290">
        <f t="shared" si="766"/>
        <v>0.31145833333333334</v>
      </c>
      <c r="AN378" s="289">
        <f t="shared" si="766"/>
        <v>0.32939279957012357</v>
      </c>
      <c r="AO378" s="289">
        <f t="shared" si="766"/>
        <v>0.3468045112781955</v>
      </c>
      <c r="AP378" s="289">
        <f t="shared" si="766"/>
        <v>0.32804962095106821</v>
      </c>
      <c r="AQ378" s="290">
        <f t="shared" si="766"/>
        <v>0.30932078800352836</v>
      </c>
      <c r="AR378" s="289">
        <f t="shared" ref="AR378:AY378" si="767">AR377/AR368</f>
        <v>0.294079082673468</v>
      </c>
      <c r="AS378" s="289">
        <f t="shared" si="767"/>
        <v>0.33677175650152552</v>
      </c>
      <c r="AT378" s="289">
        <f t="shared" si="767"/>
        <v>0.3483365949119373</v>
      </c>
      <c r="AU378" s="290">
        <f t="shared" si="767"/>
        <v>0.36631438210701622</v>
      </c>
      <c r="AV378" s="289">
        <f t="shared" si="767"/>
        <v>0.35498938428874727</v>
      </c>
      <c r="AW378" s="289">
        <f>AW377/AW368</f>
        <v>0.36034846884899685</v>
      </c>
      <c r="AX378" s="289">
        <f t="shared" si="767"/>
        <v>0.31987319858521529</v>
      </c>
      <c r="AY378" s="290">
        <f t="shared" si="767"/>
        <v>0.29515992014238329</v>
      </c>
      <c r="AZ378" s="289">
        <f t="shared" ref="AZ378:BG378" si="768">AZ377/AZ368</f>
        <v>0.3652604011761994</v>
      </c>
      <c r="BA378" s="289">
        <f t="shared" si="768"/>
        <v>0.36526040117619929</v>
      </c>
      <c r="BB378" s="289">
        <f t="shared" si="768"/>
        <v>0.29269322480944104</v>
      </c>
      <c r="BC378" s="290">
        <f t="shared" si="768"/>
        <v>0.37049775292334303</v>
      </c>
      <c r="BD378" s="289">
        <f t="shared" si="768"/>
        <v>0.37049775292334303</v>
      </c>
      <c r="BE378" s="289">
        <f t="shared" si="768"/>
        <v>0.37049775292334308</v>
      </c>
      <c r="BF378" s="289">
        <f t="shared" si="768"/>
        <v>0.37049775292334308</v>
      </c>
      <c r="BG378" s="290">
        <f t="shared" si="768"/>
        <v>0.37049775292334303</v>
      </c>
      <c r="BH378" s="289">
        <f>BH377/BH368</f>
        <v>0.37049775292334303</v>
      </c>
      <c r="BI378" s="289">
        <f>BI377/BI368</f>
        <v>0.37049775292334314</v>
      </c>
      <c r="BJ378" s="289">
        <f>BJ377/BJ368</f>
        <v>0.37049775292334308</v>
      </c>
      <c r="BK378" s="290">
        <f>BK377/BK368</f>
        <v>0.37049775292334308</v>
      </c>
      <c r="BL378" s="289"/>
      <c r="BM378" s="289"/>
      <c r="BN378" s="289"/>
      <c r="BO378" s="290"/>
      <c r="BP378" s="289"/>
      <c r="BQ378" s="289"/>
      <c r="BR378" s="289"/>
      <c r="BS378" s="290"/>
      <c r="BT378" s="289"/>
      <c r="BU378" s="289"/>
      <c r="BV378" s="289"/>
      <c r="BW378" s="290"/>
      <c r="BX378" s="263"/>
      <c r="BY378" s="235"/>
      <c r="BZ378" s="251"/>
      <c r="CA378" s="338"/>
      <c r="CB378" s="338"/>
      <c r="CC378" s="338"/>
      <c r="CD378" s="338">
        <f>CD372/CD368</f>
        <v>0.38407630912984231</v>
      </c>
      <c r="CE378" s="338">
        <f>CE372/CE368</f>
        <v>0.37079540957657298</v>
      </c>
      <c r="CF378" s="289">
        <f>CF377/CF368</f>
        <v>0.41324457508429152</v>
      </c>
      <c r="CG378" s="338">
        <f t="shared" ref="CG378:CL378" si="769">CG372/CG368</f>
        <v>0.30903756209511085</v>
      </c>
      <c r="CH378" s="338">
        <f t="shared" si="769"/>
        <v>0.34654046771909225</v>
      </c>
      <c r="CI378" s="338">
        <f t="shared" si="769"/>
        <v>0.34128723901246988</v>
      </c>
      <c r="CJ378" s="338">
        <f t="shared" si="769"/>
        <v>0.33482184747333427</v>
      </c>
      <c r="CK378" s="338">
        <f t="shared" si="769"/>
        <v>0.34470640059659624</v>
      </c>
      <c r="CL378" s="338">
        <f t="shared" si="769"/>
        <v>0.37049775292334303</v>
      </c>
      <c r="CM378" s="338">
        <f>CM372/CM368</f>
        <v>0.37049775292334303</v>
      </c>
      <c r="CN378" s="338"/>
      <c r="CO378" s="338"/>
      <c r="CP378" s="337"/>
    </row>
    <row r="379" spans="1:94" ht="14.25" hidden="1" customHeight="1" outlineLevel="2">
      <c r="A379" s="9"/>
      <c r="B379" s="22"/>
      <c r="C379" s="211"/>
      <c r="D379" s="15"/>
      <c r="E379" s="15"/>
      <c r="F379" s="15"/>
      <c r="G379" s="211"/>
      <c r="H379" s="15"/>
      <c r="I379" s="15"/>
      <c r="J379" s="15"/>
      <c r="K379" s="211"/>
      <c r="L379" s="15"/>
      <c r="M379" s="15"/>
      <c r="N379" s="15"/>
      <c r="O379" s="211"/>
      <c r="P379" s="15"/>
      <c r="Q379" s="15"/>
      <c r="R379" s="15"/>
      <c r="S379" s="211"/>
      <c r="T379" s="15"/>
      <c r="U379" s="15"/>
      <c r="V379" s="15"/>
      <c r="W379" s="211"/>
      <c r="X379" s="15"/>
      <c r="Y379" s="15"/>
      <c r="Z379" s="15"/>
      <c r="AA379" s="211"/>
      <c r="AB379" s="15"/>
      <c r="AC379" s="15"/>
      <c r="AD379" s="15"/>
      <c r="AE379" s="211"/>
      <c r="AF379" s="220"/>
      <c r="AG379" s="220"/>
      <c r="AH379" s="220"/>
      <c r="AI379" s="258"/>
      <c r="AJ379" s="220"/>
      <c r="AK379" s="220"/>
      <c r="AL379" s="220"/>
      <c r="AM379" s="258"/>
      <c r="AN379" s="220"/>
      <c r="AO379" s="257"/>
      <c r="AP379" s="257"/>
      <c r="AQ379" s="258"/>
      <c r="AR379" s="220"/>
      <c r="AS379" s="257"/>
      <c r="AT379" s="257"/>
      <c r="AU379" s="258"/>
      <c r="AV379" s="257"/>
      <c r="AW379" s="257"/>
      <c r="AX379" s="257"/>
      <c r="AY379" s="258"/>
      <c r="AZ379" s="257"/>
      <c r="BA379" s="257"/>
      <c r="BB379" s="257"/>
      <c r="BC379" s="258"/>
      <c r="BD379" s="257"/>
      <c r="BE379" s="257"/>
      <c r="BF379" s="257"/>
      <c r="BG379" s="258"/>
      <c r="BH379" s="257"/>
      <c r="BI379" s="257"/>
      <c r="BJ379" s="257"/>
      <c r="BK379" s="258"/>
      <c r="BL379" s="257"/>
      <c r="BM379" s="257"/>
      <c r="BN379" s="257"/>
      <c r="BO379" s="258"/>
      <c r="BP379" s="257"/>
      <c r="BQ379" s="257"/>
      <c r="BR379" s="257"/>
      <c r="BS379" s="258"/>
      <c r="BT379" s="257"/>
      <c r="BU379" s="257"/>
      <c r="BV379" s="257"/>
      <c r="BW379" s="258"/>
      <c r="BX379" s="21"/>
      <c r="BY379" s="22"/>
      <c r="BZ379" s="15"/>
      <c r="CA379" s="15"/>
      <c r="CB379" s="15"/>
      <c r="CC379" s="15"/>
      <c r="CD379" s="15"/>
      <c r="CE379" s="15"/>
      <c r="CF379" s="220"/>
      <c r="CG379" s="15"/>
      <c r="CH379" s="15"/>
      <c r="CI379" s="15"/>
      <c r="CJ379" s="15"/>
      <c r="CK379" s="15"/>
      <c r="CL379" s="15"/>
      <c r="CM379" s="15"/>
      <c r="CN379" s="15"/>
      <c r="CO379" s="15"/>
      <c r="CP379" s="211"/>
    </row>
    <row r="380" spans="1:94" ht="14.25" hidden="1" customHeight="1" outlineLevel="2">
      <c r="A380" s="247"/>
      <c r="B380" s="288" t="s">
        <v>206</v>
      </c>
      <c r="C380" s="396"/>
      <c r="D380" s="392"/>
      <c r="E380" s="392"/>
      <c r="F380" s="392"/>
      <c r="G380" s="396"/>
      <c r="H380" s="392"/>
      <c r="I380" s="392"/>
      <c r="J380" s="392"/>
      <c r="K380" s="396"/>
      <c r="L380" s="384"/>
      <c r="M380" s="384"/>
      <c r="N380" s="384"/>
      <c r="O380" s="385"/>
      <c r="P380" s="383"/>
      <c r="Q380" s="384"/>
      <c r="R380" s="384"/>
      <c r="S380" s="385"/>
      <c r="T380" s="383"/>
      <c r="U380" s="384"/>
      <c r="V380" s="384"/>
      <c r="W380" s="385"/>
      <c r="X380" s="383"/>
      <c r="Y380" s="384"/>
      <c r="Z380" s="384"/>
      <c r="AA380" s="385"/>
      <c r="AB380" s="383"/>
      <c r="AC380" s="384"/>
      <c r="AD380" s="384"/>
      <c r="AE380" s="385"/>
      <c r="AF380" s="383"/>
      <c r="AG380" s="384"/>
      <c r="AH380" s="384"/>
      <c r="AI380" s="385"/>
      <c r="AJ380" s="383">
        <f t="shared" ref="AJ380:AS380" si="770">AJ346+AJ329+AJ312</f>
        <v>71.7</v>
      </c>
      <c r="AK380" s="384">
        <f t="shared" si="770"/>
        <v>82.4</v>
      </c>
      <c r="AL380" s="384">
        <f t="shared" si="770"/>
        <v>70.099999999999994</v>
      </c>
      <c r="AM380" s="385">
        <f t="shared" si="770"/>
        <v>61.800000000000004</v>
      </c>
      <c r="AN380" s="383">
        <f t="shared" si="770"/>
        <v>67.099999999999994</v>
      </c>
      <c r="AO380" s="384">
        <f t="shared" si="770"/>
        <v>72.3</v>
      </c>
      <c r="AP380" s="384">
        <f t="shared" si="770"/>
        <v>68.3</v>
      </c>
      <c r="AQ380" s="385">
        <f t="shared" si="770"/>
        <v>51.699999999999996</v>
      </c>
      <c r="AR380" s="383">
        <f t="shared" si="770"/>
        <v>39.4</v>
      </c>
      <c r="AS380" s="384">
        <f t="shared" si="770"/>
        <v>64.5</v>
      </c>
      <c r="AT380" s="384">
        <f>AT346+AT329+AT312</f>
        <v>82.3</v>
      </c>
      <c r="AU380" s="384">
        <f>AU346+AU329+AU312</f>
        <v>86.3</v>
      </c>
      <c r="AV380" s="383">
        <f>AV346+AV329+AV312</f>
        <v>89.3</v>
      </c>
      <c r="AW380" s="384">
        <f>AW346+AW329+AW312</f>
        <v>97.1</v>
      </c>
      <c r="AX380" s="384"/>
      <c r="AY380" s="385"/>
      <c r="AZ380" s="383"/>
      <c r="BA380" s="384"/>
      <c r="BB380" s="384"/>
      <c r="BC380" s="385"/>
      <c r="BD380" s="383"/>
      <c r="BE380" s="384"/>
      <c r="BF380" s="384"/>
      <c r="BG380" s="385"/>
      <c r="BH380" s="383"/>
      <c r="BI380" s="384"/>
      <c r="BJ380" s="384"/>
      <c r="BK380" s="385"/>
      <c r="BL380" s="383"/>
      <c r="BM380" s="384"/>
      <c r="BN380" s="384"/>
      <c r="BO380" s="385"/>
      <c r="BP380" s="383"/>
      <c r="BQ380" s="384"/>
      <c r="BR380" s="384"/>
      <c r="BS380" s="385"/>
      <c r="BT380" s="383"/>
      <c r="BU380" s="384"/>
      <c r="BV380" s="384"/>
      <c r="BW380" s="385"/>
      <c r="BX380" s="772"/>
      <c r="BY380" s="288"/>
      <c r="BZ380" s="392"/>
      <c r="CA380" s="384"/>
      <c r="CB380" s="384"/>
      <c r="CC380" s="384"/>
      <c r="CD380" s="384">
        <f>CD346+CD329+CD312</f>
        <v>308.39999999999998</v>
      </c>
      <c r="CE380" s="384">
        <f>CE346+CE329+CE312</f>
        <v>226.8</v>
      </c>
      <c r="CF380" s="384">
        <f>CF346+CF329+CF312</f>
        <v>498.1</v>
      </c>
      <c r="CG380" s="384">
        <f>SUM(AJ380:AM380)</f>
        <v>286</v>
      </c>
      <c r="CH380" s="384">
        <f>SUM(AN380:AQ380)</f>
        <v>259.39999999999998</v>
      </c>
      <c r="CI380" s="325">
        <f>SUM(AR380:AU380)</f>
        <v>272.5</v>
      </c>
      <c r="CJ380" s="384"/>
      <c r="CK380" s="384"/>
      <c r="CL380" s="384"/>
      <c r="CM380" s="384"/>
      <c r="CN380" s="384"/>
      <c r="CO380" s="384"/>
      <c r="CP380" s="385"/>
    </row>
    <row r="381" spans="1:94" ht="14.25" hidden="1" customHeight="1" outlineLevel="2">
      <c r="A381" s="402"/>
      <c r="B381" s="301" t="s">
        <v>203</v>
      </c>
      <c r="C381" s="483"/>
      <c r="D381" s="497"/>
      <c r="E381" s="497"/>
      <c r="F381" s="497"/>
      <c r="G381" s="483"/>
      <c r="H381" s="497"/>
      <c r="I381" s="497"/>
      <c r="J381" s="497"/>
      <c r="K381" s="483"/>
      <c r="L381" s="675"/>
      <c r="M381" s="675"/>
      <c r="N381" s="675"/>
      <c r="O381" s="676"/>
      <c r="P381" s="677"/>
      <c r="Q381" s="675"/>
      <c r="R381" s="675"/>
      <c r="S381" s="676"/>
      <c r="T381" s="677"/>
      <c r="U381" s="675"/>
      <c r="V381" s="675"/>
      <c r="W381" s="676"/>
      <c r="X381" s="677"/>
      <c r="Y381" s="675"/>
      <c r="Z381" s="675"/>
      <c r="AA381" s="676"/>
      <c r="AB381" s="677"/>
      <c r="AC381" s="675"/>
      <c r="AD381" s="675"/>
      <c r="AE381" s="676"/>
      <c r="AF381" s="675"/>
      <c r="AG381" s="675"/>
      <c r="AH381" s="675"/>
      <c r="AI381" s="676"/>
      <c r="AJ381" s="675"/>
      <c r="AK381" s="675"/>
      <c r="AL381" s="675"/>
      <c r="AM381" s="676"/>
      <c r="AN381" s="675"/>
      <c r="AO381" s="675"/>
      <c r="AP381" s="675"/>
      <c r="AQ381" s="676"/>
      <c r="AR381" s="675"/>
      <c r="AS381" s="675"/>
      <c r="AT381" s="675"/>
      <c r="AU381" s="676"/>
      <c r="AV381" s="675"/>
      <c r="AW381" s="675"/>
      <c r="AX381" s="675"/>
      <c r="AY381" s="676"/>
      <c r="AZ381" s="675"/>
      <c r="BA381" s="675"/>
      <c r="BB381" s="675"/>
      <c r="BC381" s="676"/>
      <c r="BD381" s="675"/>
      <c r="BE381" s="675"/>
      <c r="BF381" s="675"/>
      <c r="BG381" s="676"/>
      <c r="BH381" s="675"/>
      <c r="BI381" s="675"/>
      <c r="BJ381" s="675"/>
      <c r="BK381" s="676"/>
      <c r="BL381" s="675"/>
      <c r="BM381" s="675"/>
      <c r="BN381" s="675"/>
      <c r="BO381" s="676"/>
      <c r="BP381" s="675"/>
      <c r="BQ381" s="675"/>
      <c r="BR381" s="675"/>
      <c r="BS381" s="676"/>
      <c r="BT381" s="675"/>
      <c r="BU381" s="675"/>
      <c r="BV381" s="675"/>
      <c r="BW381" s="676"/>
      <c r="BX381" s="403"/>
      <c r="BY381" s="301"/>
      <c r="BZ381" s="497"/>
      <c r="CA381" s="675"/>
      <c r="CB381" s="675"/>
      <c r="CC381" s="675"/>
      <c r="CD381" s="675"/>
      <c r="CE381" s="675"/>
      <c r="CF381" s="675"/>
      <c r="CG381" s="675"/>
      <c r="CH381" s="675"/>
      <c r="CI381" s="325">
        <f t="shared" ref="CI381:CI386" si="771">SUM(AR381:AU381)</f>
        <v>0</v>
      </c>
      <c r="CJ381" s="675"/>
      <c r="CK381" s="675"/>
      <c r="CL381" s="675"/>
      <c r="CM381" s="675"/>
      <c r="CN381" s="675"/>
      <c r="CO381" s="675"/>
      <c r="CP381" s="676"/>
    </row>
    <row r="382" spans="1:94" ht="14.25" hidden="1" customHeight="1" outlineLevel="2">
      <c r="A382" s="247"/>
      <c r="B382" s="288" t="s">
        <v>207</v>
      </c>
      <c r="C382" s="396"/>
      <c r="D382" s="392"/>
      <c r="E382" s="392"/>
      <c r="F382" s="392"/>
      <c r="G382" s="396"/>
      <c r="H382" s="392"/>
      <c r="I382" s="392"/>
      <c r="J382" s="392"/>
      <c r="K382" s="396"/>
      <c r="L382" s="384"/>
      <c r="M382" s="384"/>
      <c r="N382" s="384"/>
      <c r="O382" s="385"/>
      <c r="P382" s="383"/>
      <c r="Q382" s="384"/>
      <c r="R382" s="384"/>
      <c r="S382" s="385"/>
      <c r="T382" s="383"/>
      <c r="U382" s="384"/>
      <c r="V382" s="384"/>
      <c r="W382" s="385"/>
      <c r="X382" s="383"/>
      <c r="Y382" s="384"/>
      <c r="Z382" s="384"/>
      <c r="AA382" s="385"/>
      <c r="AB382" s="383"/>
      <c r="AC382" s="384"/>
      <c r="AD382" s="384"/>
      <c r="AE382" s="385"/>
      <c r="AF382" s="384"/>
      <c r="AG382" s="384"/>
      <c r="AH382" s="384"/>
      <c r="AI382" s="385"/>
      <c r="AJ382" s="781">
        <v>-12.4</v>
      </c>
      <c r="AK382" s="781">
        <v>-5.0999999999999996</v>
      </c>
      <c r="AL382" s="781">
        <v>-65.400000000000006</v>
      </c>
      <c r="AM382" s="782">
        <f>-102.7-SUM(AJ382:AL382)</f>
        <v>-19.799999999999997</v>
      </c>
      <c r="AN382" s="781">
        <v>-11.5</v>
      </c>
      <c r="AO382" s="781">
        <v>-34.6</v>
      </c>
      <c r="AP382" s="781">
        <v>-11.2</v>
      </c>
      <c r="AQ382" s="782">
        <f>-165.3-SUM(AN382:AP382)</f>
        <v>-108.00000000000001</v>
      </c>
      <c r="AR382" s="781">
        <v>6</v>
      </c>
      <c r="AS382" s="781">
        <v>-6.1</v>
      </c>
      <c r="AT382" s="781">
        <v>-11</v>
      </c>
      <c r="AU382" s="782">
        <f>-33.2-AT382-AS382-AR382</f>
        <v>-22.1</v>
      </c>
      <c r="AV382" s="781">
        <v>-5.8</v>
      </c>
      <c r="AW382" s="781">
        <v>-4.0999999999999996</v>
      </c>
      <c r="AX382" s="781"/>
      <c r="AY382" s="385"/>
      <c r="AZ382" s="384"/>
      <c r="BA382" s="384"/>
      <c r="BB382" s="781"/>
      <c r="BC382" s="385"/>
      <c r="BD382" s="384"/>
      <c r="BE382" s="384"/>
      <c r="BF382" s="384"/>
      <c r="BG382" s="385"/>
      <c r="BH382" s="384"/>
      <c r="BI382" s="384"/>
      <c r="BJ382" s="384"/>
      <c r="BK382" s="385"/>
      <c r="BL382" s="384"/>
      <c r="BM382" s="384"/>
      <c r="BN382" s="384"/>
      <c r="BO382" s="385"/>
      <c r="BP382" s="384"/>
      <c r="BQ382" s="384"/>
      <c r="BR382" s="384"/>
      <c r="BS382" s="385"/>
      <c r="BT382" s="384"/>
      <c r="BU382" s="384"/>
      <c r="BV382" s="384"/>
      <c r="BW382" s="385"/>
      <c r="BX382" s="772"/>
      <c r="BY382" s="288"/>
      <c r="BZ382" s="392"/>
      <c r="CA382" s="384"/>
      <c r="CB382" s="384"/>
      <c r="CC382" s="384"/>
      <c r="CD382" s="781">
        <v>-26.2</v>
      </c>
      <c r="CE382" s="781">
        <v>-24.9</v>
      </c>
      <c r="CF382" s="781">
        <v>-10.5</v>
      </c>
      <c r="CG382" s="384">
        <f>SUM(AJ382:AM382)</f>
        <v>-102.7</v>
      </c>
      <c r="CH382" s="384">
        <f>SUM(AN382:AQ382)</f>
        <v>-165.3</v>
      </c>
      <c r="CI382" s="384">
        <f t="shared" si="771"/>
        <v>-33.200000000000003</v>
      </c>
      <c r="CJ382" s="384"/>
      <c r="CK382" s="384"/>
      <c r="CL382" s="384"/>
      <c r="CM382" s="384"/>
      <c r="CN382" s="384"/>
      <c r="CO382" s="384"/>
      <c r="CP382" s="385"/>
    </row>
    <row r="383" spans="1:94" ht="14.25" hidden="1" customHeight="1" outlineLevel="2">
      <c r="A383" s="247"/>
      <c r="B383" s="288" t="s">
        <v>208</v>
      </c>
      <c r="C383" s="396"/>
      <c r="D383" s="392"/>
      <c r="E383" s="392"/>
      <c r="F383" s="392"/>
      <c r="G383" s="396"/>
      <c r="H383" s="392"/>
      <c r="I383" s="392"/>
      <c r="J383" s="392"/>
      <c r="K383" s="396"/>
      <c r="L383" s="384"/>
      <c r="M383" s="384"/>
      <c r="N383" s="384"/>
      <c r="O383" s="385"/>
      <c r="P383" s="383"/>
      <c r="Q383" s="384"/>
      <c r="R383" s="384"/>
      <c r="S383" s="385"/>
      <c r="T383" s="383"/>
      <c r="U383" s="384"/>
      <c r="V383" s="384"/>
      <c r="W383" s="385"/>
      <c r="X383" s="383"/>
      <c r="Y383" s="384"/>
      <c r="Z383" s="384"/>
      <c r="AA383" s="385"/>
      <c r="AB383" s="383"/>
      <c r="AC383" s="384"/>
      <c r="AD383" s="384"/>
      <c r="AE383" s="385"/>
      <c r="AF383" s="384"/>
      <c r="AG383" s="384"/>
      <c r="AH383" s="384"/>
      <c r="AI383" s="385"/>
      <c r="AJ383" s="781">
        <v>0</v>
      </c>
      <c r="AK383" s="781">
        <v>0</v>
      </c>
      <c r="AL383" s="781">
        <v>0</v>
      </c>
      <c r="AM383" s="782">
        <f>0-SUM(AJ383:AL383)</f>
        <v>0</v>
      </c>
      <c r="AN383" s="781">
        <v>0</v>
      </c>
      <c r="AO383" s="781">
        <v>0</v>
      </c>
      <c r="AP383" s="781">
        <v>0</v>
      </c>
      <c r="AQ383" s="782">
        <f>-49.5-SUM(AN383:AP383)</f>
        <v>-49.5</v>
      </c>
      <c r="AR383" s="781">
        <v>0</v>
      </c>
      <c r="AS383" s="781">
        <v>0</v>
      </c>
      <c r="AT383" s="781">
        <v>0</v>
      </c>
      <c r="AU383" s="1067">
        <v>0</v>
      </c>
      <c r="AV383" s="781">
        <v>-6.5</v>
      </c>
      <c r="AW383" s="781">
        <v>0</v>
      </c>
      <c r="AX383" s="781"/>
      <c r="AY383" s="385"/>
      <c r="AZ383" s="384"/>
      <c r="BA383" s="384"/>
      <c r="BB383" s="781"/>
      <c r="BC383" s="385"/>
      <c r="BD383" s="384"/>
      <c r="BE383" s="384"/>
      <c r="BF383" s="384"/>
      <c r="BG383" s="385"/>
      <c r="BH383" s="384"/>
      <c r="BI383" s="384"/>
      <c r="BJ383" s="384"/>
      <c r="BK383" s="385"/>
      <c r="BL383" s="384"/>
      <c r="BM383" s="384"/>
      <c r="BN383" s="384"/>
      <c r="BO383" s="385"/>
      <c r="BP383" s="384"/>
      <c r="BQ383" s="384"/>
      <c r="BR383" s="384"/>
      <c r="BS383" s="385"/>
      <c r="BT383" s="384"/>
      <c r="BU383" s="384"/>
      <c r="BV383" s="384"/>
      <c r="BW383" s="385"/>
      <c r="BX383" s="772"/>
      <c r="BY383" s="288"/>
      <c r="BZ383" s="392"/>
      <c r="CA383" s="384"/>
      <c r="CB383" s="384"/>
      <c r="CC383" s="384"/>
      <c r="CD383" s="781">
        <v>-544.5</v>
      </c>
      <c r="CE383" s="781">
        <v>0</v>
      </c>
      <c r="CF383" s="781">
        <v>-16.100000000000001</v>
      </c>
      <c r="CG383" s="384">
        <f>SUM(AJ383:AM383)</f>
        <v>0</v>
      </c>
      <c r="CH383" s="384">
        <f>SUM(AN383:AQ383)</f>
        <v>-49.5</v>
      </c>
      <c r="CI383" s="384">
        <f t="shared" si="771"/>
        <v>0</v>
      </c>
      <c r="CJ383" s="384"/>
      <c r="CK383" s="384"/>
      <c r="CL383" s="384"/>
      <c r="CM383" s="384"/>
      <c r="CN383" s="384"/>
      <c r="CO383" s="384"/>
      <c r="CP383" s="385"/>
    </row>
    <row r="384" spans="1:94" ht="14.25" hidden="1" customHeight="1" outlineLevel="2">
      <c r="A384" s="247"/>
      <c r="B384" s="288" t="s">
        <v>204</v>
      </c>
      <c r="C384" s="396"/>
      <c r="D384" s="392"/>
      <c r="E384" s="392"/>
      <c r="F384" s="392"/>
      <c r="G384" s="396"/>
      <c r="H384" s="392"/>
      <c r="I384" s="392"/>
      <c r="J384" s="392"/>
      <c r="K384" s="396"/>
      <c r="L384" s="384"/>
      <c r="M384" s="384"/>
      <c r="N384" s="384"/>
      <c r="O384" s="385"/>
      <c r="P384" s="383"/>
      <c r="Q384" s="384"/>
      <c r="R384" s="384"/>
      <c r="S384" s="385"/>
      <c r="T384" s="383"/>
      <c r="U384" s="384"/>
      <c r="V384" s="384"/>
      <c r="W384" s="385"/>
      <c r="X384" s="383"/>
      <c r="Y384" s="384"/>
      <c r="Z384" s="384"/>
      <c r="AA384" s="385"/>
      <c r="AB384" s="383"/>
      <c r="AC384" s="384"/>
      <c r="AD384" s="384"/>
      <c r="AE384" s="385"/>
      <c r="AF384" s="384"/>
      <c r="AG384" s="384"/>
      <c r="AH384" s="384"/>
      <c r="AI384" s="385"/>
      <c r="AJ384" s="781">
        <v>-16.2</v>
      </c>
      <c r="AK384" s="781">
        <v>-18.100000000000001</v>
      </c>
      <c r="AL384" s="781">
        <v>-10.4</v>
      </c>
      <c r="AM384" s="782">
        <f>-55-SUM(AJ384:AL384)</f>
        <v>-10.300000000000004</v>
      </c>
      <c r="AN384" s="781">
        <v>-12</v>
      </c>
      <c r="AO384" s="781">
        <v>-9.8000000000000007</v>
      </c>
      <c r="AP384" s="781">
        <v>-12.6</v>
      </c>
      <c r="AQ384" s="782">
        <f>-51.3-SUM(AN384:AP384)</f>
        <v>-16.899999999999999</v>
      </c>
      <c r="AR384" s="781">
        <v>-5.5</v>
      </c>
      <c r="AS384" s="781">
        <v>-5.0999999999999996</v>
      </c>
      <c r="AT384" s="781">
        <v>0.3</v>
      </c>
      <c r="AU384" s="782">
        <f>-11.3-AT384-AS384-AR384</f>
        <v>-1.0000000000000018</v>
      </c>
      <c r="AV384" s="781">
        <v>-3.7</v>
      </c>
      <c r="AW384" s="781">
        <v>-5.0999999999999996</v>
      </c>
      <c r="AX384" s="781"/>
      <c r="AY384" s="385"/>
      <c r="AZ384" s="384"/>
      <c r="BA384" s="384"/>
      <c r="BB384" s="781"/>
      <c r="BC384" s="385"/>
      <c r="BD384" s="384"/>
      <c r="BE384" s="384"/>
      <c r="BF384" s="384"/>
      <c r="BG384" s="385"/>
      <c r="BH384" s="384"/>
      <c r="BI384" s="384"/>
      <c r="BJ384" s="384"/>
      <c r="BK384" s="385"/>
      <c r="BL384" s="384"/>
      <c r="BM384" s="384"/>
      <c r="BN384" s="384"/>
      <c r="BO384" s="385"/>
      <c r="BP384" s="384"/>
      <c r="BQ384" s="384"/>
      <c r="BR384" s="384"/>
      <c r="BS384" s="385"/>
      <c r="BT384" s="384"/>
      <c r="BU384" s="384"/>
      <c r="BV384" s="384"/>
      <c r="BW384" s="385"/>
      <c r="BX384" s="772"/>
      <c r="BY384" s="288"/>
      <c r="BZ384" s="392"/>
      <c r="CA384" s="384"/>
      <c r="CB384" s="384"/>
      <c r="CC384" s="384"/>
      <c r="CD384" s="781">
        <v>-43.7</v>
      </c>
      <c r="CE384" s="781">
        <v>-35.200000000000003</v>
      </c>
      <c r="CF384" s="781">
        <v>-55.8</v>
      </c>
      <c r="CG384" s="384">
        <f>SUM(AJ384:AM384)</f>
        <v>-55</v>
      </c>
      <c r="CH384" s="384">
        <f>SUM(AN384:AQ384)</f>
        <v>-51.3</v>
      </c>
      <c r="CI384" s="384">
        <f t="shared" si="771"/>
        <v>-11.3</v>
      </c>
      <c r="CJ384" s="384"/>
      <c r="CK384" s="384"/>
      <c r="CL384" s="384"/>
      <c r="CM384" s="384"/>
      <c r="CN384" s="384"/>
      <c r="CO384" s="384"/>
      <c r="CP384" s="385"/>
    </row>
    <row r="385" spans="1:94" ht="14.25" hidden="1" customHeight="1" outlineLevel="2">
      <c r="A385" s="247"/>
      <c r="B385" s="288" t="s">
        <v>209</v>
      </c>
      <c r="C385" s="396"/>
      <c r="D385" s="392"/>
      <c r="E385" s="392"/>
      <c r="F385" s="392"/>
      <c r="G385" s="396"/>
      <c r="H385" s="392"/>
      <c r="I385" s="392"/>
      <c r="J385" s="392"/>
      <c r="K385" s="396"/>
      <c r="L385" s="384"/>
      <c r="M385" s="384"/>
      <c r="N385" s="384"/>
      <c r="O385" s="385"/>
      <c r="P385" s="383"/>
      <c r="Q385" s="384"/>
      <c r="R385" s="384"/>
      <c r="S385" s="385"/>
      <c r="T385" s="383"/>
      <c r="U385" s="384"/>
      <c r="V385" s="384"/>
      <c r="W385" s="385"/>
      <c r="X385" s="383"/>
      <c r="Y385" s="384"/>
      <c r="Z385" s="384"/>
      <c r="AA385" s="385"/>
      <c r="AB385" s="383"/>
      <c r="AC385" s="384"/>
      <c r="AD385" s="384"/>
      <c r="AE385" s="385"/>
      <c r="AF385" s="384"/>
      <c r="AG385" s="384"/>
      <c r="AH385" s="384"/>
      <c r="AI385" s="385"/>
      <c r="AJ385" s="781">
        <v>-10.4</v>
      </c>
      <c r="AK385" s="781">
        <v>-2.2999999999999998</v>
      </c>
      <c r="AL385" s="781">
        <v>-1</v>
      </c>
      <c r="AM385" s="782">
        <f>-14.9-SUM(AJ385:AL385)</f>
        <v>-1.2000000000000011</v>
      </c>
      <c r="AN385" s="781">
        <v>0</v>
      </c>
      <c r="AO385" s="781">
        <v>-1</v>
      </c>
      <c r="AP385" s="781">
        <v>0.1</v>
      </c>
      <c r="AQ385" s="782">
        <f>-9.6-SUM(AN385:AP385)</f>
        <v>-8.6999999999999993</v>
      </c>
      <c r="AR385" s="781">
        <v>-2.2000000000000002</v>
      </c>
      <c r="AS385" s="781">
        <v>-2.4</v>
      </c>
      <c r="AT385" s="781">
        <v>-4.3</v>
      </c>
      <c r="AU385" s="782">
        <f>-9.8-AT385-AS385-AR385</f>
        <v>-0.9000000000000008</v>
      </c>
      <c r="AV385" s="781">
        <v>0</v>
      </c>
      <c r="AW385" s="781">
        <v>-6.2</v>
      </c>
      <c r="AX385" s="781"/>
      <c r="AY385" s="385"/>
      <c r="AZ385" s="384"/>
      <c r="BA385" s="384"/>
      <c r="BB385" s="781"/>
      <c r="BC385" s="385"/>
      <c r="BD385" s="384"/>
      <c r="BE385" s="384"/>
      <c r="BF385" s="384"/>
      <c r="BG385" s="385"/>
      <c r="BH385" s="384"/>
      <c r="BI385" s="384"/>
      <c r="BJ385" s="384"/>
      <c r="BK385" s="385"/>
      <c r="BL385" s="384"/>
      <c r="BM385" s="384"/>
      <c r="BN385" s="384"/>
      <c r="BO385" s="385"/>
      <c r="BP385" s="384"/>
      <c r="BQ385" s="384"/>
      <c r="BR385" s="384"/>
      <c r="BS385" s="385"/>
      <c r="BT385" s="384"/>
      <c r="BU385" s="384"/>
      <c r="BV385" s="384"/>
      <c r="BW385" s="385"/>
      <c r="BX385" s="772"/>
      <c r="BY385" s="288"/>
      <c r="BZ385" s="392"/>
      <c r="CA385" s="384"/>
      <c r="CB385" s="384"/>
      <c r="CC385" s="384"/>
      <c r="CD385" s="781">
        <v>-59.9</v>
      </c>
      <c r="CE385" s="781">
        <v>-24.1</v>
      </c>
      <c r="CF385" s="781">
        <v>-41.5</v>
      </c>
      <c r="CG385" s="384">
        <f>SUM(AJ385:AM385)</f>
        <v>-14.9</v>
      </c>
      <c r="CH385" s="384">
        <f>SUM(AN385:AQ385)</f>
        <v>-9.6</v>
      </c>
      <c r="CI385" s="384">
        <f>SUM(AR385:AU385)</f>
        <v>-9.7999999999999989</v>
      </c>
      <c r="CJ385" s="384"/>
      <c r="CK385" s="384"/>
      <c r="CL385" s="384"/>
      <c r="CM385" s="384"/>
      <c r="CN385" s="384"/>
      <c r="CO385" s="384"/>
      <c r="CP385" s="385"/>
    </row>
    <row r="386" spans="1:94" ht="14.25" hidden="1" customHeight="1" outlineLevel="2">
      <c r="A386" s="91"/>
      <c r="B386" s="286" t="s">
        <v>210</v>
      </c>
      <c r="C386" s="287"/>
      <c r="D386" s="284"/>
      <c r="E386" s="284"/>
      <c r="F386" s="284"/>
      <c r="G386" s="287"/>
      <c r="H386" s="284"/>
      <c r="I386" s="284"/>
      <c r="J386" s="284"/>
      <c r="K386" s="287"/>
      <c r="L386" s="325"/>
      <c r="M386" s="325"/>
      <c r="N386" s="325"/>
      <c r="O386" s="326"/>
      <c r="P386" s="334"/>
      <c r="Q386" s="325"/>
      <c r="R386" s="325"/>
      <c r="S386" s="326"/>
      <c r="T386" s="334"/>
      <c r="U386" s="325"/>
      <c r="V386" s="325"/>
      <c r="W386" s="326"/>
      <c r="X386" s="334"/>
      <c r="Y386" s="325"/>
      <c r="Z386" s="325"/>
      <c r="AA386" s="326"/>
      <c r="AB386" s="334"/>
      <c r="AC386" s="325"/>
      <c r="AD386" s="325"/>
      <c r="AE386" s="326"/>
      <c r="AF386" s="325"/>
      <c r="AG386" s="325"/>
      <c r="AH386" s="325"/>
      <c r="AI386" s="326"/>
      <c r="AJ386" s="325">
        <f t="shared" ref="AJ386:AV386" si="772">AJ380+SUM(AJ382:AJ385)</f>
        <v>32.700000000000003</v>
      </c>
      <c r="AK386" s="325">
        <f t="shared" si="772"/>
        <v>56.900000000000006</v>
      </c>
      <c r="AL386" s="325">
        <f t="shared" si="772"/>
        <v>-6.7000000000000171</v>
      </c>
      <c r="AM386" s="326">
        <f t="shared" si="772"/>
        <v>30.5</v>
      </c>
      <c r="AN386" s="325">
        <f t="shared" si="772"/>
        <v>43.599999999999994</v>
      </c>
      <c r="AO386" s="325">
        <f t="shared" si="772"/>
        <v>26.899999999999991</v>
      </c>
      <c r="AP386" s="325">
        <f t="shared" si="772"/>
        <v>44.6</v>
      </c>
      <c r="AQ386" s="326">
        <f t="shared" si="772"/>
        <v>-131.4</v>
      </c>
      <c r="AR386" s="325">
        <f t="shared" si="772"/>
        <v>37.699999999999996</v>
      </c>
      <c r="AS386" s="325">
        <f t="shared" si="772"/>
        <v>50.9</v>
      </c>
      <c r="AT386" s="325">
        <f t="shared" si="772"/>
        <v>67.3</v>
      </c>
      <c r="AU386" s="326">
        <f>AU380+SUM(AU382:AU385)</f>
        <v>62.3</v>
      </c>
      <c r="AV386" s="325">
        <f t="shared" si="772"/>
        <v>73.3</v>
      </c>
      <c r="AW386" s="325">
        <f>AW380+SUM(AW382:AW385)</f>
        <v>81.699999999999989</v>
      </c>
      <c r="AX386" s="325"/>
      <c r="AY386" s="326"/>
      <c r="AZ386" s="325"/>
      <c r="BA386" s="325"/>
      <c r="BB386" s="325"/>
      <c r="BC386" s="326"/>
      <c r="BD386" s="325"/>
      <c r="BE386" s="325"/>
      <c r="BF386" s="325"/>
      <c r="BG386" s="326"/>
      <c r="BH386" s="325"/>
      <c r="BI386" s="325"/>
      <c r="BJ386" s="325"/>
      <c r="BK386" s="326"/>
      <c r="BL386" s="325"/>
      <c r="BM386" s="325"/>
      <c r="BN386" s="325"/>
      <c r="BO386" s="326"/>
      <c r="BP386" s="325"/>
      <c r="BQ386" s="325"/>
      <c r="BR386" s="325"/>
      <c r="BS386" s="326"/>
      <c r="BT386" s="325"/>
      <c r="BU386" s="325"/>
      <c r="BV386" s="325"/>
      <c r="BW386" s="326"/>
      <c r="BX386" s="283"/>
      <c r="BY386" s="286"/>
      <c r="BZ386" s="284"/>
      <c r="CA386" s="325"/>
      <c r="CB386" s="325"/>
      <c r="CC386" s="325"/>
      <c r="CD386" s="325">
        <f>CD380+SUM(CD382:CD385)</f>
        <v>-365.90000000000009</v>
      </c>
      <c r="CE386" s="325">
        <f>CE380+SUM(CE382:CE385)</f>
        <v>142.60000000000002</v>
      </c>
      <c r="CF386" s="325">
        <f>CF380+SUM(CF382:CF385)</f>
        <v>374.20000000000005</v>
      </c>
      <c r="CG386" s="325">
        <f>CG380+SUM(CG382:CG385)</f>
        <v>113.4</v>
      </c>
      <c r="CH386" s="325">
        <f>CH380+SUM(CH382:CH385)</f>
        <v>-16.300000000000068</v>
      </c>
      <c r="CI386" s="325">
        <f t="shared" si="771"/>
        <v>218.2</v>
      </c>
      <c r="CJ386" s="325"/>
      <c r="CK386" s="325"/>
      <c r="CL386" s="325"/>
      <c r="CM386" s="325"/>
      <c r="CN386" s="325"/>
      <c r="CO386" s="325"/>
      <c r="CP386" s="326"/>
    </row>
    <row r="387" spans="1:94" ht="14.25" hidden="1" customHeight="1" outlineLevel="2">
      <c r="A387" s="9"/>
      <c r="B387" s="288" t="s">
        <v>358</v>
      </c>
      <c r="C387" s="277"/>
      <c r="D387" s="251"/>
      <c r="E387" s="251"/>
      <c r="F387" s="251"/>
      <c r="G387" s="277"/>
      <c r="H387" s="251"/>
      <c r="I387" s="251"/>
      <c r="J387" s="251"/>
      <c r="K387" s="277"/>
      <c r="L387" s="289"/>
      <c r="M387" s="289"/>
      <c r="N387" s="289"/>
      <c r="O387" s="290"/>
      <c r="P387" s="323"/>
      <c r="Q387" s="289"/>
      <c r="R387" s="289"/>
      <c r="S387" s="290"/>
      <c r="T387" s="323"/>
      <c r="U387" s="289"/>
      <c r="V387" s="289"/>
      <c r="W387" s="290"/>
      <c r="X387" s="323"/>
      <c r="Y387" s="289"/>
      <c r="Z387" s="289"/>
      <c r="AA387" s="290"/>
      <c r="AB387" s="323"/>
      <c r="AC387" s="289"/>
      <c r="AD387" s="289"/>
      <c r="AE387" s="290"/>
      <c r="AF387" s="289"/>
      <c r="AG387" s="289"/>
      <c r="AH387" s="289"/>
      <c r="AI387" s="290"/>
      <c r="AJ387" s="289">
        <f t="shared" ref="AJ387:AQ387" si="773">AJ380/AJ368</f>
        <v>8.2356995175740869E-2</v>
      </c>
      <c r="AK387" s="338">
        <f t="shared" si="773"/>
        <v>9.0979352986640172E-2</v>
      </c>
      <c r="AL387" s="289">
        <f t="shared" si="773"/>
        <v>7.8062360801781722E-2</v>
      </c>
      <c r="AM387" s="290">
        <f t="shared" si="773"/>
        <v>8.0468750000000006E-2</v>
      </c>
      <c r="AN387" s="289">
        <f t="shared" si="773"/>
        <v>9.0139709833422885E-2</v>
      </c>
      <c r="AO387" s="289">
        <f t="shared" si="773"/>
        <v>9.707303974221268E-2</v>
      </c>
      <c r="AP387" s="289">
        <f t="shared" si="773"/>
        <v>9.4141971054445203E-2</v>
      </c>
      <c r="AQ387" s="290">
        <f t="shared" si="773"/>
        <v>7.6007056748015278E-2</v>
      </c>
      <c r="AR387" s="289">
        <f t="shared" ref="AR387:AW387" si="774">AR380/AR368</f>
        <v>5.9606656580937972E-2</v>
      </c>
      <c r="AS387" s="289">
        <f t="shared" si="774"/>
        <v>9.3709138457068145E-2</v>
      </c>
      <c r="AT387" s="289">
        <f t="shared" si="774"/>
        <v>0.11504053676265025</v>
      </c>
      <c r="AU387" s="290">
        <f t="shared" si="774"/>
        <v>0.12019498607242339</v>
      </c>
      <c r="AV387" s="289">
        <f t="shared" si="774"/>
        <v>0.12639773531493276</v>
      </c>
      <c r="AW387" s="289">
        <f t="shared" si="774"/>
        <v>0.12816789862724393</v>
      </c>
      <c r="AX387" s="289"/>
      <c r="AY387" s="290"/>
      <c r="AZ387" s="289"/>
      <c r="BA387" s="289"/>
      <c r="BB387" s="289"/>
      <c r="BC387" s="290"/>
      <c r="BD387" s="289"/>
      <c r="BE387" s="289"/>
      <c r="BF387" s="289"/>
      <c r="BG387" s="290"/>
      <c r="BH387" s="289"/>
      <c r="BI387" s="289"/>
      <c r="BJ387" s="289"/>
      <c r="BK387" s="290"/>
      <c r="BL387" s="289"/>
      <c r="BM387" s="289"/>
      <c r="BN387" s="289"/>
      <c r="BO387" s="290"/>
      <c r="BP387" s="289"/>
      <c r="BQ387" s="289"/>
      <c r="BR387" s="289"/>
      <c r="BS387" s="290"/>
      <c r="BT387" s="289"/>
      <c r="BU387" s="289"/>
      <c r="BV387" s="289"/>
      <c r="BW387" s="290"/>
      <c r="BX387" s="263"/>
      <c r="BY387" s="235"/>
      <c r="BZ387" s="251"/>
      <c r="CA387" s="338"/>
      <c r="CB387" s="338"/>
      <c r="CC387" s="338"/>
      <c r="CD387" s="338">
        <f t="shared" ref="CD387:CI387" si="775">CD380/CD368</f>
        <v>0.1500875997664006</v>
      </c>
      <c r="CE387" s="338">
        <f t="shared" si="775"/>
        <v>0.12821527502967947</v>
      </c>
      <c r="CF387" s="289">
        <f t="shared" si="775"/>
        <v>0.21531079795971297</v>
      </c>
      <c r="CG387" s="338">
        <f t="shared" si="775"/>
        <v>8.3083984545216857E-2</v>
      </c>
      <c r="CH387" s="338">
        <f t="shared" si="775"/>
        <v>8.9605858578880107E-2</v>
      </c>
      <c r="CI387" s="289">
        <f t="shared" si="775"/>
        <v>9.7926474287562446E-2</v>
      </c>
      <c r="CJ387" s="338"/>
      <c r="CK387" s="338"/>
      <c r="CL387" s="338"/>
      <c r="CM387" s="338"/>
      <c r="CN387" s="338"/>
      <c r="CO387" s="338"/>
      <c r="CP387" s="337"/>
    </row>
    <row r="388" spans="1:94" ht="14.25" hidden="1" customHeight="1" outlineLevel="2">
      <c r="A388" s="9"/>
      <c r="B388" s="217" t="s">
        <v>297</v>
      </c>
      <c r="C388" s="218"/>
      <c r="D388" s="372"/>
      <c r="E388" s="372"/>
      <c r="F388" s="372"/>
      <c r="G388" s="218"/>
      <c r="H388" s="372"/>
      <c r="I388" s="372"/>
      <c r="J388" s="372"/>
      <c r="K388" s="218"/>
      <c r="L388" s="220"/>
      <c r="M388" s="220"/>
      <c r="N388" s="220"/>
      <c r="O388" s="258"/>
      <c r="P388" s="220"/>
      <c r="Q388" s="220"/>
      <c r="R388" s="220"/>
      <c r="S388" s="258"/>
      <c r="T388" s="220"/>
      <c r="U388" s="220"/>
      <c r="V388" s="220"/>
      <c r="W388" s="258"/>
      <c r="X388" s="220"/>
      <c r="Y388" s="220"/>
      <c r="Z388" s="220"/>
      <c r="AA388" s="258"/>
      <c r="AB388" s="220"/>
      <c r="AC388" s="220"/>
      <c r="AD388" s="220"/>
      <c r="AE388" s="258"/>
      <c r="AF388" s="220"/>
      <c r="AG388" s="220"/>
      <c r="AH388" s="220"/>
      <c r="AI388" s="258"/>
      <c r="AJ388" s="425"/>
      <c r="AK388" s="220">
        <f t="shared" ref="AK388:AW388" si="776">AK380/AJ380-1</f>
        <v>0.1492329149232916</v>
      </c>
      <c r="AL388" s="220">
        <f t="shared" si="776"/>
        <v>-0.14927184466019428</v>
      </c>
      <c r="AM388" s="258">
        <f t="shared" si="776"/>
        <v>-0.11840228245363749</v>
      </c>
      <c r="AN388" s="220">
        <f t="shared" si="776"/>
        <v>8.5760517799352565E-2</v>
      </c>
      <c r="AO388" s="220">
        <f t="shared" si="776"/>
        <v>7.7496274217585759E-2</v>
      </c>
      <c r="AP388" s="220">
        <f t="shared" si="776"/>
        <v>-5.5325034578146637E-2</v>
      </c>
      <c r="AQ388" s="258">
        <f t="shared" si="776"/>
        <v>-0.24304538799414355</v>
      </c>
      <c r="AR388" s="220">
        <f t="shared" si="776"/>
        <v>-0.23791102514506768</v>
      </c>
      <c r="AS388" s="220">
        <f t="shared" si="776"/>
        <v>0.63705583756345185</v>
      </c>
      <c r="AT388" s="220">
        <f t="shared" si="776"/>
        <v>0.27596899224806193</v>
      </c>
      <c r="AU388" s="258">
        <f t="shared" si="776"/>
        <v>4.8602673147023046E-2</v>
      </c>
      <c r="AV388" s="220">
        <f t="shared" si="776"/>
        <v>3.4762456546929332E-2</v>
      </c>
      <c r="AW388" s="220">
        <f t="shared" si="776"/>
        <v>8.7346024636058228E-2</v>
      </c>
      <c r="AX388" s="220"/>
      <c r="AY388" s="258"/>
      <c r="AZ388" s="257"/>
      <c r="BA388" s="257"/>
      <c r="BB388" s="220"/>
      <c r="BC388" s="258"/>
      <c r="BD388" s="257"/>
      <c r="BE388" s="257"/>
      <c r="BF388" s="257"/>
      <c r="BG388" s="258"/>
      <c r="BH388" s="257"/>
      <c r="BI388" s="257"/>
      <c r="BJ388" s="257"/>
      <c r="BK388" s="258"/>
      <c r="BL388" s="257"/>
      <c r="BM388" s="257"/>
      <c r="BN388" s="257"/>
      <c r="BO388" s="258"/>
      <c r="BP388" s="257"/>
      <c r="BQ388" s="257"/>
      <c r="BR388" s="257"/>
      <c r="BS388" s="258"/>
      <c r="BT388" s="257"/>
      <c r="BU388" s="257"/>
      <c r="BV388" s="257"/>
      <c r="BW388" s="258"/>
      <c r="BX388" s="263"/>
      <c r="BY388" s="235"/>
      <c r="BZ388" s="251"/>
      <c r="CA388" s="15"/>
      <c r="CB388" s="15"/>
      <c r="CC388" s="15"/>
      <c r="CD388" s="15"/>
      <c r="CE388" s="15"/>
      <c r="CF388" s="220"/>
      <c r="CG388" s="220"/>
      <c r="CH388" s="220"/>
      <c r="CI388" s="220"/>
      <c r="CJ388" s="220"/>
      <c r="CK388" s="220"/>
      <c r="CL388" s="220"/>
      <c r="CM388" s="220"/>
      <c r="CN388" s="220"/>
      <c r="CO388" s="220"/>
      <c r="CP388" s="258"/>
    </row>
    <row r="389" spans="1:94" ht="14.25" hidden="1" customHeight="1" outlineLevel="2">
      <c r="A389" s="9"/>
      <c r="B389" s="32" t="s">
        <v>298</v>
      </c>
      <c r="C389" s="33"/>
      <c r="D389" s="259"/>
      <c r="E389" s="259"/>
      <c r="F389" s="259"/>
      <c r="G389" s="33"/>
      <c r="H389" s="259"/>
      <c r="I389" s="259"/>
      <c r="J389" s="259"/>
      <c r="K389" s="33"/>
      <c r="L389" s="220"/>
      <c r="M389" s="220"/>
      <c r="N389" s="220"/>
      <c r="O389" s="258"/>
      <c r="P389" s="220"/>
      <c r="Q389" s="220"/>
      <c r="R389" s="220"/>
      <c r="S389" s="258"/>
      <c r="T389" s="220"/>
      <c r="U389" s="220"/>
      <c r="V389" s="220"/>
      <c r="W389" s="258"/>
      <c r="X389" s="220"/>
      <c r="Y389" s="220"/>
      <c r="Z389" s="220"/>
      <c r="AA389" s="258"/>
      <c r="AB389" s="220"/>
      <c r="AC389" s="220"/>
      <c r="AD389" s="220"/>
      <c r="AE389" s="258"/>
      <c r="AF389" s="220"/>
      <c r="AG389" s="220"/>
      <c r="AH389" s="220"/>
      <c r="AI389" s="258"/>
      <c r="AJ389" s="425"/>
      <c r="AK389" s="418"/>
      <c r="AL389" s="418"/>
      <c r="AM389" s="419"/>
      <c r="AN389" s="220">
        <f t="shared" ref="AN389:AW389" si="777">AN380/AJ380-1</f>
        <v>-6.4156206415620809E-2</v>
      </c>
      <c r="AO389" s="220">
        <f t="shared" si="777"/>
        <v>-0.12257281553398069</v>
      </c>
      <c r="AP389" s="220">
        <f t="shared" si="777"/>
        <v>-2.5677603423680417E-2</v>
      </c>
      <c r="AQ389" s="258">
        <f t="shared" si="777"/>
        <v>-0.16343042071197422</v>
      </c>
      <c r="AR389" s="220">
        <f t="shared" si="777"/>
        <v>-0.41281669150521605</v>
      </c>
      <c r="AS389" s="220">
        <f t="shared" si="777"/>
        <v>-0.10788381742738584</v>
      </c>
      <c r="AT389" s="220">
        <f t="shared" si="777"/>
        <v>0.20497803806735004</v>
      </c>
      <c r="AU389" s="258">
        <f t="shared" si="777"/>
        <v>0.66924564796905228</v>
      </c>
      <c r="AV389" s="220">
        <f t="shared" si="777"/>
        <v>1.266497461928934</v>
      </c>
      <c r="AW389" s="220">
        <f t="shared" si="777"/>
        <v>0.50542635658914725</v>
      </c>
      <c r="AX389" s="220"/>
      <c r="AY389" s="258"/>
      <c r="AZ389" s="257"/>
      <c r="BA389" s="257"/>
      <c r="BB389" s="220"/>
      <c r="BC389" s="258"/>
      <c r="BD389" s="257"/>
      <c r="BE389" s="257"/>
      <c r="BF389" s="257"/>
      <c r="BG389" s="258"/>
      <c r="BH389" s="257"/>
      <c r="BI389" s="257"/>
      <c r="BJ389" s="257"/>
      <c r="BK389" s="258"/>
      <c r="BL389" s="257"/>
      <c r="BM389" s="257"/>
      <c r="BN389" s="257"/>
      <c r="BO389" s="258"/>
      <c r="BP389" s="257"/>
      <c r="BQ389" s="257"/>
      <c r="BR389" s="257"/>
      <c r="BS389" s="258"/>
      <c r="BT389" s="257"/>
      <c r="BU389" s="257"/>
      <c r="BV389" s="257"/>
      <c r="BW389" s="258"/>
      <c r="BX389" s="263"/>
      <c r="BY389" s="235"/>
      <c r="BZ389" s="251"/>
      <c r="CA389" s="15"/>
      <c r="CB389" s="338"/>
      <c r="CC389" s="338"/>
      <c r="CD389" s="418"/>
      <c r="CE389" s="338">
        <f>CE380/CD380-1</f>
        <v>-0.2645914396887159</v>
      </c>
      <c r="CF389" s="338">
        <f>CF380/CE380-1</f>
        <v>1.1962081128747797</v>
      </c>
      <c r="CG389" s="338">
        <f>CG380/CF380-1</f>
        <v>-0.42581810881349125</v>
      </c>
      <c r="CH389" s="338">
        <f>CH380/CG380-1</f>
        <v>-9.3006993006993111E-2</v>
      </c>
      <c r="CI389" s="220">
        <f>CI380/CE380-1</f>
        <v>0.20149911816578481</v>
      </c>
      <c r="CJ389" s="338"/>
      <c r="CK389" s="338"/>
      <c r="CL389" s="338"/>
      <c r="CM389" s="338"/>
      <c r="CN389" s="338"/>
      <c r="CO389" s="338"/>
      <c r="CP389" s="337"/>
    </row>
    <row r="390" spans="1:94" ht="14.25" hidden="1" customHeight="1" outlineLevel="2">
      <c r="A390" s="9"/>
      <c r="B390" s="32"/>
      <c r="C390" s="259"/>
      <c r="D390" s="259"/>
      <c r="E390" s="259"/>
      <c r="F390" s="259"/>
      <c r="G390" s="33"/>
      <c r="H390" s="259"/>
      <c r="I390" s="259"/>
      <c r="J390" s="259"/>
      <c r="K390" s="33"/>
      <c r="L390" s="15"/>
      <c r="M390" s="15"/>
      <c r="N390" s="15"/>
      <c r="O390" s="211"/>
      <c r="P390" s="15"/>
      <c r="Q390" s="15"/>
      <c r="R390" s="15"/>
      <c r="S390" s="211"/>
      <c r="T390" s="15"/>
      <c r="U390" s="15"/>
      <c r="V390" s="15"/>
      <c r="W390" s="211"/>
      <c r="X390" s="15"/>
      <c r="Y390" s="15"/>
      <c r="Z390" s="15"/>
      <c r="AA390" s="211"/>
      <c r="AB390" s="15"/>
      <c r="AC390" s="15"/>
      <c r="AD390" s="15"/>
      <c r="AE390" s="211"/>
      <c r="AF390" s="220"/>
      <c r="AG390" s="220"/>
      <c r="AH390" s="220"/>
      <c r="AI390" s="258"/>
      <c r="AJ390" s="220"/>
      <c r="AK390" s="220"/>
      <c r="AL390" s="220"/>
      <c r="AM390" s="258"/>
      <c r="AN390" s="220"/>
      <c r="AO390" s="220"/>
      <c r="AP390" s="257"/>
      <c r="AQ390" s="258"/>
      <c r="AR390" s="257"/>
      <c r="AS390" s="257"/>
      <c r="AT390" s="257"/>
      <c r="AU390" s="258"/>
      <c r="AV390" s="257"/>
      <c r="AW390" s="257"/>
      <c r="AX390" s="257"/>
      <c r="AY390" s="258"/>
      <c r="AZ390" s="257"/>
      <c r="BA390" s="257"/>
      <c r="BB390" s="257"/>
      <c r="BC390" s="258"/>
      <c r="BD390" s="257"/>
      <c r="BE390" s="257"/>
      <c r="BF390" s="257"/>
      <c r="BG390" s="258"/>
      <c r="BH390" s="257"/>
      <c r="BI390" s="257"/>
      <c r="BJ390" s="257"/>
      <c r="BK390" s="258"/>
      <c r="BL390" s="257"/>
      <c r="BM390" s="257"/>
      <c r="BN390" s="257"/>
      <c r="BO390" s="258"/>
      <c r="BP390" s="257"/>
      <c r="BQ390" s="257"/>
      <c r="BR390" s="257"/>
      <c r="BS390" s="258"/>
      <c r="BT390" s="257"/>
      <c r="BU390" s="257"/>
      <c r="BV390" s="257"/>
      <c r="BW390" s="258"/>
      <c r="BX390" s="263"/>
      <c r="BY390" s="235"/>
      <c r="BZ390" s="251"/>
      <c r="CA390" s="15"/>
      <c r="CB390" s="15"/>
      <c r="CC390" s="15"/>
      <c r="CD390" s="15"/>
      <c r="CE390" s="15"/>
      <c r="CF390" s="220"/>
      <c r="CG390" s="220"/>
      <c r="CH390" s="220"/>
      <c r="CI390" s="220"/>
      <c r="CJ390" s="220"/>
      <c r="CK390" s="220"/>
      <c r="CL390" s="220"/>
      <c r="CM390" s="220"/>
      <c r="CN390" s="220"/>
      <c r="CO390" s="220"/>
      <c r="CP390" s="258"/>
    </row>
    <row r="391" spans="1:94" ht="14.25" hidden="1" customHeight="1" outlineLevel="2">
      <c r="A391" s="9"/>
      <c r="B391" s="235" t="s">
        <v>318</v>
      </c>
      <c r="C391" s="259"/>
      <c r="D391" s="259"/>
      <c r="E391" s="259"/>
      <c r="F391" s="259"/>
      <c r="G391" s="33"/>
      <c r="H391" s="259"/>
      <c r="I391" s="259"/>
      <c r="J391" s="259"/>
      <c r="K391" s="33"/>
      <c r="L391" s="329"/>
      <c r="M391" s="329"/>
      <c r="N391" s="329"/>
      <c r="O391" s="330"/>
      <c r="P391" s="331"/>
      <c r="Q391" s="329"/>
      <c r="R391" s="329"/>
      <c r="S391" s="330"/>
      <c r="T391" s="331"/>
      <c r="U391" s="329"/>
      <c r="V391" s="329"/>
      <c r="W391" s="330"/>
      <c r="X391" s="331"/>
      <c r="Y391" s="329"/>
      <c r="Z391" s="329"/>
      <c r="AA391" s="330"/>
      <c r="AB391" s="331"/>
      <c r="AC391" s="329"/>
      <c r="AD391" s="329"/>
      <c r="AE391" s="330"/>
      <c r="AF391" s="331"/>
      <c r="AG391" s="329"/>
      <c r="AH391" s="329"/>
      <c r="AI391" s="330"/>
      <c r="AJ391" s="331">
        <v>870.6</v>
      </c>
      <c r="AK391" s="329">
        <v>905.8</v>
      </c>
      <c r="AL391" s="329">
        <v>898</v>
      </c>
      <c r="AM391" s="330">
        <f>3442.3-SUM(AJ391:AL391)</f>
        <v>767.90000000000009</v>
      </c>
      <c r="AN391" s="331">
        <v>744.4</v>
      </c>
      <c r="AO391" s="329">
        <v>744.8</v>
      </c>
      <c r="AP391" s="554">
        <v>725.5</v>
      </c>
      <c r="AQ391" s="330">
        <f>2894.9-SUM(AN391:AP391)</f>
        <v>680.20000000000027</v>
      </c>
      <c r="AR391" s="331">
        <v>661</v>
      </c>
      <c r="AS391" s="329">
        <v>688.3</v>
      </c>
      <c r="AT391" s="554">
        <v>715.4</v>
      </c>
      <c r="AU391" s="330">
        <v>718</v>
      </c>
      <c r="AV391" s="331">
        <v>706.5</v>
      </c>
      <c r="AW391" s="329">
        <v>757.6</v>
      </c>
      <c r="AX391" s="554"/>
      <c r="AY391" s="389"/>
      <c r="AZ391" s="391"/>
      <c r="BA391" s="390"/>
      <c r="BB391" s="554"/>
      <c r="BC391" s="389"/>
      <c r="BD391" s="391"/>
      <c r="BE391" s="390"/>
      <c r="BF391" s="390"/>
      <c r="BG391" s="389"/>
      <c r="BH391" s="391"/>
      <c r="BI391" s="390"/>
      <c r="BJ391" s="390"/>
      <c r="BK391" s="389"/>
      <c r="BL391" s="391"/>
      <c r="BM391" s="390"/>
      <c r="BN391" s="390"/>
      <c r="BO391" s="389"/>
      <c r="BP391" s="391"/>
      <c r="BQ391" s="390"/>
      <c r="BR391" s="390"/>
      <c r="BS391" s="389"/>
      <c r="BT391" s="391"/>
      <c r="BU391" s="390"/>
      <c r="BV391" s="390"/>
      <c r="BW391" s="389"/>
      <c r="BX391" s="263"/>
      <c r="BY391" s="235"/>
      <c r="BZ391" s="251"/>
      <c r="CA391" s="325"/>
      <c r="CB391" s="325"/>
      <c r="CC391" s="325"/>
      <c r="CD391" s="329">
        <v>2054.8000000000002</v>
      </c>
      <c r="CE391" s="554">
        <v>1768.9</v>
      </c>
      <c r="CF391" s="329">
        <v>2313.4</v>
      </c>
      <c r="CG391" s="325">
        <f>SUM(AJ391:AM391)</f>
        <v>3442.3</v>
      </c>
      <c r="CH391" s="325">
        <f>SUM(AN391:AQ391)</f>
        <v>2894.9</v>
      </c>
      <c r="CI391" s="325">
        <f>SUM(AR391:AU391)</f>
        <v>2782.7</v>
      </c>
      <c r="CJ391" s="325"/>
      <c r="CK391" s="325"/>
      <c r="CL391" s="325"/>
      <c r="CM391" s="325"/>
      <c r="CN391" s="325"/>
      <c r="CO391" s="325"/>
      <c r="CP391" s="326"/>
    </row>
    <row r="392" spans="1:94" ht="14.25" hidden="1" customHeight="1" outlineLevel="2">
      <c r="A392" s="689"/>
      <c r="B392" s="678" t="s">
        <v>166</v>
      </c>
      <c r="C392" s="679"/>
      <c r="D392" s="679"/>
      <c r="E392" s="679"/>
      <c r="F392" s="679"/>
      <c r="G392" s="680"/>
      <c r="H392" s="679"/>
      <c r="I392" s="679"/>
      <c r="J392" s="679"/>
      <c r="K392" s="680"/>
      <c r="L392" s="681"/>
      <c r="M392" s="681"/>
      <c r="N392" s="681"/>
      <c r="O392" s="682"/>
      <c r="P392" s="681"/>
      <c r="Q392" s="681"/>
      <c r="R392" s="681"/>
      <c r="S392" s="682"/>
      <c r="T392" s="681"/>
      <c r="U392" s="681"/>
      <c r="V392" s="681"/>
      <c r="W392" s="682"/>
      <c r="X392" s="681"/>
      <c r="Y392" s="681"/>
      <c r="Z392" s="681"/>
      <c r="AA392" s="682"/>
      <c r="AB392" s="681"/>
      <c r="AC392" s="681"/>
      <c r="AD392" s="681"/>
      <c r="AE392" s="682"/>
      <c r="AF392" s="681"/>
      <c r="AG392" s="681"/>
      <c r="AH392" s="681"/>
      <c r="AI392" s="682"/>
      <c r="AJ392" s="757">
        <f t="shared" ref="AJ392:AQ392" si="778">AJ391-AJ368</f>
        <v>0</v>
      </c>
      <c r="AK392" s="757">
        <f t="shared" si="778"/>
        <v>9.9999999999909051E-2</v>
      </c>
      <c r="AL392" s="757">
        <f t="shared" si="778"/>
        <v>0</v>
      </c>
      <c r="AM392" s="758">
        <f t="shared" si="778"/>
        <v>-9.9999999999909051E-2</v>
      </c>
      <c r="AN392" s="757">
        <f t="shared" si="778"/>
        <v>0</v>
      </c>
      <c r="AO392" s="757">
        <f t="shared" si="778"/>
        <v>0</v>
      </c>
      <c r="AP392" s="757">
        <f t="shared" si="778"/>
        <v>0</v>
      </c>
      <c r="AQ392" s="758">
        <f t="shared" si="778"/>
        <v>0</v>
      </c>
      <c r="AR392" s="757">
        <f t="shared" ref="AR392:AW392" si="779">AR391-AR368</f>
        <v>0</v>
      </c>
      <c r="AS392" s="757">
        <f t="shared" si="779"/>
        <v>0</v>
      </c>
      <c r="AT392" s="757">
        <f t="shared" si="779"/>
        <v>0</v>
      </c>
      <c r="AU392" s="758">
        <f t="shared" si="779"/>
        <v>0</v>
      </c>
      <c r="AV392" s="757">
        <f t="shared" si="779"/>
        <v>0</v>
      </c>
      <c r="AW392" s="757">
        <f t="shared" si="779"/>
        <v>0</v>
      </c>
      <c r="AX392" s="757"/>
      <c r="AY392" s="685"/>
      <c r="AZ392" s="684"/>
      <c r="BA392" s="684"/>
      <c r="BB392" s="757"/>
      <c r="BC392" s="685"/>
      <c r="BD392" s="684"/>
      <c r="BE392" s="684"/>
      <c r="BF392" s="684"/>
      <c r="BG392" s="685"/>
      <c r="BH392" s="684"/>
      <c r="BI392" s="684"/>
      <c r="BJ392" s="684"/>
      <c r="BK392" s="685"/>
      <c r="BL392" s="684"/>
      <c r="BM392" s="684"/>
      <c r="BN392" s="684"/>
      <c r="BO392" s="685"/>
      <c r="BP392" s="684"/>
      <c r="BQ392" s="684"/>
      <c r="BR392" s="684"/>
      <c r="BS392" s="685"/>
      <c r="BT392" s="684"/>
      <c r="BU392" s="684"/>
      <c r="BV392" s="684"/>
      <c r="BW392" s="685"/>
      <c r="BX392" s="774"/>
      <c r="BY392" s="686"/>
      <c r="BZ392" s="687"/>
      <c r="CA392" s="688"/>
      <c r="CB392" s="688"/>
      <c r="CC392" s="688"/>
      <c r="CD392" s="759">
        <f t="shared" ref="CD392:CI392" si="780">CD391-CD368</f>
        <v>0</v>
      </c>
      <c r="CE392" s="759">
        <f t="shared" si="780"/>
        <v>0</v>
      </c>
      <c r="CF392" s="759">
        <f t="shared" si="780"/>
        <v>0</v>
      </c>
      <c r="CG392" s="759">
        <f t="shared" si="780"/>
        <v>0</v>
      </c>
      <c r="CH392" s="759">
        <f t="shared" si="780"/>
        <v>0</v>
      </c>
      <c r="CI392" s="757">
        <f t="shared" si="780"/>
        <v>0</v>
      </c>
      <c r="CJ392" s="688"/>
      <c r="CK392" s="688"/>
      <c r="CL392" s="688"/>
      <c r="CM392" s="688"/>
      <c r="CN392" s="688"/>
      <c r="CO392" s="688"/>
      <c r="CP392" s="798"/>
    </row>
    <row r="393" spans="1:94" ht="14.25" hidden="1" customHeight="1" outlineLevel="2">
      <c r="A393" s="9"/>
      <c r="B393" s="235"/>
      <c r="C393" s="259"/>
      <c r="D393" s="259"/>
      <c r="E393" s="259"/>
      <c r="F393" s="259"/>
      <c r="G393" s="33"/>
      <c r="H393" s="259"/>
      <c r="I393" s="259"/>
      <c r="J393" s="259"/>
      <c r="K393" s="33"/>
      <c r="L393" s="329"/>
      <c r="M393" s="329"/>
      <c r="N393" s="329"/>
      <c r="O393" s="330"/>
      <c r="P393" s="329"/>
      <c r="Q393" s="329"/>
      <c r="R393" s="329"/>
      <c r="S393" s="330"/>
      <c r="T393" s="329"/>
      <c r="U393" s="329"/>
      <c r="V393" s="329"/>
      <c r="W393" s="330"/>
      <c r="X393" s="329"/>
      <c r="Y393" s="329"/>
      <c r="Z393" s="329"/>
      <c r="AA393" s="330"/>
      <c r="AB393" s="329"/>
      <c r="AC393" s="329"/>
      <c r="AD393" s="329"/>
      <c r="AE393" s="330"/>
      <c r="AF393" s="329"/>
      <c r="AG393" s="329"/>
      <c r="AH393" s="329"/>
      <c r="AI393" s="330"/>
      <c r="AJ393" s="329"/>
      <c r="AK393" s="329"/>
      <c r="AL393" s="329"/>
      <c r="AM393" s="330"/>
      <c r="AN393" s="329"/>
      <c r="AO393" s="329"/>
      <c r="AP393" s="554"/>
      <c r="AQ393" s="330"/>
      <c r="AR393" s="390"/>
      <c r="AS393" s="390"/>
      <c r="AT393" s="390"/>
      <c r="AU393" s="389"/>
      <c r="AV393" s="390"/>
      <c r="AW393" s="390"/>
      <c r="AX393" s="390"/>
      <c r="AY393" s="389"/>
      <c r="AZ393" s="390"/>
      <c r="BA393" s="390"/>
      <c r="BB393" s="390"/>
      <c r="BC393" s="389"/>
      <c r="BD393" s="390"/>
      <c r="BE393" s="390"/>
      <c r="BF393" s="390"/>
      <c r="BG393" s="389"/>
      <c r="BH393" s="390"/>
      <c r="BI393" s="390"/>
      <c r="BJ393" s="390"/>
      <c r="BK393" s="389"/>
      <c r="BL393" s="390"/>
      <c r="BM393" s="390"/>
      <c r="BN393" s="390"/>
      <c r="BO393" s="389"/>
      <c r="BP393" s="390"/>
      <c r="BQ393" s="390"/>
      <c r="BR393" s="390"/>
      <c r="BS393" s="389"/>
      <c r="BT393" s="390"/>
      <c r="BU393" s="390"/>
      <c r="BV393" s="390"/>
      <c r="BW393" s="389"/>
      <c r="BX393" s="263"/>
      <c r="BY393" s="235"/>
      <c r="BZ393" s="251"/>
      <c r="CA393" s="325"/>
      <c r="CB393" s="325"/>
      <c r="CC393" s="325"/>
      <c r="CD393" s="329"/>
      <c r="CE393" s="554"/>
      <c r="CF393" s="329"/>
      <c r="CG393" s="325"/>
      <c r="CH393" s="325"/>
      <c r="CI393" s="325"/>
      <c r="CJ393" s="325"/>
      <c r="CK393" s="325"/>
      <c r="CL393" s="325"/>
      <c r="CM393" s="325"/>
      <c r="CN393" s="325"/>
      <c r="CO393" s="325"/>
      <c r="CP393" s="326"/>
    </row>
    <row r="394" spans="1:94" ht="14.25" hidden="1" customHeight="1" outlineLevel="2">
      <c r="A394" s="9"/>
      <c r="B394" s="235" t="s">
        <v>211</v>
      </c>
      <c r="C394" s="259"/>
      <c r="D394" s="259"/>
      <c r="E394" s="259"/>
      <c r="F394" s="259"/>
      <c r="G394" s="33"/>
      <c r="H394" s="259"/>
      <c r="I394" s="259"/>
      <c r="J394" s="259"/>
      <c r="K394" s="33"/>
      <c r="L394" s="329"/>
      <c r="M394" s="329"/>
      <c r="N394" s="329"/>
      <c r="O394" s="330"/>
      <c r="P394" s="329"/>
      <c r="Q394" s="329"/>
      <c r="R394" s="329"/>
      <c r="S394" s="330"/>
      <c r="T394" s="329"/>
      <c r="U394" s="329"/>
      <c r="V394" s="329"/>
      <c r="W394" s="330"/>
      <c r="X394" s="329"/>
      <c r="Y394" s="329"/>
      <c r="Z394" s="329"/>
      <c r="AA394" s="330"/>
      <c r="AB394" s="329"/>
      <c r="AC394" s="329"/>
      <c r="AD394" s="329"/>
      <c r="AE394" s="330"/>
      <c r="AF394" s="329"/>
      <c r="AG394" s="329"/>
      <c r="AH394" s="329"/>
      <c r="AI394" s="330"/>
      <c r="AJ394" s="329">
        <v>242.4</v>
      </c>
      <c r="AK394" s="329">
        <v>266.10000000000002</v>
      </c>
      <c r="AL394" s="329">
        <v>261.10000000000002</v>
      </c>
      <c r="AM394" s="330">
        <f>1008.8-SUM(AJ394:AL394)</f>
        <v>239.19999999999993</v>
      </c>
      <c r="AN394" s="329">
        <v>245.2</v>
      </c>
      <c r="AO394" s="329">
        <v>258.3</v>
      </c>
      <c r="AP394" s="554">
        <v>238</v>
      </c>
      <c r="AQ394" s="330">
        <f>951.9-SUM(AN394:AP394)</f>
        <v>210.39999999999998</v>
      </c>
      <c r="AR394" s="329">
        <v>204.5</v>
      </c>
      <c r="AS394" s="329">
        <v>231.8</v>
      </c>
      <c r="AT394" s="554">
        <v>249.2</v>
      </c>
      <c r="AU394" s="330">
        <v>252.9</v>
      </c>
      <c r="AV394" s="329">
        <v>250.8</v>
      </c>
      <c r="AW394" s="329">
        <v>273</v>
      </c>
      <c r="AX394" s="591"/>
      <c r="AY394" s="389"/>
      <c r="AZ394" s="390"/>
      <c r="BA394" s="390"/>
      <c r="BB394" s="591"/>
      <c r="BC394" s="389"/>
      <c r="BD394" s="390"/>
      <c r="BE394" s="390"/>
      <c r="BF394" s="390"/>
      <c r="BG394" s="389"/>
      <c r="BH394" s="390"/>
      <c r="BI394" s="390"/>
      <c r="BJ394" s="390"/>
      <c r="BK394" s="389"/>
      <c r="BL394" s="390"/>
      <c r="BM394" s="390"/>
      <c r="BN394" s="390"/>
      <c r="BO394" s="389"/>
      <c r="BP394" s="390"/>
      <c r="BQ394" s="390"/>
      <c r="BR394" s="390"/>
      <c r="BS394" s="389"/>
      <c r="BT394" s="390"/>
      <c r="BU394" s="390"/>
      <c r="BV394" s="390"/>
      <c r="BW394" s="389"/>
      <c r="BX394" s="263"/>
      <c r="BY394" s="235"/>
      <c r="BZ394" s="251"/>
      <c r="CA394" s="325"/>
      <c r="CB394" s="325"/>
      <c r="CC394" s="325"/>
      <c r="CD394" s="329">
        <v>745.5</v>
      </c>
      <c r="CE394" s="554">
        <v>620.70000000000005</v>
      </c>
      <c r="CF394" s="329">
        <v>956</v>
      </c>
      <c r="CG394" s="325">
        <f>SUM(AJ394:AM394)</f>
        <v>1008.8</v>
      </c>
      <c r="CH394" s="325">
        <f>SUM(AN394:AQ394)</f>
        <v>951.9</v>
      </c>
      <c r="CI394" s="325">
        <f>SUM(AR394:AU394)</f>
        <v>938.4</v>
      </c>
      <c r="CJ394" s="325"/>
      <c r="CK394" s="325"/>
      <c r="CL394" s="325"/>
      <c r="CM394" s="325"/>
      <c r="CN394" s="325"/>
      <c r="CO394" s="325"/>
      <c r="CP394" s="326"/>
    </row>
    <row r="395" spans="1:94" ht="14.25" hidden="1" customHeight="1" outlineLevel="2">
      <c r="A395" s="689"/>
      <c r="B395" s="678" t="s">
        <v>166</v>
      </c>
      <c r="C395" s="679"/>
      <c r="D395" s="679"/>
      <c r="E395" s="679"/>
      <c r="F395" s="679"/>
      <c r="G395" s="680"/>
      <c r="H395" s="679"/>
      <c r="I395" s="679"/>
      <c r="J395" s="679"/>
      <c r="K395" s="680"/>
      <c r="L395" s="681"/>
      <c r="M395" s="681"/>
      <c r="N395" s="681"/>
      <c r="O395" s="682"/>
      <c r="P395" s="681"/>
      <c r="Q395" s="681"/>
      <c r="R395" s="681"/>
      <c r="S395" s="682"/>
      <c r="T395" s="681"/>
      <c r="U395" s="681"/>
      <c r="V395" s="681"/>
      <c r="W395" s="682"/>
      <c r="X395" s="681"/>
      <c r="Y395" s="681"/>
      <c r="Z395" s="681"/>
      <c r="AA395" s="682"/>
      <c r="AB395" s="681"/>
      <c r="AC395" s="681"/>
      <c r="AD395" s="681"/>
      <c r="AE395" s="682"/>
      <c r="AF395" s="681"/>
      <c r="AG395" s="681"/>
      <c r="AH395" s="681"/>
      <c r="AI395" s="682"/>
      <c r="AJ395" s="752">
        <f t="shared" ref="AJ395:AQ395" si="781">AJ394-AJ377</f>
        <v>0</v>
      </c>
      <c r="AK395" s="752">
        <f t="shared" si="781"/>
        <v>0</v>
      </c>
      <c r="AL395" s="752">
        <f t="shared" si="781"/>
        <v>0</v>
      </c>
      <c r="AM395" s="753">
        <f t="shared" si="781"/>
        <v>0</v>
      </c>
      <c r="AN395" s="752">
        <f t="shared" si="781"/>
        <v>0</v>
      </c>
      <c r="AO395" s="752">
        <f t="shared" si="781"/>
        <v>0</v>
      </c>
      <c r="AP395" s="752">
        <f t="shared" si="781"/>
        <v>0</v>
      </c>
      <c r="AQ395" s="753">
        <f t="shared" si="781"/>
        <v>0</v>
      </c>
      <c r="AR395" s="752">
        <f t="shared" ref="AR395:AW395" si="782">AR394-AR377</f>
        <v>10.113726352837659</v>
      </c>
      <c r="AS395" s="752">
        <f t="shared" si="782"/>
        <v>0</v>
      </c>
      <c r="AT395" s="752">
        <f t="shared" si="782"/>
        <v>0</v>
      </c>
      <c r="AU395" s="753">
        <f t="shared" si="782"/>
        <v>-10.113726352837631</v>
      </c>
      <c r="AV395" s="752">
        <f t="shared" si="782"/>
        <v>0</v>
      </c>
      <c r="AW395" s="752">
        <f t="shared" si="782"/>
        <v>0</v>
      </c>
      <c r="AX395" s="752"/>
      <c r="AY395" s="685"/>
      <c r="AZ395" s="684"/>
      <c r="BA395" s="684"/>
      <c r="BB395" s="752"/>
      <c r="BC395" s="685"/>
      <c r="BD395" s="684"/>
      <c r="BE395" s="684"/>
      <c r="BF395" s="684"/>
      <c r="BG395" s="685"/>
      <c r="BH395" s="684"/>
      <c r="BI395" s="684"/>
      <c r="BJ395" s="684"/>
      <c r="BK395" s="685"/>
      <c r="BL395" s="684"/>
      <c r="BM395" s="684"/>
      <c r="BN395" s="684"/>
      <c r="BO395" s="685"/>
      <c r="BP395" s="684"/>
      <c r="BQ395" s="684"/>
      <c r="BR395" s="684"/>
      <c r="BS395" s="685"/>
      <c r="BT395" s="684"/>
      <c r="BU395" s="684"/>
      <c r="BV395" s="684"/>
      <c r="BW395" s="685"/>
      <c r="BX395" s="774"/>
      <c r="BY395" s="686"/>
      <c r="BZ395" s="687"/>
      <c r="CA395" s="688"/>
      <c r="CB395" s="688"/>
      <c r="CC395" s="688"/>
      <c r="CD395" s="759">
        <f t="shared" ref="CD395:CI395" si="783">CD394-CD377</f>
        <v>0</v>
      </c>
      <c r="CE395" s="759">
        <f t="shared" si="783"/>
        <v>0</v>
      </c>
      <c r="CF395" s="759">
        <f t="shared" si="783"/>
        <v>0</v>
      </c>
      <c r="CG395" s="759">
        <f t="shared" si="783"/>
        <v>0</v>
      </c>
      <c r="CH395" s="759">
        <f t="shared" si="783"/>
        <v>0</v>
      </c>
      <c r="CI395" s="754">
        <f t="shared" si="783"/>
        <v>0</v>
      </c>
      <c r="CJ395" s="688"/>
      <c r="CK395" s="688"/>
      <c r="CL395" s="688"/>
      <c r="CM395" s="688"/>
      <c r="CN395" s="688"/>
      <c r="CO395" s="688"/>
      <c r="CP395" s="798"/>
    </row>
    <row r="396" spans="1:94" ht="14.25" hidden="1" customHeight="1" outlineLevel="2">
      <c r="A396" s="9"/>
      <c r="B396" s="235"/>
      <c r="C396" s="259"/>
      <c r="D396" s="259"/>
      <c r="E396" s="259"/>
      <c r="F396" s="259"/>
      <c r="G396" s="33"/>
      <c r="H396" s="259"/>
      <c r="I396" s="259"/>
      <c r="J396" s="259"/>
      <c r="K396" s="33"/>
      <c r="L396" s="329"/>
      <c r="M396" s="329"/>
      <c r="N396" s="329"/>
      <c r="O396" s="330"/>
      <c r="P396" s="329"/>
      <c r="Q396" s="329"/>
      <c r="R396" s="329"/>
      <c r="S396" s="330"/>
      <c r="T396" s="329"/>
      <c r="U396" s="329"/>
      <c r="V396" s="329"/>
      <c r="W396" s="330"/>
      <c r="X396" s="329"/>
      <c r="Y396" s="329"/>
      <c r="Z396" s="329"/>
      <c r="AA396" s="330"/>
      <c r="AB396" s="329"/>
      <c r="AC396" s="329"/>
      <c r="AD396" s="329"/>
      <c r="AE396" s="330"/>
      <c r="AF396" s="329"/>
      <c r="AG396" s="329"/>
      <c r="AH396" s="329"/>
      <c r="AI396" s="330"/>
      <c r="AJ396" s="329"/>
      <c r="AK396" s="329"/>
      <c r="AL396" s="329"/>
      <c r="AM396" s="330"/>
      <c r="AN396" s="329"/>
      <c r="AO396" s="329"/>
      <c r="AP396" s="554"/>
      <c r="AQ396" s="330"/>
      <c r="AR396" s="390"/>
      <c r="AS396" s="390"/>
      <c r="AT396" s="390"/>
      <c r="AU396" s="389"/>
      <c r="AV396" s="390"/>
      <c r="AW396" s="390"/>
      <c r="AX396" s="390"/>
      <c r="AY396" s="389"/>
      <c r="AZ396" s="390"/>
      <c r="BA396" s="390"/>
      <c r="BB396" s="390"/>
      <c r="BC396" s="389"/>
      <c r="BD396" s="390"/>
      <c r="BE396" s="390"/>
      <c r="BF396" s="390"/>
      <c r="BG396" s="389"/>
      <c r="BH396" s="390"/>
      <c r="BI396" s="390"/>
      <c r="BJ396" s="390"/>
      <c r="BK396" s="389"/>
      <c r="BL396" s="390"/>
      <c r="BM396" s="390"/>
      <c r="BN396" s="390"/>
      <c r="BO396" s="389"/>
      <c r="BP396" s="390"/>
      <c r="BQ396" s="390"/>
      <c r="BR396" s="390"/>
      <c r="BS396" s="389"/>
      <c r="BT396" s="390"/>
      <c r="BU396" s="390"/>
      <c r="BV396" s="390"/>
      <c r="BW396" s="389"/>
      <c r="BX396" s="263"/>
      <c r="BY396" s="235"/>
      <c r="BZ396" s="251"/>
      <c r="CA396" s="325"/>
      <c r="CB396" s="325"/>
      <c r="CC396" s="325"/>
      <c r="CD396" s="329"/>
      <c r="CE396" s="554"/>
      <c r="CF396" s="329"/>
      <c r="CG396" s="325"/>
      <c r="CH396" s="325"/>
      <c r="CI396" s="325"/>
      <c r="CJ396" s="325"/>
      <c r="CK396" s="325"/>
      <c r="CL396" s="325"/>
      <c r="CM396" s="325"/>
      <c r="CN396" s="325"/>
      <c r="CO396" s="325"/>
      <c r="CP396" s="326"/>
    </row>
    <row r="397" spans="1:94" ht="14.25" hidden="1" customHeight="1" outlineLevel="2">
      <c r="A397" s="9"/>
      <c r="B397" s="235" t="s">
        <v>212</v>
      </c>
      <c r="C397" s="259"/>
      <c r="D397" s="259"/>
      <c r="E397" s="259"/>
      <c r="F397" s="259"/>
      <c r="G397" s="33"/>
      <c r="H397" s="259"/>
      <c r="I397" s="259"/>
      <c r="J397" s="259"/>
      <c r="K397" s="33"/>
      <c r="L397" s="329"/>
      <c r="M397" s="329"/>
      <c r="N397" s="329"/>
      <c r="O397" s="330"/>
      <c r="P397" s="329"/>
      <c r="Q397" s="329"/>
      <c r="R397" s="329"/>
      <c r="S397" s="330"/>
      <c r="T397" s="329"/>
      <c r="U397" s="329"/>
      <c r="V397" s="329"/>
      <c r="W397" s="330"/>
      <c r="X397" s="329"/>
      <c r="Y397" s="329"/>
      <c r="Z397" s="329"/>
      <c r="AA397" s="330"/>
      <c r="AB397" s="329"/>
      <c r="AC397" s="329"/>
      <c r="AD397" s="329"/>
      <c r="AE397" s="330"/>
      <c r="AF397" s="329"/>
      <c r="AG397" s="329"/>
      <c r="AH397" s="329"/>
      <c r="AI397" s="330"/>
      <c r="AJ397" s="329">
        <v>32.700000000000003</v>
      </c>
      <c r="AK397" s="329">
        <v>56.9</v>
      </c>
      <c r="AL397" s="329">
        <v>-6.7</v>
      </c>
      <c r="AM397" s="330">
        <f>113.4-SUM(AJ397:AL397)</f>
        <v>30.500000000000014</v>
      </c>
      <c r="AN397" s="329">
        <v>43.6</v>
      </c>
      <c r="AO397" s="329">
        <v>26.9</v>
      </c>
      <c r="AP397" s="554">
        <v>44.6</v>
      </c>
      <c r="AQ397" s="330">
        <f>-16.3-SUM(AN397:AP397)</f>
        <v>-131.4</v>
      </c>
      <c r="AR397" s="329">
        <v>37.700000000000003</v>
      </c>
      <c r="AS397" s="329">
        <v>50.899999999999949</v>
      </c>
      <c r="AT397" s="554">
        <v>67.3</v>
      </c>
      <c r="AU397" s="330">
        <v>62.3</v>
      </c>
      <c r="AV397" s="329">
        <v>73.3</v>
      </c>
      <c r="AW397" s="329">
        <v>81.7</v>
      </c>
      <c r="AX397" s="554"/>
      <c r="AY397" s="389"/>
      <c r="AZ397" s="390"/>
      <c r="BA397" s="390"/>
      <c r="BB397" s="554"/>
      <c r="BC397" s="389"/>
      <c r="BD397" s="390"/>
      <c r="BE397" s="390"/>
      <c r="BF397" s="390"/>
      <c r="BG397" s="389"/>
      <c r="BH397" s="390"/>
      <c r="BI397" s="390"/>
      <c r="BJ397" s="390"/>
      <c r="BK397" s="389"/>
      <c r="BL397" s="390"/>
      <c r="BM397" s="390"/>
      <c r="BN397" s="390"/>
      <c r="BO397" s="389"/>
      <c r="BP397" s="390"/>
      <c r="BQ397" s="390"/>
      <c r="BR397" s="390"/>
      <c r="BS397" s="389"/>
      <c r="BT397" s="390"/>
      <c r="BU397" s="390"/>
      <c r="BV397" s="390"/>
      <c r="BW397" s="389"/>
      <c r="BX397" s="263"/>
      <c r="BY397" s="235"/>
      <c r="BZ397" s="251"/>
      <c r="CA397" s="325"/>
      <c r="CB397" s="325"/>
      <c r="CC397" s="325"/>
      <c r="CD397" s="329">
        <v>-365.9</v>
      </c>
      <c r="CE397" s="554">
        <v>142.6</v>
      </c>
      <c r="CF397" s="329">
        <v>374.2</v>
      </c>
      <c r="CG397" s="325">
        <f>SUM(AJ397:AM397)</f>
        <v>113.4</v>
      </c>
      <c r="CH397" s="325">
        <f>SUM(AN397:AQ397)</f>
        <v>-16.300000000000011</v>
      </c>
      <c r="CI397" s="325">
        <f>SUM(AR397:AU397)</f>
        <v>218.19999999999993</v>
      </c>
      <c r="CJ397" s="325"/>
      <c r="CK397" s="325"/>
      <c r="CL397" s="325"/>
      <c r="CM397" s="325"/>
      <c r="CN397" s="325"/>
      <c r="CO397" s="325"/>
      <c r="CP397" s="326"/>
    </row>
    <row r="398" spans="1:94" ht="14.25" hidden="1" customHeight="1" outlineLevel="2">
      <c r="A398" s="689"/>
      <c r="B398" s="678" t="s">
        <v>166</v>
      </c>
      <c r="C398" s="679"/>
      <c r="D398" s="679"/>
      <c r="E398" s="679"/>
      <c r="F398" s="679"/>
      <c r="G398" s="680"/>
      <c r="H398" s="679"/>
      <c r="I398" s="679"/>
      <c r="J398" s="679"/>
      <c r="K398" s="680"/>
      <c r="L398" s="681"/>
      <c r="M398" s="681"/>
      <c r="N398" s="681"/>
      <c r="O398" s="682"/>
      <c r="P398" s="681"/>
      <c r="Q398" s="681"/>
      <c r="R398" s="681"/>
      <c r="S398" s="682"/>
      <c r="T398" s="681"/>
      <c r="U398" s="681"/>
      <c r="V398" s="681"/>
      <c r="W398" s="682"/>
      <c r="X398" s="681"/>
      <c r="Y398" s="681"/>
      <c r="Z398" s="681"/>
      <c r="AA398" s="682"/>
      <c r="AB398" s="681"/>
      <c r="AC398" s="681"/>
      <c r="AD398" s="681"/>
      <c r="AE398" s="682"/>
      <c r="AF398" s="681"/>
      <c r="AG398" s="681"/>
      <c r="AH398" s="681"/>
      <c r="AI398" s="682"/>
      <c r="AJ398" s="754">
        <f t="shared" ref="AJ398:AQ398" si="784">AJ397-AJ386</f>
        <v>0</v>
      </c>
      <c r="AK398" s="754">
        <f t="shared" si="784"/>
        <v>0</v>
      </c>
      <c r="AL398" s="754">
        <f>AL397-AL386</f>
        <v>1.6875389974302379E-14</v>
      </c>
      <c r="AM398" s="755">
        <f t="shared" si="784"/>
        <v>0</v>
      </c>
      <c r="AN398" s="754">
        <f t="shared" si="784"/>
        <v>0</v>
      </c>
      <c r="AO398" s="754">
        <f t="shared" si="784"/>
        <v>0</v>
      </c>
      <c r="AP398" s="754">
        <f t="shared" si="784"/>
        <v>0</v>
      </c>
      <c r="AQ398" s="755">
        <f t="shared" si="784"/>
        <v>0</v>
      </c>
      <c r="AR398" s="754">
        <f t="shared" ref="AR398:AW398" si="785">AR397-AR386</f>
        <v>0</v>
      </c>
      <c r="AS398" s="754">
        <f t="shared" si="785"/>
        <v>0</v>
      </c>
      <c r="AT398" s="754">
        <f t="shared" si="785"/>
        <v>0</v>
      </c>
      <c r="AU398" s="755">
        <f t="shared" si="785"/>
        <v>0</v>
      </c>
      <c r="AV398" s="754">
        <f t="shared" si="785"/>
        <v>0</v>
      </c>
      <c r="AW398" s="754">
        <f t="shared" si="785"/>
        <v>0</v>
      </c>
      <c r="AX398" s="754"/>
      <c r="AY398" s="685"/>
      <c r="AZ398" s="684"/>
      <c r="BA398" s="684"/>
      <c r="BB398" s="754"/>
      <c r="BC398" s="685"/>
      <c r="BD398" s="684"/>
      <c r="BE398" s="684"/>
      <c r="BF398" s="684"/>
      <c r="BG398" s="685"/>
      <c r="BH398" s="684"/>
      <c r="BI398" s="684"/>
      <c r="BJ398" s="684"/>
      <c r="BK398" s="685"/>
      <c r="BL398" s="684"/>
      <c r="BM398" s="684"/>
      <c r="BN398" s="684"/>
      <c r="BO398" s="685"/>
      <c r="BP398" s="684"/>
      <c r="BQ398" s="684"/>
      <c r="BR398" s="684"/>
      <c r="BS398" s="685"/>
      <c r="BT398" s="684"/>
      <c r="BU398" s="684"/>
      <c r="BV398" s="684"/>
      <c r="BW398" s="685"/>
      <c r="BX398" s="774"/>
      <c r="BY398" s="686"/>
      <c r="BZ398" s="687"/>
      <c r="CA398" s="688"/>
      <c r="CB398" s="688"/>
      <c r="CC398" s="688"/>
      <c r="CD398" s="760">
        <f t="shared" ref="CD398:CI398" si="786">CD397-CD386</f>
        <v>0</v>
      </c>
      <c r="CE398" s="760">
        <f t="shared" si="786"/>
        <v>0</v>
      </c>
      <c r="CF398" s="760">
        <f t="shared" si="786"/>
        <v>0</v>
      </c>
      <c r="CG398" s="760">
        <f t="shared" si="786"/>
        <v>0</v>
      </c>
      <c r="CH398" s="760">
        <f t="shared" si="786"/>
        <v>5.6843418860808015E-14</v>
      </c>
      <c r="CI398" s="754">
        <f t="shared" si="786"/>
        <v>0</v>
      </c>
      <c r="CJ398" s="688"/>
      <c r="CK398" s="688"/>
      <c r="CL398" s="688"/>
      <c r="CM398" s="688"/>
      <c r="CN398" s="688"/>
      <c r="CO398" s="688"/>
      <c r="CP398" s="798"/>
    </row>
    <row r="399" spans="1:94" ht="12.75" hidden="1" customHeight="1" outlineLevel="2">
      <c r="A399" s="9"/>
      <c r="B399" s="235"/>
      <c r="C399" s="259"/>
      <c r="D399" s="259"/>
      <c r="E399" s="259"/>
      <c r="F399" s="259"/>
      <c r="G399" s="33"/>
      <c r="H399" s="259"/>
      <c r="I399" s="259"/>
      <c r="J399" s="259"/>
      <c r="K399" s="33"/>
      <c r="L399" s="329"/>
      <c r="M399" s="329"/>
      <c r="N399" s="329"/>
      <c r="O399" s="330"/>
      <c r="P399" s="329"/>
      <c r="Q399" s="329"/>
      <c r="R399" s="329"/>
      <c r="S399" s="330"/>
      <c r="T399" s="329"/>
      <c r="U399" s="329"/>
      <c r="V399" s="329"/>
      <c r="W399" s="330"/>
      <c r="X399" s="329"/>
      <c r="Y399" s="329"/>
      <c r="Z399" s="329"/>
      <c r="AA399" s="330"/>
      <c r="AB399" s="329"/>
      <c r="AC399" s="329"/>
      <c r="AD399" s="329"/>
      <c r="AE399" s="330"/>
      <c r="AF399" s="329"/>
      <c r="AG399" s="329"/>
      <c r="AH399" s="329"/>
      <c r="AI399" s="330"/>
      <c r="AJ399" s="329"/>
      <c r="AK399" s="329"/>
      <c r="AL399" s="329"/>
      <c r="AM399" s="330"/>
      <c r="AN399" s="329"/>
      <c r="AO399" s="329"/>
      <c r="AP399" s="554"/>
      <c r="AQ399" s="330"/>
      <c r="AR399" s="390"/>
      <c r="AS399" s="390"/>
      <c r="AT399" s="390"/>
      <c r="AU399" s="389"/>
      <c r="AV399" s="390"/>
      <c r="AW399" s="390"/>
      <c r="AX399" s="390"/>
      <c r="AY399" s="389"/>
      <c r="AZ399" s="390"/>
      <c r="BA399" s="390"/>
      <c r="BB399" s="390"/>
      <c r="BC399" s="389"/>
      <c r="BD399" s="390"/>
      <c r="BE399" s="390"/>
      <c r="BF399" s="390"/>
      <c r="BG399" s="389"/>
      <c r="BH399" s="390"/>
      <c r="BI399" s="390"/>
      <c r="BJ399" s="390"/>
      <c r="BK399" s="389"/>
      <c r="BL399" s="390"/>
      <c r="BM399" s="390"/>
      <c r="BN399" s="390"/>
      <c r="BO399" s="389"/>
      <c r="BP399" s="390"/>
      <c r="BQ399" s="390"/>
      <c r="BR399" s="390"/>
      <c r="BS399" s="389"/>
      <c r="BT399" s="390"/>
      <c r="BU399" s="390"/>
      <c r="BV399" s="390"/>
      <c r="BW399" s="389"/>
      <c r="BX399" s="263"/>
      <c r="BY399" s="235"/>
      <c r="BZ399" s="251"/>
      <c r="CA399" s="325"/>
      <c r="CB399" s="325"/>
      <c r="CC399" s="325"/>
      <c r="CD399" s="325"/>
      <c r="CE399" s="325"/>
      <c r="CF399" s="325"/>
      <c r="CG399" s="325"/>
      <c r="CH399" s="325"/>
      <c r="CI399" s="325"/>
      <c r="CJ399" s="325"/>
      <c r="CK399" s="325"/>
      <c r="CL399" s="325"/>
      <c r="CM399" s="325"/>
      <c r="CN399" s="325"/>
      <c r="CO399" s="325"/>
      <c r="CP399" s="326"/>
    </row>
    <row r="400" spans="1:94" ht="14.25" hidden="1" customHeight="1" outlineLevel="2">
      <c r="A400" s="9"/>
      <c r="B400" s="217" t="s">
        <v>297</v>
      </c>
      <c r="C400" s="218"/>
      <c r="D400" s="372"/>
      <c r="E400" s="220"/>
      <c r="F400" s="220"/>
      <c r="G400" s="220"/>
      <c r="H400" s="219"/>
      <c r="I400" s="220"/>
      <c r="J400" s="220"/>
      <c r="K400" s="220"/>
      <c r="L400" s="219"/>
      <c r="M400" s="220"/>
      <c r="N400" s="220"/>
      <c r="O400" s="220"/>
      <c r="P400" s="219"/>
      <c r="Q400" s="220"/>
      <c r="R400" s="220"/>
      <c r="S400" s="220"/>
      <c r="T400" s="219"/>
      <c r="U400" s="220"/>
      <c r="V400" s="220"/>
      <c r="W400" s="220"/>
      <c r="X400" s="219"/>
      <c r="Y400" s="220"/>
      <c r="Z400" s="220"/>
      <c r="AA400" s="220"/>
      <c r="AB400" s="219"/>
      <c r="AC400" s="220"/>
      <c r="AD400" s="220"/>
      <c r="AE400" s="220"/>
      <c r="AF400" s="219"/>
      <c r="AG400" s="220"/>
      <c r="AH400" s="220"/>
      <c r="AI400" s="220"/>
      <c r="AJ400" s="219"/>
      <c r="AK400" s="220">
        <f t="shared" ref="AK400:AQ400" si="787">AK391/AJ391-1</f>
        <v>4.0431886055593669E-2</v>
      </c>
      <c r="AL400" s="220">
        <f t="shared" si="787"/>
        <v>-8.6111724442481385E-3</v>
      </c>
      <c r="AM400" s="220">
        <f t="shared" si="787"/>
        <v>-0.14487750556792867</v>
      </c>
      <c r="AN400" s="219">
        <f t="shared" si="787"/>
        <v>-3.060294309154854E-2</v>
      </c>
      <c r="AO400" s="220">
        <f t="shared" si="787"/>
        <v>5.3734551316497736E-4</v>
      </c>
      <c r="AP400" s="220">
        <f t="shared" si="787"/>
        <v>-2.5912996777658348E-2</v>
      </c>
      <c r="AQ400" s="220">
        <f t="shared" si="787"/>
        <v>-6.2439696760854257E-2</v>
      </c>
      <c r="AR400" s="219">
        <f t="shared" ref="AR400:AW400" si="788">AR391/AQ391-1</f>
        <v>-2.8226992061158862E-2</v>
      </c>
      <c r="AS400" s="220">
        <f t="shared" si="788"/>
        <v>4.1301059001512819E-2</v>
      </c>
      <c r="AT400" s="220">
        <f t="shared" si="788"/>
        <v>3.9372366700566541E-2</v>
      </c>
      <c r="AU400" s="258">
        <f t="shared" si="788"/>
        <v>3.6343304445065616E-3</v>
      </c>
      <c r="AV400" s="219">
        <f t="shared" si="788"/>
        <v>-1.6016713091921986E-2</v>
      </c>
      <c r="AW400" s="220">
        <f t="shared" si="788"/>
        <v>7.2328379334748893E-2</v>
      </c>
      <c r="AX400" s="220"/>
      <c r="AY400" s="258"/>
      <c r="AZ400" s="257"/>
      <c r="BA400" s="257"/>
      <c r="BB400" s="220"/>
      <c r="BC400" s="258"/>
      <c r="BD400" s="257"/>
      <c r="BE400" s="257"/>
      <c r="BF400" s="257"/>
      <c r="BG400" s="258"/>
      <c r="BH400" s="257"/>
      <c r="BI400" s="257"/>
      <c r="BJ400" s="257"/>
      <c r="BK400" s="258"/>
      <c r="BL400" s="257"/>
      <c r="BM400" s="257"/>
      <c r="BN400" s="257"/>
      <c r="BO400" s="258"/>
      <c r="BP400" s="257"/>
      <c r="BQ400" s="257"/>
      <c r="BR400" s="257"/>
      <c r="BS400" s="258"/>
      <c r="BT400" s="257"/>
      <c r="BU400" s="257"/>
      <c r="BV400" s="257"/>
      <c r="BW400" s="258"/>
      <c r="BX400" s="21"/>
      <c r="BY400" s="22"/>
      <c r="BZ400" s="15"/>
      <c r="CA400" s="15"/>
      <c r="CB400" s="15"/>
      <c r="CC400" s="15"/>
      <c r="CD400" s="15"/>
      <c r="CE400" s="15"/>
      <c r="CF400" s="220"/>
      <c r="CG400" s="220"/>
      <c r="CH400" s="220"/>
      <c r="CI400" s="220">
        <f>CI391/CH391-1</f>
        <v>-3.8757815468582812E-2</v>
      </c>
      <c r="CJ400" s="220"/>
      <c r="CK400" s="220"/>
      <c r="CL400" s="220"/>
      <c r="CM400" s="220"/>
      <c r="CN400" s="220"/>
      <c r="CO400" s="220"/>
      <c r="CP400" s="258"/>
    </row>
    <row r="401" spans="1:94" ht="14.25" hidden="1" customHeight="1" outlineLevel="2">
      <c r="A401" s="9"/>
      <c r="B401" s="32" t="s">
        <v>298</v>
      </c>
      <c r="C401" s="33"/>
      <c r="D401" s="259"/>
      <c r="E401" s="259"/>
      <c r="F401" s="259"/>
      <c r="G401" s="33"/>
      <c r="H401" s="220"/>
      <c r="I401" s="220"/>
      <c r="J401" s="220"/>
      <c r="K401" s="220"/>
      <c r="L401" s="219"/>
      <c r="M401" s="220"/>
      <c r="N401" s="220"/>
      <c r="O401" s="220"/>
      <c r="P401" s="219"/>
      <c r="Q401" s="220"/>
      <c r="R401" s="220"/>
      <c r="S401" s="220"/>
      <c r="T401" s="219"/>
      <c r="U401" s="220"/>
      <c r="V401" s="220"/>
      <c r="W401" s="220"/>
      <c r="X401" s="219"/>
      <c r="Y401" s="220"/>
      <c r="Z401" s="220"/>
      <c r="AA401" s="220"/>
      <c r="AB401" s="219"/>
      <c r="AC401" s="220"/>
      <c r="AD401" s="220"/>
      <c r="AE401" s="220"/>
      <c r="AF401" s="219"/>
      <c r="AG401" s="220"/>
      <c r="AH401" s="220"/>
      <c r="AI401" s="220"/>
      <c r="AJ401" s="219"/>
      <c r="AK401" s="220"/>
      <c r="AL401" s="220"/>
      <c r="AM401" s="220"/>
      <c r="AN401" s="219">
        <f t="shared" ref="AN401:AW401" si="789">AN391/AJ391-1</f>
        <v>-0.14495750057431667</v>
      </c>
      <c r="AO401" s="220">
        <f t="shared" si="789"/>
        <v>-0.1777434312210201</v>
      </c>
      <c r="AP401" s="220">
        <f t="shared" si="789"/>
        <v>-0.19209354120267264</v>
      </c>
      <c r="AQ401" s="220">
        <f t="shared" si="789"/>
        <v>-0.1142075791118633</v>
      </c>
      <c r="AR401" s="219">
        <f t="shared" si="789"/>
        <v>-0.11203653949489523</v>
      </c>
      <c r="AS401" s="220">
        <f t="shared" si="789"/>
        <v>-7.5859291084855007E-2</v>
      </c>
      <c r="AT401" s="220">
        <f t="shared" si="789"/>
        <v>-1.3921433494141988E-2</v>
      </c>
      <c r="AU401" s="258">
        <f t="shared" si="789"/>
        <v>5.557189062040524E-2</v>
      </c>
      <c r="AV401" s="219">
        <f t="shared" si="789"/>
        <v>6.8835098335854772E-2</v>
      </c>
      <c r="AW401" s="220">
        <f t="shared" si="789"/>
        <v>0.10068284178410591</v>
      </c>
      <c r="AX401" s="220"/>
      <c r="AY401" s="258"/>
      <c r="AZ401" s="257"/>
      <c r="BA401" s="257"/>
      <c r="BB401" s="220"/>
      <c r="BC401" s="258"/>
      <c r="BD401" s="257"/>
      <c r="BE401" s="257"/>
      <c r="BF401" s="257"/>
      <c r="BG401" s="258"/>
      <c r="BH401" s="257"/>
      <c r="BI401" s="257"/>
      <c r="BJ401" s="257"/>
      <c r="BK401" s="258"/>
      <c r="BL401" s="257"/>
      <c r="BM401" s="257"/>
      <c r="BN401" s="257"/>
      <c r="BO401" s="258"/>
      <c r="BP401" s="257"/>
      <c r="BQ401" s="257"/>
      <c r="BR401" s="257"/>
      <c r="BS401" s="258"/>
      <c r="BT401" s="257"/>
      <c r="BU401" s="257"/>
      <c r="BV401" s="257"/>
      <c r="BW401" s="258"/>
      <c r="BX401" s="21"/>
      <c r="BY401" s="22"/>
      <c r="BZ401" s="338"/>
      <c r="CA401" s="338"/>
      <c r="CB401" s="338"/>
      <c r="CC401" s="338"/>
      <c r="CD401" s="338"/>
      <c r="CE401" s="338">
        <f>CE391/CD391-1</f>
        <v>-0.13913762896632276</v>
      </c>
      <c r="CF401" s="338">
        <f>CF391/CE391-1</f>
        <v>0.30781841822601619</v>
      </c>
      <c r="CG401" s="338">
        <f>CG391/CF391-1</f>
        <v>0.48798305524336483</v>
      </c>
      <c r="CH401" s="338">
        <f>CH391/CG391-1</f>
        <v>-0.15902158440577518</v>
      </c>
      <c r="CI401" s="220">
        <f>CI391/CE391-1</f>
        <v>0.57312454067499563</v>
      </c>
      <c r="CJ401" s="338"/>
      <c r="CK401" s="338"/>
      <c r="CL401" s="338"/>
      <c r="CM401" s="338"/>
      <c r="CN401" s="338"/>
      <c r="CO401" s="338"/>
      <c r="CP401" s="337"/>
    </row>
    <row r="402" spans="1:94" ht="14.25" hidden="1" customHeight="1" outlineLevel="2">
      <c r="A402" s="9"/>
      <c r="B402" s="226"/>
      <c r="C402" s="255"/>
      <c r="D402" s="255"/>
      <c r="E402" s="255"/>
      <c r="F402" s="255"/>
      <c r="G402" s="227"/>
      <c r="H402" s="255"/>
      <c r="I402" s="255"/>
      <c r="J402" s="255"/>
      <c r="K402" s="227"/>
      <c r="L402" s="264"/>
      <c r="M402" s="264"/>
      <c r="N402" s="264"/>
      <c r="O402" s="265"/>
      <c r="P402" s="264"/>
      <c r="Q402" s="264"/>
      <c r="R402" s="264"/>
      <c r="S402" s="265"/>
      <c r="T402" s="264"/>
      <c r="U402" s="264"/>
      <c r="V402" s="264"/>
      <c r="W402" s="265"/>
      <c r="X402" s="264"/>
      <c r="Y402" s="264"/>
      <c r="Z402" s="264"/>
      <c r="AA402" s="265"/>
      <c r="AB402" s="264"/>
      <c r="AC402" s="264"/>
      <c r="AD402" s="264"/>
      <c r="AE402" s="265"/>
      <c r="AF402" s="264"/>
      <c r="AG402" s="264"/>
      <c r="AH402" s="264"/>
      <c r="AI402" s="265"/>
      <c r="AJ402" s="264"/>
      <c r="AK402" s="264"/>
      <c r="AL402" s="264"/>
      <c r="AM402" s="265"/>
      <c r="AN402" s="264"/>
      <c r="AO402" s="264"/>
      <c r="AP402" s="264"/>
      <c r="AQ402" s="265"/>
      <c r="AR402" s="264"/>
      <c r="AS402" s="264"/>
      <c r="AT402" s="264"/>
      <c r="AU402" s="265"/>
      <c r="AV402" s="264"/>
      <c r="AW402" s="264"/>
      <c r="AX402" s="264"/>
      <c r="AY402" s="265"/>
      <c r="AZ402" s="264"/>
      <c r="BA402" s="264"/>
      <c r="BB402" s="264"/>
      <c r="BC402" s="265"/>
      <c r="BD402" s="264"/>
      <c r="BE402" s="264"/>
      <c r="BF402" s="264"/>
      <c r="BG402" s="265"/>
      <c r="BH402" s="264"/>
      <c r="BI402" s="264"/>
      <c r="BJ402" s="264"/>
      <c r="BK402" s="265"/>
      <c r="BL402" s="264"/>
      <c r="BM402" s="264"/>
      <c r="BN402" s="264"/>
      <c r="BO402" s="265"/>
      <c r="BP402" s="264"/>
      <c r="BQ402" s="264"/>
      <c r="BR402" s="264"/>
      <c r="BS402" s="265"/>
      <c r="BT402" s="264"/>
      <c r="BU402" s="264"/>
      <c r="BV402" s="264"/>
      <c r="BW402" s="265"/>
      <c r="BX402" s="263"/>
      <c r="BY402" s="226"/>
      <c r="BZ402" s="255"/>
      <c r="CA402" s="264"/>
      <c r="CB402" s="264"/>
      <c r="CC402" s="264"/>
      <c r="CD402" s="264"/>
      <c r="CE402" s="264"/>
      <c r="CF402" s="264"/>
      <c r="CG402" s="264"/>
      <c r="CH402" s="264"/>
      <c r="CI402" s="264"/>
      <c r="CJ402" s="264"/>
      <c r="CK402" s="264"/>
      <c r="CL402" s="264"/>
      <c r="CM402" s="264"/>
      <c r="CN402" s="264"/>
      <c r="CO402" s="264"/>
      <c r="CP402" s="265"/>
    </row>
    <row r="403" spans="1:94" ht="14.25" hidden="1" customHeight="1" outlineLevel="1">
      <c r="A403" s="2"/>
      <c r="B403" s="57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  <c r="AJ403" s="9"/>
      <c r="AK403" s="9"/>
      <c r="AL403" s="9"/>
      <c r="AM403" s="9"/>
      <c r="AN403" s="9"/>
      <c r="AO403" s="9"/>
      <c r="AP403" s="9"/>
      <c r="AQ403" s="9"/>
      <c r="AR403" s="9"/>
      <c r="AS403" s="9"/>
      <c r="AT403" s="9"/>
      <c r="AU403" s="9"/>
      <c r="AV403" s="9"/>
      <c r="AW403" s="9"/>
      <c r="AX403" s="9"/>
      <c r="AY403" s="15"/>
      <c r="AZ403" s="15"/>
      <c r="BA403" s="15"/>
      <c r="BB403" s="9"/>
      <c r="BC403" s="15"/>
      <c r="BD403" s="15"/>
      <c r="BE403" s="15"/>
      <c r="BF403" s="15"/>
      <c r="BG403" s="15"/>
      <c r="BH403" s="15"/>
      <c r="BI403" s="15"/>
      <c r="BJ403" s="15"/>
      <c r="BK403" s="15"/>
      <c r="BL403" s="15"/>
      <c r="BM403" s="15"/>
      <c r="BN403" s="15"/>
      <c r="BO403" s="15"/>
      <c r="BP403" s="15"/>
      <c r="BQ403" s="15"/>
      <c r="BR403" s="15"/>
      <c r="BS403" s="15"/>
      <c r="BT403" s="15"/>
      <c r="BU403" s="15"/>
      <c r="BV403" s="15"/>
      <c r="BW403" s="15"/>
      <c r="BX403" s="15"/>
      <c r="BY403" s="15"/>
      <c r="BZ403" s="15"/>
      <c r="CA403" s="9"/>
      <c r="CB403" s="9"/>
      <c r="CC403" s="9"/>
      <c r="CD403" s="9"/>
      <c r="CE403" s="9"/>
      <c r="CF403" s="9"/>
      <c r="CG403" s="9"/>
      <c r="CH403" s="9"/>
      <c r="CI403" s="9"/>
      <c r="CJ403" s="15"/>
      <c r="CK403" s="15"/>
      <c r="CL403" s="15"/>
      <c r="CM403" s="15"/>
      <c r="CN403" s="15"/>
      <c r="CO403" s="15"/>
      <c r="CP403" s="15"/>
    </row>
    <row r="404" spans="1:94" ht="14.25" hidden="1" customHeight="1" outlineLevel="1">
      <c r="A404" s="160"/>
      <c r="B404" s="368" t="s">
        <v>301</v>
      </c>
      <c r="C404" s="251"/>
      <c r="D404" s="251"/>
      <c r="E404" s="251"/>
      <c r="F404" s="251"/>
      <c r="G404" s="251"/>
      <c r="H404" s="251"/>
      <c r="I404" s="251"/>
      <c r="J404" s="251"/>
      <c r="K404" s="251"/>
      <c r="L404" s="313"/>
      <c r="M404" s="313"/>
      <c r="N404" s="313"/>
      <c r="O404" s="313"/>
      <c r="P404" s="313"/>
      <c r="Q404" s="313"/>
      <c r="R404" s="313"/>
      <c r="S404" s="313"/>
      <c r="T404" s="313"/>
      <c r="U404" s="313"/>
      <c r="V404" s="313"/>
      <c r="W404" s="313"/>
      <c r="X404" s="313"/>
      <c r="Y404" s="313"/>
      <c r="Z404" s="313"/>
      <c r="AA404" s="313"/>
      <c r="AB404" s="313"/>
      <c r="AC404" s="313"/>
      <c r="AD404" s="313"/>
      <c r="AE404" s="313"/>
      <c r="AF404" s="313"/>
      <c r="AG404" s="313"/>
      <c r="AH404" s="313"/>
      <c r="AI404" s="313"/>
      <c r="AJ404" s="313" t="str">
        <f t="shared" ref="AJ404:AX404" si="790">IF(ABS(AJ159-AJ368)&lt;1,"OK",AJ159-AJ368)</f>
        <v>OK</v>
      </c>
      <c r="AK404" s="313" t="str">
        <f t="shared" si="790"/>
        <v>OK</v>
      </c>
      <c r="AL404" s="313" t="str">
        <f t="shared" si="790"/>
        <v>OK</v>
      </c>
      <c r="AM404" s="313" t="str">
        <f t="shared" si="790"/>
        <v>OK</v>
      </c>
      <c r="AN404" s="313" t="str">
        <f t="shared" si="790"/>
        <v>OK</v>
      </c>
      <c r="AO404" s="313" t="str">
        <f t="shared" si="790"/>
        <v>OK</v>
      </c>
      <c r="AP404" s="313" t="str">
        <f t="shared" si="790"/>
        <v>OK</v>
      </c>
      <c r="AQ404" s="367" t="str">
        <f t="shared" si="790"/>
        <v>OK</v>
      </c>
      <c r="AR404" s="367" t="str">
        <f t="shared" si="790"/>
        <v>OK</v>
      </c>
      <c r="AS404" s="367" t="str">
        <f t="shared" si="790"/>
        <v>OK</v>
      </c>
      <c r="AT404" s="367" t="str">
        <f t="shared" si="790"/>
        <v>OK</v>
      </c>
      <c r="AU404" s="367" t="str">
        <f t="shared" si="790"/>
        <v>OK</v>
      </c>
      <c r="AV404" s="367" t="str">
        <f t="shared" si="790"/>
        <v>OK</v>
      </c>
      <c r="AW404" s="367" t="str">
        <f t="shared" si="790"/>
        <v>OK</v>
      </c>
      <c r="AX404" s="367" t="str">
        <f t="shared" si="790"/>
        <v>OK</v>
      </c>
      <c r="AY404" s="313"/>
      <c r="AZ404" s="313"/>
      <c r="BA404" s="313"/>
      <c r="BB404" s="367" t="str">
        <f>IF(ABS(BB159-BB368)&lt;1,"OK",BB159-BB368)</f>
        <v>OK</v>
      </c>
      <c r="BC404" s="313"/>
      <c r="BD404" s="313"/>
      <c r="BE404" s="313"/>
      <c r="BF404" s="313"/>
      <c r="BG404" s="313"/>
      <c r="BH404" s="313"/>
      <c r="BI404" s="313"/>
      <c r="BJ404" s="313"/>
      <c r="BK404" s="313"/>
      <c r="BL404" s="313"/>
      <c r="BM404" s="313"/>
      <c r="BN404" s="313"/>
      <c r="BO404" s="313"/>
      <c r="BP404" s="313"/>
      <c r="BQ404" s="313"/>
      <c r="BR404" s="313"/>
      <c r="BS404" s="313"/>
      <c r="BT404" s="313"/>
      <c r="BU404" s="313"/>
      <c r="BV404" s="313"/>
      <c r="BW404" s="313"/>
      <c r="BX404" s="15"/>
      <c r="BY404" s="15"/>
      <c r="BZ404" s="15"/>
      <c r="CA404" s="313"/>
      <c r="CB404" s="313"/>
      <c r="CC404" s="313"/>
      <c r="CD404" s="313" t="str">
        <f t="shared" ref="CD404:CI404" si="791">IF(ABS(CD159-CD368)&lt;1,"OK",CD159-CD368)</f>
        <v>OK</v>
      </c>
      <c r="CE404" s="313" t="str">
        <f t="shared" si="791"/>
        <v>OK</v>
      </c>
      <c r="CF404" s="313" t="str">
        <f t="shared" si="791"/>
        <v>OK</v>
      </c>
      <c r="CG404" s="313" t="str">
        <f t="shared" si="791"/>
        <v>OK</v>
      </c>
      <c r="CH404" s="367" t="str">
        <f t="shared" si="791"/>
        <v>OK</v>
      </c>
      <c r="CI404" s="367" t="str">
        <f t="shared" si="791"/>
        <v>OK</v>
      </c>
      <c r="CJ404" s="313"/>
      <c r="CK404" s="313"/>
      <c r="CL404" s="313"/>
      <c r="CM404" s="313"/>
      <c r="CN404" s="313"/>
      <c r="CO404" s="313"/>
      <c r="CP404" s="313"/>
    </row>
    <row r="405" spans="1:94" ht="14.25" hidden="1" customHeight="1" outlineLevel="1">
      <c r="A405" s="15"/>
      <c r="B405" s="368" t="s">
        <v>364</v>
      </c>
      <c r="C405" s="251"/>
      <c r="D405" s="251"/>
      <c r="E405" s="251"/>
      <c r="F405" s="251"/>
      <c r="G405" s="251"/>
      <c r="H405" s="251"/>
      <c r="I405" s="251"/>
      <c r="J405" s="251"/>
      <c r="K405" s="251"/>
      <c r="L405" s="313"/>
      <c r="M405" s="313"/>
      <c r="N405" s="313"/>
      <c r="O405" s="313"/>
      <c r="P405" s="313"/>
      <c r="Q405" s="313"/>
      <c r="R405" s="313"/>
      <c r="S405" s="313"/>
      <c r="T405" s="313"/>
      <c r="U405" s="313"/>
      <c r="V405" s="313"/>
      <c r="W405" s="313"/>
      <c r="X405" s="313"/>
      <c r="Y405" s="313"/>
      <c r="Z405" s="313"/>
      <c r="AA405" s="313"/>
      <c r="AB405" s="313"/>
      <c r="AC405" s="313"/>
      <c r="AD405" s="313"/>
      <c r="AE405" s="313"/>
      <c r="AF405" s="313"/>
      <c r="AG405" s="313"/>
      <c r="AH405" s="313"/>
      <c r="AI405" s="313"/>
      <c r="AJ405" s="313" t="str">
        <f t="shared" ref="AJ405:AX405" si="792">IF(ABS(AJ386-AJ161)&lt;1,"OK",AJ386-AJ161)</f>
        <v>OK</v>
      </c>
      <c r="AK405" s="313" t="str">
        <f t="shared" si="792"/>
        <v>OK</v>
      </c>
      <c r="AL405" s="313" t="str">
        <f t="shared" si="792"/>
        <v>OK</v>
      </c>
      <c r="AM405" s="313" t="str">
        <f t="shared" si="792"/>
        <v>OK</v>
      </c>
      <c r="AN405" s="367" t="str">
        <f t="shared" si="792"/>
        <v>OK</v>
      </c>
      <c r="AO405" s="367" t="str">
        <f t="shared" si="792"/>
        <v>OK</v>
      </c>
      <c r="AP405" s="367" t="str">
        <f t="shared" si="792"/>
        <v>OK</v>
      </c>
      <c r="AQ405" s="313" t="str">
        <f t="shared" si="792"/>
        <v>OK</v>
      </c>
      <c r="AR405" s="367" t="str">
        <f t="shared" si="792"/>
        <v>OK</v>
      </c>
      <c r="AS405" s="367" t="str">
        <f t="shared" si="792"/>
        <v>OK</v>
      </c>
      <c r="AT405" s="367" t="str">
        <f t="shared" si="792"/>
        <v>OK</v>
      </c>
      <c r="AU405" s="367" t="str">
        <f t="shared" si="792"/>
        <v>OK</v>
      </c>
      <c r="AV405" s="367" t="str">
        <f t="shared" si="792"/>
        <v>OK</v>
      </c>
      <c r="AW405" s="367" t="str">
        <f t="shared" si="792"/>
        <v>OK</v>
      </c>
      <c r="AX405" s="367">
        <f t="shared" si="792"/>
        <v>-57.600000000000023</v>
      </c>
      <c r="AY405" s="313"/>
      <c r="AZ405" s="313"/>
      <c r="BA405" s="313"/>
      <c r="BB405" s="367">
        <f>IF(ABS(BB386-BB161)&lt;1,"OK",BB386-BB161)</f>
        <v>-69.400000000000006</v>
      </c>
      <c r="BC405" s="313"/>
      <c r="BD405" s="313"/>
      <c r="BE405" s="313"/>
      <c r="BF405" s="313"/>
      <c r="BG405" s="313"/>
      <c r="BH405" s="313"/>
      <c r="BI405" s="313"/>
      <c r="BJ405" s="313"/>
      <c r="BK405" s="313"/>
      <c r="BL405" s="313"/>
      <c r="BM405" s="313"/>
      <c r="BN405" s="313"/>
      <c r="BO405" s="313"/>
      <c r="BP405" s="313"/>
      <c r="BQ405" s="313"/>
      <c r="BR405" s="313"/>
      <c r="BS405" s="313"/>
      <c r="BT405" s="313"/>
      <c r="BU405" s="313"/>
      <c r="BV405" s="313"/>
      <c r="BW405" s="313"/>
      <c r="BX405" s="15"/>
      <c r="BY405" s="15"/>
      <c r="BZ405" s="15"/>
      <c r="CA405" s="313"/>
      <c r="CB405" s="313"/>
      <c r="CC405" s="313"/>
      <c r="CD405" s="313" t="str">
        <f t="shared" ref="CD405:CI405" si="793">IF(ABS(CD386-CD161)&lt;1,"OK",CD386-CD161)</f>
        <v>OK</v>
      </c>
      <c r="CE405" s="313" t="str">
        <f t="shared" si="793"/>
        <v>OK</v>
      </c>
      <c r="CF405" s="313" t="str">
        <f t="shared" si="793"/>
        <v>OK</v>
      </c>
      <c r="CG405" s="313" t="str">
        <f t="shared" si="793"/>
        <v>OK</v>
      </c>
      <c r="CH405" s="367" t="str">
        <f t="shared" si="793"/>
        <v>OK</v>
      </c>
      <c r="CI405" s="367" t="str">
        <f t="shared" si="793"/>
        <v>OK</v>
      </c>
      <c r="CJ405" s="313"/>
      <c r="CK405" s="313"/>
      <c r="CL405" s="313"/>
      <c r="CM405" s="313"/>
      <c r="CN405" s="313"/>
      <c r="CO405" s="313"/>
      <c r="CP405" s="313"/>
    </row>
    <row r="406" spans="1:94" ht="14.25" hidden="1" customHeight="1" outlineLevel="1">
      <c r="A406" s="2"/>
      <c r="B406" s="268"/>
      <c r="C406" s="268"/>
      <c r="D406" s="268"/>
      <c r="E406" s="268"/>
      <c r="F406" s="268"/>
      <c r="G406" s="268"/>
      <c r="H406" s="268"/>
      <c r="I406" s="268"/>
      <c r="J406" s="268"/>
      <c r="K406" s="268"/>
      <c r="L406" s="269"/>
      <c r="M406" s="269"/>
      <c r="N406" s="269"/>
      <c r="O406" s="269"/>
      <c r="P406" s="269"/>
      <c r="Q406" s="269"/>
      <c r="R406" s="269"/>
      <c r="S406" s="269"/>
      <c r="T406" s="269"/>
      <c r="U406" s="269"/>
      <c r="V406" s="269"/>
      <c r="W406" s="269"/>
      <c r="X406" s="269"/>
      <c r="Y406" s="269"/>
      <c r="Z406" s="269"/>
      <c r="AA406" s="269"/>
      <c r="AB406" s="269"/>
      <c r="AC406" s="269"/>
      <c r="AD406" s="269"/>
      <c r="AE406" s="269"/>
      <c r="AF406" s="269"/>
      <c r="AG406" s="269"/>
      <c r="AH406" s="269"/>
      <c r="AI406" s="269"/>
      <c r="AJ406" s="269"/>
      <c r="AK406" s="269"/>
      <c r="AL406" s="269"/>
      <c r="AM406" s="269"/>
      <c r="AN406" s="269"/>
      <c r="AO406" s="269"/>
      <c r="AP406" s="269"/>
      <c r="AQ406" s="269"/>
      <c r="AR406" s="269"/>
      <c r="AS406" s="269"/>
      <c r="AT406" s="269"/>
      <c r="AU406" s="269"/>
      <c r="AV406" s="269"/>
      <c r="AW406" s="269"/>
      <c r="AX406" s="269"/>
      <c r="AY406" s="269"/>
      <c r="AZ406" s="269"/>
      <c r="BA406" s="269"/>
      <c r="BB406" s="269"/>
      <c r="BC406" s="269"/>
      <c r="BD406" s="269"/>
      <c r="BE406" s="269"/>
      <c r="BF406" s="269"/>
      <c r="BG406" s="269"/>
      <c r="BH406" s="269"/>
      <c r="BI406" s="269"/>
      <c r="BJ406" s="269"/>
      <c r="BK406" s="269"/>
      <c r="BL406" s="269"/>
      <c r="BM406" s="269"/>
      <c r="BN406" s="269"/>
      <c r="BO406" s="269"/>
      <c r="BP406" s="269"/>
      <c r="BQ406" s="269"/>
      <c r="BR406" s="269"/>
      <c r="BS406" s="269"/>
      <c r="BT406" s="269"/>
      <c r="BU406" s="269"/>
      <c r="BV406" s="269"/>
      <c r="BW406" s="269"/>
      <c r="BX406" s="2"/>
      <c r="BY406" s="2"/>
      <c r="BZ406" s="2"/>
      <c r="CA406" s="2"/>
      <c r="CB406" s="2"/>
      <c r="CC406" s="2"/>
      <c r="CD406" s="2"/>
      <c r="CE406" s="269"/>
      <c r="CF406" s="269"/>
      <c r="CG406" s="269"/>
      <c r="CH406" s="269"/>
      <c r="CI406" s="269"/>
      <c r="CJ406" s="269"/>
      <c r="CK406" s="269"/>
      <c r="CL406" s="269"/>
      <c r="CM406" s="269"/>
      <c r="CN406" s="269"/>
      <c r="CO406" s="269"/>
      <c r="CP406" s="269"/>
    </row>
    <row r="407" spans="1:94" ht="14.25" hidden="1" customHeight="1" outlineLevel="1">
      <c r="A407" s="2"/>
      <c r="B407" s="91" t="s">
        <v>504</v>
      </c>
      <c r="C407" s="268"/>
      <c r="D407" s="268"/>
      <c r="E407" s="268"/>
      <c r="F407" s="268"/>
      <c r="G407" s="268"/>
      <c r="H407" s="268"/>
      <c r="I407" s="268"/>
      <c r="J407" s="268"/>
      <c r="K407" s="268"/>
      <c r="L407" s="269"/>
      <c r="M407" s="269"/>
      <c r="N407" s="269"/>
      <c r="O407" s="269"/>
      <c r="P407" s="269"/>
      <c r="Q407" s="269"/>
      <c r="R407" s="269"/>
      <c r="S407" s="269"/>
      <c r="T407" s="269"/>
      <c r="U407" s="269"/>
      <c r="V407" s="269"/>
      <c r="W407" s="269"/>
      <c r="X407" s="269"/>
      <c r="Y407" s="269"/>
      <c r="Z407" s="269"/>
      <c r="AA407" s="269"/>
      <c r="AB407" s="269"/>
      <c r="AC407" s="269"/>
      <c r="AD407" s="269"/>
      <c r="AE407" s="269"/>
      <c r="AF407" s="269"/>
      <c r="AG407" s="269"/>
      <c r="AH407" s="269"/>
      <c r="AI407" s="269"/>
      <c r="AJ407" s="269"/>
      <c r="AK407" s="269"/>
      <c r="AL407" s="269"/>
      <c r="AM407" s="269"/>
      <c r="AN407" s="269"/>
      <c r="AO407" s="269"/>
      <c r="AP407" s="269"/>
      <c r="AQ407" s="269"/>
      <c r="AR407" s="269"/>
      <c r="AS407" s="269"/>
      <c r="AT407" s="269"/>
      <c r="AU407" s="269"/>
      <c r="AV407" s="269"/>
      <c r="AW407" s="269"/>
      <c r="AX407" s="269"/>
      <c r="AY407" s="269"/>
      <c r="AZ407" s="269"/>
      <c r="BA407" s="269"/>
      <c r="BB407" s="269"/>
      <c r="BC407" s="269"/>
      <c r="BD407" s="269"/>
      <c r="BE407" s="269"/>
      <c r="BF407" s="269"/>
      <c r="BG407" s="269"/>
      <c r="BH407" s="269"/>
      <c r="BI407" s="269"/>
      <c r="BJ407" s="269"/>
      <c r="BK407" s="269"/>
      <c r="BL407" s="269"/>
      <c r="BM407" s="269"/>
      <c r="BN407" s="269"/>
      <c r="BO407" s="269"/>
      <c r="BP407" s="269"/>
      <c r="BQ407" s="269"/>
      <c r="BR407" s="269"/>
      <c r="BS407" s="269"/>
      <c r="BT407" s="269"/>
      <c r="BU407" s="269"/>
      <c r="BV407" s="269"/>
      <c r="BW407" s="269"/>
      <c r="BX407" s="2"/>
      <c r="BY407" s="2"/>
      <c r="BZ407" s="2"/>
      <c r="CA407" s="2"/>
      <c r="CB407" s="2"/>
      <c r="CC407" s="2"/>
      <c r="CD407" s="2"/>
      <c r="CE407" s="269"/>
      <c r="CF407" s="269"/>
      <c r="CG407" s="269"/>
      <c r="CH407" s="269"/>
      <c r="CI407" s="269"/>
      <c r="CJ407" s="269"/>
      <c r="CK407" s="269"/>
      <c r="CL407" s="269"/>
      <c r="CM407" s="269"/>
      <c r="CN407" s="269"/>
      <c r="CO407" s="269"/>
      <c r="CP407" s="269"/>
    </row>
    <row r="408" spans="1:94" ht="14.25" hidden="1" customHeight="1" outlineLevel="1">
      <c r="A408" s="2"/>
      <c r="B408" s="91"/>
      <c r="C408" s="268"/>
      <c r="D408" s="268"/>
      <c r="E408" s="268"/>
      <c r="F408" s="268"/>
      <c r="G408" s="268"/>
      <c r="H408" s="268"/>
      <c r="I408" s="268"/>
      <c r="J408" s="268"/>
      <c r="K408" s="268"/>
      <c r="L408" s="269"/>
      <c r="M408" s="269"/>
      <c r="N408" s="269"/>
      <c r="O408" s="269"/>
      <c r="P408" s="269"/>
      <c r="Q408" s="269"/>
      <c r="R408" s="269"/>
      <c r="S408" s="269"/>
      <c r="T408" s="269"/>
      <c r="U408" s="269"/>
      <c r="V408" s="269"/>
      <c r="W408" s="269"/>
      <c r="X408" s="269"/>
      <c r="Y408" s="269"/>
      <c r="Z408" s="269"/>
      <c r="AA408" s="269"/>
      <c r="AB408" s="269"/>
      <c r="AC408" s="269"/>
      <c r="AD408" s="269"/>
      <c r="AE408" s="269"/>
      <c r="AF408" s="269"/>
      <c r="AG408" s="269"/>
      <c r="AH408" s="269"/>
      <c r="AI408" s="269"/>
      <c r="AJ408" s="269"/>
      <c r="AK408" s="269"/>
      <c r="AL408" s="269"/>
      <c r="AM408" s="269"/>
      <c r="AN408" s="269"/>
      <c r="AO408" s="269"/>
      <c r="AP408" s="269"/>
      <c r="AQ408" s="269"/>
      <c r="AR408" s="269"/>
      <c r="AS408" s="269"/>
      <c r="AT408" s="269"/>
      <c r="AU408" s="269"/>
      <c r="AV408" s="269"/>
      <c r="AW408" s="269"/>
      <c r="AX408" s="269"/>
      <c r="AY408" s="269"/>
      <c r="AZ408" s="269"/>
      <c r="BA408" s="269"/>
      <c r="BB408" s="269"/>
      <c r="BC408" s="269"/>
      <c r="BD408" s="269"/>
      <c r="BE408" s="269"/>
      <c r="BF408" s="269"/>
      <c r="BG408" s="269"/>
      <c r="BH408" s="269"/>
      <c r="BI408" s="269"/>
      <c r="BJ408" s="269"/>
      <c r="BK408" s="269"/>
      <c r="BL408" s="269"/>
      <c r="BM408" s="269"/>
      <c r="BN408" s="269"/>
      <c r="BO408" s="269"/>
      <c r="BP408" s="269"/>
      <c r="BQ408" s="269"/>
      <c r="BR408" s="269"/>
      <c r="BS408" s="269"/>
      <c r="BT408" s="269"/>
      <c r="BU408" s="269"/>
      <c r="BV408" s="269"/>
      <c r="BW408" s="269"/>
      <c r="BX408" s="2"/>
      <c r="BY408" s="2"/>
      <c r="BZ408" s="2"/>
      <c r="CA408" s="2"/>
      <c r="CB408" s="2"/>
      <c r="CC408" s="2"/>
      <c r="CD408" s="2"/>
      <c r="CE408" s="269"/>
      <c r="CF408" s="269"/>
      <c r="CG408" s="269"/>
      <c r="CH408" s="269"/>
      <c r="CI408" s="269"/>
      <c r="CJ408" s="269"/>
      <c r="CK408" s="269"/>
      <c r="CL408" s="269"/>
      <c r="CM408" s="269"/>
      <c r="CN408" s="269"/>
      <c r="CO408" s="269"/>
      <c r="CP408" s="269"/>
    </row>
    <row r="409" spans="1:94" ht="14.25" hidden="1" customHeight="1" outlineLevel="2">
      <c r="A409" s="9"/>
      <c r="B409" s="10" t="s">
        <v>498</v>
      </c>
      <c r="C409" s="371"/>
      <c r="D409" s="371"/>
      <c r="E409" s="371"/>
      <c r="F409" s="371"/>
      <c r="G409" s="11"/>
      <c r="H409" s="371"/>
      <c r="I409" s="371"/>
      <c r="J409" s="371"/>
      <c r="K409" s="371"/>
      <c r="L409" s="393"/>
      <c r="M409" s="394"/>
      <c r="N409" s="394"/>
      <c r="O409" s="395"/>
      <c r="P409" s="393"/>
      <c r="Q409" s="394"/>
      <c r="R409" s="394"/>
      <c r="S409" s="395"/>
      <c r="T409" s="393"/>
      <c r="U409" s="394"/>
      <c r="V409" s="394"/>
      <c r="W409" s="395"/>
      <c r="X409" s="393"/>
      <c r="Y409" s="394"/>
      <c r="Z409" s="394"/>
      <c r="AA409" s="395"/>
      <c r="AB409" s="393"/>
      <c r="AC409" s="394"/>
      <c r="AD409" s="394"/>
      <c r="AE409" s="791"/>
      <c r="AF409" s="762">
        <v>143.30000000000001</v>
      </c>
      <c r="AG409" s="784">
        <v>155.19999999999999</v>
      </c>
      <c r="AH409" s="784">
        <v>157.1</v>
      </c>
      <c r="AI409" s="756">
        <v>153.4</v>
      </c>
      <c r="AJ409" s="762">
        <v>155.69999999999999</v>
      </c>
      <c r="AK409" s="784">
        <v>166.7</v>
      </c>
      <c r="AL409" s="784">
        <v>151.1</v>
      </c>
      <c r="AM409" s="756">
        <v>135.6</v>
      </c>
      <c r="AN409" s="762">
        <v>138.30000000000001</v>
      </c>
      <c r="AO409" s="784">
        <v>136.4</v>
      </c>
      <c r="AP409" s="784">
        <v>146.69999999999999</v>
      </c>
      <c r="AQ409" s="756"/>
      <c r="AR409" s="785"/>
      <c r="AS409" s="786"/>
      <c r="AT409" s="786"/>
      <c r="AU409" s="787"/>
      <c r="AV409" s="785"/>
      <c r="AW409" s="786"/>
      <c r="AX409" s="786"/>
      <c r="AY409" s="787"/>
      <c r="AZ409" s="785"/>
      <c r="BA409" s="786"/>
      <c r="BB409" s="786"/>
      <c r="BC409" s="787"/>
      <c r="BD409" s="785"/>
      <c r="BE409" s="786"/>
      <c r="BF409" s="786"/>
      <c r="BG409" s="787"/>
      <c r="BH409" s="785"/>
      <c r="BI409" s="786"/>
      <c r="BJ409" s="786"/>
      <c r="BK409" s="787"/>
      <c r="BL409" s="785"/>
      <c r="BM409" s="786"/>
      <c r="BN409" s="786"/>
      <c r="BO409" s="787"/>
      <c r="BP409" s="785"/>
      <c r="BQ409" s="786"/>
      <c r="BR409" s="786"/>
      <c r="BS409" s="787"/>
      <c r="BT409" s="785"/>
      <c r="BU409" s="786"/>
      <c r="BV409" s="786"/>
      <c r="BW409" s="787"/>
      <c r="BX409" s="263"/>
      <c r="BY409" s="10"/>
      <c r="BZ409" s="371"/>
      <c r="CA409" s="387"/>
      <c r="CB409" s="387"/>
      <c r="CC409" s="784">
        <v>520.4</v>
      </c>
      <c r="CD409" s="784">
        <v>600.29999999999995</v>
      </c>
      <c r="CE409" s="784">
        <v>473</v>
      </c>
      <c r="CF409" s="800">
        <f>SUM(AF409:AI409)</f>
        <v>609</v>
      </c>
      <c r="CG409" s="387">
        <f>SUM(AJ409:AM409)</f>
        <v>609.1</v>
      </c>
      <c r="CH409" s="387"/>
      <c r="CI409" s="387"/>
      <c r="CJ409" s="387"/>
      <c r="CK409" s="387"/>
      <c r="CL409" s="387"/>
      <c r="CM409" s="387"/>
      <c r="CN409" s="387"/>
      <c r="CO409" s="387"/>
      <c r="CP409" s="915"/>
    </row>
    <row r="410" spans="1:94" ht="14.25" hidden="1" customHeight="1" outlineLevel="2">
      <c r="A410" s="9"/>
      <c r="B410" s="217" t="s">
        <v>297</v>
      </c>
      <c r="C410" s="372"/>
      <c r="D410" s="372"/>
      <c r="E410" s="372"/>
      <c r="F410" s="372"/>
      <c r="G410" s="218"/>
      <c r="H410" s="372"/>
      <c r="I410" s="372"/>
      <c r="J410" s="372"/>
      <c r="K410" s="372"/>
      <c r="L410" s="219"/>
      <c r="M410" s="370"/>
      <c r="N410" s="370"/>
      <c r="O410" s="335"/>
      <c r="P410" s="378"/>
      <c r="Q410" s="370"/>
      <c r="R410" s="370"/>
      <c r="S410" s="370"/>
      <c r="T410" s="378"/>
      <c r="U410" s="370"/>
      <c r="V410" s="370"/>
      <c r="W410" s="335"/>
      <c r="X410" s="378"/>
      <c r="Y410" s="370"/>
      <c r="Z410" s="370"/>
      <c r="AA410" s="335"/>
      <c r="AB410" s="378"/>
      <c r="AC410" s="370"/>
      <c r="AD410" s="370"/>
      <c r="AE410" s="335"/>
      <c r="AF410" s="425"/>
      <c r="AG410" s="418">
        <f t="shared" ref="AG410:AP410" si="794">AG409/AF409-1</f>
        <v>8.3042568039078724E-2</v>
      </c>
      <c r="AH410" s="418">
        <f t="shared" si="794"/>
        <v>1.224226804123707E-2</v>
      </c>
      <c r="AI410" s="419">
        <f t="shared" si="794"/>
        <v>-2.355187778485035E-2</v>
      </c>
      <c r="AJ410" s="425">
        <f t="shared" si="794"/>
        <v>1.4993481095175953E-2</v>
      </c>
      <c r="AK410" s="418">
        <f t="shared" si="794"/>
        <v>7.0648683365446274E-2</v>
      </c>
      <c r="AL410" s="418">
        <f t="shared" si="794"/>
        <v>-9.3581283743251364E-2</v>
      </c>
      <c r="AM410" s="419">
        <f t="shared" si="794"/>
        <v>-0.10258107213765721</v>
      </c>
      <c r="AN410" s="377">
        <f t="shared" si="794"/>
        <v>1.9911504424778848E-2</v>
      </c>
      <c r="AO410" s="78">
        <f t="shared" si="794"/>
        <v>-1.3738250180766465E-2</v>
      </c>
      <c r="AP410" s="78">
        <f t="shared" si="794"/>
        <v>7.5513196480938349E-2</v>
      </c>
      <c r="AQ410" s="335"/>
      <c r="AR410" s="134"/>
      <c r="AS410" s="78"/>
      <c r="AT410" s="78"/>
      <c r="AU410" s="79"/>
      <c r="AV410" s="134"/>
      <c r="AW410" s="78"/>
      <c r="AX410" s="78"/>
      <c r="AY410" s="79"/>
      <c r="AZ410" s="134"/>
      <c r="BA410" s="78"/>
      <c r="BB410" s="78"/>
      <c r="BC410" s="79"/>
      <c r="BD410" s="134"/>
      <c r="BE410" s="78"/>
      <c r="BF410" s="78"/>
      <c r="BG410" s="79"/>
      <c r="BH410" s="134"/>
      <c r="BI410" s="78"/>
      <c r="BJ410" s="78"/>
      <c r="BK410" s="79"/>
      <c r="BL410" s="134"/>
      <c r="BM410" s="78"/>
      <c r="BN410" s="78"/>
      <c r="BO410" s="79"/>
      <c r="BP410" s="134"/>
      <c r="BQ410" s="78"/>
      <c r="BR410" s="78"/>
      <c r="BS410" s="79"/>
      <c r="BT410" s="134"/>
      <c r="BU410" s="78"/>
      <c r="BV410" s="78"/>
      <c r="BW410" s="79"/>
      <c r="BX410" s="21"/>
      <c r="BY410" s="22"/>
      <c r="BZ410" s="15"/>
      <c r="CA410" s="15"/>
      <c r="CB410" s="15"/>
      <c r="CC410" s="370"/>
      <c r="CD410" s="370"/>
      <c r="CE410" s="370"/>
      <c r="CF410" s="370"/>
      <c r="CG410" s="220"/>
      <c r="CH410" s="220"/>
      <c r="CI410" s="220"/>
      <c r="CJ410" s="220"/>
      <c r="CK410" s="220"/>
      <c r="CL410" s="220"/>
      <c r="CM410" s="220"/>
      <c r="CN410" s="220"/>
      <c r="CO410" s="220"/>
      <c r="CP410" s="258"/>
    </row>
    <row r="411" spans="1:94" ht="14.25" hidden="1" customHeight="1" outlineLevel="2">
      <c r="A411" s="9"/>
      <c r="B411" s="32" t="s">
        <v>298</v>
      </c>
      <c r="C411" s="259"/>
      <c r="D411" s="259"/>
      <c r="E411" s="259"/>
      <c r="F411" s="259"/>
      <c r="G411" s="33"/>
      <c r="H411" s="259"/>
      <c r="I411" s="259"/>
      <c r="J411" s="259"/>
      <c r="K411" s="259"/>
      <c r="L411" s="219"/>
      <c r="M411" s="220"/>
      <c r="N411" s="220"/>
      <c r="O411" s="258"/>
      <c r="P411" s="378"/>
      <c r="Q411" s="370"/>
      <c r="R411" s="370"/>
      <c r="S411" s="370"/>
      <c r="T411" s="378"/>
      <c r="U411" s="370"/>
      <c r="V411" s="370"/>
      <c r="W411" s="335"/>
      <c r="X411" s="378"/>
      <c r="Y411" s="370"/>
      <c r="Z411" s="370"/>
      <c r="AA411" s="335"/>
      <c r="AB411" s="378"/>
      <c r="AC411" s="370"/>
      <c r="AD411" s="370"/>
      <c r="AE411" s="335"/>
      <c r="AF411" s="425"/>
      <c r="AG411" s="418"/>
      <c r="AH411" s="418"/>
      <c r="AI411" s="419"/>
      <c r="AJ411" s="425">
        <f t="shared" ref="AJ411:AP411" si="795">AJ409/AF409-1</f>
        <v>8.6531751570132487E-2</v>
      </c>
      <c r="AK411" s="418">
        <f t="shared" si="795"/>
        <v>7.4097938144329856E-2</v>
      </c>
      <c r="AL411" s="418">
        <f t="shared" si="795"/>
        <v>-3.8192234245703394E-2</v>
      </c>
      <c r="AM411" s="419">
        <f t="shared" si="795"/>
        <v>-0.11603650586701442</v>
      </c>
      <c r="AN411" s="377">
        <f t="shared" si="795"/>
        <v>-0.11175337186897871</v>
      </c>
      <c r="AO411" s="220">
        <f t="shared" si="795"/>
        <v>-0.18176364727054584</v>
      </c>
      <c r="AP411" s="220">
        <f t="shared" si="795"/>
        <v>-2.9119788219722054E-2</v>
      </c>
      <c r="AQ411" s="335"/>
      <c r="AR411" s="219"/>
      <c r="AS411" s="220"/>
      <c r="AT411" s="220"/>
      <c r="AU411" s="258"/>
      <c r="AV411" s="219"/>
      <c r="AW411" s="220"/>
      <c r="AX411" s="220"/>
      <c r="AY411" s="258"/>
      <c r="AZ411" s="219"/>
      <c r="BA411" s="220"/>
      <c r="BB411" s="220"/>
      <c r="BC411" s="258"/>
      <c r="BD411" s="219"/>
      <c r="BE411" s="220"/>
      <c r="BF411" s="220"/>
      <c r="BG411" s="258"/>
      <c r="BH411" s="219"/>
      <c r="BI411" s="220"/>
      <c r="BJ411" s="220"/>
      <c r="BK411" s="258"/>
      <c r="BL411" s="219"/>
      <c r="BM411" s="220"/>
      <c r="BN411" s="220"/>
      <c r="BO411" s="258"/>
      <c r="BP411" s="219"/>
      <c r="BQ411" s="220"/>
      <c r="BR411" s="220"/>
      <c r="BS411" s="258"/>
      <c r="BT411" s="219"/>
      <c r="BU411" s="220"/>
      <c r="BV411" s="220"/>
      <c r="BW411" s="258"/>
      <c r="BX411" s="21"/>
      <c r="BY411" s="22"/>
      <c r="BZ411" s="15"/>
      <c r="CA411" s="15"/>
      <c r="CB411" s="338"/>
      <c r="CC411" s="418"/>
      <c r="CD411" s="370">
        <f>CD409/CC409-1</f>
        <v>0.15353574173712525</v>
      </c>
      <c r="CE411" s="370">
        <f>CE409/CD409-1</f>
        <v>-0.21206063634849237</v>
      </c>
      <c r="CF411" s="370">
        <f>CF409/CE409-1</f>
        <v>0.28752642706131071</v>
      </c>
      <c r="CG411" s="338">
        <f>CG409/CF409-1</f>
        <v>1.6420361247959647E-4</v>
      </c>
      <c r="CH411" s="338"/>
      <c r="CI411" s="338"/>
      <c r="CJ411" s="338"/>
      <c r="CK411" s="338"/>
      <c r="CL411" s="338"/>
      <c r="CM411" s="338"/>
      <c r="CN411" s="338"/>
      <c r="CO411" s="338"/>
      <c r="CP411" s="337"/>
    </row>
    <row r="412" spans="1:94" ht="14.25" hidden="1" customHeight="1" outlineLevel="2">
      <c r="A412" s="9"/>
      <c r="B412" s="217" t="s">
        <v>299</v>
      </c>
      <c r="C412" s="372"/>
      <c r="D412" s="372"/>
      <c r="E412" s="372"/>
      <c r="F412" s="372"/>
      <c r="G412" s="218"/>
      <c r="H412" s="372"/>
      <c r="I412" s="372"/>
      <c r="J412" s="372"/>
      <c r="K412" s="372"/>
      <c r="L412" s="359"/>
      <c r="M412" s="338"/>
      <c r="N412" s="338"/>
      <c r="O412" s="337"/>
      <c r="P412" s="359"/>
      <c r="Q412" s="338"/>
      <c r="R412" s="338"/>
      <c r="S412" s="338"/>
      <c r="T412" s="359"/>
      <c r="U412" s="338"/>
      <c r="V412" s="338"/>
      <c r="W412" s="337"/>
      <c r="X412" s="359"/>
      <c r="Y412" s="338"/>
      <c r="Z412" s="338"/>
      <c r="AA412" s="337"/>
      <c r="AB412" s="359"/>
      <c r="AC412" s="338"/>
      <c r="AD412" s="338"/>
      <c r="AE412" s="337"/>
      <c r="AF412" s="355">
        <f t="shared" ref="AF412:AN412" si="796">AF409/AF461</f>
        <v>0.26045074518356959</v>
      </c>
      <c r="AG412" s="370">
        <f t="shared" si="796"/>
        <v>0.26607234699125665</v>
      </c>
      <c r="AH412" s="370">
        <f t="shared" si="796"/>
        <v>0.26152821708007329</v>
      </c>
      <c r="AI412" s="337">
        <f t="shared" si="796"/>
        <v>0.26484806629834251</v>
      </c>
      <c r="AJ412" s="355">
        <f t="shared" si="796"/>
        <v>0.17884217780840794</v>
      </c>
      <c r="AK412" s="370">
        <f t="shared" si="796"/>
        <v>0.18405653086010818</v>
      </c>
      <c r="AL412" s="370">
        <f t="shared" si="796"/>
        <v>0.16826280623608017</v>
      </c>
      <c r="AM412" s="337">
        <f t="shared" si="796"/>
        <v>0.17656249999999998</v>
      </c>
      <c r="AN412" s="359">
        <f t="shared" si="796"/>
        <v>0.1857872111767867</v>
      </c>
      <c r="AO412" s="78">
        <f>AO409/(AO461)</f>
        <v>0.18313641245972073</v>
      </c>
      <c r="AP412" s="78">
        <f>AP409/(AP461)</f>
        <v>0.20220537560303237</v>
      </c>
      <c r="AQ412" s="337"/>
      <c r="AR412" s="134"/>
      <c r="AS412" s="78"/>
      <c r="AT412" s="78"/>
      <c r="AU412" s="79"/>
      <c r="AV412" s="134"/>
      <c r="AW412" s="78"/>
      <c r="AX412" s="78"/>
      <c r="AY412" s="79"/>
      <c r="AZ412" s="134"/>
      <c r="BA412" s="78"/>
      <c r="BB412" s="78"/>
      <c r="BC412" s="79"/>
      <c r="BD412" s="134"/>
      <c r="BE412" s="78"/>
      <c r="BF412" s="78"/>
      <c r="BG412" s="79"/>
      <c r="BH412" s="134"/>
      <c r="BI412" s="78"/>
      <c r="BJ412" s="78"/>
      <c r="BK412" s="79"/>
      <c r="BL412" s="134"/>
      <c r="BM412" s="78"/>
      <c r="BN412" s="78"/>
      <c r="BO412" s="79"/>
      <c r="BP412" s="134"/>
      <c r="BQ412" s="78"/>
      <c r="BR412" s="78"/>
      <c r="BS412" s="79"/>
      <c r="BT412" s="134"/>
      <c r="BU412" s="78"/>
      <c r="BV412" s="78"/>
      <c r="BW412" s="79"/>
      <c r="BX412" s="21"/>
      <c r="BY412" s="22"/>
      <c r="BZ412" s="15"/>
      <c r="CA412" s="15"/>
      <c r="CB412" s="338"/>
      <c r="CC412" s="370">
        <f>CC409/(CC461)</f>
        <v>0.33226918656621124</v>
      </c>
      <c r="CD412" s="370">
        <f>CD409/(CD461)</f>
        <v>0.29214522094607748</v>
      </c>
      <c r="CE412" s="370">
        <f>CE409/(CE461)</f>
        <v>0.26739781785290295</v>
      </c>
      <c r="CF412" s="370">
        <f>CF409/(CF461)</f>
        <v>0.26324889772629034</v>
      </c>
      <c r="CG412" s="338">
        <f>CG409/(CG461)</f>
        <v>0.17694564680591465</v>
      </c>
      <c r="CH412" s="338"/>
      <c r="CI412" s="338"/>
      <c r="CJ412" s="338"/>
      <c r="CK412" s="338"/>
      <c r="CL412" s="338"/>
      <c r="CM412" s="338"/>
      <c r="CN412" s="338"/>
      <c r="CO412" s="338"/>
      <c r="CP412" s="337"/>
    </row>
    <row r="413" spans="1:94" ht="12.75" hidden="1" customHeight="1" outlineLevel="2">
      <c r="A413" s="9"/>
      <c r="B413" s="217"/>
      <c r="C413" s="372"/>
      <c r="D413" s="372"/>
      <c r="E413" s="372"/>
      <c r="F413" s="372"/>
      <c r="G413" s="218"/>
      <c r="H413" s="372"/>
      <c r="I413" s="372"/>
      <c r="J413" s="372"/>
      <c r="K413" s="372"/>
      <c r="L413" s="219"/>
      <c r="M413" s="220"/>
      <c r="N413" s="220"/>
      <c r="O413" s="258"/>
      <c r="P413" s="379"/>
      <c r="Q413" s="220"/>
      <c r="R413" s="220"/>
      <c r="S413" s="220"/>
      <c r="T413" s="379"/>
      <c r="U413" s="220"/>
      <c r="V413" s="220"/>
      <c r="W413" s="258"/>
      <c r="X413" s="379"/>
      <c r="Y413" s="220"/>
      <c r="Z413" s="220"/>
      <c r="AA413" s="258"/>
      <c r="AB413" s="379"/>
      <c r="AC413" s="220"/>
      <c r="AD413" s="220"/>
      <c r="AE413" s="258"/>
      <c r="AF413" s="82"/>
      <c r="AG413" s="80"/>
      <c r="AH413" s="80"/>
      <c r="AI413" s="262"/>
      <c r="AJ413" s="82"/>
      <c r="AK413" s="80"/>
      <c r="AL413" s="80"/>
      <c r="AM413" s="262"/>
      <c r="AN413" s="82"/>
      <c r="AO413" s="80"/>
      <c r="AP413" s="80"/>
      <c r="AQ413" s="262"/>
      <c r="AR413" s="82"/>
      <c r="AS413" s="80"/>
      <c r="AT413" s="80"/>
      <c r="AU413" s="81"/>
      <c r="AV413" s="82"/>
      <c r="AW413" s="80"/>
      <c r="AX413" s="80"/>
      <c r="AY413" s="81"/>
      <c r="AZ413" s="82"/>
      <c r="BA413" s="80"/>
      <c r="BB413" s="80"/>
      <c r="BC413" s="81"/>
      <c r="BD413" s="82"/>
      <c r="BE413" s="80"/>
      <c r="BF413" s="80"/>
      <c r="BG413" s="81"/>
      <c r="BH413" s="82"/>
      <c r="BI413" s="80"/>
      <c r="BJ413" s="80"/>
      <c r="BK413" s="81"/>
      <c r="BL413" s="82"/>
      <c r="BM413" s="80"/>
      <c r="BN413" s="80"/>
      <c r="BO413" s="81"/>
      <c r="BP413" s="82"/>
      <c r="BQ413" s="80"/>
      <c r="BR413" s="80"/>
      <c r="BS413" s="81"/>
      <c r="BT413" s="82"/>
      <c r="BU413" s="80"/>
      <c r="BV413" s="80"/>
      <c r="BW413" s="81"/>
      <c r="BX413" s="21"/>
      <c r="BY413" s="22"/>
      <c r="BZ413" s="15"/>
      <c r="CA413" s="15"/>
      <c r="CB413" s="15"/>
      <c r="CC413" s="80"/>
      <c r="CD413" s="80"/>
      <c r="CE413" s="80"/>
      <c r="CF413" s="370"/>
      <c r="CG413" s="220"/>
      <c r="CH413" s="220"/>
      <c r="CI413" s="220"/>
      <c r="CJ413" s="220"/>
      <c r="CK413" s="220"/>
      <c r="CL413" s="220"/>
      <c r="CM413" s="220"/>
      <c r="CN413" s="220"/>
      <c r="CO413" s="220"/>
      <c r="CP413" s="258"/>
    </row>
    <row r="414" spans="1:94" ht="14.25" hidden="1" customHeight="1" outlineLevel="2">
      <c r="A414" s="9"/>
      <c r="B414" s="235" t="s">
        <v>499</v>
      </c>
      <c r="C414" s="372"/>
      <c r="D414" s="372"/>
      <c r="E414" s="372"/>
      <c r="F414" s="372"/>
      <c r="G414" s="218"/>
      <c r="H414" s="372"/>
      <c r="I414" s="372"/>
      <c r="J414" s="372"/>
      <c r="K414" s="372"/>
      <c r="L414" s="375"/>
      <c r="M414" s="343"/>
      <c r="N414" s="343"/>
      <c r="O414" s="369"/>
      <c r="P414" s="375"/>
      <c r="Q414" s="343"/>
      <c r="R414" s="343"/>
      <c r="S414" s="369"/>
      <c r="T414" s="375"/>
      <c r="U414" s="343"/>
      <c r="V414" s="343"/>
      <c r="W414" s="369"/>
      <c r="X414" s="375"/>
      <c r="Y414" s="343"/>
      <c r="Z414" s="343"/>
      <c r="AA414" s="369"/>
      <c r="AB414" s="375"/>
      <c r="AC414" s="343"/>
      <c r="AD414" s="343"/>
      <c r="AE414" s="792"/>
      <c r="AF414" s="422">
        <v>59.3</v>
      </c>
      <c r="AG414" s="423">
        <v>69.599999999999994</v>
      </c>
      <c r="AH414" s="423">
        <v>66.7</v>
      </c>
      <c r="AI414" s="401">
        <v>61.7</v>
      </c>
      <c r="AJ414" s="422">
        <v>63.7</v>
      </c>
      <c r="AK414" s="423">
        <v>67.2</v>
      </c>
      <c r="AL414" s="423">
        <v>55.7</v>
      </c>
      <c r="AM414" s="401">
        <v>51.7</v>
      </c>
      <c r="AN414" s="422">
        <v>52.5</v>
      </c>
      <c r="AO414" s="423">
        <v>52.5</v>
      </c>
      <c r="AP414" s="423">
        <v>57.5</v>
      </c>
      <c r="AQ414" s="401"/>
      <c r="AR414" s="374"/>
      <c r="AS414" s="341"/>
      <c r="AT414" s="341"/>
      <c r="AU414" s="342"/>
      <c r="AV414" s="374"/>
      <c r="AW414" s="341"/>
      <c r="AX414" s="341"/>
      <c r="AY414" s="342"/>
      <c r="AZ414" s="374"/>
      <c r="BA414" s="341"/>
      <c r="BB414" s="341"/>
      <c r="BC414" s="342"/>
      <c r="BD414" s="374"/>
      <c r="BE414" s="341"/>
      <c r="BF414" s="341"/>
      <c r="BG414" s="342"/>
      <c r="BH414" s="374"/>
      <c r="BI414" s="341"/>
      <c r="BJ414" s="341"/>
      <c r="BK414" s="342"/>
      <c r="BL414" s="374"/>
      <c r="BM414" s="341"/>
      <c r="BN414" s="341"/>
      <c r="BO414" s="342"/>
      <c r="BP414" s="374"/>
      <c r="BQ414" s="341"/>
      <c r="BR414" s="341"/>
      <c r="BS414" s="342"/>
      <c r="BT414" s="374"/>
      <c r="BU414" s="341"/>
      <c r="BV414" s="341"/>
      <c r="BW414" s="342"/>
      <c r="BX414" s="263"/>
      <c r="BY414" s="235"/>
      <c r="BZ414" s="251"/>
      <c r="CA414" s="325"/>
      <c r="CB414" s="325"/>
      <c r="CC414" s="423">
        <v>214.5</v>
      </c>
      <c r="CD414" s="423">
        <v>246.4</v>
      </c>
      <c r="CE414" s="423">
        <v>158.69999999999999</v>
      </c>
      <c r="CF414" s="801">
        <f>SUM(AF414:AI414)</f>
        <v>257.29999999999995</v>
      </c>
      <c r="CG414" s="325">
        <f>SUM(AJ414:AM414)</f>
        <v>238.3</v>
      </c>
      <c r="CH414" s="325"/>
      <c r="CI414" s="325"/>
      <c r="CJ414" s="325"/>
      <c r="CK414" s="325"/>
      <c r="CL414" s="325"/>
      <c r="CM414" s="325"/>
      <c r="CN414" s="325"/>
      <c r="CO414" s="325"/>
      <c r="CP414" s="326"/>
    </row>
    <row r="415" spans="1:94" ht="14.25" hidden="1" customHeight="1" outlineLevel="2">
      <c r="A415" s="9"/>
      <c r="B415" s="217" t="s">
        <v>193</v>
      </c>
      <c r="C415" s="372"/>
      <c r="D415" s="372"/>
      <c r="E415" s="372"/>
      <c r="F415" s="372"/>
      <c r="G415" s="218"/>
      <c r="H415" s="372"/>
      <c r="I415" s="372"/>
      <c r="J415" s="372"/>
      <c r="K415" s="372"/>
      <c r="L415" s="377"/>
      <c r="M415" s="370"/>
      <c r="N415" s="370"/>
      <c r="O415" s="335"/>
      <c r="P415" s="378"/>
      <c r="Q415" s="370"/>
      <c r="R415" s="370"/>
      <c r="S415" s="370"/>
      <c r="T415" s="378"/>
      <c r="U415" s="370"/>
      <c r="V415" s="370"/>
      <c r="W415" s="335"/>
      <c r="X415" s="378"/>
      <c r="Y415" s="370"/>
      <c r="Z415" s="370"/>
      <c r="AA415" s="335"/>
      <c r="AB415" s="378"/>
      <c r="AC415" s="370"/>
      <c r="AD415" s="370"/>
      <c r="AE415" s="335"/>
      <c r="AF415" s="377">
        <f t="shared" ref="AF415:AP415" si="797">AF414/AF409</f>
        <v>0.41381716678297276</v>
      </c>
      <c r="AG415" s="370">
        <f t="shared" si="797"/>
        <v>0.4484536082474227</v>
      </c>
      <c r="AH415" s="370">
        <f t="shared" si="797"/>
        <v>0.42457033736473587</v>
      </c>
      <c r="AI415" s="335">
        <f t="shared" si="797"/>
        <v>0.40221642764015647</v>
      </c>
      <c r="AJ415" s="377">
        <f t="shared" si="797"/>
        <v>0.40912010276172128</v>
      </c>
      <c r="AK415" s="370">
        <f t="shared" si="797"/>
        <v>0.40311937612477511</v>
      </c>
      <c r="AL415" s="370">
        <f t="shared" si="797"/>
        <v>0.36863004632693586</v>
      </c>
      <c r="AM415" s="335">
        <f t="shared" si="797"/>
        <v>0.38126843657817111</v>
      </c>
      <c r="AN415" s="377">
        <f t="shared" si="797"/>
        <v>0.37960954446854661</v>
      </c>
      <c r="AO415" s="370">
        <f t="shared" si="797"/>
        <v>0.38489736070381231</v>
      </c>
      <c r="AP415" s="370">
        <f t="shared" si="797"/>
        <v>0.39195637355146562</v>
      </c>
      <c r="AQ415" s="335"/>
      <c r="AR415" s="294"/>
      <c r="AS415" s="381"/>
      <c r="AT415" s="381"/>
      <c r="AU415" s="292"/>
      <c r="AV415" s="294"/>
      <c r="AW415" s="381"/>
      <c r="AX415" s="381"/>
      <c r="AY415" s="292"/>
      <c r="AZ415" s="294"/>
      <c r="BA415" s="381"/>
      <c r="BB415" s="381"/>
      <c r="BC415" s="292"/>
      <c r="BD415" s="294"/>
      <c r="BE415" s="381"/>
      <c r="BF415" s="381"/>
      <c r="BG415" s="292"/>
      <c r="BH415" s="294"/>
      <c r="BI415" s="381"/>
      <c r="BJ415" s="381"/>
      <c r="BK415" s="292"/>
      <c r="BL415" s="294"/>
      <c r="BM415" s="381"/>
      <c r="BN415" s="381"/>
      <c r="BO415" s="292"/>
      <c r="BP415" s="294"/>
      <c r="BQ415" s="381"/>
      <c r="BR415" s="381"/>
      <c r="BS415" s="292"/>
      <c r="BT415" s="294"/>
      <c r="BU415" s="381"/>
      <c r="BV415" s="381"/>
      <c r="BW415" s="292"/>
      <c r="BX415" s="21"/>
      <c r="BY415" s="22"/>
      <c r="BZ415" s="15"/>
      <c r="CA415" s="15"/>
      <c r="CB415" s="338"/>
      <c r="CC415" s="370">
        <f>CC414/CC409</f>
        <v>0.41218293620292085</v>
      </c>
      <c r="CD415" s="370">
        <f>CD414/CD409</f>
        <v>0.41046143594869239</v>
      </c>
      <c r="CE415" s="370">
        <f>CE414/CE409</f>
        <v>0.33551797040169129</v>
      </c>
      <c r="CF415" s="370">
        <f>CF414/CF409</f>
        <v>0.42249589490968792</v>
      </c>
      <c r="CG415" s="338">
        <f>CG414/CG409</f>
        <v>0.39123296667213925</v>
      </c>
      <c r="CH415" s="338"/>
      <c r="CI415" s="338"/>
      <c r="CJ415" s="338"/>
      <c r="CK415" s="338"/>
      <c r="CL415" s="338"/>
      <c r="CM415" s="338"/>
      <c r="CN415" s="338"/>
      <c r="CO415" s="338"/>
      <c r="CP415" s="337"/>
    </row>
    <row r="416" spans="1:94" ht="14.25" hidden="1" customHeight="1" outlineLevel="2">
      <c r="A416" s="9"/>
      <c r="B416" s="217"/>
      <c r="C416" s="372"/>
      <c r="D416" s="372"/>
      <c r="E416" s="372"/>
      <c r="F416" s="372"/>
      <c r="G416" s="218"/>
      <c r="H416" s="372"/>
      <c r="I416" s="372"/>
      <c r="J416" s="372"/>
      <c r="K416" s="372"/>
      <c r="L416" s="219"/>
      <c r="M416" s="220"/>
      <c r="N416" s="220"/>
      <c r="O416" s="258"/>
      <c r="P416" s="379"/>
      <c r="Q416" s="220"/>
      <c r="R416" s="220"/>
      <c r="S416" s="220"/>
      <c r="T416" s="379"/>
      <c r="U416" s="220"/>
      <c r="V416" s="220"/>
      <c r="W416" s="258"/>
      <c r="X416" s="379"/>
      <c r="Y416" s="220"/>
      <c r="Z416" s="220"/>
      <c r="AA416" s="258"/>
      <c r="AB416" s="379"/>
      <c r="AC416" s="220"/>
      <c r="AD416" s="220"/>
      <c r="AE416" s="258"/>
      <c r="AF416" s="82"/>
      <c r="AG416" s="80"/>
      <c r="AH416" s="80"/>
      <c r="AI416" s="262"/>
      <c r="AJ416" s="82"/>
      <c r="AK416" s="80"/>
      <c r="AL416" s="80"/>
      <c r="AM416" s="262"/>
      <c r="AN416" s="82"/>
      <c r="AO416" s="80"/>
      <c r="AP416" s="80"/>
      <c r="AQ416" s="262"/>
      <c r="AR416" s="82"/>
      <c r="AS416" s="80"/>
      <c r="AT416" s="80"/>
      <c r="AU416" s="81"/>
      <c r="AV416" s="82"/>
      <c r="AW416" s="80"/>
      <c r="AX416" s="80"/>
      <c r="AY416" s="81"/>
      <c r="AZ416" s="82"/>
      <c r="BA416" s="80"/>
      <c r="BB416" s="80"/>
      <c r="BC416" s="81"/>
      <c r="BD416" s="82"/>
      <c r="BE416" s="80"/>
      <c r="BF416" s="80"/>
      <c r="BG416" s="81"/>
      <c r="BH416" s="82"/>
      <c r="BI416" s="80"/>
      <c r="BJ416" s="80"/>
      <c r="BK416" s="81"/>
      <c r="BL416" s="82"/>
      <c r="BM416" s="80"/>
      <c r="BN416" s="80"/>
      <c r="BO416" s="81"/>
      <c r="BP416" s="82"/>
      <c r="BQ416" s="80"/>
      <c r="BR416" s="80"/>
      <c r="BS416" s="81"/>
      <c r="BT416" s="82"/>
      <c r="BU416" s="80"/>
      <c r="BV416" s="80"/>
      <c r="BW416" s="81"/>
      <c r="BX416" s="21"/>
      <c r="BY416" s="22"/>
      <c r="BZ416" s="15"/>
      <c r="CA416" s="15"/>
      <c r="CB416" s="15"/>
      <c r="CC416" s="80"/>
      <c r="CD416" s="80"/>
      <c r="CE416" s="80"/>
      <c r="CF416" s="370"/>
      <c r="CG416" s="220"/>
      <c r="CH416" s="220"/>
      <c r="CI416" s="220"/>
      <c r="CJ416" s="220"/>
      <c r="CK416" s="220"/>
      <c r="CL416" s="220"/>
      <c r="CM416" s="220"/>
      <c r="CN416" s="220"/>
      <c r="CO416" s="220"/>
      <c r="CP416" s="258"/>
    </row>
    <row r="417" spans="1:94" ht="14.25" hidden="1" customHeight="1" outlineLevel="2">
      <c r="A417" s="9"/>
      <c r="B417" s="235" t="s">
        <v>500</v>
      </c>
      <c r="C417" s="372"/>
      <c r="D417" s="372"/>
      <c r="E417" s="372"/>
      <c r="F417" s="372"/>
      <c r="G417" s="218"/>
      <c r="H417" s="372"/>
      <c r="I417" s="372"/>
      <c r="J417" s="372"/>
      <c r="K417" s="372"/>
      <c r="L417" s="375"/>
      <c r="M417" s="343"/>
      <c r="N417" s="343"/>
      <c r="O417" s="369"/>
      <c r="P417" s="375"/>
      <c r="Q417" s="343"/>
      <c r="R417" s="343"/>
      <c r="S417" s="369"/>
      <c r="T417" s="375"/>
      <c r="U417" s="343"/>
      <c r="V417" s="343"/>
      <c r="W417" s="369"/>
      <c r="X417" s="375"/>
      <c r="Y417" s="343"/>
      <c r="Z417" s="343"/>
      <c r="AA417" s="369"/>
      <c r="AB417" s="375"/>
      <c r="AC417" s="343"/>
      <c r="AD417" s="343"/>
      <c r="AE417" s="792"/>
      <c r="AF417" s="422">
        <v>24.3</v>
      </c>
      <c r="AG417" s="423">
        <v>37</v>
      </c>
      <c r="AH417" s="423">
        <v>32.6</v>
      </c>
      <c r="AI417" s="401">
        <v>28.8</v>
      </c>
      <c r="AJ417" s="422">
        <v>27.4</v>
      </c>
      <c r="AK417" s="423">
        <v>34.1</v>
      </c>
      <c r="AL417" s="423">
        <v>22.3</v>
      </c>
      <c r="AM417" s="401">
        <v>19.2</v>
      </c>
      <c r="AN417" s="423">
        <v>20.9</v>
      </c>
      <c r="AO417" s="423">
        <v>19.8</v>
      </c>
      <c r="AP417" s="423">
        <v>25.1</v>
      </c>
      <c r="AQ417" s="401"/>
      <c r="AR417" s="374"/>
      <c r="AS417" s="341"/>
      <c r="AT417" s="341"/>
      <c r="AU417" s="342"/>
      <c r="AV417" s="374"/>
      <c r="AW417" s="341"/>
      <c r="AX417" s="341"/>
      <c r="AY417" s="342"/>
      <c r="AZ417" s="374"/>
      <c r="BA417" s="341"/>
      <c r="BB417" s="341"/>
      <c r="BC417" s="342"/>
      <c r="BD417" s="374"/>
      <c r="BE417" s="341"/>
      <c r="BF417" s="341"/>
      <c r="BG417" s="342"/>
      <c r="BH417" s="374"/>
      <c r="BI417" s="341"/>
      <c r="BJ417" s="341"/>
      <c r="BK417" s="342"/>
      <c r="BL417" s="374"/>
      <c r="BM417" s="341"/>
      <c r="BN417" s="341"/>
      <c r="BO417" s="342"/>
      <c r="BP417" s="374"/>
      <c r="BQ417" s="341"/>
      <c r="BR417" s="341"/>
      <c r="BS417" s="342"/>
      <c r="BT417" s="374"/>
      <c r="BU417" s="341"/>
      <c r="BV417" s="341"/>
      <c r="BW417" s="342"/>
      <c r="BX417" s="263"/>
      <c r="BY417" s="235"/>
      <c r="BZ417" s="251"/>
      <c r="CA417" s="325"/>
      <c r="CB417" s="325"/>
      <c r="CC417" s="423">
        <v>91.5</v>
      </c>
      <c r="CD417" s="423">
        <v>101.7</v>
      </c>
      <c r="CE417" s="423">
        <v>45</v>
      </c>
      <c r="CF417" s="801">
        <f>SUM(AF417:AI417)</f>
        <v>122.7</v>
      </c>
      <c r="CG417" s="325">
        <f>SUM(AJ417:AM417)</f>
        <v>103</v>
      </c>
      <c r="CH417" s="325"/>
      <c r="CI417" s="325"/>
      <c r="CJ417" s="325"/>
      <c r="CK417" s="325"/>
      <c r="CL417" s="325"/>
      <c r="CM417" s="325"/>
      <c r="CN417" s="325"/>
      <c r="CO417" s="325"/>
      <c r="CP417" s="326"/>
    </row>
    <row r="418" spans="1:94" ht="14.25" hidden="1" customHeight="1" outlineLevel="2">
      <c r="A418" s="9"/>
      <c r="B418" s="217" t="s">
        <v>297</v>
      </c>
      <c r="C418" s="372"/>
      <c r="D418" s="372"/>
      <c r="E418" s="372"/>
      <c r="F418" s="372"/>
      <c r="G418" s="218"/>
      <c r="H418" s="372"/>
      <c r="I418" s="372"/>
      <c r="J418" s="372"/>
      <c r="K418" s="372"/>
      <c r="L418" s="377"/>
      <c r="M418" s="370"/>
      <c r="N418" s="370"/>
      <c r="O418" s="335"/>
      <c r="P418" s="378"/>
      <c r="Q418" s="370"/>
      <c r="R418" s="370"/>
      <c r="S418" s="370"/>
      <c r="T418" s="378"/>
      <c r="U418" s="370"/>
      <c r="V418" s="370"/>
      <c r="W418" s="335"/>
      <c r="X418" s="378"/>
      <c r="Y418" s="370"/>
      <c r="Z418" s="370"/>
      <c r="AA418" s="335"/>
      <c r="AB418" s="378"/>
      <c r="AC418" s="370"/>
      <c r="AD418" s="370"/>
      <c r="AE418" s="335"/>
      <c r="AF418" s="425"/>
      <c r="AG418" s="418">
        <f t="shared" ref="AG418:AP418" si="798">AG417/AF417-1</f>
        <v>0.52263374485596703</v>
      </c>
      <c r="AH418" s="418">
        <f t="shared" si="798"/>
        <v>-0.11891891891891893</v>
      </c>
      <c r="AI418" s="419">
        <f t="shared" si="798"/>
        <v>-0.1165644171779141</v>
      </c>
      <c r="AJ418" s="425">
        <f t="shared" si="798"/>
        <v>-4.861111111111116E-2</v>
      </c>
      <c r="AK418" s="418">
        <f t="shared" si="798"/>
        <v>0.24452554744525568</v>
      </c>
      <c r="AL418" s="418">
        <f t="shared" si="798"/>
        <v>-0.3460410557184751</v>
      </c>
      <c r="AM418" s="419">
        <f t="shared" si="798"/>
        <v>-0.13901345291479827</v>
      </c>
      <c r="AN418" s="377">
        <f t="shared" si="798"/>
        <v>8.8541666666666741E-2</v>
      </c>
      <c r="AO418" s="370">
        <f t="shared" si="798"/>
        <v>-5.2631578947368363E-2</v>
      </c>
      <c r="AP418" s="370">
        <f t="shared" si="798"/>
        <v>0.26767676767676774</v>
      </c>
      <c r="AQ418" s="335"/>
      <c r="AR418" s="134"/>
      <c r="AS418" s="78"/>
      <c r="AT418" s="78"/>
      <c r="AU418" s="79"/>
      <c r="AV418" s="134"/>
      <c r="AW418" s="78"/>
      <c r="AX418" s="78"/>
      <c r="AY418" s="79"/>
      <c r="AZ418" s="134"/>
      <c r="BA418" s="78"/>
      <c r="BB418" s="78"/>
      <c r="BC418" s="79"/>
      <c r="BD418" s="134"/>
      <c r="BE418" s="78"/>
      <c r="BF418" s="78"/>
      <c r="BG418" s="79"/>
      <c r="BH418" s="134"/>
      <c r="BI418" s="78"/>
      <c r="BJ418" s="78"/>
      <c r="BK418" s="79"/>
      <c r="BL418" s="134"/>
      <c r="BM418" s="78"/>
      <c r="BN418" s="78"/>
      <c r="BO418" s="79"/>
      <c r="BP418" s="134"/>
      <c r="BQ418" s="78"/>
      <c r="BR418" s="78"/>
      <c r="BS418" s="79"/>
      <c r="BT418" s="134"/>
      <c r="BU418" s="78"/>
      <c r="BV418" s="78"/>
      <c r="BW418" s="79"/>
      <c r="BX418" s="21"/>
      <c r="BY418" s="22"/>
      <c r="BZ418" s="15"/>
      <c r="CA418" s="15"/>
      <c r="CB418" s="15"/>
      <c r="CC418" s="370"/>
      <c r="CD418" s="370"/>
      <c r="CE418" s="370"/>
      <c r="CF418" s="370"/>
      <c r="CG418" s="220"/>
      <c r="CH418" s="220"/>
      <c r="CI418" s="220"/>
      <c r="CJ418" s="220"/>
      <c r="CK418" s="220"/>
      <c r="CL418" s="220"/>
      <c r="CM418" s="220"/>
      <c r="CN418" s="220"/>
      <c r="CO418" s="220"/>
      <c r="CP418" s="258"/>
    </row>
    <row r="419" spans="1:94" ht="14.25" hidden="1" customHeight="1" outlineLevel="2">
      <c r="A419" s="9"/>
      <c r="B419" s="32" t="s">
        <v>298</v>
      </c>
      <c r="C419" s="372"/>
      <c r="D419" s="372"/>
      <c r="E419" s="372"/>
      <c r="F419" s="372"/>
      <c r="G419" s="218"/>
      <c r="H419" s="372"/>
      <c r="I419" s="372"/>
      <c r="J419" s="372"/>
      <c r="K419" s="372"/>
      <c r="L419" s="377"/>
      <c r="M419" s="370"/>
      <c r="N419" s="370"/>
      <c r="O419" s="335"/>
      <c r="P419" s="378"/>
      <c r="Q419" s="370"/>
      <c r="R419" s="370"/>
      <c r="S419" s="370"/>
      <c r="T419" s="378"/>
      <c r="U419" s="370"/>
      <c r="V419" s="370"/>
      <c r="W419" s="335"/>
      <c r="X419" s="378"/>
      <c r="Y419" s="370"/>
      <c r="Z419" s="370"/>
      <c r="AA419" s="335"/>
      <c r="AB419" s="378"/>
      <c r="AC419" s="370"/>
      <c r="AD419" s="370"/>
      <c r="AE419" s="335"/>
      <c r="AF419" s="425"/>
      <c r="AG419" s="418"/>
      <c r="AH419" s="418"/>
      <c r="AI419" s="419"/>
      <c r="AJ419" s="425">
        <f t="shared" ref="AJ419:AP419" si="799">AJ417/AF417-1</f>
        <v>0.12757201646090532</v>
      </c>
      <c r="AK419" s="418">
        <f t="shared" si="799"/>
        <v>-7.8378378378378355E-2</v>
      </c>
      <c r="AL419" s="418">
        <f t="shared" si="799"/>
        <v>-0.31595092024539884</v>
      </c>
      <c r="AM419" s="419">
        <f t="shared" si="799"/>
        <v>-0.33333333333333337</v>
      </c>
      <c r="AN419" s="377">
        <f t="shared" si="799"/>
        <v>-0.23722627737226276</v>
      </c>
      <c r="AO419" s="370">
        <f t="shared" si="799"/>
        <v>-0.41935483870967738</v>
      </c>
      <c r="AP419" s="370">
        <f t="shared" si="799"/>
        <v>0.12556053811659185</v>
      </c>
      <c r="AQ419" s="335"/>
      <c r="AR419" s="219"/>
      <c r="AS419" s="220"/>
      <c r="AT419" s="220"/>
      <c r="AU419" s="258"/>
      <c r="AV419" s="219"/>
      <c r="AW419" s="220"/>
      <c r="AX419" s="220"/>
      <c r="AY419" s="258"/>
      <c r="AZ419" s="219"/>
      <c r="BA419" s="220"/>
      <c r="BB419" s="220"/>
      <c r="BC419" s="258"/>
      <c r="BD419" s="219"/>
      <c r="BE419" s="220"/>
      <c r="BF419" s="220"/>
      <c r="BG419" s="258"/>
      <c r="BH419" s="219"/>
      <c r="BI419" s="220"/>
      <c r="BJ419" s="220"/>
      <c r="BK419" s="258"/>
      <c r="BL419" s="219"/>
      <c r="BM419" s="220"/>
      <c r="BN419" s="220"/>
      <c r="BO419" s="258"/>
      <c r="BP419" s="219"/>
      <c r="BQ419" s="220"/>
      <c r="BR419" s="220"/>
      <c r="BS419" s="258"/>
      <c r="BT419" s="219"/>
      <c r="BU419" s="220"/>
      <c r="BV419" s="220"/>
      <c r="BW419" s="258"/>
      <c r="BX419" s="21"/>
      <c r="BY419" s="22"/>
      <c r="BZ419" s="15"/>
      <c r="CA419" s="15"/>
      <c r="CB419" s="338"/>
      <c r="CC419" s="418"/>
      <c r="CD419" s="370">
        <f>CD417/CC417-1</f>
        <v>0.11147540983606552</v>
      </c>
      <c r="CE419" s="370">
        <f>CE417/CD417-1</f>
        <v>-0.55752212389380529</v>
      </c>
      <c r="CF419" s="370">
        <f>CF417/CE417-1</f>
        <v>1.7266666666666666</v>
      </c>
      <c r="CG419" s="338">
        <f>CG417/CF417-1</f>
        <v>-0.16055419722901387</v>
      </c>
      <c r="CH419" s="338"/>
      <c r="CI419" s="338"/>
      <c r="CJ419" s="338"/>
      <c r="CK419" s="338"/>
      <c r="CL419" s="338"/>
      <c r="CM419" s="338"/>
      <c r="CN419" s="338"/>
      <c r="CO419" s="338"/>
      <c r="CP419" s="337"/>
    </row>
    <row r="420" spans="1:94" ht="14.25" hidden="1" customHeight="1" outlineLevel="2">
      <c r="A420" s="9"/>
      <c r="B420" s="217" t="s">
        <v>374</v>
      </c>
      <c r="C420" s="372"/>
      <c r="D420" s="372"/>
      <c r="E420" s="372"/>
      <c r="F420" s="372"/>
      <c r="G420" s="218"/>
      <c r="H420" s="372"/>
      <c r="I420" s="372"/>
      <c r="J420" s="372"/>
      <c r="K420" s="372"/>
      <c r="L420" s="377"/>
      <c r="M420" s="370"/>
      <c r="N420" s="370"/>
      <c r="O420" s="335"/>
      <c r="P420" s="378"/>
      <c r="Q420" s="370"/>
      <c r="R420" s="370"/>
      <c r="S420" s="370"/>
      <c r="T420" s="378"/>
      <c r="U420" s="370"/>
      <c r="V420" s="370"/>
      <c r="W420" s="335"/>
      <c r="X420" s="378"/>
      <c r="Y420" s="370"/>
      <c r="Z420" s="370"/>
      <c r="AA420" s="335"/>
      <c r="AB420" s="378"/>
      <c r="AC420" s="370"/>
      <c r="AD420" s="370"/>
      <c r="AE420" s="335"/>
      <c r="AF420" s="377">
        <f>AF417/AF409</f>
        <v>0.16957431960921143</v>
      </c>
      <c r="AG420" s="370">
        <f>AG417/AG409</f>
        <v>0.23840206185567012</v>
      </c>
      <c r="AH420" s="370">
        <f>AH417/AH409</f>
        <v>0.20751113940165503</v>
      </c>
      <c r="AI420" s="335">
        <f>AI417/AI409</f>
        <v>0.18774445893089961</v>
      </c>
      <c r="AJ420" s="377">
        <f t="shared" ref="AJ420:AP420" si="800">AJ417/AJ409</f>
        <v>0.17597944765574824</v>
      </c>
      <c r="AK420" s="370">
        <f t="shared" si="800"/>
        <v>0.20455908818236354</v>
      </c>
      <c r="AL420" s="370">
        <f t="shared" si="800"/>
        <v>0.14758438120450035</v>
      </c>
      <c r="AM420" s="335">
        <f t="shared" si="800"/>
        <v>0.1415929203539823</v>
      </c>
      <c r="AN420" s="377">
        <f t="shared" si="800"/>
        <v>0.15112075198843092</v>
      </c>
      <c r="AO420" s="370">
        <f t="shared" si="800"/>
        <v>0.14516129032258066</v>
      </c>
      <c r="AP420" s="370">
        <f t="shared" si="800"/>
        <v>0.17109747784594412</v>
      </c>
      <c r="AQ420" s="335"/>
      <c r="AR420" s="294"/>
      <c r="AS420" s="381"/>
      <c r="AT420" s="381"/>
      <c r="AU420" s="292"/>
      <c r="AV420" s="294"/>
      <c r="AW420" s="381"/>
      <c r="AX420" s="381"/>
      <c r="AY420" s="292"/>
      <c r="AZ420" s="294"/>
      <c r="BA420" s="381"/>
      <c r="BB420" s="381"/>
      <c r="BC420" s="292"/>
      <c r="BD420" s="294"/>
      <c r="BE420" s="381"/>
      <c r="BF420" s="381"/>
      <c r="BG420" s="292"/>
      <c r="BH420" s="294"/>
      <c r="BI420" s="381"/>
      <c r="BJ420" s="381"/>
      <c r="BK420" s="292"/>
      <c r="BL420" s="294"/>
      <c r="BM420" s="381"/>
      <c r="BN420" s="381"/>
      <c r="BO420" s="292"/>
      <c r="BP420" s="294"/>
      <c r="BQ420" s="381"/>
      <c r="BR420" s="381"/>
      <c r="BS420" s="292"/>
      <c r="BT420" s="294"/>
      <c r="BU420" s="381"/>
      <c r="BV420" s="381"/>
      <c r="BW420" s="292"/>
      <c r="BX420" s="21"/>
      <c r="BY420" s="22"/>
      <c r="BZ420" s="15"/>
      <c r="CA420" s="15"/>
      <c r="CB420" s="338"/>
      <c r="CC420" s="370">
        <f>CC417/CC409</f>
        <v>0.17582628747117601</v>
      </c>
      <c r="CD420" s="370">
        <f>CD417/CD409</f>
        <v>0.1694152923538231</v>
      </c>
      <c r="CE420" s="370">
        <f>CE417/CE409</f>
        <v>9.5137420718816063E-2</v>
      </c>
      <c r="CF420" s="370">
        <f>CF417/CF409</f>
        <v>0.20147783251231527</v>
      </c>
      <c r="CG420" s="338">
        <f>CG417/CG409</f>
        <v>0.16910195370218353</v>
      </c>
      <c r="CH420" s="338"/>
      <c r="CI420" s="338"/>
      <c r="CJ420" s="338"/>
      <c r="CK420" s="338"/>
      <c r="CL420" s="338"/>
      <c r="CM420" s="338"/>
      <c r="CN420" s="338"/>
      <c r="CO420" s="338"/>
      <c r="CP420" s="337"/>
    </row>
    <row r="421" spans="1:94" ht="14.25" hidden="1" customHeight="1" outlineLevel="2">
      <c r="A421" s="9"/>
      <c r="B421" s="236"/>
      <c r="C421" s="373"/>
      <c r="D421" s="373"/>
      <c r="E421" s="373"/>
      <c r="F421" s="373"/>
      <c r="G421" s="237"/>
      <c r="H421" s="373"/>
      <c r="I421" s="373"/>
      <c r="J421" s="373"/>
      <c r="K421" s="373"/>
      <c r="L421" s="285"/>
      <c r="M421" s="279"/>
      <c r="N421" s="279"/>
      <c r="O421" s="280"/>
      <c r="P421" s="380"/>
      <c r="Q421" s="279"/>
      <c r="R421" s="279"/>
      <c r="S421" s="279"/>
      <c r="T421" s="380"/>
      <c r="U421" s="279"/>
      <c r="V421" s="279"/>
      <c r="W421" s="280"/>
      <c r="X421" s="380"/>
      <c r="Y421" s="279"/>
      <c r="Z421" s="279"/>
      <c r="AA421" s="280"/>
      <c r="AB421" s="380"/>
      <c r="AC421" s="279"/>
      <c r="AD421" s="279"/>
      <c r="AE421" s="280"/>
      <c r="AF421" s="285"/>
      <c r="AG421" s="1"/>
      <c r="AH421" s="279"/>
      <c r="AI421" s="280"/>
      <c r="AJ421" s="285"/>
      <c r="AK421" s="1"/>
      <c r="AL421" s="279"/>
      <c r="AM421" s="280"/>
      <c r="AN421" s="285"/>
      <c r="AO421" s="1"/>
      <c r="AP421" s="279"/>
      <c r="AQ421" s="280"/>
      <c r="AR421" s="16"/>
      <c r="AS421" s="203"/>
      <c r="AT421" s="203"/>
      <c r="AU421" s="17"/>
      <c r="AV421" s="16"/>
      <c r="AW421" s="203"/>
      <c r="AX421" s="203"/>
      <c r="AY421" s="17"/>
      <c r="AZ421" s="16"/>
      <c r="BA421" s="203"/>
      <c r="BB421" s="203"/>
      <c r="BC421" s="17"/>
      <c r="BD421" s="16"/>
      <c r="BE421" s="203"/>
      <c r="BF421" s="203"/>
      <c r="BG421" s="17"/>
      <c r="BH421" s="16"/>
      <c r="BI421" s="203"/>
      <c r="BJ421" s="203"/>
      <c r="BK421" s="17"/>
      <c r="BL421" s="16"/>
      <c r="BM421" s="203"/>
      <c r="BN421" s="203"/>
      <c r="BO421" s="17"/>
      <c r="BP421" s="16"/>
      <c r="BQ421" s="203"/>
      <c r="BR421" s="203"/>
      <c r="BS421" s="17"/>
      <c r="BT421" s="16"/>
      <c r="BU421" s="203"/>
      <c r="BV421" s="203"/>
      <c r="BW421" s="17"/>
      <c r="BX421" s="21"/>
      <c r="BY421" s="16"/>
      <c r="BZ421" s="203"/>
      <c r="CA421" s="203"/>
      <c r="CB421" s="203"/>
      <c r="CC421" s="279"/>
      <c r="CD421" s="279"/>
      <c r="CE421" s="279"/>
      <c r="CF421" s="485"/>
      <c r="CG421" s="203"/>
      <c r="CH421" s="203"/>
      <c r="CI421" s="203"/>
      <c r="CJ421" s="203"/>
      <c r="CK421" s="203"/>
      <c r="CL421" s="203"/>
      <c r="CM421" s="203"/>
      <c r="CN421" s="203"/>
      <c r="CO421" s="203"/>
      <c r="CP421" s="17"/>
    </row>
    <row r="422" spans="1:94" ht="14.25" hidden="1" customHeight="1" outlineLevel="2">
      <c r="A422" s="9"/>
      <c r="B422" s="10" t="s">
        <v>501</v>
      </c>
      <c r="C422" s="371"/>
      <c r="D422" s="371"/>
      <c r="E422" s="371"/>
      <c r="F422" s="371"/>
      <c r="G422" s="11"/>
      <c r="H422" s="371"/>
      <c r="I422" s="371"/>
      <c r="J422" s="371"/>
      <c r="K422" s="371"/>
      <c r="L422" s="393"/>
      <c r="M422" s="394"/>
      <c r="N422" s="394"/>
      <c r="O422" s="395"/>
      <c r="P422" s="393"/>
      <c r="Q422" s="394"/>
      <c r="R422" s="394"/>
      <c r="S422" s="395"/>
      <c r="T422" s="393"/>
      <c r="U422" s="394"/>
      <c r="V422" s="394"/>
      <c r="W422" s="395"/>
      <c r="X422" s="393"/>
      <c r="Y422" s="394"/>
      <c r="Z422" s="394"/>
      <c r="AA422" s="395"/>
      <c r="AB422" s="393"/>
      <c r="AC422" s="394"/>
      <c r="AD422" s="394"/>
      <c r="AE422" s="791"/>
      <c r="AF422" s="762">
        <v>195.9</v>
      </c>
      <c r="AG422" s="784">
        <v>196.3</v>
      </c>
      <c r="AH422" s="784">
        <v>201.4</v>
      </c>
      <c r="AI422" s="756">
        <v>201.1</v>
      </c>
      <c r="AJ422" s="762">
        <v>208.7</v>
      </c>
      <c r="AK422" s="784">
        <v>228.7</v>
      </c>
      <c r="AL422" s="784">
        <v>230.4</v>
      </c>
      <c r="AM422" s="756">
        <v>226.9</v>
      </c>
      <c r="AN422" s="762">
        <v>203.4</v>
      </c>
      <c r="AO422" s="784">
        <v>201.1</v>
      </c>
      <c r="AP422" s="784">
        <v>188.8</v>
      </c>
      <c r="AQ422" s="756"/>
      <c r="AR422" s="785"/>
      <c r="AS422" s="786"/>
      <c r="AT422" s="786"/>
      <c r="AU422" s="787"/>
      <c r="AV422" s="785"/>
      <c r="AW422" s="786"/>
      <c r="AX422" s="786"/>
      <c r="AY422" s="787"/>
      <c r="AZ422" s="785"/>
      <c r="BA422" s="786"/>
      <c r="BB422" s="786"/>
      <c r="BC422" s="787"/>
      <c r="BD422" s="785"/>
      <c r="BE422" s="786"/>
      <c r="BF422" s="786"/>
      <c r="BG422" s="787"/>
      <c r="BH422" s="785"/>
      <c r="BI422" s="786"/>
      <c r="BJ422" s="786"/>
      <c r="BK422" s="787"/>
      <c r="BL422" s="785"/>
      <c r="BM422" s="786"/>
      <c r="BN422" s="786"/>
      <c r="BO422" s="787"/>
      <c r="BP422" s="785"/>
      <c r="BQ422" s="786"/>
      <c r="BR422" s="786"/>
      <c r="BS422" s="787"/>
      <c r="BT422" s="785"/>
      <c r="BU422" s="786"/>
      <c r="BV422" s="786"/>
      <c r="BW422" s="787"/>
      <c r="BX422" s="263"/>
      <c r="BY422" s="10"/>
      <c r="BZ422" s="371"/>
      <c r="CA422" s="387"/>
      <c r="CB422" s="387"/>
      <c r="CC422" s="784">
        <v>243</v>
      </c>
      <c r="CD422" s="784">
        <v>659.1</v>
      </c>
      <c r="CE422" s="784">
        <v>623.79999999999995</v>
      </c>
      <c r="CF422" s="800">
        <f>SUM(AF422:AI422)</f>
        <v>794.7</v>
      </c>
      <c r="CG422" s="387">
        <f>SUM(AJ422:AM422)</f>
        <v>894.69999999999993</v>
      </c>
      <c r="CH422" s="387"/>
      <c r="CI422" s="387"/>
      <c r="CJ422" s="387"/>
      <c r="CK422" s="387"/>
      <c r="CL422" s="387"/>
      <c r="CM422" s="387"/>
      <c r="CN422" s="387"/>
      <c r="CO422" s="387"/>
      <c r="CP422" s="915"/>
    </row>
    <row r="423" spans="1:94" ht="14.25" hidden="1" customHeight="1" outlineLevel="2">
      <c r="A423" s="9"/>
      <c r="B423" s="217" t="s">
        <v>297</v>
      </c>
      <c r="C423" s="372"/>
      <c r="D423" s="372"/>
      <c r="E423" s="372"/>
      <c r="F423" s="372"/>
      <c r="G423" s="218"/>
      <c r="H423" s="372"/>
      <c r="I423" s="372"/>
      <c r="J423" s="372"/>
      <c r="K423" s="372"/>
      <c r="L423" s="219"/>
      <c r="M423" s="370"/>
      <c r="N423" s="370"/>
      <c r="O423" s="335"/>
      <c r="P423" s="378"/>
      <c r="Q423" s="370"/>
      <c r="R423" s="370"/>
      <c r="S423" s="370"/>
      <c r="T423" s="378"/>
      <c r="U423" s="370"/>
      <c r="V423" s="370"/>
      <c r="W423" s="335"/>
      <c r="X423" s="378"/>
      <c r="Y423" s="370"/>
      <c r="Z423" s="370"/>
      <c r="AA423" s="335"/>
      <c r="AB423" s="378"/>
      <c r="AC423" s="370"/>
      <c r="AD423" s="370"/>
      <c r="AE423" s="335"/>
      <c r="AF423" s="425"/>
      <c r="AG423" s="418">
        <f t="shared" ref="AG423:AP423" si="801">AG422/AF422-1</f>
        <v>2.0418580908627693E-3</v>
      </c>
      <c r="AH423" s="418">
        <f t="shared" si="801"/>
        <v>2.598064187468152E-2</v>
      </c>
      <c r="AI423" s="419">
        <f t="shared" si="801"/>
        <v>-1.4895729890764819E-3</v>
      </c>
      <c r="AJ423" s="425">
        <f t="shared" si="801"/>
        <v>3.7792143212332041E-2</v>
      </c>
      <c r="AK423" s="418">
        <f t="shared" si="801"/>
        <v>9.5831336847149062E-2</v>
      </c>
      <c r="AL423" s="418">
        <f t="shared" si="801"/>
        <v>7.4333187581985261E-3</v>
      </c>
      <c r="AM423" s="419">
        <f t="shared" si="801"/>
        <v>-1.519097222222221E-2</v>
      </c>
      <c r="AN423" s="377">
        <f t="shared" si="801"/>
        <v>-0.10356985456148082</v>
      </c>
      <c r="AO423" s="78">
        <f t="shared" si="801"/>
        <v>-1.1307767944936153E-2</v>
      </c>
      <c r="AP423" s="78">
        <f t="shared" si="801"/>
        <v>-6.1163600198905987E-2</v>
      </c>
      <c r="AQ423" s="335"/>
      <c r="AR423" s="134"/>
      <c r="AS423" s="78"/>
      <c r="AT423" s="78"/>
      <c r="AU423" s="79"/>
      <c r="AV423" s="134"/>
      <c r="AW423" s="78"/>
      <c r="AX423" s="78"/>
      <c r="AY423" s="79"/>
      <c r="AZ423" s="134"/>
      <c r="BA423" s="78"/>
      <c r="BB423" s="78"/>
      <c r="BC423" s="79"/>
      <c r="BD423" s="134"/>
      <c r="BE423" s="78"/>
      <c r="BF423" s="78"/>
      <c r="BG423" s="79"/>
      <c r="BH423" s="134"/>
      <c r="BI423" s="78"/>
      <c r="BJ423" s="78"/>
      <c r="BK423" s="79"/>
      <c r="BL423" s="134"/>
      <c r="BM423" s="78"/>
      <c r="BN423" s="78"/>
      <c r="BO423" s="79"/>
      <c r="BP423" s="134"/>
      <c r="BQ423" s="78"/>
      <c r="BR423" s="78"/>
      <c r="BS423" s="79"/>
      <c r="BT423" s="134"/>
      <c r="BU423" s="78"/>
      <c r="BV423" s="78"/>
      <c r="BW423" s="79"/>
      <c r="BX423" s="21"/>
      <c r="BY423" s="22"/>
      <c r="BZ423" s="15"/>
      <c r="CA423" s="15"/>
      <c r="CB423" s="15"/>
      <c r="CC423" s="370"/>
      <c r="CD423" s="370"/>
      <c r="CE423" s="370"/>
      <c r="CF423" s="370"/>
      <c r="CG423" s="220"/>
      <c r="CH423" s="220"/>
      <c r="CI423" s="220"/>
      <c r="CJ423" s="220"/>
      <c r="CK423" s="220"/>
      <c r="CL423" s="220"/>
      <c r="CM423" s="220"/>
      <c r="CN423" s="220"/>
      <c r="CO423" s="220"/>
      <c r="CP423" s="258"/>
    </row>
    <row r="424" spans="1:94" ht="14.25" hidden="1" customHeight="1" outlineLevel="2">
      <c r="A424" s="9"/>
      <c r="B424" s="32" t="s">
        <v>298</v>
      </c>
      <c r="C424" s="259"/>
      <c r="D424" s="259"/>
      <c r="E424" s="259"/>
      <c r="F424" s="259"/>
      <c r="G424" s="33"/>
      <c r="H424" s="259"/>
      <c r="I424" s="259"/>
      <c r="J424" s="259"/>
      <c r="K424" s="259"/>
      <c r="L424" s="219"/>
      <c r="M424" s="220"/>
      <c r="N424" s="220"/>
      <c r="O424" s="258"/>
      <c r="P424" s="378"/>
      <c r="Q424" s="370"/>
      <c r="R424" s="370"/>
      <c r="S424" s="370"/>
      <c r="T424" s="378"/>
      <c r="U424" s="370"/>
      <c r="V424" s="370"/>
      <c r="W424" s="335"/>
      <c r="X424" s="378"/>
      <c r="Y424" s="370"/>
      <c r="Z424" s="370"/>
      <c r="AA424" s="335"/>
      <c r="AB424" s="378"/>
      <c r="AC424" s="370"/>
      <c r="AD424" s="370"/>
      <c r="AE424" s="335"/>
      <c r="AF424" s="425"/>
      <c r="AG424" s="418"/>
      <c r="AH424" s="418"/>
      <c r="AI424" s="419"/>
      <c r="AJ424" s="425">
        <f t="shared" ref="AJ424:AP424" si="802">AJ422/AF422-1</f>
        <v>6.533945890760573E-2</v>
      </c>
      <c r="AK424" s="418">
        <f t="shared" si="802"/>
        <v>0.16505348955680077</v>
      </c>
      <c r="AL424" s="418">
        <f t="shared" si="802"/>
        <v>0.14399205561072481</v>
      </c>
      <c r="AM424" s="419">
        <f t="shared" si="802"/>
        <v>0.12829438090502254</v>
      </c>
      <c r="AN424" s="377">
        <f t="shared" si="802"/>
        <v>-2.5395304264494434E-2</v>
      </c>
      <c r="AO424" s="220">
        <f t="shared" si="802"/>
        <v>-0.12068211630957582</v>
      </c>
      <c r="AP424" s="220">
        <f t="shared" si="802"/>
        <v>-0.18055555555555558</v>
      </c>
      <c r="AQ424" s="335"/>
      <c r="AR424" s="219"/>
      <c r="AS424" s="220"/>
      <c r="AT424" s="220"/>
      <c r="AU424" s="258"/>
      <c r="AV424" s="219"/>
      <c r="AW424" s="220"/>
      <c r="AX424" s="220"/>
      <c r="AY424" s="258"/>
      <c r="AZ424" s="219"/>
      <c r="BA424" s="220"/>
      <c r="BB424" s="220"/>
      <c r="BC424" s="258"/>
      <c r="BD424" s="219"/>
      <c r="BE424" s="220"/>
      <c r="BF424" s="220"/>
      <c r="BG424" s="258"/>
      <c r="BH424" s="219"/>
      <c r="BI424" s="220"/>
      <c r="BJ424" s="220"/>
      <c r="BK424" s="258"/>
      <c r="BL424" s="219"/>
      <c r="BM424" s="220"/>
      <c r="BN424" s="220"/>
      <c r="BO424" s="258"/>
      <c r="BP424" s="219"/>
      <c r="BQ424" s="220"/>
      <c r="BR424" s="220"/>
      <c r="BS424" s="258"/>
      <c r="BT424" s="219"/>
      <c r="BU424" s="220"/>
      <c r="BV424" s="220"/>
      <c r="BW424" s="258"/>
      <c r="BX424" s="21"/>
      <c r="BY424" s="22"/>
      <c r="BZ424" s="15"/>
      <c r="CA424" s="15"/>
      <c r="CB424" s="338"/>
      <c r="CC424" s="418"/>
      <c r="CD424" s="370">
        <f>CD422/CC422-1</f>
        <v>1.7123456790123459</v>
      </c>
      <c r="CE424" s="370">
        <f>CE422/CD422-1</f>
        <v>-5.355788196024891E-2</v>
      </c>
      <c r="CF424" s="370">
        <f>CF422/CE422-1</f>
        <v>0.27396601474831694</v>
      </c>
      <c r="CG424" s="338">
        <f>CG422/CF422-1</f>
        <v>0.12583364791745288</v>
      </c>
      <c r="CH424" s="338"/>
      <c r="CI424" s="338"/>
      <c r="CJ424" s="338"/>
      <c r="CK424" s="338"/>
      <c r="CL424" s="338"/>
      <c r="CM424" s="338"/>
      <c r="CN424" s="338"/>
      <c r="CO424" s="338"/>
      <c r="CP424" s="337"/>
    </row>
    <row r="425" spans="1:94" ht="14.25" hidden="1" customHeight="1" outlineLevel="2">
      <c r="A425" s="9"/>
      <c r="B425" s="217" t="s">
        <v>299</v>
      </c>
      <c r="C425" s="372"/>
      <c r="D425" s="372"/>
      <c r="E425" s="372"/>
      <c r="F425" s="372"/>
      <c r="G425" s="218"/>
      <c r="H425" s="372"/>
      <c r="I425" s="372"/>
      <c r="J425" s="372"/>
      <c r="K425" s="372"/>
      <c r="L425" s="359"/>
      <c r="M425" s="338"/>
      <c r="N425" s="338"/>
      <c r="O425" s="337"/>
      <c r="P425" s="359"/>
      <c r="Q425" s="338"/>
      <c r="R425" s="338"/>
      <c r="S425" s="338"/>
      <c r="T425" s="359"/>
      <c r="U425" s="338"/>
      <c r="V425" s="338"/>
      <c r="W425" s="337"/>
      <c r="X425" s="359"/>
      <c r="Y425" s="338"/>
      <c r="Z425" s="338"/>
      <c r="AA425" s="337"/>
      <c r="AB425" s="359"/>
      <c r="AC425" s="338"/>
      <c r="AD425" s="338"/>
      <c r="AE425" s="337"/>
      <c r="AF425" s="355">
        <f>AF422/AF461</f>
        <v>0.35605234460196289</v>
      </c>
      <c r="AG425" s="370">
        <f>AG422/AG461</f>
        <v>0.33653351620092581</v>
      </c>
      <c r="AH425" s="370">
        <f>AH422/AH461</f>
        <v>0.33527551190278015</v>
      </c>
      <c r="AI425" s="337">
        <f>AI422/AI461</f>
        <v>0.34720303867403313</v>
      </c>
      <c r="AJ425" s="355">
        <f>AJ422/AJ461</f>
        <v>0.23971973351711459</v>
      </c>
      <c r="AK425" s="370">
        <f t="shared" ref="AK425:AP425" si="803">AK422/AK461</f>
        <v>0.25251186927238595</v>
      </c>
      <c r="AL425" s="370">
        <f t="shared" si="803"/>
        <v>0.25657015590200444</v>
      </c>
      <c r="AM425" s="337">
        <f t="shared" si="803"/>
        <v>0.29544270833333336</v>
      </c>
      <c r="AN425" s="359">
        <f t="shared" si="803"/>
        <v>0.27324019344438477</v>
      </c>
      <c r="AO425" s="78">
        <f t="shared" si="803"/>
        <v>0.27000537056928031</v>
      </c>
      <c r="AP425" s="78">
        <f t="shared" si="803"/>
        <v>0.26023432115782219</v>
      </c>
      <c r="AQ425" s="337"/>
      <c r="AR425" s="134"/>
      <c r="AS425" s="78"/>
      <c r="AT425" s="78"/>
      <c r="AU425" s="79"/>
      <c r="AV425" s="134"/>
      <c r="AW425" s="78"/>
      <c r="AX425" s="78"/>
      <c r="AY425" s="79"/>
      <c r="AZ425" s="134"/>
      <c r="BA425" s="78"/>
      <c r="BB425" s="78"/>
      <c r="BC425" s="79"/>
      <c r="BD425" s="134"/>
      <c r="BE425" s="78"/>
      <c r="BF425" s="78"/>
      <c r="BG425" s="79"/>
      <c r="BH425" s="134"/>
      <c r="BI425" s="78"/>
      <c r="BJ425" s="78"/>
      <c r="BK425" s="79"/>
      <c r="BL425" s="134"/>
      <c r="BM425" s="78"/>
      <c r="BN425" s="78"/>
      <c r="BO425" s="79"/>
      <c r="BP425" s="134"/>
      <c r="BQ425" s="78"/>
      <c r="BR425" s="78"/>
      <c r="BS425" s="79"/>
      <c r="BT425" s="134"/>
      <c r="BU425" s="78"/>
      <c r="BV425" s="78"/>
      <c r="BW425" s="79"/>
      <c r="BX425" s="21"/>
      <c r="BY425" s="22"/>
      <c r="BZ425" s="15"/>
      <c r="CA425" s="15"/>
      <c r="CB425" s="338"/>
      <c r="CC425" s="370">
        <f>CC422/CC461</f>
        <v>0.15515259864640532</v>
      </c>
      <c r="CD425" s="370">
        <f>CD422/CD461</f>
        <v>0.32076114463694771</v>
      </c>
      <c r="CE425" s="370">
        <f>CE422/CE461</f>
        <v>0.35264853863983264</v>
      </c>
      <c r="CF425" s="370">
        <f>CF422/CF461</f>
        <v>0.34352035964381439</v>
      </c>
      <c r="CG425" s="338">
        <f>CG422/CG461</f>
        <v>0.25991342997414518</v>
      </c>
      <c r="CH425" s="338"/>
      <c r="CI425" s="338"/>
      <c r="CJ425" s="338"/>
      <c r="CK425" s="338"/>
      <c r="CL425" s="338"/>
      <c r="CM425" s="338"/>
      <c r="CN425" s="338"/>
      <c r="CO425" s="338"/>
      <c r="CP425" s="337"/>
    </row>
    <row r="426" spans="1:94" ht="12.75" hidden="1" customHeight="1" outlineLevel="2">
      <c r="A426" s="9"/>
      <c r="B426" s="217"/>
      <c r="C426" s="372"/>
      <c r="D426" s="372"/>
      <c r="E426" s="372"/>
      <c r="F426" s="372"/>
      <c r="G426" s="218"/>
      <c r="H426" s="372"/>
      <c r="I426" s="372"/>
      <c r="J426" s="372"/>
      <c r="K426" s="372"/>
      <c r="L426" s="219"/>
      <c r="M426" s="220"/>
      <c r="N426" s="220"/>
      <c r="O426" s="258"/>
      <c r="P426" s="379"/>
      <c r="Q426" s="220"/>
      <c r="R426" s="220"/>
      <c r="S426" s="220"/>
      <c r="T426" s="379"/>
      <c r="U426" s="220"/>
      <c r="V426" s="220"/>
      <c r="W426" s="258"/>
      <c r="X426" s="379"/>
      <c r="Y426" s="220"/>
      <c r="Z426" s="220"/>
      <c r="AA426" s="258"/>
      <c r="AB426" s="379"/>
      <c r="AC426" s="220"/>
      <c r="AD426" s="220"/>
      <c r="AE426" s="258"/>
      <c r="AF426" s="82"/>
      <c r="AG426" s="80"/>
      <c r="AH426" s="80"/>
      <c r="AI426" s="262"/>
      <c r="AJ426" s="82"/>
      <c r="AK426" s="80"/>
      <c r="AL426" s="80"/>
      <c r="AM426" s="262"/>
      <c r="AN426" s="82"/>
      <c r="AO426" s="80"/>
      <c r="AP426" s="80"/>
      <c r="AQ426" s="262"/>
      <c r="AR426" s="82"/>
      <c r="AS426" s="80"/>
      <c r="AT426" s="80"/>
      <c r="AU426" s="81"/>
      <c r="AV426" s="82"/>
      <c r="AW426" s="80"/>
      <c r="AX426" s="80"/>
      <c r="AY426" s="81"/>
      <c r="AZ426" s="82"/>
      <c r="BA426" s="80"/>
      <c r="BB426" s="80"/>
      <c r="BC426" s="81"/>
      <c r="BD426" s="82"/>
      <c r="BE426" s="80"/>
      <c r="BF426" s="80"/>
      <c r="BG426" s="81"/>
      <c r="BH426" s="82"/>
      <c r="BI426" s="80"/>
      <c r="BJ426" s="80"/>
      <c r="BK426" s="81"/>
      <c r="BL426" s="82"/>
      <c r="BM426" s="80"/>
      <c r="BN426" s="80"/>
      <c r="BO426" s="81"/>
      <c r="BP426" s="82"/>
      <c r="BQ426" s="80"/>
      <c r="BR426" s="80"/>
      <c r="BS426" s="81"/>
      <c r="BT426" s="82"/>
      <c r="BU426" s="80"/>
      <c r="BV426" s="80"/>
      <c r="BW426" s="81"/>
      <c r="BX426" s="21"/>
      <c r="BY426" s="22"/>
      <c r="BZ426" s="15"/>
      <c r="CA426" s="15"/>
      <c r="CB426" s="15"/>
      <c r="CC426" s="80"/>
      <c r="CD426" s="80"/>
      <c r="CE426" s="80"/>
      <c r="CF426" s="370"/>
      <c r="CG426" s="220"/>
      <c r="CH426" s="220"/>
      <c r="CI426" s="220"/>
      <c r="CJ426" s="220"/>
      <c r="CK426" s="220"/>
      <c r="CL426" s="220"/>
      <c r="CM426" s="220"/>
      <c r="CN426" s="220"/>
      <c r="CO426" s="220"/>
      <c r="CP426" s="258"/>
    </row>
    <row r="427" spans="1:94" ht="14.25" hidden="1" customHeight="1" outlineLevel="2">
      <c r="A427" s="9"/>
      <c r="B427" s="235" t="s">
        <v>502</v>
      </c>
      <c r="C427" s="372"/>
      <c r="D427" s="372"/>
      <c r="E427" s="372"/>
      <c r="F427" s="372"/>
      <c r="G427" s="218"/>
      <c r="H427" s="372"/>
      <c r="I427" s="372"/>
      <c r="J427" s="372"/>
      <c r="K427" s="372"/>
      <c r="L427" s="375"/>
      <c r="M427" s="343"/>
      <c r="N427" s="343"/>
      <c r="O427" s="369"/>
      <c r="P427" s="375"/>
      <c r="Q427" s="343"/>
      <c r="R427" s="343"/>
      <c r="S427" s="369"/>
      <c r="T427" s="375"/>
      <c r="U427" s="343"/>
      <c r="V427" s="343"/>
      <c r="W427" s="369"/>
      <c r="X427" s="375"/>
      <c r="Y427" s="343"/>
      <c r="Z427" s="343"/>
      <c r="AA427" s="369"/>
      <c r="AB427" s="375"/>
      <c r="AC427" s="343"/>
      <c r="AD427" s="343"/>
      <c r="AE427" s="792"/>
      <c r="AF427" s="422">
        <v>105.1</v>
      </c>
      <c r="AG427" s="423">
        <v>100.6</v>
      </c>
      <c r="AH427" s="423">
        <v>107</v>
      </c>
      <c r="AI427" s="401">
        <v>103.4</v>
      </c>
      <c r="AJ427" s="422">
        <v>104.3</v>
      </c>
      <c r="AK427" s="423">
        <v>112.3</v>
      </c>
      <c r="AL427" s="423">
        <v>119.5</v>
      </c>
      <c r="AM427" s="401">
        <v>114.8</v>
      </c>
      <c r="AN427" s="422">
        <v>91.3</v>
      </c>
      <c r="AO427" s="423">
        <v>100.2</v>
      </c>
      <c r="AP427" s="423">
        <v>87.8</v>
      </c>
      <c r="AQ427" s="401"/>
      <c r="AR427" s="374"/>
      <c r="AS427" s="341"/>
      <c r="AT427" s="341"/>
      <c r="AU427" s="342"/>
      <c r="AV427" s="374"/>
      <c r="AW427" s="341"/>
      <c r="AX427" s="341"/>
      <c r="AY427" s="342"/>
      <c r="AZ427" s="374"/>
      <c r="BA427" s="341"/>
      <c r="BB427" s="341"/>
      <c r="BC427" s="342"/>
      <c r="BD427" s="374"/>
      <c r="BE427" s="341"/>
      <c r="BF427" s="341"/>
      <c r="BG427" s="342"/>
      <c r="BH427" s="374"/>
      <c r="BI427" s="341"/>
      <c r="BJ427" s="341"/>
      <c r="BK427" s="342"/>
      <c r="BL427" s="374"/>
      <c r="BM427" s="341"/>
      <c r="BN427" s="341"/>
      <c r="BO427" s="342"/>
      <c r="BP427" s="374"/>
      <c r="BQ427" s="341"/>
      <c r="BR427" s="341"/>
      <c r="BS427" s="342"/>
      <c r="BT427" s="374"/>
      <c r="BU427" s="341"/>
      <c r="BV427" s="341"/>
      <c r="BW427" s="342"/>
      <c r="BX427" s="263"/>
      <c r="BY427" s="235"/>
      <c r="BZ427" s="251"/>
      <c r="CA427" s="325"/>
      <c r="CB427" s="325"/>
      <c r="CC427" s="423">
        <v>90.5</v>
      </c>
      <c r="CD427" s="423">
        <v>253.1</v>
      </c>
      <c r="CE427" s="423">
        <v>292</v>
      </c>
      <c r="CF427" s="801">
        <f>SUM(AF427:AI427)</f>
        <v>416.1</v>
      </c>
      <c r="CG427" s="325">
        <f>SUM(AJ427:AM427)</f>
        <v>450.90000000000003</v>
      </c>
      <c r="CH427" s="325"/>
      <c r="CI427" s="325"/>
      <c r="CJ427" s="325"/>
      <c r="CK427" s="325"/>
      <c r="CL427" s="325"/>
      <c r="CM427" s="325"/>
      <c r="CN427" s="325"/>
      <c r="CO427" s="325"/>
      <c r="CP427" s="326"/>
    </row>
    <row r="428" spans="1:94" ht="14.25" hidden="1" customHeight="1" outlineLevel="2">
      <c r="A428" s="9"/>
      <c r="B428" s="217" t="s">
        <v>193</v>
      </c>
      <c r="C428" s="372"/>
      <c r="D428" s="372"/>
      <c r="E428" s="372"/>
      <c r="F428" s="372"/>
      <c r="G428" s="218"/>
      <c r="H428" s="372"/>
      <c r="I428" s="372"/>
      <c r="J428" s="372"/>
      <c r="K428" s="372"/>
      <c r="L428" s="377"/>
      <c r="M428" s="370"/>
      <c r="N428" s="370"/>
      <c r="O428" s="335"/>
      <c r="P428" s="378"/>
      <c r="Q428" s="370"/>
      <c r="R428" s="370"/>
      <c r="S428" s="370"/>
      <c r="T428" s="378"/>
      <c r="U428" s="370"/>
      <c r="V428" s="370"/>
      <c r="W428" s="335"/>
      <c r="X428" s="378"/>
      <c r="Y428" s="370"/>
      <c r="Z428" s="370"/>
      <c r="AA428" s="335"/>
      <c r="AB428" s="378"/>
      <c r="AC428" s="370"/>
      <c r="AD428" s="370"/>
      <c r="AE428" s="335"/>
      <c r="AF428" s="377">
        <f t="shared" ref="AF428:AP428" si="804">AF427/AF422</f>
        <v>0.53649821337417047</v>
      </c>
      <c r="AG428" s="370">
        <f t="shared" si="804"/>
        <v>0.5124808965868568</v>
      </c>
      <c r="AH428" s="370">
        <f t="shared" si="804"/>
        <v>0.53128103277060579</v>
      </c>
      <c r="AI428" s="335">
        <f t="shared" si="804"/>
        <v>0.5141720537046246</v>
      </c>
      <c r="AJ428" s="377">
        <f t="shared" si="804"/>
        <v>0.49976042165788215</v>
      </c>
      <c r="AK428" s="370">
        <f t="shared" si="804"/>
        <v>0.49103629208570182</v>
      </c>
      <c r="AL428" s="370">
        <f t="shared" si="804"/>
        <v>0.51866319444444442</v>
      </c>
      <c r="AM428" s="335">
        <f t="shared" si="804"/>
        <v>0.50594975760246808</v>
      </c>
      <c r="AN428" s="377">
        <f t="shared" si="804"/>
        <v>0.44886922320550637</v>
      </c>
      <c r="AO428" s="370">
        <f t="shared" si="804"/>
        <v>0.4982595723520637</v>
      </c>
      <c r="AP428" s="370">
        <f t="shared" si="804"/>
        <v>0.46504237288135591</v>
      </c>
      <c r="AQ428" s="335"/>
      <c r="AR428" s="294"/>
      <c r="AS428" s="381"/>
      <c r="AT428" s="381"/>
      <c r="AU428" s="292"/>
      <c r="AV428" s="294"/>
      <c r="AW428" s="381"/>
      <c r="AX428" s="381"/>
      <c r="AY428" s="292"/>
      <c r="AZ428" s="294"/>
      <c r="BA428" s="381"/>
      <c r="BB428" s="381"/>
      <c r="BC428" s="292"/>
      <c r="BD428" s="294"/>
      <c r="BE428" s="381"/>
      <c r="BF428" s="381"/>
      <c r="BG428" s="292"/>
      <c r="BH428" s="294"/>
      <c r="BI428" s="381"/>
      <c r="BJ428" s="381"/>
      <c r="BK428" s="292"/>
      <c r="BL428" s="294"/>
      <c r="BM428" s="381"/>
      <c r="BN428" s="381"/>
      <c r="BO428" s="292"/>
      <c r="BP428" s="294"/>
      <c r="BQ428" s="381"/>
      <c r="BR428" s="381"/>
      <c r="BS428" s="292"/>
      <c r="BT428" s="294"/>
      <c r="BU428" s="381"/>
      <c r="BV428" s="381"/>
      <c r="BW428" s="292"/>
      <c r="BX428" s="21"/>
      <c r="BY428" s="22"/>
      <c r="BZ428" s="15"/>
      <c r="CA428" s="15"/>
      <c r="CB428" s="338"/>
      <c r="CC428" s="370">
        <f>CC427/CC422</f>
        <v>0.37242798353909468</v>
      </c>
      <c r="CD428" s="370">
        <f>CD427/CD422</f>
        <v>0.38400849643453194</v>
      </c>
      <c r="CE428" s="370">
        <f>CE427/CE422</f>
        <v>0.46809874959923053</v>
      </c>
      <c r="CF428" s="370">
        <f>CF427/CF422</f>
        <v>0.52359380898452246</v>
      </c>
      <c r="CG428" s="338">
        <f>CG427/CG422</f>
        <v>0.50396781043925343</v>
      </c>
      <c r="CH428" s="338"/>
      <c r="CI428" s="338"/>
      <c r="CJ428" s="338"/>
      <c r="CK428" s="338"/>
      <c r="CL428" s="338"/>
      <c r="CM428" s="338"/>
      <c r="CN428" s="338"/>
      <c r="CO428" s="338"/>
      <c r="CP428" s="337"/>
    </row>
    <row r="429" spans="1:94" ht="14.25" hidden="1" customHeight="1" outlineLevel="2">
      <c r="A429" s="9"/>
      <c r="B429" s="217"/>
      <c r="C429" s="372"/>
      <c r="D429" s="372"/>
      <c r="E429" s="372"/>
      <c r="F429" s="372"/>
      <c r="G429" s="218"/>
      <c r="H429" s="372"/>
      <c r="I429" s="372"/>
      <c r="J429" s="372"/>
      <c r="K429" s="372"/>
      <c r="L429" s="219"/>
      <c r="M429" s="220"/>
      <c r="N429" s="220"/>
      <c r="O429" s="258"/>
      <c r="P429" s="379"/>
      <c r="Q429" s="220"/>
      <c r="R429" s="220"/>
      <c r="S429" s="220"/>
      <c r="T429" s="379"/>
      <c r="U429" s="220"/>
      <c r="V429" s="220"/>
      <c r="W429" s="258"/>
      <c r="X429" s="379"/>
      <c r="Y429" s="220"/>
      <c r="Z429" s="220"/>
      <c r="AA429" s="258"/>
      <c r="AB429" s="379"/>
      <c r="AC429" s="220"/>
      <c r="AD429" s="220"/>
      <c r="AE429" s="258"/>
      <c r="AF429" s="82"/>
      <c r="AG429" s="80"/>
      <c r="AH429" s="80"/>
      <c r="AI429" s="262"/>
      <c r="AJ429" s="82"/>
      <c r="AK429" s="80"/>
      <c r="AL429" s="80"/>
      <c r="AM429" s="262"/>
      <c r="AN429" s="82"/>
      <c r="AO429" s="80"/>
      <c r="AP429" s="80"/>
      <c r="AQ429" s="262"/>
      <c r="AR429" s="82"/>
      <c r="AS429" s="80"/>
      <c r="AT429" s="80"/>
      <c r="AU429" s="81"/>
      <c r="AV429" s="82"/>
      <c r="AW429" s="80"/>
      <c r="AX429" s="80"/>
      <c r="AY429" s="81"/>
      <c r="AZ429" s="82"/>
      <c r="BA429" s="80"/>
      <c r="BB429" s="80"/>
      <c r="BC429" s="81"/>
      <c r="BD429" s="82"/>
      <c r="BE429" s="80"/>
      <c r="BF429" s="80"/>
      <c r="BG429" s="81"/>
      <c r="BH429" s="82"/>
      <c r="BI429" s="80"/>
      <c r="BJ429" s="80"/>
      <c r="BK429" s="81"/>
      <c r="BL429" s="82"/>
      <c r="BM429" s="80"/>
      <c r="BN429" s="80"/>
      <c r="BO429" s="81"/>
      <c r="BP429" s="82"/>
      <c r="BQ429" s="80"/>
      <c r="BR429" s="80"/>
      <c r="BS429" s="81"/>
      <c r="BT429" s="82"/>
      <c r="BU429" s="80"/>
      <c r="BV429" s="80"/>
      <c r="BW429" s="81"/>
      <c r="BX429" s="21"/>
      <c r="BY429" s="22"/>
      <c r="BZ429" s="15"/>
      <c r="CA429" s="15"/>
      <c r="CB429" s="15"/>
      <c r="CC429" s="80"/>
      <c r="CD429" s="80"/>
      <c r="CE429" s="80"/>
      <c r="CF429" s="370"/>
      <c r="CG429" s="220"/>
      <c r="CH429" s="220"/>
      <c r="CI429" s="220"/>
      <c r="CJ429" s="220"/>
      <c r="CK429" s="220"/>
      <c r="CL429" s="220"/>
      <c r="CM429" s="220"/>
      <c r="CN429" s="220"/>
      <c r="CO429" s="220"/>
      <c r="CP429" s="258"/>
    </row>
    <row r="430" spans="1:94" ht="14.25" hidden="1" customHeight="1" outlineLevel="2">
      <c r="A430" s="9"/>
      <c r="B430" s="235" t="s">
        <v>503</v>
      </c>
      <c r="C430" s="372"/>
      <c r="D430" s="372"/>
      <c r="E430" s="372"/>
      <c r="F430" s="372"/>
      <c r="G430" s="218"/>
      <c r="H430" s="372"/>
      <c r="I430" s="372"/>
      <c r="J430" s="372"/>
      <c r="K430" s="372"/>
      <c r="L430" s="375"/>
      <c r="M430" s="343"/>
      <c r="N430" s="343"/>
      <c r="O430" s="369"/>
      <c r="P430" s="375"/>
      <c r="Q430" s="343"/>
      <c r="R430" s="343"/>
      <c r="S430" s="369"/>
      <c r="T430" s="375"/>
      <c r="U430" s="343"/>
      <c r="V430" s="343"/>
      <c r="W430" s="369"/>
      <c r="X430" s="375"/>
      <c r="Y430" s="343"/>
      <c r="Z430" s="343"/>
      <c r="AA430" s="369"/>
      <c r="AB430" s="375"/>
      <c r="AC430" s="343"/>
      <c r="AD430" s="343"/>
      <c r="AE430" s="792"/>
      <c r="AF430" s="422">
        <v>37.9</v>
      </c>
      <c r="AG430" s="423">
        <v>33.299999999999997</v>
      </c>
      <c r="AH430" s="423">
        <v>47</v>
      </c>
      <c r="AI430" s="401">
        <v>35.799999999999997</v>
      </c>
      <c r="AJ430" s="422">
        <v>32.5</v>
      </c>
      <c r="AK430" s="423">
        <v>37.700000000000003</v>
      </c>
      <c r="AL430" s="423">
        <v>50</v>
      </c>
      <c r="AM430" s="401">
        <v>45.3</v>
      </c>
      <c r="AN430" s="423">
        <v>19.7</v>
      </c>
      <c r="AO430" s="423">
        <v>30.3</v>
      </c>
      <c r="AP430" s="423">
        <v>21.1</v>
      </c>
      <c r="AQ430" s="401"/>
      <c r="AR430" s="374"/>
      <c r="AS430" s="341"/>
      <c r="AT430" s="341"/>
      <c r="AU430" s="342"/>
      <c r="AV430" s="374"/>
      <c r="AW430" s="341"/>
      <c r="AX430" s="341"/>
      <c r="AY430" s="342"/>
      <c r="AZ430" s="374"/>
      <c r="BA430" s="341"/>
      <c r="BB430" s="341"/>
      <c r="BC430" s="342"/>
      <c r="BD430" s="374"/>
      <c r="BE430" s="341"/>
      <c r="BF430" s="341"/>
      <c r="BG430" s="342"/>
      <c r="BH430" s="374"/>
      <c r="BI430" s="341"/>
      <c r="BJ430" s="341"/>
      <c r="BK430" s="342"/>
      <c r="BL430" s="374"/>
      <c r="BM430" s="341"/>
      <c r="BN430" s="341"/>
      <c r="BO430" s="342"/>
      <c r="BP430" s="374"/>
      <c r="BQ430" s="341"/>
      <c r="BR430" s="341"/>
      <c r="BS430" s="342"/>
      <c r="BT430" s="374"/>
      <c r="BU430" s="341"/>
      <c r="BV430" s="341"/>
      <c r="BW430" s="342"/>
      <c r="BX430" s="263"/>
      <c r="BY430" s="235"/>
      <c r="BZ430" s="251"/>
      <c r="CA430" s="325"/>
      <c r="CB430" s="325"/>
      <c r="CC430" s="423">
        <v>48.6</v>
      </c>
      <c r="CD430" s="423">
        <v>32.5</v>
      </c>
      <c r="CE430" s="423">
        <v>67.2</v>
      </c>
      <c r="CF430" s="801">
        <f>SUM(AF430:AI430)</f>
        <v>154</v>
      </c>
      <c r="CG430" s="325">
        <f>SUM(AJ430:AM430)</f>
        <v>165.5</v>
      </c>
      <c r="CH430" s="325"/>
      <c r="CI430" s="325"/>
      <c r="CJ430" s="325"/>
      <c r="CK430" s="325"/>
      <c r="CL430" s="325"/>
      <c r="CM430" s="325"/>
      <c r="CN430" s="325"/>
      <c r="CO430" s="325"/>
      <c r="CP430" s="326"/>
    </row>
    <row r="431" spans="1:94" ht="14.25" hidden="1" customHeight="1" outlineLevel="2">
      <c r="A431" s="9"/>
      <c r="B431" s="217" t="s">
        <v>297</v>
      </c>
      <c r="C431" s="372"/>
      <c r="D431" s="372"/>
      <c r="E431" s="372"/>
      <c r="F431" s="372"/>
      <c r="G431" s="218"/>
      <c r="H431" s="372"/>
      <c r="I431" s="372"/>
      <c r="J431" s="372"/>
      <c r="K431" s="372"/>
      <c r="L431" s="377"/>
      <c r="M431" s="370"/>
      <c r="N431" s="370"/>
      <c r="O431" s="335"/>
      <c r="P431" s="378"/>
      <c r="Q431" s="370"/>
      <c r="R431" s="370"/>
      <c r="S431" s="370"/>
      <c r="T431" s="378"/>
      <c r="U431" s="370"/>
      <c r="V431" s="370"/>
      <c r="W431" s="335"/>
      <c r="X431" s="378"/>
      <c r="Y431" s="370"/>
      <c r="Z431" s="370"/>
      <c r="AA431" s="335"/>
      <c r="AB431" s="378"/>
      <c r="AC431" s="370"/>
      <c r="AD431" s="370"/>
      <c r="AE431" s="335"/>
      <c r="AF431" s="425"/>
      <c r="AG431" s="418">
        <f t="shared" ref="AG431:AP431" si="805">AG430/AF430-1</f>
        <v>-0.12137203166226918</v>
      </c>
      <c r="AH431" s="418">
        <f t="shared" si="805"/>
        <v>0.41141141141141158</v>
      </c>
      <c r="AI431" s="419">
        <f t="shared" si="805"/>
        <v>-0.23829787234042554</v>
      </c>
      <c r="AJ431" s="425">
        <f t="shared" si="805"/>
        <v>-9.2178770949720601E-2</v>
      </c>
      <c r="AK431" s="418">
        <f t="shared" si="805"/>
        <v>0.16000000000000014</v>
      </c>
      <c r="AL431" s="418">
        <f t="shared" si="805"/>
        <v>0.32625994694960192</v>
      </c>
      <c r="AM431" s="419">
        <f t="shared" si="805"/>
        <v>-9.4000000000000083E-2</v>
      </c>
      <c r="AN431" s="377">
        <f t="shared" si="805"/>
        <v>-0.56512141280353201</v>
      </c>
      <c r="AO431" s="370">
        <f t="shared" si="805"/>
        <v>0.53807106598984777</v>
      </c>
      <c r="AP431" s="370">
        <f t="shared" si="805"/>
        <v>-0.30363036303630364</v>
      </c>
      <c r="AQ431" s="335"/>
      <c r="AR431" s="134"/>
      <c r="AS431" s="78"/>
      <c r="AT431" s="78"/>
      <c r="AU431" s="79"/>
      <c r="AV431" s="134"/>
      <c r="AW431" s="78"/>
      <c r="AX431" s="78"/>
      <c r="AY431" s="79"/>
      <c r="AZ431" s="134"/>
      <c r="BA431" s="78"/>
      <c r="BB431" s="78"/>
      <c r="BC431" s="79"/>
      <c r="BD431" s="134"/>
      <c r="BE431" s="78"/>
      <c r="BF431" s="78"/>
      <c r="BG431" s="79"/>
      <c r="BH431" s="134"/>
      <c r="BI431" s="78"/>
      <c r="BJ431" s="78"/>
      <c r="BK431" s="79"/>
      <c r="BL431" s="134"/>
      <c r="BM431" s="78"/>
      <c r="BN431" s="78"/>
      <c r="BO431" s="79"/>
      <c r="BP431" s="134"/>
      <c r="BQ431" s="78"/>
      <c r="BR431" s="78"/>
      <c r="BS431" s="79"/>
      <c r="BT431" s="134"/>
      <c r="BU431" s="78"/>
      <c r="BV431" s="78"/>
      <c r="BW431" s="79"/>
      <c r="BX431" s="21"/>
      <c r="BY431" s="22"/>
      <c r="BZ431" s="15"/>
      <c r="CA431" s="15"/>
      <c r="CB431" s="15"/>
      <c r="CC431" s="370"/>
      <c r="CD431" s="370"/>
      <c r="CE431" s="370"/>
      <c r="CF431" s="370"/>
      <c r="CG431" s="220"/>
      <c r="CH431" s="220"/>
      <c r="CI431" s="220"/>
      <c r="CJ431" s="220"/>
      <c r="CK431" s="220"/>
      <c r="CL431" s="220"/>
      <c r="CM431" s="220"/>
      <c r="CN431" s="220"/>
      <c r="CO431" s="220"/>
      <c r="CP431" s="258"/>
    </row>
    <row r="432" spans="1:94" ht="14.25" hidden="1" customHeight="1" outlineLevel="2">
      <c r="A432" s="9"/>
      <c r="B432" s="32" t="s">
        <v>298</v>
      </c>
      <c r="C432" s="372"/>
      <c r="D432" s="372"/>
      <c r="E432" s="372"/>
      <c r="F432" s="372"/>
      <c r="G432" s="218"/>
      <c r="H432" s="372"/>
      <c r="I432" s="372"/>
      <c r="J432" s="372"/>
      <c r="K432" s="372"/>
      <c r="L432" s="377"/>
      <c r="M432" s="370"/>
      <c r="N432" s="370"/>
      <c r="O432" s="335"/>
      <c r="P432" s="378"/>
      <c r="Q432" s="370"/>
      <c r="R432" s="370"/>
      <c r="S432" s="370"/>
      <c r="T432" s="378"/>
      <c r="U432" s="370"/>
      <c r="V432" s="370"/>
      <c r="W432" s="335"/>
      <c r="X432" s="378"/>
      <c r="Y432" s="370"/>
      <c r="Z432" s="370"/>
      <c r="AA432" s="335"/>
      <c r="AB432" s="378"/>
      <c r="AC432" s="370"/>
      <c r="AD432" s="370"/>
      <c r="AE432" s="335"/>
      <c r="AF432" s="425"/>
      <c r="AG432" s="418"/>
      <c r="AH432" s="418"/>
      <c r="AI432" s="419"/>
      <c r="AJ432" s="425">
        <f t="shared" ref="AJ432:AP432" si="806">AJ430/AF430-1</f>
        <v>-0.14248021108179421</v>
      </c>
      <c r="AK432" s="418">
        <f t="shared" si="806"/>
        <v>0.13213213213213226</v>
      </c>
      <c r="AL432" s="418">
        <f t="shared" si="806"/>
        <v>6.3829787234042534E-2</v>
      </c>
      <c r="AM432" s="419">
        <f t="shared" si="806"/>
        <v>0.26536312849162003</v>
      </c>
      <c r="AN432" s="377">
        <f t="shared" si="806"/>
        <v>-0.39384615384615385</v>
      </c>
      <c r="AO432" s="370">
        <f t="shared" si="806"/>
        <v>-0.19628647214854111</v>
      </c>
      <c r="AP432" s="370">
        <f t="shared" si="806"/>
        <v>-0.57799999999999996</v>
      </c>
      <c r="AQ432" s="335"/>
      <c r="AR432" s="219"/>
      <c r="AS432" s="220"/>
      <c r="AT432" s="220"/>
      <c r="AU432" s="258"/>
      <c r="AV432" s="219"/>
      <c r="AW432" s="220"/>
      <c r="AX432" s="220"/>
      <c r="AY432" s="258"/>
      <c r="AZ432" s="219"/>
      <c r="BA432" s="220"/>
      <c r="BB432" s="220"/>
      <c r="BC432" s="258"/>
      <c r="BD432" s="219"/>
      <c r="BE432" s="220"/>
      <c r="BF432" s="220"/>
      <c r="BG432" s="258"/>
      <c r="BH432" s="219"/>
      <c r="BI432" s="220"/>
      <c r="BJ432" s="220"/>
      <c r="BK432" s="258"/>
      <c r="BL432" s="219"/>
      <c r="BM432" s="220"/>
      <c r="BN432" s="220"/>
      <c r="BO432" s="258"/>
      <c r="BP432" s="219"/>
      <c r="BQ432" s="220"/>
      <c r="BR432" s="220"/>
      <c r="BS432" s="258"/>
      <c r="BT432" s="219"/>
      <c r="BU432" s="220"/>
      <c r="BV432" s="220"/>
      <c r="BW432" s="258"/>
      <c r="BX432" s="21"/>
      <c r="BY432" s="22"/>
      <c r="BZ432" s="15"/>
      <c r="CA432" s="15"/>
      <c r="CB432" s="338"/>
      <c r="CC432" s="418"/>
      <c r="CD432" s="370">
        <f>CD430/CC430-1</f>
        <v>-0.33127572016460904</v>
      </c>
      <c r="CE432" s="370">
        <f>CE430/CD430-1</f>
        <v>1.0676923076923077</v>
      </c>
      <c r="CF432" s="370">
        <f>CF430/CE430-1</f>
        <v>1.2916666666666665</v>
      </c>
      <c r="CG432" s="338">
        <f>CG430/CF430-1</f>
        <v>7.4675324675324672E-2</v>
      </c>
      <c r="CH432" s="338"/>
      <c r="CI432" s="338"/>
      <c r="CJ432" s="338"/>
      <c r="CK432" s="338"/>
      <c r="CL432" s="338"/>
      <c r="CM432" s="338"/>
      <c r="CN432" s="338"/>
      <c r="CO432" s="338"/>
      <c r="CP432" s="337"/>
    </row>
    <row r="433" spans="1:94" ht="14.25" hidden="1" customHeight="1" outlineLevel="2">
      <c r="A433" s="9"/>
      <c r="B433" s="217" t="s">
        <v>374</v>
      </c>
      <c r="C433" s="372"/>
      <c r="D433" s="372"/>
      <c r="E433" s="372"/>
      <c r="F433" s="372"/>
      <c r="G433" s="218"/>
      <c r="H433" s="372"/>
      <c r="I433" s="372"/>
      <c r="J433" s="372"/>
      <c r="K433" s="372"/>
      <c r="L433" s="377"/>
      <c r="M433" s="370"/>
      <c r="N433" s="370"/>
      <c r="O433" s="335"/>
      <c r="P433" s="378"/>
      <c r="Q433" s="370"/>
      <c r="R433" s="370"/>
      <c r="S433" s="370"/>
      <c r="T433" s="378"/>
      <c r="U433" s="370"/>
      <c r="V433" s="370"/>
      <c r="W433" s="335"/>
      <c r="X433" s="378"/>
      <c r="Y433" s="370"/>
      <c r="Z433" s="370"/>
      <c r="AA433" s="335"/>
      <c r="AB433" s="378"/>
      <c r="AC433" s="370"/>
      <c r="AD433" s="370"/>
      <c r="AE433" s="335"/>
      <c r="AF433" s="377">
        <f>AF430/AF422</f>
        <v>0.19346605410923939</v>
      </c>
      <c r="AG433" s="370">
        <f>AG430/AG422</f>
        <v>0.16963830871115637</v>
      </c>
      <c r="AH433" s="370">
        <f>AH430/AH422</f>
        <v>0.23336643495531281</v>
      </c>
      <c r="AI433" s="335">
        <f>AI430/AI422</f>
        <v>0.17802088513177522</v>
      </c>
      <c r="AJ433" s="377">
        <f t="shared" ref="AJ433:AP433" si="807">AJ430/AJ422</f>
        <v>0.15572592237661717</v>
      </c>
      <c r="AK433" s="370">
        <f t="shared" si="807"/>
        <v>0.16484477481416704</v>
      </c>
      <c r="AL433" s="370">
        <f t="shared" si="807"/>
        <v>0.2170138888888889</v>
      </c>
      <c r="AM433" s="335">
        <f t="shared" si="807"/>
        <v>0.19964742177170558</v>
      </c>
      <c r="AN433" s="377">
        <f t="shared" si="807"/>
        <v>9.685349065880039E-2</v>
      </c>
      <c r="AO433" s="370">
        <f t="shared" si="807"/>
        <v>0.15067130780706117</v>
      </c>
      <c r="AP433" s="370">
        <f t="shared" si="807"/>
        <v>0.11175847457627119</v>
      </c>
      <c r="AQ433" s="335"/>
      <c r="AR433" s="294"/>
      <c r="AS433" s="381"/>
      <c r="AT433" s="381"/>
      <c r="AU433" s="292"/>
      <c r="AV433" s="294"/>
      <c r="AW433" s="381"/>
      <c r="AX433" s="381"/>
      <c r="AY433" s="292"/>
      <c r="AZ433" s="294"/>
      <c r="BA433" s="381"/>
      <c r="BB433" s="381"/>
      <c r="BC433" s="292"/>
      <c r="BD433" s="294"/>
      <c r="BE433" s="381"/>
      <c r="BF433" s="381"/>
      <c r="BG433" s="292"/>
      <c r="BH433" s="294"/>
      <c r="BI433" s="381"/>
      <c r="BJ433" s="381"/>
      <c r="BK433" s="292"/>
      <c r="BL433" s="294"/>
      <c r="BM433" s="381"/>
      <c r="BN433" s="381"/>
      <c r="BO433" s="292"/>
      <c r="BP433" s="294"/>
      <c r="BQ433" s="381"/>
      <c r="BR433" s="381"/>
      <c r="BS433" s="292"/>
      <c r="BT433" s="294"/>
      <c r="BU433" s="381"/>
      <c r="BV433" s="381"/>
      <c r="BW433" s="292"/>
      <c r="BX433" s="21"/>
      <c r="BY433" s="22"/>
      <c r="BZ433" s="15"/>
      <c r="CA433" s="15"/>
      <c r="CB433" s="338"/>
      <c r="CC433" s="370">
        <f>CC430/CC422</f>
        <v>0.2</v>
      </c>
      <c r="CD433" s="370">
        <f>CD430/CD422</f>
        <v>4.9309664694280074E-2</v>
      </c>
      <c r="CE433" s="370">
        <f>CE430/CE422</f>
        <v>0.10772683552420649</v>
      </c>
      <c r="CF433" s="370">
        <f>CF430/CF422</f>
        <v>0.19378381779287782</v>
      </c>
      <c r="CG433" s="338">
        <f>CG430/CG422</f>
        <v>0.18497820498491116</v>
      </c>
      <c r="CH433" s="338"/>
      <c r="CI433" s="338"/>
      <c r="CJ433" s="338"/>
      <c r="CK433" s="338"/>
      <c r="CL433" s="338"/>
      <c r="CM433" s="338"/>
      <c r="CN433" s="338"/>
      <c r="CO433" s="338"/>
      <c r="CP433" s="337"/>
    </row>
    <row r="434" spans="1:94" ht="14.25" hidden="1" customHeight="1" outlineLevel="2">
      <c r="A434" s="9"/>
      <c r="B434" s="236"/>
      <c r="C434" s="373"/>
      <c r="D434" s="373"/>
      <c r="E434" s="373"/>
      <c r="F434" s="373"/>
      <c r="G434" s="237"/>
      <c r="H434" s="373"/>
      <c r="I434" s="373"/>
      <c r="J434" s="373"/>
      <c r="K434" s="373"/>
      <c r="L434" s="285"/>
      <c r="M434" s="279"/>
      <c r="N434" s="279"/>
      <c r="O434" s="280"/>
      <c r="P434" s="380"/>
      <c r="Q434" s="279"/>
      <c r="R434" s="279"/>
      <c r="S434" s="279"/>
      <c r="T434" s="380"/>
      <c r="U434" s="279"/>
      <c r="V434" s="279"/>
      <c r="W434" s="280"/>
      <c r="X434" s="380"/>
      <c r="Y434" s="279"/>
      <c r="Z434" s="279"/>
      <c r="AA434" s="280"/>
      <c r="AB434" s="380"/>
      <c r="AC434" s="279"/>
      <c r="AD434" s="279"/>
      <c r="AE434" s="280"/>
      <c r="AF434" s="285"/>
      <c r="AG434" s="1"/>
      <c r="AH434" s="279"/>
      <c r="AI434" s="280"/>
      <c r="AJ434" s="285"/>
      <c r="AK434" s="1"/>
      <c r="AL434" s="279"/>
      <c r="AM434" s="280"/>
      <c r="AN434" s="285"/>
      <c r="AO434" s="1"/>
      <c r="AP434" s="279"/>
      <c r="AQ434" s="280"/>
      <c r="AR434" s="16"/>
      <c r="AS434" s="203"/>
      <c r="AT434" s="203"/>
      <c r="AU434" s="17"/>
      <c r="AV434" s="16"/>
      <c r="AW434" s="203"/>
      <c r="AX434" s="203"/>
      <c r="AY434" s="17"/>
      <c r="AZ434" s="16"/>
      <c r="BA434" s="203"/>
      <c r="BB434" s="203"/>
      <c r="BC434" s="17"/>
      <c r="BD434" s="16"/>
      <c r="BE434" s="203"/>
      <c r="BF434" s="203"/>
      <c r="BG434" s="17"/>
      <c r="BH434" s="16"/>
      <c r="BI434" s="203"/>
      <c r="BJ434" s="203"/>
      <c r="BK434" s="17"/>
      <c r="BL434" s="16"/>
      <c r="BM434" s="203"/>
      <c r="BN434" s="203"/>
      <c r="BO434" s="17"/>
      <c r="BP434" s="16"/>
      <c r="BQ434" s="203"/>
      <c r="BR434" s="203"/>
      <c r="BS434" s="17"/>
      <c r="BT434" s="16"/>
      <c r="BU434" s="203"/>
      <c r="BV434" s="203"/>
      <c r="BW434" s="17"/>
      <c r="BX434" s="21"/>
      <c r="BY434" s="16"/>
      <c r="BZ434" s="203"/>
      <c r="CA434" s="203"/>
      <c r="CB434" s="203"/>
      <c r="CC434" s="279"/>
      <c r="CD434" s="279"/>
      <c r="CE434" s="279"/>
      <c r="CF434" s="485"/>
      <c r="CG434" s="203"/>
      <c r="CH434" s="203"/>
      <c r="CI434" s="203"/>
      <c r="CJ434" s="203"/>
      <c r="CK434" s="203"/>
      <c r="CL434" s="203"/>
      <c r="CM434" s="203"/>
      <c r="CN434" s="203"/>
      <c r="CO434" s="203"/>
      <c r="CP434" s="17"/>
    </row>
    <row r="435" spans="1:94" ht="14.25" hidden="1" customHeight="1" outlineLevel="2">
      <c r="A435" s="281"/>
      <c r="B435" s="235" t="s">
        <v>195</v>
      </c>
      <c r="C435" s="277"/>
      <c r="D435" s="251"/>
      <c r="E435" s="251"/>
      <c r="F435" s="251"/>
      <c r="G435" s="277"/>
      <c r="H435" s="251"/>
      <c r="I435" s="251"/>
      <c r="J435" s="251"/>
      <c r="K435" s="11"/>
      <c r="L435" s="343"/>
      <c r="M435" s="343"/>
      <c r="N435" s="343"/>
      <c r="O435" s="369"/>
      <c r="P435" s="343"/>
      <c r="Q435" s="343"/>
      <c r="R435" s="343"/>
      <c r="S435" s="369"/>
      <c r="T435" s="343"/>
      <c r="U435" s="343"/>
      <c r="V435" s="343"/>
      <c r="W435" s="369"/>
      <c r="X435" s="343"/>
      <c r="Y435" s="343"/>
      <c r="Z435" s="343"/>
      <c r="AA435" s="369"/>
      <c r="AB435" s="343"/>
      <c r="AC435" s="343"/>
      <c r="AD435" s="343"/>
      <c r="AE435" s="791"/>
      <c r="AF435" s="762">
        <v>211</v>
      </c>
      <c r="AG435" s="423">
        <v>231.8</v>
      </c>
      <c r="AH435" s="423">
        <v>242.2</v>
      </c>
      <c r="AI435" s="756">
        <v>224.7</v>
      </c>
      <c r="AJ435" s="423">
        <v>228.1</v>
      </c>
      <c r="AK435" s="423">
        <v>236</v>
      </c>
      <c r="AL435" s="423">
        <v>221.7</v>
      </c>
      <c r="AM435" s="756">
        <v>192.4</v>
      </c>
      <c r="AN435" s="423">
        <v>196.8</v>
      </c>
      <c r="AO435" s="423">
        <v>201.9</v>
      </c>
      <c r="AP435" s="423">
        <v>197</v>
      </c>
      <c r="AQ435" s="401"/>
      <c r="AR435" s="495"/>
      <c r="AS435" s="495"/>
      <c r="AT435" s="495"/>
      <c r="AU435" s="496"/>
      <c r="AV435" s="495"/>
      <c r="AW435" s="495"/>
      <c r="AX435" s="495"/>
      <c r="AY435" s="496"/>
      <c r="AZ435" s="495"/>
      <c r="BA435" s="495"/>
      <c r="BB435" s="495"/>
      <c r="BC435" s="496"/>
      <c r="BD435" s="495"/>
      <c r="BE435" s="495"/>
      <c r="BF435" s="495"/>
      <c r="BG435" s="496"/>
      <c r="BH435" s="495"/>
      <c r="BI435" s="495"/>
      <c r="BJ435" s="495"/>
      <c r="BK435" s="496"/>
      <c r="BL435" s="495"/>
      <c r="BM435" s="495"/>
      <c r="BN435" s="495"/>
      <c r="BO435" s="496"/>
      <c r="BP435" s="495"/>
      <c r="BQ435" s="495"/>
      <c r="BR435" s="495"/>
      <c r="BS435" s="496"/>
      <c r="BT435" s="495"/>
      <c r="BU435" s="495"/>
      <c r="BV435" s="495"/>
      <c r="BW435" s="496"/>
      <c r="BX435" s="283"/>
      <c r="BY435" s="667"/>
      <c r="BZ435" s="248"/>
      <c r="CA435" s="325"/>
      <c r="CB435" s="325"/>
      <c r="CC435" s="423">
        <v>802.8</v>
      </c>
      <c r="CD435" s="423">
        <v>795.4</v>
      </c>
      <c r="CE435" s="423">
        <v>672.1</v>
      </c>
      <c r="CF435" s="801">
        <f>SUM(AF435:AI435)</f>
        <v>909.7</v>
      </c>
      <c r="CG435" s="325">
        <f>SUM(AJ435:AM435)</f>
        <v>878.19999999999993</v>
      </c>
      <c r="CH435" s="325"/>
      <c r="CI435" s="325"/>
      <c r="CJ435" s="325"/>
      <c r="CK435" s="325"/>
      <c r="CL435" s="325"/>
      <c r="CM435" s="325"/>
      <c r="CN435" s="325"/>
      <c r="CO435" s="325"/>
      <c r="CP435" s="326"/>
    </row>
    <row r="436" spans="1:94" ht="14.25" hidden="1" customHeight="1" outlineLevel="2">
      <c r="A436" s="9"/>
      <c r="B436" s="217" t="s">
        <v>297</v>
      </c>
      <c r="C436" s="218"/>
      <c r="D436" s="372"/>
      <c r="E436" s="372"/>
      <c r="F436" s="372"/>
      <c r="G436" s="218"/>
      <c r="H436" s="372"/>
      <c r="I436" s="372"/>
      <c r="J436" s="372"/>
      <c r="K436" s="218"/>
      <c r="L436" s="370"/>
      <c r="M436" s="370"/>
      <c r="N436" s="370"/>
      <c r="O436" s="335"/>
      <c r="P436" s="370"/>
      <c r="Q436" s="370"/>
      <c r="R436" s="370"/>
      <c r="S436" s="335"/>
      <c r="T436" s="370"/>
      <c r="U436" s="370"/>
      <c r="V436" s="370"/>
      <c r="W436" s="335"/>
      <c r="X436" s="370"/>
      <c r="Y436" s="370"/>
      <c r="Z436" s="370"/>
      <c r="AA436" s="335"/>
      <c r="AB436" s="370"/>
      <c r="AC436" s="370"/>
      <c r="AD436" s="370"/>
      <c r="AE436" s="335"/>
      <c r="AF436" s="425"/>
      <c r="AG436" s="370">
        <f t="shared" ref="AG436:AP436" si="808">AG435/AF435-1</f>
        <v>9.8578199052132831E-2</v>
      </c>
      <c r="AH436" s="370">
        <f t="shared" si="808"/>
        <v>4.4866264020707369E-2</v>
      </c>
      <c r="AI436" s="335">
        <f t="shared" si="808"/>
        <v>-7.2254335260115599E-2</v>
      </c>
      <c r="AJ436" s="425">
        <f t="shared" si="808"/>
        <v>1.5131286159323576E-2</v>
      </c>
      <c r="AK436" s="370">
        <f t="shared" si="808"/>
        <v>3.4633932485751862E-2</v>
      </c>
      <c r="AL436" s="370">
        <f t="shared" si="808"/>
        <v>-6.0593220338983067E-2</v>
      </c>
      <c r="AM436" s="335">
        <f t="shared" si="808"/>
        <v>-0.13216057735678843</v>
      </c>
      <c r="AN436" s="370">
        <f t="shared" si="808"/>
        <v>2.2869022869022926E-2</v>
      </c>
      <c r="AO436" s="370">
        <f t="shared" si="808"/>
        <v>2.5914634146341431E-2</v>
      </c>
      <c r="AP436" s="370">
        <f t="shared" si="808"/>
        <v>-2.4269440316988633E-2</v>
      </c>
      <c r="AQ436" s="335"/>
      <c r="AR436" s="231"/>
      <c r="AS436" s="231"/>
      <c r="AT436" s="231"/>
      <c r="AU436" s="79"/>
      <c r="AV436" s="231"/>
      <c r="AW436" s="231"/>
      <c r="AX436" s="231"/>
      <c r="AY436" s="79"/>
      <c r="AZ436" s="231"/>
      <c r="BA436" s="231"/>
      <c r="BB436" s="231"/>
      <c r="BC436" s="79"/>
      <c r="BD436" s="231"/>
      <c r="BE436" s="231"/>
      <c r="BF436" s="231"/>
      <c r="BG436" s="79"/>
      <c r="BH436" s="231"/>
      <c r="BI436" s="231"/>
      <c r="BJ436" s="231"/>
      <c r="BK436" s="79"/>
      <c r="BL436" s="231"/>
      <c r="BM436" s="231"/>
      <c r="BN436" s="231"/>
      <c r="BO436" s="79"/>
      <c r="BP436" s="231"/>
      <c r="BQ436" s="231"/>
      <c r="BR436" s="231"/>
      <c r="BS436" s="79"/>
      <c r="BT436" s="231"/>
      <c r="BU436" s="231"/>
      <c r="BV436" s="231"/>
      <c r="BW436" s="79"/>
      <c r="BX436" s="21"/>
      <c r="BY436" s="22"/>
      <c r="BZ436" s="15"/>
      <c r="CA436" s="15"/>
      <c r="CB436" s="15"/>
      <c r="CC436" s="370"/>
      <c r="CD436" s="370"/>
      <c r="CE436" s="370"/>
      <c r="CF436" s="370"/>
      <c r="CG436" s="220"/>
      <c r="CH436" s="220"/>
      <c r="CI436" s="220"/>
      <c r="CJ436" s="220"/>
      <c r="CK436" s="220"/>
      <c r="CL436" s="220"/>
      <c r="CM436" s="220"/>
      <c r="CN436" s="220"/>
      <c r="CO436" s="220"/>
      <c r="CP436" s="258"/>
    </row>
    <row r="437" spans="1:94" ht="14.25" hidden="1" customHeight="1" outlineLevel="2">
      <c r="A437" s="9"/>
      <c r="B437" s="32" t="s">
        <v>298</v>
      </c>
      <c r="C437" s="33"/>
      <c r="D437" s="259"/>
      <c r="E437" s="259"/>
      <c r="F437" s="259"/>
      <c r="G437" s="33"/>
      <c r="H437" s="259"/>
      <c r="I437" s="259"/>
      <c r="J437" s="259"/>
      <c r="K437" s="33"/>
      <c r="L437" s="370"/>
      <c r="M437" s="370"/>
      <c r="N437" s="370"/>
      <c r="O437" s="335"/>
      <c r="P437" s="370"/>
      <c r="Q437" s="370"/>
      <c r="R437" s="370"/>
      <c r="S437" s="335"/>
      <c r="T437" s="370"/>
      <c r="U437" s="370"/>
      <c r="V437" s="370"/>
      <c r="W437" s="335"/>
      <c r="X437" s="370"/>
      <c r="Y437" s="370"/>
      <c r="Z437" s="370"/>
      <c r="AA437" s="335"/>
      <c r="AB437" s="370"/>
      <c r="AC437" s="370"/>
      <c r="AD437" s="370"/>
      <c r="AE437" s="335"/>
      <c r="AF437" s="425"/>
      <c r="AG437" s="418"/>
      <c r="AH437" s="418"/>
      <c r="AI437" s="419"/>
      <c r="AJ437" s="425">
        <f t="shared" ref="AJ437:AP437" si="809">AJ435/AF435-1</f>
        <v>8.1042654028435912E-2</v>
      </c>
      <c r="AK437" s="418">
        <f t="shared" si="809"/>
        <v>1.8119068162208762E-2</v>
      </c>
      <c r="AL437" s="418">
        <f t="shared" si="809"/>
        <v>-8.4640792733278292E-2</v>
      </c>
      <c r="AM437" s="419">
        <f t="shared" si="809"/>
        <v>-0.14374721851357364</v>
      </c>
      <c r="AN437" s="370">
        <f t="shared" si="809"/>
        <v>-0.13722051731696616</v>
      </c>
      <c r="AO437" s="370">
        <f t="shared" si="809"/>
        <v>-0.14449152542372878</v>
      </c>
      <c r="AP437" s="370">
        <f t="shared" si="809"/>
        <v>-0.11141181777176357</v>
      </c>
      <c r="AQ437" s="335"/>
      <c r="AR437" s="257"/>
      <c r="AS437" s="257"/>
      <c r="AT437" s="257"/>
      <c r="AU437" s="258"/>
      <c r="AV437" s="257"/>
      <c r="AW437" s="257"/>
      <c r="AX437" s="257"/>
      <c r="AY437" s="258"/>
      <c r="AZ437" s="257"/>
      <c r="BA437" s="257"/>
      <c r="BB437" s="257"/>
      <c r="BC437" s="258"/>
      <c r="BD437" s="257"/>
      <c r="BE437" s="257"/>
      <c r="BF437" s="257"/>
      <c r="BG437" s="258"/>
      <c r="BH437" s="257"/>
      <c r="BI437" s="257"/>
      <c r="BJ437" s="257"/>
      <c r="BK437" s="258"/>
      <c r="BL437" s="257"/>
      <c r="BM437" s="257"/>
      <c r="BN437" s="257"/>
      <c r="BO437" s="258"/>
      <c r="BP437" s="257"/>
      <c r="BQ437" s="257"/>
      <c r="BR437" s="257"/>
      <c r="BS437" s="258"/>
      <c r="BT437" s="257"/>
      <c r="BU437" s="257"/>
      <c r="BV437" s="257"/>
      <c r="BW437" s="258"/>
      <c r="BX437" s="21"/>
      <c r="BY437" s="22"/>
      <c r="BZ437" s="15"/>
      <c r="CA437" s="15"/>
      <c r="CB437" s="338"/>
      <c r="CC437" s="418"/>
      <c r="CD437" s="370">
        <f>CD435/CC435-1</f>
        <v>-9.2177379172894147E-3</v>
      </c>
      <c r="CE437" s="370">
        <f>CE435/CD435-1</f>
        <v>-0.15501634397787267</v>
      </c>
      <c r="CF437" s="370">
        <f>CF435/CE435-1</f>
        <v>0.353518821603928</v>
      </c>
      <c r="CG437" s="338">
        <f>CG435/CF435-1</f>
        <v>-3.4626800043970674E-2</v>
      </c>
      <c r="CH437" s="338"/>
      <c r="CI437" s="338"/>
      <c r="CJ437" s="338"/>
      <c r="CK437" s="338"/>
      <c r="CL437" s="338"/>
      <c r="CM437" s="338"/>
      <c r="CN437" s="338"/>
      <c r="CO437" s="338"/>
      <c r="CP437" s="337"/>
    </row>
    <row r="438" spans="1:94" ht="14.25" hidden="1" customHeight="1" outlineLevel="2">
      <c r="A438" s="9"/>
      <c r="B438" s="217" t="s">
        <v>299</v>
      </c>
      <c r="C438" s="218"/>
      <c r="D438" s="372"/>
      <c r="E438" s="372"/>
      <c r="F438" s="372"/>
      <c r="G438" s="218"/>
      <c r="H438" s="372"/>
      <c r="I438" s="372"/>
      <c r="J438" s="372"/>
      <c r="K438" s="218"/>
      <c r="L438" s="338"/>
      <c r="M438" s="370"/>
      <c r="N438" s="370"/>
      <c r="O438" s="337"/>
      <c r="P438" s="338"/>
      <c r="Q438" s="370"/>
      <c r="R438" s="370"/>
      <c r="S438" s="337"/>
      <c r="T438" s="338"/>
      <c r="U438" s="370"/>
      <c r="V438" s="370"/>
      <c r="W438" s="337"/>
      <c r="X438" s="338"/>
      <c r="Y438" s="370"/>
      <c r="Z438" s="370"/>
      <c r="AA438" s="337"/>
      <c r="AB438" s="338"/>
      <c r="AC438" s="370"/>
      <c r="AD438" s="370"/>
      <c r="AE438" s="337"/>
      <c r="AF438" s="338">
        <f t="shared" ref="AF438:AN438" si="810">AF435/AF461</f>
        <v>0.38349691021446741</v>
      </c>
      <c r="AG438" s="370">
        <f t="shared" si="810"/>
        <v>0.39739413680781766</v>
      </c>
      <c r="AH438" s="370">
        <f t="shared" si="810"/>
        <v>0.40319627101714667</v>
      </c>
      <c r="AI438" s="337">
        <f t="shared" si="810"/>
        <v>0.38794889502762425</v>
      </c>
      <c r="AJ438" s="338">
        <f t="shared" si="810"/>
        <v>0.26200321617275435</v>
      </c>
      <c r="AK438" s="370">
        <f t="shared" si="810"/>
        <v>0.26057193331125095</v>
      </c>
      <c r="AL438" s="370">
        <f t="shared" si="810"/>
        <v>0.24688195991091313</v>
      </c>
      <c r="AM438" s="337">
        <f t="shared" si="810"/>
        <v>0.25052083333333336</v>
      </c>
      <c r="AN438" s="338">
        <f t="shared" si="810"/>
        <v>0.26437399247716281</v>
      </c>
      <c r="AO438" s="370">
        <f>AO435/(AO461)</f>
        <v>0.27107948442534907</v>
      </c>
      <c r="AP438" s="370">
        <f>AP435/(AP461)</f>
        <v>0.27153687112336322</v>
      </c>
      <c r="AQ438" s="337"/>
      <c r="AR438" s="231"/>
      <c r="AS438" s="231"/>
      <c r="AT438" s="231"/>
      <c r="AU438" s="79"/>
      <c r="AV438" s="231"/>
      <c r="AW438" s="231"/>
      <c r="AX438" s="231"/>
      <c r="AY438" s="79"/>
      <c r="AZ438" s="231"/>
      <c r="BA438" s="231"/>
      <c r="BB438" s="231"/>
      <c r="BC438" s="79"/>
      <c r="BD438" s="231"/>
      <c r="BE438" s="231"/>
      <c r="BF438" s="231"/>
      <c r="BG438" s="79"/>
      <c r="BH438" s="231"/>
      <c r="BI438" s="231"/>
      <c r="BJ438" s="231"/>
      <c r="BK438" s="79"/>
      <c r="BL438" s="231"/>
      <c r="BM438" s="231"/>
      <c r="BN438" s="231"/>
      <c r="BO438" s="79"/>
      <c r="BP438" s="231"/>
      <c r="BQ438" s="231"/>
      <c r="BR438" s="231"/>
      <c r="BS438" s="79"/>
      <c r="BT438" s="231"/>
      <c r="BU438" s="231"/>
      <c r="BV438" s="231"/>
      <c r="BW438" s="79"/>
      <c r="BX438" s="21"/>
      <c r="BY438" s="22"/>
      <c r="BZ438" s="15"/>
      <c r="CA438" s="338"/>
      <c r="CB438" s="338"/>
      <c r="CC438" s="370">
        <f>CC435/(CC461)</f>
        <v>0.51257821478738352</v>
      </c>
      <c r="CD438" s="370">
        <f>CD435/(CD461)</f>
        <v>0.38709363441697492</v>
      </c>
      <c r="CE438" s="370">
        <f>CE435/(CE461)</f>
        <v>0.37995364350726446</v>
      </c>
      <c r="CF438" s="370">
        <f>CF435/(CF461)</f>
        <v>0.39323074262989549</v>
      </c>
      <c r="CG438" s="338">
        <f>CG435/(CG461)</f>
        <v>0.25512012317345956</v>
      </c>
      <c r="CH438" s="338"/>
      <c r="CI438" s="338"/>
      <c r="CJ438" s="338"/>
      <c r="CK438" s="338"/>
      <c r="CL438" s="338"/>
      <c r="CM438" s="338"/>
      <c r="CN438" s="338"/>
      <c r="CO438" s="338"/>
      <c r="CP438" s="337"/>
    </row>
    <row r="439" spans="1:94" ht="14.25" hidden="1" customHeight="1" outlineLevel="2">
      <c r="A439" s="9"/>
      <c r="B439" s="217"/>
      <c r="C439" s="218"/>
      <c r="D439" s="372"/>
      <c r="E439" s="372"/>
      <c r="F439" s="372"/>
      <c r="G439" s="218"/>
      <c r="H439" s="372"/>
      <c r="I439" s="372"/>
      <c r="J439" s="372"/>
      <c r="K439" s="218"/>
      <c r="L439" s="261"/>
      <c r="M439" s="80"/>
      <c r="N439" s="80"/>
      <c r="O439" s="262"/>
      <c r="P439" s="261"/>
      <c r="Q439" s="80"/>
      <c r="R439" s="80"/>
      <c r="S439" s="262"/>
      <c r="T439" s="261"/>
      <c r="U439" s="80"/>
      <c r="V439" s="80"/>
      <c r="W439" s="262"/>
      <c r="X439" s="261"/>
      <c r="Y439" s="80"/>
      <c r="Z439" s="80"/>
      <c r="AA439" s="262"/>
      <c r="AB439" s="261"/>
      <c r="AC439" s="80"/>
      <c r="AD439" s="80"/>
      <c r="AE439" s="258"/>
      <c r="AF439" s="261"/>
      <c r="AG439" s="80"/>
      <c r="AH439" s="80"/>
      <c r="AI439" s="262"/>
      <c r="AJ439" s="261"/>
      <c r="AK439" s="80"/>
      <c r="AL439" s="80"/>
      <c r="AM439" s="262"/>
      <c r="AN439" s="261"/>
      <c r="AO439" s="80"/>
      <c r="AP439" s="80"/>
      <c r="AQ439" s="262"/>
      <c r="AR439" s="278"/>
      <c r="AS439" s="278"/>
      <c r="AT439" s="278"/>
      <c r="AU439" s="81"/>
      <c r="AV439" s="278"/>
      <c r="AW439" s="278"/>
      <c r="AX439" s="278"/>
      <c r="AY439" s="81"/>
      <c r="AZ439" s="278"/>
      <c r="BA439" s="278"/>
      <c r="BB439" s="278"/>
      <c r="BC439" s="81"/>
      <c r="BD439" s="278"/>
      <c r="BE439" s="278"/>
      <c r="BF439" s="278"/>
      <c r="BG439" s="81"/>
      <c r="BH439" s="278"/>
      <c r="BI439" s="278"/>
      <c r="BJ439" s="278"/>
      <c r="BK439" s="81"/>
      <c r="BL439" s="278"/>
      <c r="BM439" s="278"/>
      <c r="BN439" s="278"/>
      <c r="BO439" s="81"/>
      <c r="BP439" s="278"/>
      <c r="BQ439" s="278"/>
      <c r="BR439" s="278"/>
      <c r="BS439" s="81"/>
      <c r="BT439" s="278"/>
      <c r="BU439" s="278"/>
      <c r="BV439" s="278"/>
      <c r="BW439" s="81"/>
      <c r="BX439" s="21"/>
      <c r="BY439" s="22"/>
      <c r="BZ439" s="15"/>
      <c r="CA439" s="15"/>
      <c r="CB439" s="15"/>
      <c r="CC439" s="80"/>
      <c r="CD439" s="80"/>
      <c r="CE439" s="80"/>
      <c r="CF439" s="370"/>
      <c r="CG439" s="220"/>
      <c r="CH439" s="220"/>
      <c r="CI439" s="220"/>
      <c r="CJ439" s="220"/>
      <c r="CK439" s="220"/>
      <c r="CL439" s="220"/>
      <c r="CM439" s="220"/>
      <c r="CN439" s="220"/>
      <c r="CO439" s="220"/>
      <c r="CP439" s="258"/>
    </row>
    <row r="440" spans="1:94" ht="14.25" hidden="1" customHeight="1" outlineLevel="2">
      <c r="A440" s="9"/>
      <c r="B440" s="235" t="s">
        <v>196</v>
      </c>
      <c r="C440" s="218"/>
      <c r="D440" s="372"/>
      <c r="E440" s="372"/>
      <c r="F440" s="372"/>
      <c r="G440" s="218"/>
      <c r="H440" s="372"/>
      <c r="I440" s="372"/>
      <c r="J440" s="372"/>
      <c r="K440" s="218"/>
      <c r="L440" s="343"/>
      <c r="M440" s="343"/>
      <c r="N440" s="343"/>
      <c r="O440" s="369"/>
      <c r="P440" s="343"/>
      <c r="Q440" s="343"/>
      <c r="R440" s="343"/>
      <c r="S440" s="369"/>
      <c r="T440" s="343"/>
      <c r="U440" s="343"/>
      <c r="V440" s="343"/>
      <c r="W440" s="369"/>
      <c r="X440" s="343"/>
      <c r="Y440" s="343"/>
      <c r="Z440" s="343"/>
      <c r="AA440" s="369"/>
      <c r="AB440" s="343"/>
      <c r="AC440" s="343"/>
      <c r="AD440" s="343"/>
      <c r="AE440" s="792"/>
      <c r="AF440" s="423">
        <v>77.3</v>
      </c>
      <c r="AG440" s="423">
        <v>85.1</v>
      </c>
      <c r="AH440" s="423">
        <v>87.5</v>
      </c>
      <c r="AI440" s="401">
        <v>88.5</v>
      </c>
      <c r="AJ440" s="423">
        <v>86.2</v>
      </c>
      <c r="AK440" s="423">
        <v>83.1</v>
      </c>
      <c r="AL440" s="423">
        <v>69.8</v>
      </c>
      <c r="AM440" s="401">
        <v>56.4</v>
      </c>
      <c r="AN440" s="423">
        <v>73.5</v>
      </c>
      <c r="AO440" s="423">
        <v>81.5</v>
      </c>
      <c r="AP440" s="423">
        <v>68.3</v>
      </c>
      <c r="AQ440" s="401"/>
      <c r="AR440" s="341"/>
      <c r="AS440" s="341"/>
      <c r="AT440" s="341"/>
      <c r="AU440" s="342"/>
      <c r="AV440" s="341"/>
      <c r="AW440" s="341"/>
      <c r="AX440" s="341"/>
      <c r="AY440" s="342"/>
      <c r="AZ440" s="341"/>
      <c r="BA440" s="341"/>
      <c r="BB440" s="341"/>
      <c r="BC440" s="342"/>
      <c r="BD440" s="341"/>
      <c r="BE440" s="341"/>
      <c r="BF440" s="341"/>
      <c r="BG440" s="342"/>
      <c r="BH440" s="341"/>
      <c r="BI440" s="341"/>
      <c r="BJ440" s="341"/>
      <c r="BK440" s="342"/>
      <c r="BL440" s="341"/>
      <c r="BM440" s="341"/>
      <c r="BN440" s="341"/>
      <c r="BO440" s="342"/>
      <c r="BP440" s="341"/>
      <c r="BQ440" s="341"/>
      <c r="BR440" s="341"/>
      <c r="BS440" s="342"/>
      <c r="BT440" s="341"/>
      <c r="BU440" s="341"/>
      <c r="BV440" s="341"/>
      <c r="BW440" s="342"/>
      <c r="BX440" s="263"/>
      <c r="BY440" s="235"/>
      <c r="BZ440" s="251"/>
      <c r="CA440" s="325"/>
      <c r="CB440" s="325"/>
      <c r="CC440" s="423">
        <v>306.39999999999998</v>
      </c>
      <c r="CD440" s="423">
        <v>289.7</v>
      </c>
      <c r="CE440" s="423">
        <v>205.2</v>
      </c>
      <c r="CF440" s="801">
        <f>SUM(AF440:AI440)</f>
        <v>338.4</v>
      </c>
      <c r="CG440" s="325">
        <f>SUM(AJ440:AM440)</f>
        <v>295.5</v>
      </c>
      <c r="CH440" s="325"/>
      <c r="CI440" s="325"/>
      <c r="CJ440" s="325"/>
      <c r="CK440" s="325"/>
      <c r="CL440" s="325"/>
      <c r="CM440" s="325"/>
      <c r="CN440" s="325"/>
      <c r="CO440" s="325"/>
      <c r="CP440" s="326"/>
    </row>
    <row r="441" spans="1:94" ht="14.25" hidden="1" customHeight="1" outlineLevel="2">
      <c r="A441" s="9"/>
      <c r="B441" s="217" t="s">
        <v>193</v>
      </c>
      <c r="C441" s="218"/>
      <c r="D441" s="372"/>
      <c r="E441" s="372"/>
      <c r="F441" s="372"/>
      <c r="G441" s="218"/>
      <c r="H441" s="372"/>
      <c r="I441" s="372"/>
      <c r="J441" s="372"/>
      <c r="K441" s="218"/>
      <c r="L441" s="370"/>
      <c r="M441" s="370"/>
      <c r="N441" s="370"/>
      <c r="O441" s="335"/>
      <c r="P441" s="370"/>
      <c r="Q441" s="370"/>
      <c r="R441" s="370"/>
      <c r="S441" s="335"/>
      <c r="T441" s="370"/>
      <c r="U441" s="370"/>
      <c r="V441" s="370"/>
      <c r="W441" s="335"/>
      <c r="X441" s="370"/>
      <c r="Y441" s="370"/>
      <c r="Z441" s="370"/>
      <c r="AA441" s="335"/>
      <c r="AB441" s="370"/>
      <c r="AC441" s="370"/>
      <c r="AD441" s="370"/>
      <c r="AE441" s="335"/>
      <c r="AF441" s="370">
        <f t="shared" ref="AF441:AP441" si="811">AF440/AF435</f>
        <v>0.36635071090047394</v>
      </c>
      <c r="AG441" s="370">
        <f t="shared" si="811"/>
        <v>0.36712683347713543</v>
      </c>
      <c r="AH441" s="370">
        <f t="shared" si="811"/>
        <v>0.36127167630057805</v>
      </c>
      <c r="AI441" s="335">
        <f t="shared" si="811"/>
        <v>0.39385847797062751</v>
      </c>
      <c r="AJ441" s="370">
        <f t="shared" si="811"/>
        <v>0.37790442788250772</v>
      </c>
      <c r="AK441" s="370">
        <f t="shared" si="811"/>
        <v>0.35211864406779658</v>
      </c>
      <c r="AL441" s="370">
        <f t="shared" si="811"/>
        <v>0.31483987370320254</v>
      </c>
      <c r="AM441" s="335">
        <f t="shared" si="811"/>
        <v>0.2931392931392931</v>
      </c>
      <c r="AN441" s="370">
        <f t="shared" si="811"/>
        <v>0.37347560975609756</v>
      </c>
      <c r="AO441" s="370">
        <f t="shared" si="811"/>
        <v>0.40366518078256564</v>
      </c>
      <c r="AP441" s="370">
        <f t="shared" si="811"/>
        <v>0.34670050761421317</v>
      </c>
      <c r="AQ441" s="335"/>
      <c r="AR441" s="293"/>
      <c r="AS441" s="293"/>
      <c r="AT441" s="293"/>
      <c r="AU441" s="292"/>
      <c r="AV441" s="293"/>
      <c r="AW441" s="293"/>
      <c r="AX441" s="293"/>
      <c r="AY441" s="292"/>
      <c r="AZ441" s="293"/>
      <c r="BA441" s="293"/>
      <c r="BB441" s="293"/>
      <c r="BC441" s="292"/>
      <c r="BD441" s="293"/>
      <c r="BE441" s="293"/>
      <c r="BF441" s="293"/>
      <c r="BG441" s="292"/>
      <c r="BH441" s="293"/>
      <c r="BI441" s="293"/>
      <c r="BJ441" s="293"/>
      <c r="BK441" s="292"/>
      <c r="BL441" s="293"/>
      <c r="BM441" s="293"/>
      <c r="BN441" s="293"/>
      <c r="BO441" s="292"/>
      <c r="BP441" s="293"/>
      <c r="BQ441" s="293"/>
      <c r="BR441" s="293"/>
      <c r="BS441" s="292"/>
      <c r="BT441" s="293"/>
      <c r="BU441" s="293"/>
      <c r="BV441" s="293"/>
      <c r="BW441" s="292"/>
      <c r="BX441" s="21"/>
      <c r="BY441" s="22"/>
      <c r="BZ441" s="15"/>
      <c r="CA441" s="338"/>
      <c r="CB441" s="338"/>
      <c r="CC441" s="370">
        <f>CC440/CC435</f>
        <v>0.3816641753861485</v>
      </c>
      <c r="CD441" s="370">
        <f>CD440/CD435</f>
        <v>0.36421926074930849</v>
      </c>
      <c r="CE441" s="370">
        <f>CE440/CE435</f>
        <v>0.30531170956702869</v>
      </c>
      <c r="CF441" s="370">
        <f>CF440/CF435</f>
        <v>0.37199076618665489</v>
      </c>
      <c r="CG441" s="338">
        <f>CG440/CG435</f>
        <v>0.33648371669323618</v>
      </c>
      <c r="CH441" s="338"/>
      <c r="CI441" s="338"/>
      <c r="CJ441" s="338"/>
      <c r="CK441" s="338"/>
      <c r="CL441" s="338"/>
      <c r="CM441" s="338"/>
      <c r="CN441" s="338"/>
      <c r="CO441" s="338"/>
      <c r="CP441" s="337"/>
    </row>
    <row r="442" spans="1:94" ht="14.25" hidden="1" customHeight="1" outlineLevel="2">
      <c r="A442" s="9"/>
      <c r="B442" s="217"/>
      <c r="C442" s="218"/>
      <c r="D442" s="372"/>
      <c r="E442" s="372"/>
      <c r="F442" s="372"/>
      <c r="G442" s="218"/>
      <c r="H442" s="372"/>
      <c r="I442" s="372"/>
      <c r="J442" s="372"/>
      <c r="K442" s="218"/>
      <c r="L442" s="80"/>
      <c r="M442" s="80"/>
      <c r="N442" s="80"/>
      <c r="O442" s="262"/>
      <c r="P442" s="80"/>
      <c r="Q442" s="80"/>
      <c r="R442" s="80"/>
      <c r="S442" s="262"/>
      <c r="T442" s="80"/>
      <c r="U442" s="80"/>
      <c r="V442" s="80"/>
      <c r="W442" s="262"/>
      <c r="X442" s="80"/>
      <c r="Y442" s="80"/>
      <c r="Z442" s="80"/>
      <c r="AA442" s="262"/>
      <c r="AB442" s="80"/>
      <c r="AC442" s="80"/>
      <c r="AD442" s="80"/>
      <c r="AE442" s="258"/>
      <c r="AF442" s="80"/>
      <c r="AG442" s="80"/>
      <c r="AH442" s="80"/>
      <c r="AI442" s="262"/>
      <c r="AJ442" s="80"/>
      <c r="AK442" s="80"/>
      <c r="AL442" s="80"/>
      <c r="AM442" s="262"/>
      <c r="AN442" s="80"/>
      <c r="AO442" s="80"/>
      <c r="AP442" s="80"/>
      <c r="AQ442" s="262"/>
      <c r="AR442" s="278"/>
      <c r="AS442" s="278"/>
      <c r="AT442" s="278"/>
      <c r="AU442" s="81"/>
      <c r="AV442" s="278"/>
      <c r="AW442" s="278"/>
      <c r="AX442" s="278"/>
      <c r="AY442" s="81"/>
      <c r="AZ442" s="278"/>
      <c r="BA442" s="278"/>
      <c r="BB442" s="278"/>
      <c r="BC442" s="81"/>
      <c r="BD442" s="278"/>
      <c r="BE442" s="278"/>
      <c r="BF442" s="278"/>
      <c r="BG442" s="81"/>
      <c r="BH442" s="278"/>
      <c r="BI442" s="278"/>
      <c r="BJ442" s="278"/>
      <c r="BK442" s="81"/>
      <c r="BL442" s="278"/>
      <c r="BM442" s="278"/>
      <c r="BN442" s="278"/>
      <c r="BO442" s="81"/>
      <c r="BP442" s="278"/>
      <c r="BQ442" s="278"/>
      <c r="BR442" s="278"/>
      <c r="BS442" s="81"/>
      <c r="BT442" s="278"/>
      <c r="BU442" s="278"/>
      <c r="BV442" s="278"/>
      <c r="BW442" s="81"/>
      <c r="BX442" s="21"/>
      <c r="BY442" s="22"/>
      <c r="BZ442" s="15"/>
      <c r="CA442" s="15"/>
      <c r="CB442" s="15"/>
      <c r="CC442" s="80"/>
      <c r="CD442" s="80"/>
      <c r="CE442" s="80"/>
      <c r="CF442" s="370"/>
      <c r="CG442" s="220"/>
      <c r="CH442" s="220"/>
      <c r="CI442" s="220"/>
      <c r="CJ442" s="220"/>
      <c r="CK442" s="220"/>
      <c r="CL442" s="220"/>
      <c r="CM442" s="220"/>
      <c r="CN442" s="220"/>
      <c r="CO442" s="220"/>
      <c r="CP442" s="258"/>
    </row>
    <row r="443" spans="1:94" ht="14.25" hidden="1" customHeight="1" outlineLevel="2">
      <c r="A443" s="9"/>
      <c r="B443" s="235" t="s">
        <v>197</v>
      </c>
      <c r="C443" s="218"/>
      <c r="D443" s="372"/>
      <c r="E443" s="372"/>
      <c r="F443" s="372"/>
      <c r="G443" s="218"/>
      <c r="H443" s="372"/>
      <c r="I443" s="372"/>
      <c r="J443" s="372"/>
      <c r="K443" s="218"/>
      <c r="L443" s="343"/>
      <c r="M443" s="343"/>
      <c r="N443" s="343"/>
      <c r="O443" s="369"/>
      <c r="P443" s="343"/>
      <c r="Q443" s="343"/>
      <c r="R443" s="343"/>
      <c r="S443" s="369"/>
      <c r="T443" s="343"/>
      <c r="U443" s="343"/>
      <c r="V443" s="343"/>
      <c r="W443" s="369"/>
      <c r="X443" s="343"/>
      <c r="Y443" s="343"/>
      <c r="Z443" s="343"/>
      <c r="AA443" s="369"/>
      <c r="AB443" s="343"/>
      <c r="AC443" s="343"/>
      <c r="AD443" s="343"/>
      <c r="AE443" s="792"/>
      <c r="AF443" s="423">
        <v>48.4</v>
      </c>
      <c r="AG443" s="423">
        <v>54.5</v>
      </c>
      <c r="AH443" s="423">
        <v>58.1</v>
      </c>
      <c r="AI443" s="401">
        <v>60.4</v>
      </c>
      <c r="AJ443" s="423">
        <v>54.6</v>
      </c>
      <c r="AK443" s="423">
        <v>53</v>
      </c>
      <c r="AL443" s="423">
        <v>39.700000000000003</v>
      </c>
      <c r="AM443" s="401">
        <v>29.6</v>
      </c>
      <c r="AN443" s="423">
        <v>46.9</v>
      </c>
      <c r="AO443" s="423">
        <v>53.6</v>
      </c>
      <c r="AP443" s="423">
        <v>43.5</v>
      </c>
      <c r="AQ443" s="401"/>
      <c r="AR443" s="341"/>
      <c r="AS443" s="341"/>
      <c r="AT443" s="341"/>
      <c r="AU443" s="342"/>
      <c r="AV443" s="341"/>
      <c r="AW443" s="341"/>
      <c r="AX443" s="341"/>
      <c r="AY443" s="342"/>
      <c r="AZ443" s="341"/>
      <c r="BA443" s="341"/>
      <c r="BB443" s="341"/>
      <c r="BC443" s="342"/>
      <c r="BD443" s="341"/>
      <c r="BE443" s="341"/>
      <c r="BF443" s="341"/>
      <c r="BG443" s="342"/>
      <c r="BH443" s="341"/>
      <c r="BI443" s="341"/>
      <c r="BJ443" s="341"/>
      <c r="BK443" s="342"/>
      <c r="BL443" s="341"/>
      <c r="BM443" s="341"/>
      <c r="BN443" s="341"/>
      <c r="BO443" s="342"/>
      <c r="BP443" s="341"/>
      <c r="BQ443" s="341"/>
      <c r="BR443" s="341"/>
      <c r="BS443" s="342"/>
      <c r="BT443" s="341"/>
      <c r="BU443" s="341"/>
      <c r="BV443" s="341"/>
      <c r="BW443" s="342"/>
      <c r="BX443" s="263"/>
      <c r="BY443" s="235"/>
      <c r="BZ443" s="251"/>
      <c r="CA443" s="325"/>
      <c r="CB443" s="325"/>
      <c r="CC443" s="423">
        <v>186.3</v>
      </c>
      <c r="CD443" s="423">
        <v>174.2</v>
      </c>
      <c r="CE443" s="423">
        <v>114.6</v>
      </c>
      <c r="CF443" s="801">
        <f>SUM(AF443:AI443)</f>
        <v>221.4</v>
      </c>
      <c r="CG443" s="325">
        <f>SUM(AJ443:AM443)</f>
        <v>176.9</v>
      </c>
      <c r="CH443" s="325"/>
      <c r="CI443" s="325"/>
      <c r="CJ443" s="325"/>
      <c r="CK443" s="325"/>
      <c r="CL443" s="325"/>
      <c r="CM443" s="325"/>
      <c r="CN443" s="325"/>
      <c r="CO443" s="325"/>
      <c r="CP443" s="326"/>
    </row>
    <row r="444" spans="1:94" ht="14.25" hidden="1" customHeight="1" outlineLevel="2">
      <c r="A444" s="9"/>
      <c r="B444" s="217" t="s">
        <v>297</v>
      </c>
      <c r="C444" s="218"/>
      <c r="D444" s="372"/>
      <c r="E444" s="372"/>
      <c r="F444" s="372"/>
      <c r="G444" s="218"/>
      <c r="H444" s="372"/>
      <c r="I444" s="372"/>
      <c r="J444" s="372"/>
      <c r="K444" s="218"/>
      <c r="L444" s="370"/>
      <c r="M444" s="370"/>
      <c r="N444" s="370"/>
      <c r="O444" s="335"/>
      <c r="P444" s="336"/>
      <c r="Q444" s="370"/>
      <c r="R444" s="370"/>
      <c r="S444" s="335"/>
      <c r="T444" s="336"/>
      <c r="U444" s="370"/>
      <c r="V444" s="370"/>
      <c r="W444" s="335"/>
      <c r="X444" s="336"/>
      <c r="Y444" s="370"/>
      <c r="Z444" s="370"/>
      <c r="AA444" s="335"/>
      <c r="AB444" s="336"/>
      <c r="AC444" s="370"/>
      <c r="AD444" s="370"/>
      <c r="AE444" s="335"/>
      <c r="AF444" s="425"/>
      <c r="AG444" s="370">
        <f t="shared" ref="AG444:AP444" si="812">AG443/AF443-1</f>
        <v>0.12603305785123964</v>
      </c>
      <c r="AH444" s="370">
        <f t="shared" si="812"/>
        <v>6.6055045871559637E-2</v>
      </c>
      <c r="AI444" s="335">
        <f t="shared" si="812"/>
        <v>3.9586919104991347E-2</v>
      </c>
      <c r="AJ444" s="425">
        <f t="shared" si="812"/>
        <v>-9.6026490066225101E-2</v>
      </c>
      <c r="AK444" s="370">
        <f t="shared" si="812"/>
        <v>-2.9304029304029311E-2</v>
      </c>
      <c r="AL444" s="370">
        <f t="shared" si="812"/>
        <v>-0.25094339622641504</v>
      </c>
      <c r="AM444" s="335">
        <f t="shared" si="812"/>
        <v>-0.25440806045340048</v>
      </c>
      <c r="AN444" s="370">
        <f t="shared" si="812"/>
        <v>0.58445945945945943</v>
      </c>
      <c r="AO444" s="370">
        <f t="shared" si="812"/>
        <v>0.14285714285714302</v>
      </c>
      <c r="AP444" s="370">
        <f t="shared" si="812"/>
        <v>-0.18843283582089554</v>
      </c>
      <c r="AQ444" s="335"/>
      <c r="AR444" s="231"/>
      <c r="AS444" s="231"/>
      <c r="AT444" s="231"/>
      <c r="AU444" s="79"/>
      <c r="AV444" s="231"/>
      <c r="AW444" s="231"/>
      <c r="AX444" s="231"/>
      <c r="AY444" s="79"/>
      <c r="AZ444" s="231"/>
      <c r="BA444" s="231"/>
      <c r="BB444" s="231"/>
      <c r="BC444" s="79"/>
      <c r="BD444" s="231"/>
      <c r="BE444" s="231"/>
      <c r="BF444" s="231"/>
      <c r="BG444" s="79"/>
      <c r="BH444" s="231"/>
      <c r="BI444" s="231"/>
      <c r="BJ444" s="231"/>
      <c r="BK444" s="79"/>
      <c r="BL444" s="231"/>
      <c r="BM444" s="231"/>
      <c r="BN444" s="231"/>
      <c r="BO444" s="79"/>
      <c r="BP444" s="231"/>
      <c r="BQ444" s="231"/>
      <c r="BR444" s="231"/>
      <c r="BS444" s="79"/>
      <c r="BT444" s="231"/>
      <c r="BU444" s="231"/>
      <c r="BV444" s="231"/>
      <c r="BW444" s="79"/>
      <c r="BX444" s="21"/>
      <c r="BY444" s="22"/>
      <c r="BZ444" s="15"/>
      <c r="CA444" s="15"/>
      <c r="CB444" s="15"/>
      <c r="CC444" s="370"/>
      <c r="CD444" s="370"/>
      <c r="CE444" s="370"/>
      <c r="CF444" s="370"/>
      <c r="CG444" s="220"/>
      <c r="CH444" s="220"/>
      <c r="CI444" s="220"/>
      <c r="CJ444" s="220"/>
      <c r="CK444" s="220"/>
      <c r="CL444" s="220"/>
      <c r="CM444" s="220"/>
      <c r="CN444" s="220"/>
      <c r="CO444" s="220"/>
      <c r="CP444" s="258"/>
    </row>
    <row r="445" spans="1:94" ht="14.25" hidden="1" customHeight="1" outlineLevel="2">
      <c r="A445" s="9"/>
      <c r="B445" s="32" t="s">
        <v>298</v>
      </c>
      <c r="C445" s="218"/>
      <c r="D445" s="372"/>
      <c r="E445" s="372"/>
      <c r="F445" s="372"/>
      <c r="G445" s="218"/>
      <c r="H445" s="372"/>
      <c r="I445" s="372"/>
      <c r="J445" s="372"/>
      <c r="K445" s="218"/>
      <c r="L445" s="370"/>
      <c r="M445" s="370"/>
      <c r="N445" s="370"/>
      <c r="O445" s="335"/>
      <c r="P445" s="336"/>
      <c r="Q445" s="370"/>
      <c r="R445" s="370"/>
      <c r="S445" s="335"/>
      <c r="T445" s="336"/>
      <c r="U445" s="370"/>
      <c r="V445" s="370"/>
      <c r="W445" s="335"/>
      <c r="X445" s="336"/>
      <c r="Y445" s="370"/>
      <c r="Z445" s="370"/>
      <c r="AA445" s="335"/>
      <c r="AB445" s="336"/>
      <c r="AC445" s="370"/>
      <c r="AD445" s="370"/>
      <c r="AE445" s="335"/>
      <c r="AF445" s="425"/>
      <c r="AG445" s="418"/>
      <c r="AH445" s="418"/>
      <c r="AI445" s="419"/>
      <c r="AJ445" s="425">
        <f t="shared" ref="AJ445:AP445" si="813">AJ443/AF443-1</f>
        <v>0.12809917355371914</v>
      </c>
      <c r="AK445" s="418">
        <f t="shared" si="813"/>
        <v>-2.752293577981646E-2</v>
      </c>
      <c r="AL445" s="418">
        <f t="shared" si="813"/>
        <v>-0.31669535283993111</v>
      </c>
      <c r="AM445" s="419">
        <f t="shared" si="813"/>
        <v>-0.50993377483443703</v>
      </c>
      <c r="AN445" s="370">
        <f t="shared" si="813"/>
        <v>-0.14102564102564108</v>
      </c>
      <c r="AO445" s="370">
        <f t="shared" si="813"/>
        <v>1.132075471698113E-2</v>
      </c>
      <c r="AP445" s="370">
        <f t="shared" si="813"/>
        <v>9.5717884130982256E-2</v>
      </c>
      <c r="AQ445" s="335"/>
      <c r="AR445" s="257"/>
      <c r="AS445" s="257"/>
      <c r="AT445" s="257"/>
      <c r="AU445" s="258"/>
      <c r="AV445" s="257"/>
      <c r="AW445" s="257"/>
      <c r="AX445" s="257"/>
      <c r="AY445" s="258"/>
      <c r="AZ445" s="257"/>
      <c r="BA445" s="257"/>
      <c r="BB445" s="257"/>
      <c r="BC445" s="258"/>
      <c r="BD445" s="257"/>
      <c r="BE445" s="257"/>
      <c r="BF445" s="257"/>
      <c r="BG445" s="258"/>
      <c r="BH445" s="257"/>
      <c r="BI445" s="257"/>
      <c r="BJ445" s="257"/>
      <c r="BK445" s="258"/>
      <c r="BL445" s="257"/>
      <c r="BM445" s="257"/>
      <c r="BN445" s="257"/>
      <c r="BO445" s="258"/>
      <c r="BP445" s="257"/>
      <c r="BQ445" s="257"/>
      <c r="BR445" s="257"/>
      <c r="BS445" s="258"/>
      <c r="BT445" s="257"/>
      <c r="BU445" s="257"/>
      <c r="BV445" s="257"/>
      <c r="BW445" s="258"/>
      <c r="BX445" s="21"/>
      <c r="BY445" s="22"/>
      <c r="BZ445" s="15"/>
      <c r="CA445" s="15"/>
      <c r="CB445" s="338"/>
      <c r="CC445" s="418"/>
      <c r="CD445" s="370">
        <f>CD443/CC443-1</f>
        <v>-6.4949006977992552E-2</v>
      </c>
      <c r="CE445" s="370">
        <f>CE443/CD443-1</f>
        <v>-0.34213547646383469</v>
      </c>
      <c r="CF445" s="370">
        <f>CF443/CE443-1</f>
        <v>0.93193717277486932</v>
      </c>
      <c r="CG445" s="338">
        <f>CG443/CF443-1</f>
        <v>-0.2009936766034327</v>
      </c>
      <c r="CH445" s="338"/>
      <c r="CI445" s="338"/>
      <c r="CJ445" s="338"/>
      <c r="CK445" s="338"/>
      <c r="CL445" s="338"/>
      <c r="CM445" s="338"/>
      <c r="CN445" s="338"/>
      <c r="CO445" s="338"/>
      <c r="CP445" s="337"/>
    </row>
    <row r="446" spans="1:94" ht="14.25" hidden="1" customHeight="1" outlineLevel="2">
      <c r="A446" s="9"/>
      <c r="B446" s="217" t="s">
        <v>374</v>
      </c>
      <c r="C446" s="218"/>
      <c r="D446" s="372"/>
      <c r="E446" s="372"/>
      <c r="F446" s="372"/>
      <c r="G446" s="218"/>
      <c r="H446" s="372"/>
      <c r="I446" s="372"/>
      <c r="J446" s="372"/>
      <c r="K446" s="218"/>
      <c r="L446" s="370"/>
      <c r="M446" s="370"/>
      <c r="N446" s="370"/>
      <c r="O446" s="335"/>
      <c r="P446" s="336"/>
      <c r="Q446" s="370"/>
      <c r="R446" s="370"/>
      <c r="S446" s="335"/>
      <c r="T446" s="336"/>
      <c r="U446" s="370"/>
      <c r="V446" s="370"/>
      <c r="W446" s="335"/>
      <c r="X446" s="336"/>
      <c r="Y446" s="370"/>
      <c r="Z446" s="370"/>
      <c r="AA446" s="335"/>
      <c r="AB446" s="336"/>
      <c r="AC446" s="370"/>
      <c r="AD446" s="370"/>
      <c r="AE446" s="335"/>
      <c r="AF446" s="370">
        <f>AF443/AF435</f>
        <v>0.22938388625592415</v>
      </c>
      <c r="AG446" s="370">
        <f>AG443/AG435</f>
        <v>0.2351164797238999</v>
      </c>
      <c r="AH446" s="370">
        <f>AH443/AH435</f>
        <v>0.23988439306358383</v>
      </c>
      <c r="AI446" s="335">
        <f>AI443/AI435</f>
        <v>0.2688028482421006</v>
      </c>
      <c r="AJ446" s="370">
        <f t="shared" ref="AJ446:AP446" si="814">AJ443/AJ435</f>
        <v>0.23936869793950022</v>
      </c>
      <c r="AK446" s="370">
        <f t="shared" si="814"/>
        <v>0.22457627118644069</v>
      </c>
      <c r="AL446" s="370">
        <f t="shared" si="814"/>
        <v>0.17907081641858369</v>
      </c>
      <c r="AM446" s="335">
        <f t="shared" si="814"/>
        <v>0.15384615384615385</v>
      </c>
      <c r="AN446" s="370">
        <f t="shared" si="814"/>
        <v>0.23831300813008127</v>
      </c>
      <c r="AO446" s="370">
        <f t="shared" si="814"/>
        <v>0.26547795938583457</v>
      </c>
      <c r="AP446" s="370">
        <f t="shared" si="814"/>
        <v>0.22081218274111675</v>
      </c>
      <c r="AQ446" s="335"/>
      <c r="AR446" s="293"/>
      <c r="AS446" s="293"/>
      <c r="AT446" s="293"/>
      <c r="AU446" s="292"/>
      <c r="AV446" s="293"/>
      <c r="AW446" s="293"/>
      <c r="AX446" s="293"/>
      <c r="AY446" s="292"/>
      <c r="AZ446" s="293"/>
      <c r="BA446" s="293"/>
      <c r="BB446" s="293"/>
      <c r="BC446" s="292"/>
      <c r="BD446" s="293"/>
      <c r="BE446" s="293"/>
      <c r="BF446" s="293"/>
      <c r="BG446" s="292"/>
      <c r="BH446" s="293"/>
      <c r="BI446" s="293"/>
      <c r="BJ446" s="293"/>
      <c r="BK446" s="292"/>
      <c r="BL446" s="293"/>
      <c r="BM446" s="293"/>
      <c r="BN446" s="293"/>
      <c r="BO446" s="292"/>
      <c r="BP446" s="293"/>
      <c r="BQ446" s="293"/>
      <c r="BR446" s="293"/>
      <c r="BS446" s="292"/>
      <c r="BT446" s="293"/>
      <c r="BU446" s="293"/>
      <c r="BV446" s="293"/>
      <c r="BW446" s="292"/>
      <c r="BX446" s="21"/>
      <c r="BY446" s="22"/>
      <c r="BZ446" s="15"/>
      <c r="CA446" s="338"/>
      <c r="CB446" s="338"/>
      <c r="CC446" s="370">
        <f>CC443/CC435</f>
        <v>0.23206278026905833</v>
      </c>
      <c r="CD446" s="370">
        <f>CD443/CD435</f>
        <v>0.21900930349509679</v>
      </c>
      <c r="CE446" s="370">
        <f>CE443/CE435</f>
        <v>0.17051034072310667</v>
      </c>
      <c r="CF446" s="370">
        <f>CF443/CF435</f>
        <v>0.24337693745190722</v>
      </c>
      <c r="CG446" s="338">
        <f>CG443/CG435</f>
        <v>0.20143475290366661</v>
      </c>
      <c r="CH446" s="338"/>
      <c r="CI446" s="338"/>
      <c r="CJ446" s="338"/>
      <c r="CK446" s="338"/>
      <c r="CL446" s="338"/>
      <c r="CM446" s="338"/>
      <c r="CN446" s="338"/>
      <c r="CO446" s="338"/>
      <c r="CP446" s="337"/>
    </row>
    <row r="447" spans="1:94" ht="14.25" hidden="1" customHeight="1" outlineLevel="2">
      <c r="A447" s="9"/>
      <c r="B447" s="236"/>
      <c r="C447" s="237"/>
      <c r="D447" s="373"/>
      <c r="E447" s="373"/>
      <c r="F447" s="373"/>
      <c r="G447" s="237"/>
      <c r="H447" s="373"/>
      <c r="I447" s="373"/>
      <c r="J447" s="373"/>
      <c r="K447" s="237"/>
      <c r="L447" s="279"/>
      <c r="M447" s="279"/>
      <c r="N447" s="279"/>
      <c r="O447" s="280"/>
      <c r="P447" s="285"/>
      <c r="Q447" s="279"/>
      <c r="R447" s="279"/>
      <c r="S447" s="280"/>
      <c r="T447" s="285"/>
      <c r="U447" s="279"/>
      <c r="V447" s="279"/>
      <c r="W447" s="280"/>
      <c r="X447" s="285"/>
      <c r="Y447" s="279"/>
      <c r="Z447" s="279"/>
      <c r="AA447" s="280"/>
      <c r="AB447" s="285"/>
      <c r="AC447" s="279"/>
      <c r="AD447" s="279"/>
      <c r="AE447" s="280"/>
      <c r="AF447" s="279"/>
      <c r="AG447" s="279"/>
      <c r="AH447" s="279"/>
      <c r="AI447" s="280"/>
      <c r="AJ447" s="279"/>
      <c r="AK447" s="279"/>
      <c r="AL447" s="279"/>
      <c r="AM447" s="280"/>
      <c r="AN447" s="279"/>
      <c r="AO447" s="279"/>
      <c r="AP447" s="279"/>
      <c r="AQ447" s="280"/>
      <c r="AR447" s="203"/>
      <c r="AS447" s="203"/>
      <c r="AT447" s="203"/>
      <c r="AU447" s="17"/>
      <c r="AV447" s="203"/>
      <c r="AW447" s="203"/>
      <c r="AX447" s="203"/>
      <c r="AY447" s="17"/>
      <c r="AZ447" s="203"/>
      <c r="BA447" s="203"/>
      <c r="BB447" s="203"/>
      <c r="BC447" s="17"/>
      <c r="BD447" s="203"/>
      <c r="BE447" s="203"/>
      <c r="BF447" s="203"/>
      <c r="BG447" s="17"/>
      <c r="BH447" s="203"/>
      <c r="BI447" s="203"/>
      <c r="BJ447" s="203"/>
      <c r="BK447" s="17"/>
      <c r="BL447" s="203"/>
      <c r="BM447" s="203"/>
      <c r="BN447" s="203"/>
      <c r="BO447" s="17"/>
      <c r="BP447" s="203"/>
      <c r="BQ447" s="203"/>
      <c r="BR447" s="203"/>
      <c r="BS447" s="17"/>
      <c r="BT447" s="203"/>
      <c r="BU447" s="203"/>
      <c r="BV447" s="203"/>
      <c r="BW447" s="17"/>
      <c r="BX447" s="21"/>
      <c r="BY447" s="16"/>
      <c r="BZ447" s="203"/>
      <c r="CA447" s="203"/>
      <c r="CB447" s="203"/>
      <c r="CC447" s="279"/>
      <c r="CD447" s="279"/>
      <c r="CE447" s="279"/>
      <c r="CF447" s="485"/>
      <c r="CG447" s="203"/>
      <c r="CH447" s="203"/>
      <c r="CI447" s="203"/>
      <c r="CJ447" s="203"/>
      <c r="CK447" s="203"/>
      <c r="CL447" s="203"/>
      <c r="CM447" s="203"/>
      <c r="CN447" s="203"/>
      <c r="CO447" s="203"/>
      <c r="CP447" s="17"/>
    </row>
    <row r="448" spans="1:94" ht="14.25" hidden="1" customHeight="1" outlineLevel="2">
      <c r="A448" s="9"/>
      <c r="B448" s="286" t="s">
        <v>198</v>
      </c>
      <c r="C448" s="287"/>
      <c r="D448" s="284"/>
      <c r="E448" s="284"/>
      <c r="F448" s="284"/>
      <c r="G448" s="287"/>
      <c r="H448" s="284"/>
      <c r="I448" s="284"/>
      <c r="J448" s="284"/>
      <c r="K448" s="287"/>
      <c r="L448" s="343"/>
      <c r="M448" s="343"/>
      <c r="N448" s="343"/>
      <c r="O448" s="369"/>
      <c r="P448" s="343"/>
      <c r="Q448" s="343"/>
      <c r="R448" s="343"/>
      <c r="S448" s="369"/>
      <c r="T448" s="343"/>
      <c r="U448" s="343"/>
      <c r="V448" s="343"/>
      <c r="W448" s="369"/>
      <c r="X448" s="343"/>
      <c r="Y448" s="343"/>
      <c r="Z448" s="343"/>
      <c r="AA448" s="369"/>
      <c r="AB448" s="343"/>
      <c r="AC448" s="343"/>
      <c r="AD448" s="343"/>
      <c r="AE448" s="369"/>
      <c r="AF448" s="423"/>
      <c r="AG448" s="423"/>
      <c r="AH448" s="423"/>
      <c r="AI448" s="401"/>
      <c r="AJ448" s="423">
        <v>278.10000000000002</v>
      </c>
      <c r="AK448" s="423">
        <v>274.3</v>
      </c>
      <c r="AL448" s="423">
        <v>294.8</v>
      </c>
      <c r="AM448" s="401">
        <v>213.1</v>
      </c>
      <c r="AN448" s="423">
        <v>205.9</v>
      </c>
      <c r="AO448" s="423">
        <v>205.4</v>
      </c>
      <c r="AP448" s="423">
        <v>193</v>
      </c>
      <c r="AQ448" s="401"/>
      <c r="AR448" s="495"/>
      <c r="AS448" s="495"/>
      <c r="AT448" s="495"/>
      <c r="AU448" s="496"/>
      <c r="AV448" s="495"/>
      <c r="AW448" s="495"/>
      <c r="AX448" s="495"/>
      <c r="AY448" s="496"/>
      <c r="AZ448" s="495"/>
      <c r="BA448" s="495"/>
      <c r="BB448" s="495"/>
      <c r="BC448" s="496"/>
      <c r="BD448" s="495"/>
      <c r="BE448" s="495"/>
      <c r="BF448" s="495"/>
      <c r="BG448" s="496"/>
      <c r="BH448" s="495"/>
      <c r="BI448" s="495"/>
      <c r="BJ448" s="495"/>
      <c r="BK448" s="496"/>
      <c r="BL448" s="495"/>
      <c r="BM448" s="495"/>
      <c r="BN448" s="495"/>
      <c r="BO448" s="496"/>
      <c r="BP448" s="495"/>
      <c r="BQ448" s="495"/>
      <c r="BR448" s="495"/>
      <c r="BS448" s="496"/>
      <c r="BT448" s="495"/>
      <c r="BU448" s="495"/>
      <c r="BV448" s="495"/>
      <c r="BW448" s="496"/>
      <c r="BX448" s="283"/>
      <c r="BY448" s="667"/>
      <c r="BZ448" s="248"/>
      <c r="CA448" s="325"/>
      <c r="CB448" s="325"/>
      <c r="CC448" s="423">
        <v>0</v>
      </c>
      <c r="CD448" s="423">
        <v>0</v>
      </c>
      <c r="CE448" s="423">
        <v>0</v>
      </c>
      <c r="CF448" s="801">
        <f>SUM(AF448:AI448)</f>
        <v>0</v>
      </c>
      <c r="CG448" s="325">
        <f>SUM(AJ448:AM448)</f>
        <v>1060.3</v>
      </c>
      <c r="CH448" s="325"/>
      <c r="CI448" s="325"/>
      <c r="CJ448" s="325"/>
      <c r="CK448" s="325"/>
      <c r="CL448" s="325"/>
      <c r="CM448" s="325"/>
      <c r="CN448" s="325"/>
      <c r="CO448" s="325"/>
      <c r="CP448" s="326"/>
    </row>
    <row r="449" spans="1:94" ht="14.25" hidden="1" customHeight="1" outlineLevel="2">
      <c r="A449" s="9"/>
      <c r="B449" s="217" t="s">
        <v>297</v>
      </c>
      <c r="C449" s="218"/>
      <c r="D449" s="372"/>
      <c r="E449" s="372"/>
      <c r="F449" s="372"/>
      <c r="G449" s="218"/>
      <c r="H449" s="372"/>
      <c r="I449" s="372"/>
      <c r="J449" s="372"/>
      <c r="K449" s="218"/>
      <c r="L449" s="370"/>
      <c r="M449" s="370"/>
      <c r="N449" s="370"/>
      <c r="O449" s="335"/>
      <c r="P449" s="370"/>
      <c r="Q449" s="370"/>
      <c r="R449" s="370"/>
      <c r="S449" s="335"/>
      <c r="T449" s="370"/>
      <c r="U449" s="370"/>
      <c r="V449" s="370"/>
      <c r="W449" s="335"/>
      <c r="X449" s="370"/>
      <c r="Y449" s="370"/>
      <c r="Z449" s="370"/>
      <c r="AA449" s="335"/>
      <c r="AB449" s="370"/>
      <c r="AC449" s="370"/>
      <c r="AD449" s="370"/>
      <c r="AE449" s="335"/>
      <c r="AF449" s="425"/>
      <c r="AG449" s="370"/>
      <c r="AH449" s="370"/>
      <c r="AI449" s="335"/>
      <c r="AJ449" s="425"/>
      <c r="AK449" s="370">
        <f t="shared" ref="AK449:AP449" si="815">AK448/AJ448-1</f>
        <v>-1.3664149586479768E-2</v>
      </c>
      <c r="AL449" s="370">
        <f t="shared" si="815"/>
        <v>7.4735690849434988E-2</v>
      </c>
      <c r="AM449" s="335">
        <f t="shared" si="815"/>
        <v>-0.2771370420624153</v>
      </c>
      <c r="AN449" s="370">
        <f t="shared" si="815"/>
        <v>-3.3786954481464071E-2</v>
      </c>
      <c r="AO449" s="370">
        <f t="shared" si="815"/>
        <v>-2.4283632831471058E-3</v>
      </c>
      <c r="AP449" s="370">
        <f t="shared" si="815"/>
        <v>-6.0370009737098385E-2</v>
      </c>
      <c r="AQ449" s="335"/>
      <c r="AR449" s="231"/>
      <c r="AS449" s="231"/>
      <c r="AT449" s="231"/>
      <c r="AU449" s="79"/>
      <c r="AV449" s="231"/>
      <c r="AW449" s="231"/>
      <c r="AX449" s="231"/>
      <c r="AY449" s="79"/>
      <c r="AZ449" s="231"/>
      <c r="BA449" s="231"/>
      <c r="BB449" s="231"/>
      <c r="BC449" s="79"/>
      <c r="BD449" s="231"/>
      <c r="BE449" s="231"/>
      <c r="BF449" s="231"/>
      <c r="BG449" s="79"/>
      <c r="BH449" s="231"/>
      <c r="BI449" s="231"/>
      <c r="BJ449" s="231"/>
      <c r="BK449" s="79"/>
      <c r="BL449" s="231"/>
      <c r="BM449" s="231"/>
      <c r="BN449" s="231"/>
      <c r="BO449" s="79"/>
      <c r="BP449" s="231"/>
      <c r="BQ449" s="231"/>
      <c r="BR449" s="231"/>
      <c r="BS449" s="79"/>
      <c r="BT449" s="231"/>
      <c r="BU449" s="231"/>
      <c r="BV449" s="231"/>
      <c r="BW449" s="79"/>
      <c r="BX449" s="21"/>
      <c r="BY449" s="22"/>
      <c r="BZ449" s="15"/>
      <c r="CA449" s="15"/>
      <c r="CB449" s="15"/>
      <c r="CC449" s="370"/>
      <c r="CD449" s="370"/>
      <c r="CE449" s="370"/>
      <c r="CF449" s="370"/>
      <c r="CG449" s="220"/>
      <c r="CH449" s="220"/>
      <c r="CI449" s="220"/>
      <c r="CJ449" s="220"/>
      <c r="CK449" s="220"/>
      <c r="CL449" s="220"/>
      <c r="CM449" s="220"/>
      <c r="CN449" s="220"/>
      <c r="CO449" s="220"/>
      <c r="CP449" s="258"/>
    </row>
    <row r="450" spans="1:94" ht="14.25" hidden="1" customHeight="1" outlineLevel="2">
      <c r="A450" s="9"/>
      <c r="B450" s="32" t="s">
        <v>298</v>
      </c>
      <c r="C450" s="33"/>
      <c r="D450" s="259"/>
      <c r="E450" s="259"/>
      <c r="F450" s="259"/>
      <c r="G450" s="33"/>
      <c r="H450" s="259"/>
      <c r="I450" s="259"/>
      <c r="J450" s="259"/>
      <c r="K450" s="33"/>
      <c r="L450" s="370"/>
      <c r="M450" s="370"/>
      <c r="N450" s="370"/>
      <c r="O450" s="335"/>
      <c r="P450" s="370"/>
      <c r="Q450" s="370"/>
      <c r="R450" s="370"/>
      <c r="S450" s="335"/>
      <c r="T450" s="370"/>
      <c r="U450" s="370"/>
      <c r="V450" s="370"/>
      <c r="W450" s="335"/>
      <c r="X450" s="370"/>
      <c r="Y450" s="370"/>
      <c r="Z450" s="370"/>
      <c r="AA450" s="335"/>
      <c r="AB450" s="370"/>
      <c r="AC450" s="370"/>
      <c r="AD450" s="370"/>
      <c r="AE450" s="335"/>
      <c r="AF450" s="425"/>
      <c r="AG450" s="418"/>
      <c r="AH450" s="418"/>
      <c r="AI450" s="419"/>
      <c r="AJ450" s="425"/>
      <c r="AK450" s="418"/>
      <c r="AL450" s="418"/>
      <c r="AM450" s="419"/>
      <c r="AN450" s="370">
        <f>AN448/AJ448-1</f>
        <v>-0.25961884214311404</v>
      </c>
      <c r="AO450" s="370">
        <f>AO448/AK448-1</f>
        <v>-0.25118483412322279</v>
      </c>
      <c r="AP450" s="370">
        <f>AP448/AL448-1</f>
        <v>-0.34531886024423342</v>
      </c>
      <c r="AQ450" s="335"/>
      <c r="AR450" s="257"/>
      <c r="AS450" s="257"/>
      <c r="AT450" s="257"/>
      <c r="AU450" s="258"/>
      <c r="AV450" s="257"/>
      <c r="AW450" s="257"/>
      <c r="AX450" s="257"/>
      <c r="AY450" s="258"/>
      <c r="AZ450" s="257"/>
      <c r="BA450" s="257"/>
      <c r="BB450" s="257"/>
      <c r="BC450" s="258"/>
      <c r="BD450" s="257"/>
      <c r="BE450" s="257"/>
      <c r="BF450" s="257"/>
      <c r="BG450" s="258"/>
      <c r="BH450" s="257"/>
      <c r="BI450" s="257"/>
      <c r="BJ450" s="257"/>
      <c r="BK450" s="258"/>
      <c r="BL450" s="257"/>
      <c r="BM450" s="257"/>
      <c r="BN450" s="257"/>
      <c r="BO450" s="258"/>
      <c r="BP450" s="257"/>
      <c r="BQ450" s="257"/>
      <c r="BR450" s="257"/>
      <c r="BS450" s="258"/>
      <c r="BT450" s="257"/>
      <c r="BU450" s="257"/>
      <c r="BV450" s="257"/>
      <c r="BW450" s="258"/>
      <c r="BX450" s="21"/>
      <c r="BY450" s="22"/>
      <c r="BZ450" s="15"/>
      <c r="CA450" s="15"/>
      <c r="CB450" s="338"/>
      <c r="CC450" s="418"/>
      <c r="CD450" s="418" t="str">
        <f>IF(ISERROR(CD448/CC448-1),"NM",CD448/CC448-1)</f>
        <v>NM</v>
      </c>
      <c r="CE450" s="418" t="str">
        <f>IF(ISERROR(CE448/CD448-1),"NM",CE448/CD448-1)</f>
        <v>NM</v>
      </c>
      <c r="CF450" s="418" t="str">
        <f>IF(ISERROR(CF448/CE448-1),"NM",CF448/CE448-1)</f>
        <v>NM</v>
      </c>
      <c r="CG450" s="418" t="str">
        <f>IF(ISERROR(CG448/CF448-1),"NM",CG448/CF448-1)</f>
        <v>NM</v>
      </c>
      <c r="CH450" s="338"/>
      <c r="CI450" s="338"/>
      <c r="CJ450" s="338"/>
      <c r="CK450" s="338"/>
      <c r="CL450" s="338"/>
      <c r="CM450" s="338"/>
      <c r="CN450" s="338"/>
      <c r="CO450" s="338"/>
      <c r="CP450" s="337"/>
    </row>
    <row r="451" spans="1:94" ht="14.25" hidden="1" customHeight="1" outlineLevel="2">
      <c r="A451" s="9"/>
      <c r="B451" s="217" t="s">
        <v>299</v>
      </c>
      <c r="C451" s="218"/>
      <c r="D451" s="372"/>
      <c r="E451" s="372"/>
      <c r="F451" s="372"/>
      <c r="G451" s="218"/>
      <c r="H451" s="372"/>
      <c r="I451" s="372"/>
      <c r="J451" s="372"/>
      <c r="K451" s="218"/>
      <c r="L451" s="338"/>
      <c r="M451" s="370"/>
      <c r="N451" s="370"/>
      <c r="O451" s="337"/>
      <c r="P451" s="338"/>
      <c r="Q451" s="370"/>
      <c r="R451" s="370"/>
      <c r="S451" s="337"/>
      <c r="T451" s="338"/>
      <c r="U451" s="370"/>
      <c r="V451" s="370"/>
      <c r="W451" s="337"/>
      <c r="X451" s="338"/>
      <c r="Y451" s="370"/>
      <c r="Z451" s="370"/>
      <c r="AA451" s="337"/>
      <c r="AB451" s="338"/>
      <c r="AC451" s="370"/>
      <c r="AD451" s="370"/>
      <c r="AE451" s="337"/>
      <c r="AF451" s="338"/>
      <c r="AG451" s="370"/>
      <c r="AH451" s="370"/>
      <c r="AI451" s="337"/>
      <c r="AJ451" s="338">
        <f>AJ448/AJ461</f>
        <v>0.31943487250172292</v>
      </c>
      <c r="AK451" s="370">
        <f>AK448/AK461</f>
        <v>0.30285966655625485</v>
      </c>
      <c r="AL451" s="370">
        <f>AL448/AL461</f>
        <v>0.32828507795100226</v>
      </c>
      <c r="AM451" s="337">
        <f>AM448/AM461</f>
        <v>0.27747395833333333</v>
      </c>
      <c r="AN451" s="338">
        <f>AN448/AN461</f>
        <v>0.27659860290166577</v>
      </c>
      <c r="AO451" s="370">
        <f>AO448/(AO461)</f>
        <v>0.27577873254564983</v>
      </c>
      <c r="AP451" s="370">
        <f>AP448/(AP461)</f>
        <v>0.26602343211578222</v>
      </c>
      <c r="AQ451" s="337"/>
      <c r="AR451" s="231"/>
      <c r="AS451" s="231"/>
      <c r="AT451" s="231"/>
      <c r="AU451" s="79"/>
      <c r="AV451" s="231"/>
      <c r="AW451" s="231"/>
      <c r="AX451" s="231"/>
      <c r="AY451" s="79"/>
      <c r="AZ451" s="231"/>
      <c r="BA451" s="231"/>
      <c r="BB451" s="231"/>
      <c r="BC451" s="79"/>
      <c r="BD451" s="231"/>
      <c r="BE451" s="231"/>
      <c r="BF451" s="231"/>
      <c r="BG451" s="79"/>
      <c r="BH451" s="231"/>
      <c r="BI451" s="231"/>
      <c r="BJ451" s="231"/>
      <c r="BK451" s="79"/>
      <c r="BL451" s="231"/>
      <c r="BM451" s="231"/>
      <c r="BN451" s="231"/>
      <c r="BO451" s="79"/>
      <c r="BP451" s="231"/>
      <c r="BQ451" s="231"/>
      <c r="BR451" s="231"/>
      <c r="BS451" s="79"/>
      <c r="BT451" s="231"/>
      <c r="BU451" s="231"/>
      <c r="BV451" s="231"/>
      <c r="BW451" s="79"/>
      <c r="BX451" s="21"/>
      <c r="BY451" s="22"/>
      <c r="BZ451" s="15"/>
      <c r="CA451" s="338"/>
      <c r="CB451" s="338"/>
      <c r="CC451" s="370">
        <f>CC448/(CC461)</f>
        <v>0</v>
      </c>
      <c r="CD451" s="370">
        <f>CD448/(CD461)</f>
        <v>0</v>
      </c>
      <c r="CE451" s="370">
        <f>CE448/(CE461)</f>
        <v>0</v>
      </c>
      <c r="CF451" s="370">
        <f>CF448/(CF461)</f>
        <v>0</v>
      </c>
      <c r="CG451" s="338">
        <f>CG448/(CG461)</f>
        <v>0.30802080004648053</v>
      </c>
      <c r="CH451" s="338"/>
      <c r="CI451" s="338"/>
      <c r="CJ451" s="338"/>
      <c r="CK451" s="338"/>
      <c r="CL451" s="338"/>
      <c r="CM451" s="338"/>
      <c r="CN451" s="338"/>
      <c r="CO451" s="338"/>
      <c r="CP451" s="337"/>
    </row>
    <row r="452" spans="1:94" ht="14.25" hidden="1" customHeight="1" outlineLevel="2">
      <c r="A452" s="9"/>
      <c r="B452" s="217"/>
      <c r="C452" s="218"/>
      <c r="D452" s="372"/>
      <c r="E452" s="372"/>
      <c r="F452" s="372"/>
      <c r="G452" s="218"/>
      <c r="H452" s="372"/>
      <c r="I452" s="372"/>
      <c r="J452" s="372"/>
      <c r="K452" s="218"/>
      <c r="L452" s="261"/>
      <c r="M452" s="80"/>
      <c r="N452" s="80"/>
      <c r="O452" s="262"/>
      <c r="P452" s="261"/>
      <c r="Q452" s="80"/>
      <c r="R452" s="80"/>
      <c r="S452" s="262"/>
      <c r="T452" s="261"/>
      <c r="U452" s="80"/>
      <c r="V452" s="80"/>
      <c r="W452" s="262"/>
      <c r="X452" s="261"/>
      <c r="Y452" s="80"/>
      <c r="Z452" s="80"/>
      <c r="AA452" s="262"/>
      <c r="AB452" s="261"/>
      <c r="AC452" s="80"/>
      <c r="AD452" s="80"/>
      <c r="AE452" s="262"/>
      <c r="AF452" s="261"/>
      <c r="AG452" s="80"/>
      <c r="AH452" s="80"/>
      <c r="AI452" s="262"/>
      <c r="AJ452" s="261"/>
      <c r="AK452" s="80"/>
      <c r="AL452" s="80"/>
      <c r="AM452" s="262"/>
      <c r="AN452" s="261"/>
      <c r="AO452" s="80"/>
      <c r="AP452" s="80"/>
      <c r="AQ452" s="262"/>
      <c r="AR452" s="9"/>
      <c r="AS452" s="9"/>
      <c r="AT452" s="9"/>
      <c r="AU452" s="211"/>
      <c r="AV452" s="9"/>
      <c r="AW452" s="9"/>
      <c r="AX452" s="9"/>
      <c r="AY452" s="211"/>
      <c r="AZ452" s="9"/>
      <c r="BA452" s="9"/>
      <c r="BB452" s="9"/>
      <c r="BC452" s="211"/>
      <c r="BD452" s="9"/>
      <c r="BE452" s="9"/>
      <c r="BF452" s="9"/>
      <c r="BG452" s="211"/>
      <c r="BH452" s="9"/>
      <c r="BI452" s="9"/>
      <c r="BJ452" s="9"/>
      <c r="BK452" s="211"/>
      <c r="BL452" s="9"/>
      <c r="BM452" s="9"/>
      <c r="BN452" s="9"/>
      <c r="BO452" s="211"/>
      <c r="BP452" s="9"/>
      <c r="BQ452" s="9"/>
      <c r="BR452" s="9"/>
      <c r="BS452" s="211"/>
      <c r="BT452" s="9"/>
      <c r="BU452" s="9"/>
      <c r="BV452" s="9"/>
      <c r="BW452" s="211"/>
      <c r="BX452" s="21"/>
      <c r="BY452" s="22"/>
      <c r="BZ452" s="15"/>
      <c r="CA452" s="15"/>
      <c r="CB452" s="15"/>
      <c r="CC452" s="80"/>
      <c r="CD452" s="80"/>
      <c r="CE452" s="80"/>
      <c r="CF452" s="370"/>
      <c r="CG452" s="15"/>
      <c r="CH452" s="15"/>
      <c r="CI452" s="15"/>
      <c r="CJ452" s="15"/>
      <c r="CK452" s="15"/>
      <c r="CL452" s="15"/>
      <c r="CM452" s="15"/>
      <c r="CN452" s="15"/>
      <c r="CO452" s="15"/>
      <c r="CP452" s="211"/>
    </row>
    <row r="453" spans="1:94" ht="14.25" hidden="1" customHeight="1" outlineLevel="2">
      <c r="A453" s="9"/>
      <c r="B453" s="235" t="s">
        <v>199</v>
      </c>
      <c r="C453" s="218"/>
      <c r="D453" s="372"/>
      <c r="E453" s="372"/>
      <c r="F453" s="372"/>
      <c r="G453" s="218"/>
      <c r="H453" s="372"/>
      <c r="I453" s="372"/>
      <c r="J453" s="372"/>
      <c r="K453" s="218"/>
      <c r="L453" s="343"/>
      <c r="M453" s="343"/>
      <c r="N453" s="343"/>
      <c r="O453" s="369"/>
      <c r="P453" s="343"/>
      <c r="Q453" s="343"/>
      <c r="R453" s="343"/>
      <c r="S453" s="369"/>
      <c r="T453" s="343"/>
      <c r="U453" s="343"/>
      <c r="V453" s="343"/>
      <c r="W453" s="369"/>
      <c r="X453" s="343"/>
      <c r="Y453" s="343"/>
      <c r="Z453" s="343"/>
      <c r="AA453" s="369"/>
      <c r="AB453" s="343"/>
      <c r="AC453" s="343"/>
      <c r="AD453" s="343"/>
      <c r="AE453" s="369"/>
      <c r="AF453" s="423"/>
      <c r="AG453" s="423"/>
      <c r="AH453" s="423"/>
      <c r="AI453" s="401"/>
      <c r="AJ453" s="423">
        <v>4.4000000000000004</v>
      </c>
      <c r="AK453" s="423">
        <v>21.6</v>
      </c>
      <c r="AL453" s="423">
        <v>26.5</v>
      </c>
      <c r="AM453" s="401">
        <v>26.6</v>
      </c>
      <c r="AN453" s="423">
        <v>39.9</v>
      </c>
      <c r="AO453" s="423">
        <v>33.9</v>
      </c>
      <c r="AP453" s="423">
        <v>37</v>
      </c>
      <c r="AQ453" s="401"/>
      <c r="AR453" s="341"/>
      <c r="AS453" s="341"/>
      <c r="AT453" s="341"/>
      <c r="AU453" s="342"/>
      <c r="AV453" s="341"/>
      <c r="AW453" s="341"/>
      <c r="AX453" s="341"/>
      <c r="AY453" s="342"/>
      <c r="AZ453" s="341"/>
      <c r="BA453" s="341"/>
      <c r="BB453" s="341"/>
      <c r="BC453" s="342"/>
      <c r="BD453" s="341"/>
      <c r="BE453" s="341"/>
      <c r="BF453" s="341"/>
      <c r="BG453" s="342"/>
      <c r="BH453" s="341"/>
      <c r="BI453" s="341"/>
      <c r="BJ453" s="341"/>
      <c r="BK453" s="342"/>
      <c r="BL453" s="341"/>
      <c r="BM453" s="341"/>
      <c r="BN453" s="341"/>
      <c r="BO453" s="342"/>
      <c r="BP453" s="341"/>
      <c r="BQ453" s="341"/>
      <c r="BR453" s="341"/>
      <c r="BS453" s="342"/>
      <c r="BT453" s="341"/>
      <c r="BU453" s="341"/>
      <c r="BV453" s="341"/>
      <c r="BW453" s="342"/>
      <c r="BX453" s="263"/>
      <c r="BY453" s="235"/>
      <c r="BZ453" s="251"/>
      <c r="CA453" s="325"/>
      <c r="CB453" s="325"/>
      <c r="CC453" s="423">
        <v>0</v>
      </c>
      <c r="CD453" s="423">
        <v>0</v>
      </c>
      <c r="CE453" s="423">
        <v>0</v>
      </c>
      <c r="CF453" s="801">
        <f>SUM(AF453:AI453)</f>
        <v>0</v>
      </c>
      <c r="CG453" s="325">
        <f>SUM(AJ453:AM453)</f>
        <v>79.099999999999994</v>
      </c>
      <c r="CH453" s="325"/>
      <c r="CI453" s="325"/>
      <c r="CJ453" s="325"/>
      <c r="CK453" s="325"/>
      <c r="CL453" s="325"/>
      <c r="CM453" s="325"/>
      <c r="CN453" s="325"/>
      <c r="CO453" s="325"/>
      <c r="CP453" s="326"/>
    </row>
    <row r="454" spans="1:94" ht="14.25" hidden="1" customHeight="1" outlineLevel="2">
      <c r="A454" s="9"/>
      <c r="B454" s="217" t="s">
        <v>193</v>
      </c>
      <c r="C454" s="218"/>
      <c r="D454" s="372"/>
      <c r="E454" s="372"/>
      <c r="F454" s="372"/>
      <c r="G454" s="218"/>
      <c r="H454" s="372"/>
      <c r="I454" s="372"/>
      <c r="J454" s="372"/>
      <c r="K454" s="218"/>
      <c r="L454" s="370"/>
      <c r="M454" s="370"/>
      <c r="N454" s="370"/>
      <c r="O454" s="335"/>
      <c r="P454" s="370"/>
      <c r="Q454" s="370"/>
      <c r="R454" s="370"/>
      <c r="S454" s="335"/>
      <c r="T454" s="370"/>
      <c r="U454" s="370"/>
      <c r="V454" s="370"/>
      <c r="W454" s="335"/>
      <c r="X454" s="370"/>
      <c r="Y454" s="370"/>
      <c r="Z454" s="370"/>
      <c r="AA454" s="335"/>
      <c r="AB454" s="370"/>
      <c r="AC454" s="370"/>
      <c r="AD454" s="370"/>
      <c r="AE454" s="335"/>
      <c r="AF454" s="370"/>
      <c r="AG454" s="370"/>
      <c r="AH454" s="370"/>
      <c r="AI454" s="335"/>
      <c r="AJ454" s="370">
        <f t="shared" ref="AJ454:AP454" si="816">AJ453/AJ448</f>
        <v>1.5821646889608056E-2</v>
      </c>
      <c r="AK454" s="370">
        <f t="shared" si="816"/>
        <v>7.8745898651111923E-2</v>
      </c>
      <c r="AL454" s="370">
        <f t="shared" si="816"/>
        <v>8.9891451831750332E-2</v>
      </c>
      <c r="AM454" s="335">
        <f t="shared" si="816"/>
        <v>0.12482402627874238</v>
      </c>
      <c r="AN454" s="370">
        <f t="shared" si="816"/>
        <v>0.19378338999514327</v>
      </c>
      <c r="AO454" s="370">
        <f t="shared" si="816"/>
        <v>0.1650438169425511</v>
      </c>
      <c r="AP454" s="370">
        <f t="shared" si="816"/>
        <v>0.19170984455958548</v>
      </c>
      <c r="AQ454" s="335"/>
      <c r="AR454" s="293"/>
      <c r="AS454" s="293"/>
      <c r="AT454" s="293"/>
      <c r="AU454" s="292"/>
      <c r="AV454" s="293"/>
      <c r="AW454" s="293"/>
      <c r="AX454" s="293"/>
      <c r="AY454" s="292"/>
      <c r="AZ454" s="293"/>
      <c r="BA454" s="293"/>
      <c r="BB454" s="293"/>
      <c r="BC454" s="292"/>
      <c r="BD454" s="293"/>
      <c r="BE454" s="293"/>
      <c r="BF454" s="293"/>
      <c r="BG454" s="292"/>
      <c r="BH454" s="293"/>
      <c r="BI454" s="293"/>
      <c r="BJ454" s="293"/>
      <c r="BK454" s="292"/>
      <c r="BL454" s="293"/>
      <c r="BM454" s="293"/>
      <c r="BN454" s="293"/>
      <c r="BO454" s="292"/>
      <c r="BP454" s="293"/>
      <c r="BQ454" s="293"/>
      <c r="BR454" s="293"/>
      <c r="BS454" s="292"/>
      <c r="BT454" s="293"/>
      <c r="BU454" s="293"/>
      <c r="BV454" s="293"/>
      <c r="BW454" s="292"/>
      <c r="BX454" s="21"/>
      <c r="BY454" s="22"/>
      <c r="BZ454" s="15"/>
      <c r="CA454" s="338"/>
      <c r="CB454" s="338"/>
      <c r="CC454" s="356" t="str">
        <f>IF(ISERROR(CC453/CC448),"NM",CC453/CC448)</f>
        <v>NM</v>
      </c>
      <c r="CD454" s="356" t="str">
        <f>IF(ISERROR(CD453/CD448),"NM",CD453/CD448)</f>
        <v>NM</v>
      </c>
      <c r="CE454" s="356" t="str">
        <f>IF(ISERROR(CE453/CE448),"NM",CE453/CE448)</f>
        <v>NM</v>
      </c>
      <c r="CF454" s="356" t="str">
        <f>IF(ISERROR(CF453/CF448),"NM",CF453/CF448)</f>
        <v>NM</v>
      </c>
      <c r="CG454" s="338">
        <f>CG453/CG448</f>
        <v>7.4601527869470899E-2</v>
      </c>
      <c r="CH454" s="338"/>
      <c r="CI454" s="338"/>
      <c r="CJ454" s="338"/>
      <c r="CK454" s="338"/>
      <c r="CL454" s="338"/>
      <c r="CM454" s="338"/>
      <c r="CN454" s="338"/>
      <c r="CO454" s="338"/>
      <c r="CP454" s="337"/>
    </row>
    <row r="455" spans="1:94" ht="14.25" hidden="1" customHeight="1" outlineLevel="2">
      <c r="A455" s="9"/>
      <c r="B455" s="217"/>
      <c r="C455" s="218"/>
      <c r="D455" s="372"/>
      <c r="E455" s="372"/>
      <c r="F455" s="372"/>
      <c r="G455" s="218"/>
      <c r="H455" s="372"/>
      <c r="I455" s="372"/>
      <c r="J455" s="372"/>
      <c r="K455" s="218"/>
      <c r="L455" s="80"/>
      <c r="M455" s="80"/>
      <c r="N455" s="80"/>
      <c r="O455" s="262"/>
      <c r="P455" s="80"/>
      <c r="Q455" s="80"/>
      <c r="R455" s="80"/>
      <c r="S455" s="262"/>
      <c r="T455" s="80"/>
      <c r="U455" s="80"/>
      <c r="V455" s="80"/>
      <c r="W455" s="262"/>
      <c r="X455" s="80"/>
      <c r="Y455" s="80"/>
      <c r="Z455" s="80"/>
      <c r="AA455" s="262"/>
      <c r="AB455" s="80"/>
      <c r="AC455" s="80"/>
      <c r="AD455" s="80"/>
      <c r="AE455" s="262"/>
      <c r="AF455" s="80"/>
      <c r="AG455" s="80"/>
      <c r="AH455" s="80"/>
      <c r="AI455" s="262"/>
      <c r="AJ455" s="80"/>
      <c r="AK455" s="80"/>
      <c r="AL455" s="80"/>
      <c r="AM455" s="262"/>
      <c r="AN455" s="80"/>
      <c r="AO455" s="80"/>
      <c r="AP455" s="80"/>
      <c r="AQ455" s="262"/>
      <c r="AR455" s="9"/>
      <c r="AS455" s="9"/>
      <c r="AT455" s="9"/>
      <c r="AU455" s="211"/>
      <c r="AV455" s="9"/>
      <c r="AW455" s="9"/>
      <c r="AX455" s="9"/>
      <c r="AY455" s="211"/>
      <c r="AZ455" s="9"/>
      <c r="BA455" s="9"/>
      <c r="BB455" s="9"/>
      <c r="BC455" s="211"/>
      <c r="BD455" s="9"/>
      <c r="BE455" s="9"/>
      <c r="BF455" s="9"/>
      <c r="BG455" s="211"/>
      <c r="BH455" s="9"/>
      <c r="BI455" s="9"/>
      <c r="BJ455" s="9"/>
      <c r="BK455" s="211"/>
      <c r="BL455" s="9"/>
      <c r="BM455" s="9"/>
      <c r="BN455" s="9"/>
      <c r="BO455" s="211"/>
      <c r="BP455" s="9"/>
      <c r="BQ455" s="9"/>
      <c r="BR455" s="9"/>
      <c r="BS455" s="211"/>
      <c r="BT455" s="9"/>
      <c r="BU455" s="9"/>
      <c r="BV455" s="9"/>
      <c r="BW455" s="211"/>
      <c r="BX455" s="21"/>
      <c r="BY455" s="22"/>
      <c r="BZ455" s="15"/>
      <c r="CA455" s="15"/>
      <c r="CB455" s="15"/>
      <c r="CC455" s="80"/>
      <c r="CD455" s="80"/>
      <c r="CE455" s="80"/>
      <c r="CF455" s="370"/>
      <c r="CG455" s="386"/>
      <c r="CH455" s="386"/>
      <c r="CI455" s="386"/>
      <c r="CJ455" s="386"/>
      <c r="CK455" s="386"/>
      <c r="CL455" s="386"/>
      <c r="CM455" s="386"/>
      <c r="CN455" s="386"/>
      <c r="CO455" s="386"/>
      <c r="CP455" s="948"/>
    </row>
    <row r="456" spans="1:94" ht="14.25" hidden="1" customHeight="1" outlineLevel="2">
      <c r="A456" s="9"/>
      <c r="B456" s="235" t="s">
        <v>200</v>
      </c>
      <c r="C456" s="218"/>
      <c r="D456" s="372"/>
      <c r="E456" s="372"/>
      <c r="F456" s="372"/>
      <c r="G456" s="218"/>
      <c r="H456" s="372"/>
      <c r="I456" s="372"/>
      <c r="J456" s="372"/>
      <c r="K456" s="218"/>
      <c r="L456" s="343"/>
      <c r="M456" s="343"/>
      <c r="N456" s="343"/>
      <c r="O456" s="369"/>
      <c r="P456" s="343"/>
      <c r="Q456" s="343"/>
      <c r="R456" s="343"/>
      <c r="S456" s="369"/>
      <c r="T456" s="343"/>
      <c r="U456" s="343"/>
      <c r="V456" s="343"/>
      <c r="W456" s="369"/>
      <c r="X456" s="343"/>
      <c r="Y456" s="343"/>
      <c r="Z456" s="343"/>
      <c r="AA456" s="369"/>
      <c r="AB456" s="343"/>
      <c r="AC456" s="343"/>
      <c r="AD456" s="343"/>
      <c r="AE456" s="369"/>
      <c r="AF456" s="423"/>
      <c r="AG456" s="423"/>
      <c r="AH456" s="423"/>
      <c r="AI456" s="401"/>
      <c r="AJ456" s="423">
        <v>-42.8</v>
      </c>
      <c r="AK456" s="423">
        <v>-42.4</v>
      </c>
      <c r="AL456" s="423">
        <v>-41.9</v>
      </c>
      <c r="AM456" s="401">
        <v>-32.299999999999997</v>
      </c>
      <c r="AN456" s="423">
        <v>-20.399999999999999</v>
      </c>
      <c r="AO456" s="423">
        <v>-31.4</v>
      </c>
      <c r="AP456" s="423">
        <v>-21.4</v>
      </c>
      <c r="AQ456" s="401"/>
      <c r="AR456" s="341"/>
      <c r="AS456" s="341"/>
      <c r="AT456" s="341"/>
      <c r="AU456" s="342"/>
      <c r="AV456" s="341"/>
      <c r="AW456" s="341"/>
      <c r="AX456" s="341"/>
      <c r="AY456" s="342"/>
      <c r="AZ456" s="341"/>
      <c r="BA456" s="341"/>
      <c r="BB456" s="341"/>
      <c r="BC456" s="342"/>
      <c r="BD456" s="341"/>
      <c r="BE456" s="341"/>
      <c r="BF456" s="341"/>
      <c r="BG456" s="342"/>
      <c r="BH456" s="341"/>
      <c r="BI456" s="341"/>
      <c r="BJ456" s="341"/>
      <c r="BK456" s="342"/>
      <c r="BL456" s="341"/>
      <c r="BM456" s="341"/>
      <c r="BN456" s="341"/>
      <c r="BO456" s="342"/>
      <c r="BP456" s="341"/>
      <c r="BQ456" s="341"/>
      <c r="BR456" s="341"/>
      <c r="BS456" s="342"/>
      <c r="BT456" s="341"/>
      <c r="BU456" s="341"/>
      <c r="BV456" s="341"/>
      <c r="BW456" s="342"/>
      <c r="BX456" s="263"/>
      <c r="BY456" s="235"/>
      <c r="BZ456" s="251"/>
      <c r="CA456" s="325"/>
      <c r="CB456" s="325"/>
      <c r="CC456" s="423">
        <v>0</v>
      </c>
      <c r="CD456" s="423">
        <v>0</v>
      </c>
      <c r="CE456" s="423">
        <v>0</v>
      </c>
      <c r="CF456" s="801">
        <f>SUM(AF456:AI456)</f>
        <v>0</v>
      </c>
      <c r="CG456" s="325">
        <f>SUM(AJ456:AM456)</f>
        <v>-159.39999999999998</v>
      </c>
      <c r="CH456" s="325"/>
      <c r="CI456" s="325"/>
      <c r="CJ456" s="325"/>
      <c r="CK456" s="325"/>
      <c r="CL456" s="325"/>
      <c r="CM456" s="325"/>
      <c r="CN456" s="325"/>
      <c r="CO456" s="325"/>
      <c r="CP456" s="326"/>
    </row>
    <row r="457" spans="1:94" ht="14.25" hidden="1" customHeight="1" outlineLevel="2">
      <c r="A457" s="9"/>
      <c r="B457" s="217" t="s">
        <v>297</v>
      </c>
      <c r="C457" s="218"/>
      <c r="D457" s="372"/>
      <c r="E457" s="372"/>
      <c r="F457" s="372"/>
      <c r="G457" s="218"/>
      <c r="H457" s="372"/>
      <c r="I457" s="372"/>
      <c r="J457" s="372"/>
      <c r="K457" s="218"/>
      <c r="L457" s="370"/>
      <c r="M457" s="370"/>
      <c r="N457" s="370"/>
      <c r="O457" s="335"/>
      <c r="P457" s="370"/>
      <c r="Q457" s="370"/>
      <c r="R457" s="370"/>
      <c r="S457" s="335"/>
      <c r="T457" s="370"/>
      <c r="U457" s="370"/>
      <c r="V457" s="370"/>
      <c r="W457" s="335"/>
      <c r="X457" s="370"/>
      <c r="Y457" s="370"/>
      <c r="Z457" s="370"/>
      <c r="AA457" s="335"/>
      <c r="AB457" s="370"/>
      <c r="AC457" s="370"/>
      <c r="AD457" s="370"/>
      <c r="AE457" s="335"/>
      <c r="AF457" s="425"/>
      <c r="AG457" s="370"/>
      <c r="AH457" s="370"/>
      <c r="AI457" s="335"/>
      <c r="AJ457" s="425"/>
      <c r="AK457" s="370">
        <f t="shared" ref="AK457:AP457" si="817">AK456/AJ456-1</f>
        <v>-9.3457943925233655E-3</v>
      </c>
      <c r="AL457" s="370">
        <f t="shared" si="817"/>
        <v>-1.1792452830188704E-2</v>
      </c>
      <c r="AM457" s="335">
        <f t="shared" si="817"/>
        <v>-0.22911694510739866</v>
      </c>
      <c r="AN457" s="370">
        <f t="shared" si="817"/>
        <v>-0.36842105263157898</v>
      </c>
      <c r="AO457" s="370">
        <f t="shared" si="817"/>
        <v>0.53921568627450989</v>
      </c>
      <c r="AP457" s="370">
        <f t="shared" si="817"/>
        <v>-0.31847133757961787</v>
      </c>
      <c r="AQ457" s="335"/>
      <c r="AR457" s="231"/>
      <c r="AS457" s="231"/>
      <c r="AT457" s="231"/>
      <c r="AU457" s="79"/>
      <c r="AV457" s="231"/>
      <c r="AW457" s="231"/>
      <c r="AX457" s="231"/>
      <c r="AY457" s="79"/>
      <c r="AZ457" s="231"/>
      <c r="BA457" s="231"/>
      <c r="BB457" s="231"/>
      <c r="BC457" s="79"/>
      <c r="BD457" s="231"/>
      <c r="BE457" s="231"/>
      <c r="BF457" s="231"/>
      <c r="BG457" s="79"/>
      <c r="BH457" s="231"/>
      <c r="BI457" s="231"/>
      <c r="BJ457" s="231"/>
      <c r="BK457" s="79"/>
      <c r="BL457" s="231"/>
      <c r="BM457" s="231"/>
      <c r="BN457" s="231"/>
      <c r="BO457" s="79"/>
      <c r="BP457" s="231"/>
      <c r="BQ457" s="231"/>
      <c r="BR457" s="231"/>
      <c r="BS457" s="79"/>
      <c r="BT457" s="231"/>
      <c r="BU457" s="231"/>
      <c r="BV457" s="231"/>
      <c r="BW457" s="79"/>
      <c r="BX457" s="21"/>
      <c r="BY457" s="22"/>
      <c r="BZ457" s="15"/>
      <c r="CA457" s="15"/>
      <c r="CB457" s="15"/>
      <c r="CC457" s="15"/>
      <c r="CD457" s="220"/>
      <c r="CE457" s="220"/>
      <c r="CF457" s="370"/>
      <c r="CG457" s="220"/>
      <c r="CH457" s="220"/>
      <c r="CI457" s="220"/>
      <c r="CJ457" s="220"/>
      <c r="CK457" s="220"/>
      <c r="CL457" s="220"/>
      <c r="CM457" s="220"/>
      <c r="CN457" s="220"/>
      <c r="CO457" s="220"/>
      <c r="CP457" s="258"/>
    </row>
    <row r="458" spans="1:94" ht="14.25" hidden="1" customHeight="1" outlineLevel="2">
      <c r="A458" s="9"/>
      <c r="B458" s="32" t="s">
        <v>298</v>
      </c>
      <c r="C458" s="218"/>
      <c r="D458" s="372"/>
      <c r="E458" s="372"/>
      <c r="F458" s="372"/>
      <c r="G458" s="218"/>
      <c r="H458" s="372"/>
      <c r="I458" s="372"/>
      <c r="J458" s="372"/>
      <c r="K458" s="218"/>
      <c r="L458" s="370"/>
      <c r="M458" s="370"/>
      <c r="N458" s="370"/>
      <c r="O458" s="335"/>
      <c r="P458" s="370"/>
      <c r="Q458" s="370"/>
      <c r="R458" s="370"/>
      <c r="S458" s="335"/>
      <c r="T458" s="370"/>
      <c r="U458" s="370"/>
      <c r="V458" s="370"/>
      <c r="W458" s="335"/>
      <c r="X458" s="370"/>
      <c r="Y458" s="370"/>
      <c r="Z458" s="370"/>
      <c r="AA458" s="335"/>
      <c r="AB458" s="370"/>
      <c r="AC458" s="370"/>
      <c r="AD458" s="370"/>
      <c r="AE458" s="335"/>
      <c r="AF458" s="425"/>
      <c r="AG458" s="418"/>
      <c r="AH458" s="418"/>
      <c r="AI458" s="419"/>
      <c r="AJ458" s="425"/>
      <c r="AK458" s="418"/>
      <c r="AL458" s="418"/>
      <c r="AM458" s="419"/>
      <c r="AN458" s="370">
        <f>AN456/AJ456-1</f>
        <v>-0.52336448598130847</v>
      </c>
      <c r="AO458" s="370">
        <f>AO456/AK456-1</f>
        <v>-0.25943396226415094</v>
      </c>
      <c r="AP458" s="370">
        <f>AP456/AL456-1</f>
        <v>-0.48926014319809075</v>
      </c>
      <c r="AQ458" s="335"/>
      <c r="AR458" s="257"/>
      <c r="AS458" s="257"/>
      <c r="AT458" s="257"/>
      <c r="AU458" s="258"/>
      <c r="AV458" s="257"/>
      <c r="AW458" s="257"/>
      <c r="AX458" s="257"/>
      <c r="AY458" s="258"/>
      <c r="AZ458" s="257"/>
      <c r="BA458" s="257"/>
      <c r="BB458" s="257"/>
      <c r="BC458" s="258"/>
      <c r="BD458" s="257"/>
      <c r="BE458" s="257"/>
      <c r="BF458" s="257"/>
      <c r="BG458" s="258"/>
      <c r="BH458" s="257"/>
      <c r="BI458" s="257"/>
      <c r="BJ458" s="257"/>
      <c r="BK458" s="258"/>
      <c r="BL458" s="257"/>
      <c r="BM458" s="257"/>
      <c r="BN458" s="257"/>
      <c r="BO458" s="258"/>
      <c r="BP458" s="257"/>
      <c r="BQ458" s="257"/>
      <c r="BR458" s="257"/>
      <c r="BS458" s="258"/>
      <c r="BT458" s="257"/>
      <c r="BU458" s="257"/>
      <c r="BV458" s="257"/>
      <c r="BW458" s="258"/>
      <c r="BX458" s="21"/>
      <c r="BY458" s="22"/>
      <c r="BZ458" s="15"/>
      <c r="CA458" s="15"/>
      <c r="CB458" s="338"/>
      <c r="CC458" s="418"/>
      <c r="CD458" s="418" t="str">
        <f>IF(ISERROR(CD456/CC456-1),"NM",CD456/CC456-1)</f>
        <v>NM</v>
      </c>
      <c r="CE458" s="418" t="str">
        <f>IF(ISERROR(CE456/CD456-1),"NM",CE456/CD456-1)</f>
        <v>NM</v>
      </c>
      <c r="CF458" s="418" t="str">
        <f>IF(ISERROR(CF456/CE456-1),"NM",CF456/CE456-1)</f>
        <v>NM</v>
      </c>
      <c r="CG458" s="418" t="str">
        <f>IF(ISERROR(CG456/CF456-1),"NM",CG456/CF456-1)</f>
        <v>NM</v>
      </c>
      <c r="CH458" s="338"/>
      <c r="CI458" s="338"/>
      <c r="CJ458" s="338"/>
      <c r="CK458" s="338"/>
      <c r="CL458" s="338"/>
      <c r="CM458" s="338"/>
      <c r="CN458" s="338"/>
      <c r="CO458" s="338"/>
      <c r="CP458" s="337"/>
    </row>
    <row r="459" spans="1:94" ht="14.25" hidden="1" customHeight="1" outlineLevel="2">
      <c r="A459" s="9"/>
      <c r="B459" s="217" t="s">
        <v>374</v>
      </c>
      <c r="C459" s="218"/>
      <c r="D459" s="372"/>
      <c r="E459" s="372"/>
      <c r="F459" s="372"/>
      <c r="G459" s="218"/>
      <c r="H459" s="372"/>
      <c r="I459" s="372"/>
      <c r="J459" s="372"/>
      <c r="K459" s="218"/>
      <c r="L459" s="370"/>
      <c r="M459" s="370"/>
      <c r="N459" s="370"/>
      <c r="O459" s="335"/>
      <c r="P459" s="370"/>
      <c r="Q459" s="370"/>
      <c r="R459" s="370"/>
      <c r="S459" s="335"/>
      <c r="T459" s="370"/>
      <c r="U459" s="370"/>
      <c r="V459" s="370"/>
      <c r="W459" s="335"/>
      <c r="X459" s="370"/>
      <c r="Y459" s="370"/>
      <c r="Z459" s="370"/>
      <c r="AA459" s="335"/>
      <c r="AB459" s="370"/>
      <c r="AC459" s="370"/>
      <c r="AD459" s="370"/>
      <c r="AE459" s="335"/>
      <c r="AF459" s="370"/>
      <c r="AG459" s="370"/>
      <c r="AH459" s="370"/>
      <c r="AI459" s="335"/>
      <c r="AJ459" s="370">
        <f t="shared" ref="AJ459:AP459" si="818">AJ456/AJ448</f>
        <v>-0.15390147428982379</v>
      </c>
      <c r="AK459" s="370">
        <f t="shared" si="818"/>
        <v>-0.15457528253736783</v>
      </c>
      <c r="AL459" s="370">
        <f t="shared" si="818"/>
        <v>-0.14213025780189958</v>
      </c>
      <c r="AM459" s="335">
        <f t="shared" si="818"/>
        <v>-0.15157203190990146</v>
      </c>
      <c r="AN459" s="370">
        <f t="shared" si="818"/>
        <v>-9.9077221952404065E-2</v>
      </c>
      <c r="AO459" s="370">
        <f t="shared" si="818"/>
        <v>-0.15287244401168451</v>
      </c>
      <c r="AP459" s="370">
        <f t="shared" si="818"/>
        <v>-0.11088082901554404</v>
      </c>
      <c r="AQ459" s="335"/>
      <c r="AR459" s="293"/>
      <c r="AS459" s="293"/>
      <c r="AT459" s="293"/>
      <c r="AU459" s="292"/>
      <c r="AV459" s="293"/>
      <c r="AW459" s="293"/>
      <c r="AX459" s="293"/>
      <c r="AY459" s="292"/>
      <c r="AZ459" s="293"/>
      <c r="BA459" s="293"/>
      <c r="BB459" s="293"/>
      <c r="BC459" s="292"/>
      <c r="BD459" s="293"/>
      <c r="BE459" s="293"/>
      <c r="BF459" s="293"/>
      <c r="BG459" s="292"/>
      <c r="BH459" s="293"/>
      <c r="BI459" s="293"/>
      <c r="BJ459" s="293"/>
      <c r="BK459" s="292"/>
      <c r="BL459" s="293"/>
      <c r="BM459" s="293"/>
      <c r="BN459" s="293"/>
      <c r="BO459" s="292"/>
      <c r="BP459" s="293"/>
      <c r="BQ459" s="293"/>
      <c r="BR459" s="293"/>
      <c r="BS459" s="292"/>
      <c r="BT459" s="293"/>
      <c r="BU459" s="293"/>
      <c r="BV459" s="293"/>
      <c r="BW459" s="292"/>
      <c r="BX459" s="21"/>
      <c r="BY459" s="22"/>
      <c r="BZ459" s="15"/>
      <c r="CA459" s="338"/>
      <c r="CB459" s="338"/>
      <c r="CC459" s="356" t="str">
        <f>IF(ISERROR(CC456/CC448),"NM",CC456/CC448)</f>
        <v>NM</v>
      </c>
      <c r="CD459" s="356" t="str">
        <f>IF(ISERROR(CD456/CD448),"NM",CD456/CD448)</f>
        <v>NM</v>
      </c>
      <c r="CE459" s="356" t="str">
        <f>IF(ISERROR(CE456/CE448),"NM",CE456/CE448)</f>
        <v>NM</v>
      </c>
      <c r="CF459" s="356" t="str">
        <f>IF(ISERROR(CF456/CF448),"NM",CF456/CF448)</f>
        <v>NM</v>
      </c>
      <c r="CG459" s="338">
        <f>CG456/CG448</f>
        <v>-0.15033481090257472</v>
      </c>
      <c r="CH459" s="338"/>
      <c r="CI459" s="338"/>
      <c r="CJ459" s="338"/>
      <c r="CK459" s="338"/>
      <c r="CL459" s="338"/>
      <c r="CM459" s="338"/>
      <c r="CN459" s="338"/>
      <c r="CO459" s="338"/>
      <c r="CP459" s="337"/>
    </row>
    <row r="460" spans="1:94" ht="14.25" hidden="1" customHeight="1" outlineLevel="2">
      <c r="A460" s="9"/>
      <c r="B460" s="236"/>
      <c r="C460" s="237"/>
      <c r="D460" s="373"/>
      <c r="E460" s="373"/>
      <c r="F460" s="373"/>
      <c r="G460" s="237"/>
      <c r="H460" s="373"/>
      <c r="I460" s="373"/>
      <c r="J460" s="373"/>
      <c r="K460" s="237"/>
      <c r="L460" s="279"/>
      <c r="M460" s="279"/>
      <c r="N460" s="279"/>
      <c r="O460" s="280"/>
      <c r="P460" s="279"/>
      <c r="Q460" s="279"/>
      <c r="R460" s="279"/>
      <c r="S460" s="280"/>
      <c r="T460" s="279"/>
      <c r="U460" s="279"/>
      <c r="V460" s="279"/>
      <c r="W460" s="280"/>
      <c r="X460" s="279"/>
      <c r="Y460" s="279"/>
      <c r="Z460" s="279"/>
      <c r="AA460" s="280"/>
      <c r="AB460" s="279"/>
      <c r="AC460" s="279"/>
      <c r="AD460" s="279"/>
      <c r="AE460" s="280"/>
      <c r="AF460" s="279"/>
      <c r="AG460" s="279"/>
      <c r="AH460" s="279"/>
      <c r="AI460" s="280"/>
      <c r="AJ460" s="279"/>
      <c r="AK460" s="279"/>
      <c r="AL460" s="279"/>
      <c r="AM460" s="280"/>
      <c r="AN460" s="279"/>
      <c r="AO460" s="279"/>
      <c r="AP460" s="279"/>
      <c r="AQ460" s="280"/>
      <c r="AR460" s="499"/>
      <c r="AS460" s="499"/>
      <c r="AT460" s="499"/>
      <c r="AU460" s="500"/>
      <c r="AV460" s="499"/>
      <c r="AW460" s="499"/>
      <c r="AX460" s="499"/>
      <c r="AY460" s="500"/>
      <c r="AZ460" s="499"/>
      <c r="BA460" s="499"/>
      <c r="BB460" s="499"/>
      <c r="BC460" s="500"/>
      <c r="BD460" s="499"/>
      <c r="BE460" s="499"/>
      <c r="BF460" s="499"/>
      <c r="BG460" s="500"/>
      <c r="BH460" s="499"/>
      <c r="BI460" s="499"/>
      <c r="BJ460" s="499"/>
      <c r="BK460" s="500"/>
      <c r="BL460" s="499"/>
      <c r="BM460" s="499"/>
      <c r="BN460" s="499"/>
      <c r="BO460" s="500"/>
      <c r="BP460" s="499"/>
      <c r="BQ460" s="499"/>
      <c r="BR460" s="499"/>
      <c r="BS460" s="500"/>
      <c r="BT460" s="499"/>
      <c r="BU460" s="499"/>
      <c r="BV460" s="499"/>
      <c r="BW460" s="500"/>
      <c r="BX460" s="21"/>
      <c r="BY460" s="16"/>
      <c r="BZ460" s="203"/>
      <c r="CA460" s="203"/>
      <c r="CB460" s="203"/>
      <c r="CC460" s="203"/>
      <c r="CD460" s="238"/>
      <c r="CE460" s="238"/>
      <c r="CF460" s="485"/>
      <c r="CG460" s="238"/>
      <c r="CH460" s="238"/>
      <c r="CI460" s="238"/>
      <c r="CJ460" s="238"/>
      <c r="CK460" s="238"/>
      <c r="CL460" s="238"/>
      <c r="CM460" s="238"/>
      <c r="CN460" s="238"/>
      <c r="CO460" s="238"/>
      <c r="CP460" s="914"/>
    </row>
    <row r="461" spans="1:94" ht="14.25" hidden="1" customHeight="1" outlineLevel="2">
      <c r="A461" s="9"/>
      <c r="B461" s="235" t="s">
        <v>201</v>
      </c>
      <c r="C461" s="277"/>
      <c r="D461" s="251"/>
      <c r="E461" s="251"/>
      <c r="F461" s="251"/>
      <c r="G461" s="277"/>
      <c r="H461" s="251"/>
      <c r="I461" s="251"/>
      <c r="J461" s="251"/>
      <c r="K461" s="277"/>
      <c r="L461" s="328"/>
      <c r="M461" s="328"/>
      <c r="N461" s="328"/>
      <c r="O461" s="332"/>
      <c r="P461" s="333"/>
      <c r="Q461" s="328"/>
      <c r="R461" s="328"/>
      <c r="S461" s="332"/>
      <c r="T461" s="333"/>
      <c r="U461" s="328"/>
      <c r="V461" s="328"/>
      <c r="W461" s="332"/>
      <c r="X461" s="333"/>
      <c r="Y461" s="328"/>
      <c r="Z461" s="328"/>
      <c r="AA461" s="332"/>
      <c r="AB461" s="333"/>
      <c r="AC461" s="328"/>
      <c r="AD461" s="328"/>
      <c r="AE461" s="793"/>
      <c r="AF461" s="333">
        <f>AF448+AF435+AF409+AF422</f>
        <v>550.20000000000005</v>
      </c>
      <c r="AG461" s="328">
        <f>AG448+AG435+AG409+AG422</f>
        <v>583.29999999999995</v>
      </c>
      <c r="AH461" s="328">
        <f>AH448+AH435+AH409+AH422</f>
        <v>600.69999999999993</v>
      </c>
      <c r="AI461" s="332">
        <f>AI448+AI435+AI409+AI422</f>
        <v>579.20000000000005</v>
      </c>
      <c r="AJ461" s="333">
        <f>AJ448+AJ435+AJ409+AJ422</f>
        <v>870.60000000000014</v>
      </c>
      <c r="AK461" s="328">
        <f t="shared" ref="AK461:AP461" si="819">AK448+AK435+AK409+AK422</f>
        <v>905.7</v>
      </c>
      <c r="AL461" s="328">
        <f t="shared" si="819"/>
        <v>898</v>
      </c>
      <c r="AM461" s="332">
        <f t="shared" si="819"/>
        <v>768</v>
      </c>
      <c r="AN461" s="333">
        <f t="shared" si="819"/>
        <v>744.4</v>
      </c>
      <c r="AO461" s="328">
        <f t="shared" si="819"/>
        <v>744.80000000000007</v>
      </c>
      <c r="AP461" s="328">
        <f t="shared" si="819"/>
        <v>725.5</v>
      </c>
      <c r="AQ461" s="332"/>
      <c r="AR461" s="333"/>
      <c r="AS461" s="328"/>
      <c r="AT461" s="328"/>
      <c r="AU461" s="332"/>
      <c r="AV461" s="333"/>
      <c r="AW461" s="328"/>
      <c r="AX461" s="328"/>
      <c r="AY461" s="332"/>
      <c r="AZ461" s="333"/>
      <c r="BA461" s="328"/>
      <c r="BB461" s="328"/>
      <c r="BC461" s="332"/>
      <c r="BD461" s="333"/>
      <c r="BE461" s="328"/>
      <c r="BF461" s="328"/>
      <c r="BG461" s="332"/>
      <c r="BH461" s="333"/>
      <c r="BI461" s="328"/>
      <c r="BJ461" s="328"/>
      <c r="BK461" s="332"/>
      <c r="BL461" s="333"/>
      <c r="BM461" s="328"/>
      <c r="BN461" s="328"/>
      <c r="BO461" s="332"/>
      <c r="BP461" s="333"/>
      <c r="BQ461" s="328"/>
      <c r="BR461" s="328"/>
      <c r="BS461" s="332"/>
      <c r="BT461" s="333"/>
      <c r="BU461" s="328"/>
      <c r="BV461" s="328"/>
      <c r="BW461" s="332"/>
      <c r="BX461" s="21"/>
      <c r="BY461" s="668"/>
      <c r="BZ461" s="382"/>
      <c r="CA461" s="325"/>
      <c r="CB461" s="387"/>
      <c r="CC461" s="328">
        <f>CC448+CC435+CC409+CC422</f>
        <v>1566.1999999999998</v>
      </c>
      <c r="CD461" s="328">
        <f>CD448+CD435+CD409+CD422</f>
        <v>2054.7999999999997</v>
      </c>
      <c r="CE461" s="328">
        <f>CE448+CE435+CE409+CE422</f>
        <v>1768.8999999999999</v>
      </c>
      <c r="CF461" s="325">
        <f>SUM(AF461:AI461)</f>
        <v>2313.3999999999996</v>
      </c>
      <c r="CG461" s="325">
        <f>SUM(AJ461:AM461)</f>
        <v>3442.3</v>
      </c>
      <c r="CH461" s="387"/>
      <c r="CI461" s="387"/>
      <c r="CJ461" s="387"/>
      <c r="CK461" s="387"/>
      <c r="CL461" s="387"/>
      <c r="CM461" s="387"/>
      <c r="CN461" s="387"/>
      <c r="CO461" s="387"/>
      <c r="CP461" s="915"/>
    </row>
    <row r="462" spans="1:94" ht="14.25" hidden="1" customHeight="1" outlineLevel="2">
      <c r="A462" s="9"/>
      <c r="B462" s="217" t="s">
        <v>297</v>
      </c>
      <c r="C462" s="218"/>
      <c r="D462" s="372"/>
      <c r="E462" s="372"/>
      <c r="F462" s="372"/>
      <c r="G462" s="218"/>
      <c r="H462" s="372"/>
      <c r="I462" s="372"/>
      <c r="J462" s="372"/>
      <c r="K462" s="218"/>
      <c r="L462" s="220"/>
      <c r="M462" s="220"/>
      <c r="N462" s="220"/>
      <c r="O462" s="258"/>
      <c r="P462" s="220"/>
      <c r="Q462" s="220"/>
      <c r="R462" s="220"/>
      <c r="S462" s="258"/>
      <c r="T462" s="220"/>
      <c r="U462" s="220"/>
      <c r="V462" s="220"/>
      <c r="W462" s="258"/>
      <c r="X462" s="220"/>
      <c r="Y462" s="220"/>
      <c r="Z462" s="220"/>
      <c r="AA462" s="258"/>
      <c r="AB462" s="220"/>
      <c r="AC462" s="220"/>
      <c r="AD462" s="220"/>
      <c r="AE462" s="794"/>
      <c r="AF462" s="425"/>
      <c r="AG462" s="220">
        <f t="shared" ref="AG462:AP462" si="820">AG461/AF461-1</f>
        <v>6.0159941839331044E-2</v>
      </c>
      <c r="AH462" s="220">
        <f t="shared" si="820"/>
        <v>2.9830276015772261E-2</v>
      </c>
      <c r="AI462" s="258">
        <f t="shared" si="820"/>
        <v>-3.5791576494090038E-2</v>
      </c>
      <c r="AJ462" s="425">
        <f t="shared" si="820"/>
        <v>0.50310773480662996</v>
      </c>
      <c r="AK462" s="220">
        <f t="shared" si="820"/>
        <v>4.0317022742935693E-2</v>
      </c>
      <c r="AL462" s="220">
        <f t="shared" si="820"/>
        <v>-8.5017113834603419E-3</v>
      </c>
      <c r="AM462" s="258">
        <f t="shared" si="820"/>
        <v>-0.14476614699331847</v>
      </c>
      <c r="AN462" s="220">
        <f t="shared" si="820"/>
        <v>-3.0729166666666696E-2</v>
      </c>
      <c r="AO462" s="257">
        <f t="shared" si="820"/>
        <v>5.3734551316497736E-4</v>
      </c>
      <c r="AP462" s="257">
        <f t="shared" si="820"/>
        <v>-2.591299677765857E-2</v>
      </c>
      <c r="AQ462" s="258"/>
      <c r="AR462" s="257"/>
      <c r="AS462" s="257"/>
      <c r="AT462" s="257"/>
      <c r="AU462" s="258"/>
      <c r="AV462" s="257"/>
      <c r="AW462" s="257"/>
      <c r="AX462" s="257"/>
      <c r="AY462" s="258"/>
      <c r="AZ462" s="257"/>
      <c r="BA462" s="257"/>
      <c r="BB462" s="257"/>
      <c r="BC462" s="258"/>
      <c r="BD462" s="257"/>
      <c r="BE462" s="257"/>
      <c r="BF462" s="257"/>
      <c r="BG462" s="258"/>
      <c r="BH462" s="257"/>
      <c r="BI462" s="257"/>
      <c r="BJ462" s="257"/>
      <c r="BK462" s="258"/>
      <c r="BL462" s="257"/>
      <c r="BM462" s="257"/>
      <c r="BN462" s="257"/>
      <c r="BO462" s="258"/>
      <c r="BP462" s="257"/>
      <c r="BQ462" s="257"/>
      <c r="BR462" s="257"/>
      <c r="BS462" s="258"/>
      <c r="BT462" s="257"/>
      <c r="BU462" s="257"/>
      <c r="BV462" s="257"/>
      <c r="BW462" s="258"/>
      <c r="BX462" s="21"/>
      <c r="BY462" s="22"/>
      <c r="BZ462" s="15"/>
      <c r="CA462" s="15"/>
      <c r="CB462" s="15"/>
      <c r="CC462" s="15"/>
      <c r="CD462" s="220"/>
      <c r="CE462" s="220"/>
      <c r="CF462" s="338"/>
      <c r="CG462" s="220"/>
      <c r="CH462" s="220"/>
      <c r="CI462" s="220"/>
      <c r="CJ462" s="220"/>
      <c r="CK462" s="220"/>
      <c r="CL462" s="220"/>
      <c r="CM462" s="220"/>
      <c r="CN462" s="220"/>
      <c r="CO462" s="220"/>
      <c r="CP462" s="258"/>
    </row>
    <row r="463" spans="1:94" ht="14.25" hidden="1" customHeight="1" outlineLevel="2">
      <c r="A463" s="9"/>
      <c r="B463" s="32" t="s">
        <v>298</v>
      </c>
      <c r="C463" s="33"/>
      <c r="D463" s="259"/>
      <c r="E463" s="259"/>
      <c r="F463" s="259"/>
      <c r="G463" s="33"/>
      <c r="H463" s="259"/>
      <c r="I463" s="259"/>
      <c r="J463" s="259"/>
      <c r="K463" s="33"/>
      <c r="L463" s="220"/>
      <c r="M463" s="220"/>
      <c r="N463" s="220"/>
      <c r="O463" s="258"/>
      <c r="P463" s="220"/>
      <c r="Q463" s="220"/>
      <c r="R463" s="220"/>
      <c r="S463" s="258"/>
      <c r="T463" s="220"/>
      <c r="U463" s="220"/>
      <c r="V463" s="220"/>
      <c r="W463" s="258"/>
      <c r="X463" s="220"/>
      <c r="Y463" s="220"/>
      <c r="Z463" s="220"/>
      <c r="AA463" s="258"/>
      <c r="AB463" s="220"/>
      <c r="AC463" s="220"/>
      <c r="AD463" s="220"/>
      <c r="AE463" s="794"/>
      <c r="AF463" s="425"/>
      <c r="AG463" s="418"/>
      <c r="AH463" s="418"/>
      <c r="AI463" s="419"/>
      <c r="AJ463" s="425">
        <f t="shared" ref="AJ463:AP463" si="821">AJ461/AF461-1</f>
        <v>0.58233369683751368</v>
      </c>
      <c r="AK463" s="418">
        <f t="shared" si="821"/>
        <v>0.55271729813132198</v>
      </c>
      <c r="AL463" s="418">
        <f t="shared" si="821"/>
        <v>0.4949225903113037</v>
      </c>
      <c r="AM463" s="419">
        <f t="shared" si="821"/>
        <v>0.32596685082872923</v>
      </c>
      <c r="AN463" s="220">
        <f t="shared" si="821"/>
        <v>-0.14495750057431678</v>
      </c>
      <c r="AO463" s="257">
        <f t="shared" si="821"/>
        <v>-0.17765264436347572</v>
      </c>
      <c r="AP463" s="257">
        <f t="shared" si="821"/>
        <v>-0.19209354120267264</v>
      </c>
      <c r="AQ463" s="258"/>
      <c r="AR463" s="257"/>
      <c r="AS463" s="257"/>
      <c r="AT463" s="257"/>
      <c r="AU463" s="258"/>
      <c r="AV463" s="257"/>
      <c r="AW463" s="257"/>
      <c r="AX463" s="257"/>
      <c r="AY463" s="258"/>
      <c r="AZ463" s="257"/>
      <c r="BA463" s="257"/>
      <c r="BB463" s="257"/>
      <c r="BC463" s="258"/>
      <c r="BD463" s="257"/>
      <c r="BE463" s="257"/>
      <c r="BF463" s="257"/>
      <c r="BG463" s="258"/>
      <c r="BH463" s="257"/>
      <c r="BI463" s="257"/>
      <c r="BJ463" s="257"/>
      <c r="BK463" s="258"/>
      <c r="BL463" s="257"/>
      <c r="BM463" s="257"/>
      <c r="BN463" s="257"/>
      <c r="BO463" s="258"/>
      <c r="BP463" s="257"/>
      <c r="BQ463" s="257"/>
      <c r="BR463" s="257"/>
      <c r="BS463" s="258"/>
      <c r="BT463" s="257"/>
      <c r="BU463" s="257"/>
      <c r="BV463" s="257"/>
      <c r="BW463" s="258"/>
      <c r="BX463" s="21"/>
      <c r="BY463" s="22"/>
      <c r="BZ463" s="15"/>
      <c r="CA463" s="15"/>
      <c r="CB463" s="338"/>
      <c r="CC463" s="418"/>
      <c r="CD463" s="338">
        <f>CD461/CC461-1</f>
        <v>0.31196526624952114</v>
      </c>
      <c r="CE463" s="338">
        <f>CE461/CD461-1</f>
        <v>-0.13913762896632276</v>
      </c>
      <c r="CF463" s="338">
        <f>CF461/CE461-1</f>
        <v>0.30781841822601597</v>
      </c>
      <c r="CG463" s="338">
        <f>CG461/CF461-1</f>
        <v>0.48798305524336505</v>
      </c>
      <c r="CH463" s="338"/>
      <c r="CI463" s="338"/>
      <c r="CJ463" s="338"/>
      <c r="CK463" s="338"/>
      <c r="CL463" s="338"/>
      <c r="CM463" s="338"/>
      <c r="CN463" s="338"/>
      <c r="CO463" s="338"/>
      <c r="CP463" s="337"/>
    </row>
    <row r="464" spans="1:94" ht="14.25" hidden="1" customHeight="1" outlineLevel="2">
      <c r="A464" s="9"/>
      <c r="B464" s="22"/>
      <c r="C464" s="211"/>
      <c r="D464" s="15"/>
      <c r="E464" s="15"/>
      <c r="F464" s="15"/>
      <c r="G464" s="211"/>
      <c r="H464" s="15"/>
      <c r="I464" s="15"/>
      <c r="J464" s="15"/>
      <c r="K464" s="211"/>
      <c r="L464" s="15"/>
      <c r="M464" s="15"/>
      <c r="N464" s="15"/>
      <c r="O464" s="211"/>
      <c r="P464" s="15"/>
      <c r="Q464" s="15"/>
      <c r="R464" s="15"/>
      <c r="S464" s="211"/>
      <c r="T464" s="15"/>
      <c r="U464" s="15"/>
      <c r="V464" s="15"/>
      <c r="W464" s="211"/>
      <c r="X464" s="15"/>
      <c r="Y464" s="15"/>
      <c r="Z464" s="15"/>
      <c r="AA464" s="211"/>
      <c r="AB464" s="15"/>
      <c r="AC464" s="15"/>
      <c r="AD464" s="15"/>
      <c r="AE464" s="795"/>
      <c r="AF464" s="220"/>
      <c r="AG464" s="220"/>
      <c r="AH464" s="220"/>
      <c r="AI464" s="258"/>
      <c r="AJ464" s="220"/>
      <c r="AK464" s="220"/>
      <c r="AL464" s="220"/>
      <c r="AM464" s="258"/>
      <c r="AN464" s="220"/>
      <c r="AO464" s="257"/>
      <c r="AP464" s="257"/>
      <c r="AQ464" s="258"/>
      <c r="AR464" s="257"/>
      <c r="AS464" s="257"/>
      <c r="AT464" s="257"/>
      <c r="AU464" s="258"/>
      <c r="AV464" s="257"/>
      <c r="AW464" s="257"/>
      <c r="AX464" s="257"/>
      <c r="AY464" s="258"/>
      <c r="AZ464" s="257"/>
      <c r="BA464" s="257"/>
      <c r="BB464" s="257"/>
      <c r="BC464" s="258"/>
      <c r="BD464" s="257"/>
      <c r="BE464" s="257"/>
      <c r="BF464" s="257"/>
      <c r="BG464" s="258"/>
      <c r="BH464" s="257"/>
      <c r="BI464" s="257"/>
      <c r="BJ464" s="257"/>
      <c r="BK464" s="258"/>
      <c r="BL464" s="257"/>
      <c r="BM464" s="257"/>
      <c r="BN464" s="257"/>
      <c r="BO464" s="258"/>
      <c r="BP464" s="257"/>
      <c r="BQ464" s="257"/>
      <c r="BR464" s="257"/>
      <c r="BS464" s="258"/>
      <c r="BT464" s="257"/>
      <c r="BU464" s="257"/>
      <c r="BV464" s="257"/>
      <c r="BW464" s="258"/>
      <c r="BX464" s="21"/>
      <c r="BY464" s="22"/>
      <c r="BZ464" s="15"/>
      <c r="CA464" s="15"/>
      <c r="CB464" s="15"/>
      <c r="CC464" s="15"/>
      <c r="CD464" s="15"/>
      <c r="CE464" s="15"/>
      <c r="CF464" s="338"/>
      <c r="CG464" s="15"/>
      <c r="CH464" s="15"/>
      <c r="CI464" s="15"/>
      <c r="CJ464" s="15"/>
      <c r="CK464" s="15"/>
      <c r="CL464" s="15"/>
      <c r="CM464" s="15"/>
      <c r="CN464" s="15"/>
      <c r="CO464" s="15"/>
      <c r="CP464" s="211"/>
    </row>
    <row r="465" spans="1:94" ht="14.25" hidden="1" customHeight="1" outlineLevel="2">
      <c r="A465" s="247"/>
      <c r="B465" s="288" t="s">
        <v>202</v>
      </c>
      <c r="C465" s="396"/>
      <c r="D465" s="392"/>
      <c r="E465" s="392"/>
      <c r="F465" s="392"/>
      <c r="G465" s="396"/>
      <c r="H465" s="392"/>
      <c r="I465" s="392"/>
      <c r="J465" s="392"/>
      <c r="K465" s="396"/>
      <c r="L465" s="384"/>
      <c r="M465" s="384"/>
      <c r="N465" s="384"/>
      <c r="O465" s="385"/>
      <c r="P465" s="383"/>
      <c r="Q465" s="384"/>
      <c r="R465" s="384"/>
      <c r="S465" s="385"/>
      <c r="T465" s="383"/>
      <c r="U465" s="384"/>
      <c r="V465" s="384"/>
      <c r="W465" s="385"/>
      <c r="X465" s="383"/>
      <c r="Y465" s="384"/>
      <c r="Z465" s="384"/>
      <c r="AA465" s="385"/>
      <c r="AB465" s="383"/>
      <c r="AC465" s="384"/>
      <c r="AD465" s="384"/>
      <c r="AE465" s="796"/>
      <c r="AF465" s="383">
        <f>AF453+AF440+AF414+AF427</f>
        <v>241.7</v>
      </c>
      <c r="AG465" s="384">
        <f>AG453+AG440+AG414+AG427</f>
        <v>255.29999999999998</v>
      </c>
      <c r="AH465" s="384">
        <f>AH453+AH440+AH414+AH427</f>
        <v>261.2</v>
      </c>
      <c r="AI465" s="385">
        <f>AI453+AI440+AI414+AI427</f>
        <v>253.6</v>
      </c>
      <c r="AJ465" s="383">
        <f>AJ453+AJ440+AJ414+AJ427</f>
        <v>258.60000000000002</v>
      </c>
      <c r="AK465" s="384">
        <f t="shared" ref="AK465:AP465" si="822">AK453+AK440+AK414+AK427</f>
        <v>284.2</v>
      </c>
      <c r="AL465" s="384">
        <f t="shared" si="822"/>
        <v>271.5</v>
      </c>
      <c r="AM465" s="385">
        <f t="shared" si="822"/>
        <v>249.5</v>
      </c>
      <c r="AN465" s="383">
        <f t="shared" si="822"/>
        <v>257.2</v>
      </c>
      <c r="AO465" s="384">
        <f t="shared" si="822"/>
        <v>268.10000000000002</v>
      </c>
      <c r="AP465" s="384">
        <f t="shared" si="822"/>
        <v>250.60000000000002</v>
      </c>
      <c r="AQ465" s="385"/>
      <c r="AR465" s="383"/>
      <c r="AS465" s="384"/>
      <c r="AT465" s="384"/>
      <c r="AU465" s="385"/>
      <c r="AV465" s="383"/>
      <c r="AW465" s="384"/>
      <c r="AX465" s="384"/>
      <c r="AY465" s="385"/>
      <c r="AZ465" s="383"/>
      <c r="BA465" s="384"/>
      <c r="BB465" s="384"/>
      <c r="BC465" s="385"/>
      <c r="BD465" s="383"/>
      <c r="BE465" s="384"/>
      <c r="BF465" s="384"/>
      <c r="BG465" s="385"/>
      <c r="BH465" s="383"/>
      <c r="BI465" s="384"/>
      <c r="BJ465" s="384"/>
      <c r="BK465" s="385"/>
      <c r="BL465" s="383"/>
      <c r="BM465" s="384"/>
      <c r="BN465" s="384"/>
      <c r="BO465" s="385"/>
      <c r="BP465" s="383"/>
      <c r="BQ465" s="384"/>
      <c r="BR465" s="384"/>
      <c r="BS465" s="385"/>
      <c r="BT465" s="383"/>
      <c r="BU465" s="384"/>
      <c r="BV465" s="384"/>
      <c r="BW465" s="385"/>
      <c r="BX465" s="772"/>
      <c r="BY465" s="288"/>
      <c r="BZ465" s="392"/>
      <c r="CA465" s="384"/>
      <c r="CB465" s="384"/>
      <c r="CC465" s="384">
        <f>CC453+CC440+CC414+CC427</f>
        <v>611.4</v>
      </c>
      <c r="CD465" s="384">
        <f>CD453+CD440+CD414+CD427</f>
        <v>789.2</v>
      </c>
      <c r="CE465" s="384">
        <f>CE453+CE440+CE414+CE427</f>
        <v>655.9</v>
      </c>
      <c r="CF465" s="384">
        <f>SUM(AF465:AI465)</f>
        <v>1011.8000000000001</v>
      </c>
      <c r="CG465" s="384">
        <f>SUM(AJ465:AM465)</f>
        <v>1063.8</v>
      </c>
      <c r="CH465" s="384"/>
      <c r="CI465" s="384"/>
      <c r="CJ465" s="384"/>
      <c r="CK465" s="384"/>
      <c r="CL465" s="384"/>
      <c r="CM465" s="384"/>
      <c r="CN465" s="384"/>
      <c r="CO465" s="384"/>
      <c r="CP465" s="385"/>
    </row>
    <row r="466" spans="1:94" ht="14.25" hidden="1" customHeight="1" outlineLevel="2">
      <c r="A466" s="402"/>
      <c r="B466" s="301" t="s">
        <v>203</v>
      </c>
      <c r="C466" s="669"/>
      <c r="D466" s="670"/>
      <c r="E466" s="670"/>
      <c r="F466" s="670"/>
      <c r="G466" s="669"/>
      <c r="H466" s="670"/>
      <c r="I466" s="670"/>
      <c r="J466" s="670"/>
      <c r="K466" s="669"/>
      <c r="L466" s="671"/>
      <c r="M466" s="671"/>
      <c r="N466" s="671"/>
      <c r="O466" s="672"/>
      <c r="P466" s="673"/>
      <c r="Q466" s="671"/>
      <c r="R466" s="671"/>
      <c r="S466" s="672"/>
      <c r="T466" s="673"/>
      <c r="U466" s="671"/>
      <c r="V466" s="671"/>
      <c r="W466" s="672"/>
      <c r="X466" s="673"/>
      <c r="Y466" s="671"/>
      <c r="Z466" s="671"/>
      <c r="AA466" s="672"/>
      <c r="AB466" s="673"/>
      <c r="AC466" s="671"/>
      <c r="AD466" s="671"/>
      <c r="AE466" s="797"/>
      <c r="AF466" s="671"/>
      <c r="AG466" s="671"/>
      <c r="AH466" s="671"/>
      <c r="AI466" s="672"/>
      <c r="AJ466" s="671"/>
      <c r="AK466" s="671"/>
      <c r="AL466" s="671"/>
      <c r="AM466" s="672"/>
      <c r="AN466" s="671"/>
      <c r="AO466" s="671"/>
      <c r="AP466" s="671"/>
      <c r="AQ466" s="672"/>
      <c r="AR466" s="671"/>
      <c r="AS466" s="671"/>
      <c r="AT466" s="671"/>
      <c r="AU466" s="672"/>
      <c r="AV466" s="671"/>
      <c r="AW466" s="671"/>
      <c r="AX466" s="671"/>
      <c r="AY466" s="672"/>
      <c r="AZ466" s="671"/>
      <c r="BA466" s="671"/>
      <c r="BB466" s="671"/>
      <c r="BC466" s="672"/>
      <c r="BD466" s="671"/>
      <c r="BE466" s="671"/>
      <c r="BF466" s="671"/>
      <c r="BG466" s="672"/>
      <c r="BH466" s="671"/>
      <c r="BI466" s="671"/>
      <c r="BJ466" s="671"/>
      <c r="BK466" s="672"/>
      <c r="BL466" s="671"/>
      <c r="BM466" s="671"/>
      <c r="BN466" s="671"/>
      <c r="BO466" s="672"/>
      <c r="BP466" s="671"/>
      <c r="BQ466" s="671"/>
      <c r="BR466" s="671"/>
      <c r="BS466" s="672"/>
      <c r="BT466" s="671"/>
      <c r="BU466" s="671"/>
      <c r="BV466" s="671"/>
      <c r="BW466" s="672"/>
      <c r="BX466" s="773"/>
      <c r="BY466" s="674"/>
      <c r="BZ466" s="670"/>
      <c r="CA466" s="671"/>
      <c r="CB466" s="671"/>
      <c r="CC466" s="384"/>
      <c r="CD466" s="384"/>
      <c r="CE466" s="384"/>
      <c r="CF466" s="671"/>
      <c r="CG466" s="384"/>
      <c r="CH466" s="384"/>
      <c r="CI466" s="384"/>
      <c r="CJ466" s="384"/>
      <c r="CK466" s="384"/>
      <c r="CL466" s="384"/>
      <c r="CM466" s="384"/>
      <c r="CN466" s="384"/>
      <c r="CO466" s="384"/>
      <c r="CP466" s="385"/>
    </row>
    <row r="467" spans="1:94" ht="14.25" hidden="1" customHeight="1" outlineLevel="2">
      <c r="A467" s="247"/>
      <c r="B467" s="288" t="s">
        <v>204</v>
      </c>
      <c r="C467" s="396"/>
      <c r="D467" s="392"/>
      <c r="E467" s="392"/>
      <c r="F467" s="392"/>
      <c r="G467" s="396"/>
      <c r="H467" s="392"/>
      <c r="I467" s="392"/>
      <c r="J467" s="392"/>
      <c r="K467" s="396"/>
      <c r="L467" s="384"/>
      <c r="M467" s="384"/>
      <c r="N467" s="384"/>
      <c r="O467" s="385"/>
      <c r="P467" s="383"/>
      <c r="Q467" s="384"/>
      <c r="R467" s="384"/>
      <c r="S467" s="385"/>
      <c r="T467" s="383"/>
      <c r="U467" s="384"/>
      <c r="V467" s="384"/>
      <c r="W467" s="385"/>
      <c r="X467" s="383"/>
      <c r="Y467" s="384"/>
      <c r="Z467" s="384"/>
      <c r="AA467" s="385"/>
      <c r="AB467" s="383"/>
      <c r="AC467" s="384"/>
      <c r="AD467" s="384"/>
      <c r="AE467" s="796"/>
      <c r="AF467" s="781">
        <v>-13.6</v>
      </c>
      <c r="AG467" s="781">
        <v>-11.5</v>
      </c>
      <c r="AH467" s="781">
        <v>-14.7</v>
      </c>
      <c r="AI467" s="782">
        <f>-55.8-SUM(AF467:AH467)</f>
        <v>-16</v>
      </c>
      <c r="AJ467" s="781">
        <v>-16.2</v>
      </c>
      <c r="AK467" s="781">
        <v>-18.100000000000001</v>
      </c>
      <c r="AL467" s="781">
        <v>-10.4</v>
      </c>
      <c r="AM467" s="782">
        <f>-55-SUM(AJ467:AL467)</f>
        <v>-10.300000000000004</v>
      </c>
      <c r="AN467" s="781">
        <v>-12</v>
      </c>
      <c r="AO467" s="781">
        <v>-9.8000000000000007</v>
      </c>
      <c r="AP467" s="781">
        <v>-12.6</v>
      </c>
      <c r="AQ467" s="782"/>
      <c r="AR467" s="384"/>
      <c r="AS467" s="384"/>
      <c r="AT467" s="384"/>
      <c r="AU467" s="385"/>
      <c r="AV467" s="384"/>
      <c r="AW467" s="384"/>
      <c r="AX467" s="384"/>
      <c r="AY467" s="385"/>
      <c r="AZ467" s="384"/>
      <c r="BA467" s="384"/>
      <c r="BB467" s="384"/>
      <c r="BC467" s="385"/>
      <c r="BD467" s="384"/>
      <c r="BE467" s="384"/>
      <c r="BF467" s="384"/>
      <c r="BG467" s="385"/>
      <c r="BH467" s="384"/>
      <c r="BI467" s="384"/>
      <c r="BJ467" s="384"/>
      <c r="BK467" s="385"/>
      <c r="BL467" s="384"/>
      <c r="BM467" s="384"/>
      <c r="BN467" s="384"/>
      <c r="BO467" s="385"/>
      <c r="BP467" s="384"/>
      <c r="BQ467" s="384"/>
      <c r="BR467" s="384"/>
      <c r="BS467" s="385"/>
      <c r="BT467" s="384"/>
      <c r="BU467" s="384"/>
      <c r="BV467" s="384"/>
      <c r="BW467" s="385"/>
      <c r="BX467" s="772"/>
      <c r="BY467" s="288"/>
      <c r="BZ467" s="392"/>
      <c r="CA467" s="384"/>
      <c r="CB467" s="384"/>
      <c r="CC467" s="781">
        <v>-20.9</v>
      </c>
      <c r="CD467" s="781">
        <v>-43.7</v>
      </c>
      <c r="CE467" s="781">
        <v>-35.200000000000003</v>
      </c>
      <c r="CF467" s="384">
        <f>SUM(AF467:AI467)</f>
        <v>-55.8</v>
      </c>
      <c r="CG467" s="384">
        <f>SUM(AJ467:AM467)</f>
        <v>-55</v>
      </c>
      <c r="CH467" s="384"/>
      <c r="CI467" s="384"/>
      <c r="CJ467" s="384"/>
      <c r="CK467" s="384"/>
      <c r="CL467" s="384"/>
      <c r="CM467" s="384"/>
      <c r="CN467" s="384"/>
      <c r="CO467" s="384"/>
      <c r="CP467" s="385"/>
    </row>
    <row r="468" spans="1:94" ht="18" hidden="1" customHeight="1" outlineLevel="2">
      <c r="A468" s="9"/>
      <c r="B468" s="235" t="s">
        <v>304</v>
      </c>
      <c r="C468" s="277"/>
      <c r="D468" s="251"/>
      <c r="E468" s="251"/>
      <c r="F468" s="251"/>
      <c r="G468" s="277"/>
      <c r="H468" s="251"/>
      <c r="I468" s="251"/>
      <c r="J468" s="251"/>
      <c r="K468" s="277"/>
      <c r="L468" s="325"/>
      <c r="M468" s="325"/>
      <c r="N468" s="325"/>
      <c r="O468" s="326"/>
      <c r="P468" s="334"/>
      <c r="Q468" s="325"/>
      <c r="R468" s="325"/>
      <c r="S468" s="326"/>
      <c r="T468" s="334"/>
      <c r="U468" s="325"/>
      <c r="V468" s="325"/>
      <c r="W468" s="326"/>
      <c r="X468" s="334"/>
      <c r="Y468" s="325"/>
      <c r="Z468" s="325"/>
      <c r="AA468" s="326"/>
      <c r="AB468" s="334"/>
      <c r="AC468" s="325"/>
      <c r="AD468" s="325"/>
      <c r="AE468" s="798"/>
      <c r="AF468" s="325">
        <f t="shared" ref="AF468:AP468" si="823">AF465+AF467</f>
        <v>228.1</v>
      </c>
      <c r="AG468" s="325">
        <f t="shared" si="823"/>
        <v>243.79999999999998</v>
      </c>
      <c r="AH468" s="325">
        <f t="shared" si="823"/>
        <v>246.5</v>
      </c>
      <c r="AI468" s="332">
        <f t="shared" si="823"/>
        <v>237.6</v>
      </c>
      <c r="AJ468" s="325">
        <f t="shared" si="823"/>
        <v>242.40000000000003</v>
      </c>
      <c r="AK468" s="325">
        <f t="shared" si="823"/>
        <v>266.09999999999997</v>
      </c>
      <c r="AL468" s="325">
        <f t="shared" si="823"/>
        <v>261.10000000000002</v>
      </c>
      <c r="AM468" s="332">
        <f t="shared" si="823"/>
        <v>239.2</v>
      </c>
      <c r="AN468" s="325">
        <f t="shared" si="823"/>
        <v>245.2</v>
      </c>
      <c r="AO468" s="328">
        <f t="shared" si="823"/>
        <v>258.3</v>
      </c>
      <c r="AP468" s="328">
        <f t="shared" si="823"/>
        <v>238.00000000000003</v>
      </c>
      <c r="AQ468" s="332"/>
      <c r="AR468" s="328"/>
      <c r="AS468" s="328"/>
      <c r="AT468" s="328"/>
      <c r="AU468" s="332"/>
      <c r="AV468" s="328"/>
      <c r="AW468" s="328"/>
      <c r="AX468" s="328"/>
      <c r="AY468" s="332"/>
      <c r="AZ468" s="328"/>
      <c r="BA468" s="328"/>
      <c r="BB468" s="328"/>
      <c r="BC468" s="332"/>
      <c r="BD468" s="328"/>
      <c r="BE468" s="328"/>
      <c r="BF468" s="328"/>
      <c r="BG468" s="332"/>
      <c r="BH468" s="328"/>
      <c r="BI468" s="328"/>
      <c r="BJ468" s="328"/>
      <c r="BK468" s="332"/>
      <c r="BL468" s="328"/>
      <c r="BM468" s="328"/>
      <c r="BN468" s="328"/>
      <c r="BO468" s="332"/>
      <c r="BP468" s="328"/>
      <c r="BQ468" s="328"/>
      <c r="BR468" s="328"/>
      <c r="BS468" s="332"/>
      <c r="BT468" s="328"/>
      <c r="BU468" s="328"/>
      <c r="BV468" s="328"/>
      <c r="BW468" s="332"/>
      <c r="BX468" s="263"/>
      <c r="BY468" s="235"/>
      <c r="BZ468" s="251"/>
      <c r="CA468" s="325"/>
      <c r="CB468" s="325"/>
      <c r="CC468" s="325">
        <f>CC465+CC467</f>
        <v>590.5</v>
      </c>
      <c r="CD468" s="325">
        <f>CD465+CD467</f>
        <v>745.5</v>
      </c>
      <c r="CE468" s="325">
        <f>CE465+CE467</f>
        <v>620.69999999999993</v>
      </c>
      <c r="CF468" s="325">
        <f>CF465+CF467</f>
        <v>956.00000000000011</v>
      </c>
      <c r="CG468" s="325">
        <f>CG465+CG467</f>
        <v>1008.8</v>
      </c>
      <c r="CH468" s="325"/>
      <c r="CI468" s="325"/>
      <c r="CJ468" s="325"/>
      <c r="CK468" s="325"/>
      <c r="CL468" s="325"/>
      <c r="CM468" s="325"/>
      <c r="CN468" s="325"/>
      <c r="CO468" s="325"/>
      <c r="CP468" s="326"/>
    </row>
    <row r="469" spans="1:94" ht="14.25" hidden="1" customHeight="1" outlineLevel="2">
      <c r="A469" s="9"/>
      <c r="B469" s="288" t="s">
        <v>205</v>
      </c>
      <c r="C469" s="277"/>
      <c r="D469" s="251"/>
      <c r="E469" s="251"/>
      <c r="F469" s="251"/>
      <c r="G469" s="277"/>
      <c r="H469" s="251"/>
      <c r="I469" s="251"/>
      <c r="J469" s="251"/>
      <c r="K469" s="277"/>
      <c r="L469" s="289"/>
      <c r="M469" s="289"/>
      <c r="N469" s="289"/>
      <c r="O469" s="290"/>
      <c r="P469" s="323"/>
      <c r="Q469" s="289"/>
      <c r="R469" s="289"/>
      <c r="S469" s="290"/>
      <c r="T469" s="323"/>
      <c r="U469" s="289"/>
      <c r="V469" s="289"/>
      <c r="W469" s="290"/>
      <c r="X469" s="323"/>
      <c r="Y469" s="289"/>
      <c r="Z469" s="289"/>
      <c r="AA469" s="290"/>
      <c r="AB469" s="323"/>
      <c r="AC469" s="289"/>
      <c r="AD469" s="289"/>
      <c r="AE469" s="799"/>
      <c r="AF469" s="289">
        <f t="shared" ref="AF469:AP469" si="824">AF468/AF461</f>
        <v>0.41457651762995268</v>
      </c>
      <c r="AG469" s="338">
        <f t="shared" si="824"/>
        <v>0.41796674095662611</v>
      </c>
      <c r="AH469" s="289">
        <f t="shared" si="824"/>
        <v>0.41035458631596478</v>
      </c>
      <c r="AI469" s="290">
        <f t="shared" si="824"/>
        <v>0.4102209944751381</v>
      </c>
      <c r="AJ469" s="289">
        <f t="shared" si="824"/>
        <v>0.27842866988283943</v>
      </c>
      <c r="AK469" s="338">
        <f t="shared" si="824"/>
        <v>0.29380589599205031</v>
      </c>
      <c r="AL469" s="289">
        <f t="shared" si="824"/>
        <v>0.29075723830734967</v>
      </c>
      <c r="AM469" s="290">
        <f t="shared" si="824"/>
        <v>0.31145833333333334</v>
      </c>
      <c r="AN469" s="289">
        <f t="shared" si="824"/>
        <v>0.32939279957012357</v>
      </c>
      <c r="AO469" s="289">
        <f t="shared" si="824"/>
        <v>0.34680451127819545</v>
      </c>
      <c r="AP469" s="289">
        <f t="shared" si="824"/>
        <v>0.32804962095106827</v>
      </c>
      <c r="AQ469" s="290"/>
      <c r="AR469" s="289"/>
      <c r="AS469" s="289"/>
      <c r="AT469" s="289"/>
      <c r="AU469" s="290"/>
      <c r="AV469" s="289"/>
      <c r="AW469" s="289"/>
      <c r="AX469" s="289"/>
      <c r="AY469" s="290"/>
      <c r="AZ469" s="289"/>
      <c r="BA469" s="289"/>
      <c r="BB469" s="289"/>
      <c r="BC469" s="290"/>
      <c r="BD469" s="289"/>
      <c r="BE469" s="289"/>
      <c r="BF469" s="289"/>
      <c r="BG469" s="290"/>
      <c r="BH469" s="289"/>
      <c r="BI469" s="289"/>
      <c r="BJ469" s="289"/>
      <c r="BK469" s="290"/>
      <c r="BL469" s="289"/>
      <c r="BM469" s="289"/>
      <c r="BN469" s="289"/>
      <c r="BO469" s="290"/>
      <c r="BP469" s="289"/>
      <c r="BQ469" s="289"/>
      <c r="BR469" s="289"/>
      <c r="BS469" s="290"/>
      <c r="BT469" s="289"/>
      <c r="BU469" s="289"/>
      <c r="BV469" s="289"/>
      <c r="BW469" s="290"/>
      <c r="BX469" s="263"/>
      <c r="BY469" s="235"/>
      <c r="BZ469" s="251"/>
      <c r="CA469" s="338"/>
      <c r="CB469" s="338"/>
      <c r="CC469" s="338">
        <f>CC465/CC461</f>
        <v>0.39037160005107907</v>
      </c>
      <c r="CD469" s="338">
        <f>CD465/CD461</f>
        <v>0.38407630912984242</v>
      </c>
      <c r="CE469" s="338">
        <f>CE465/CE461</f>
        <v>0.37079540957657303</v>
      </c>
      <c r="CF469" s="289">
        <f>CF465/CF461</f>
        <v>0.43736491743753791</v>
      </c>
      <c r="CG469" s="338">
        <f>CG465/CG461</f>
        <v>0.3090375620951108</v>
      </c>
      <c r="CH469" s="338"/>
      <c r="CI469" s="338"/>
      <c r="CJ469" s="338"/>
      <c r="CK469" s="338"/>
      <c r="CL469" s="338"/>
      <c r="CM469" s="338"/>
      <c r="CN469" s="338"/>
      <c r="CO469" s="338"/>
      <c r="CP469" s="337"/>
    </row>
    <row r="470" spans="1:94" ht="14.25" hidden="1" customHeight="1" outlineLevel="2">
      <c r="A470" s="9"/>
      <c r="B470" s="22"/>
      <c r="C470" s="211"/>
      <c r="D470" s="15"/>
      <c r="E470" s="15"/>
      <c r="F470" s="15"/>
      <c r="G470" s="211"/>
      <c r="H470" s="15"/>
      <c r="I470" s="15"/>
      <c r="J470" s="15"/>
      <c r="K470" s="211"/>
      <c r="L470" s="15"/>
      <c r="M470" s="15"/>
      <c r="N470" s="15"/>
      <c r="O470" s="211"/>
      <c r="P470" s="15"/>
      <c r="Q470" s="15"/>
      <c r="R470" s="15"/>
      <c r="S470" s="211"/>
      <c r="T470" s="15"/>
      <c r="U470" s="15"/>
      <c r="V470" s="15"/>
      <c r="W470" s="211"/>
      <c r="X470" s="15"/>
      <c r="Y470" s="15"/>
      <c r="Z470" s="15"/>
      <c r="AA470" s="211"/>
      <c r="AB470" s="15"/>
      <c r="AC470" s="15"/>
      <c r="AD470" s="15"/>
      <c r="AE470" s="795"/>
      <c r="AF470" s="220"/>
      <c r="AG470" s="220"/>
      <c r="AH470" s="220"/>
      <c r="AI470" s="258"/>
      <c r="AJ470" s="220"/>
      <c r="AK470" s="220"/>
      <c r="AL470" s="220"/>
      <c r="AM470" s="258"/>
      <c r="AN470" s="220"/>
      <c r="AO470" s="257"/>
      <c r="AP470" s="257"/>
      <c r="AQ470" s="258"/>
      <c r="AR470" s="257"/>
      <c r="AS470" s="257"/>
      <c r="AT470" s="257"/>
      <c r="AU470" s="258"/>
      <c r="AV470" s="257"/>
      <c r="AW470" s="257"/>
      <c r="AX470" s="257"/>
      <c r="AY470" s="258"/>
      <c r="AZ470" s="257"/>
      <c r="BA470" s="257"/>
      <c r="BB470" s="257"/>
      <c r="BC470" s="258"/>
      <c r="BD470" s="257"/>
      <c r="BE470" s="257"/>
      <c r="BF470" s="257"/>
      <c r="BG470" s="258"/>
      <c r="BH470" s="257"/>
      <c r="BI470" s="257"/>
      <c r="BJ470" s="257"/>
      <c r="BK470" s="258"/>
      <c r="BL470" s="257"/>
      <c r="BM470" s="257"/>
      <c r="BN470" s="257"/>
      <c r="BO470" s="258"/>
      <c r="BP470" s="257"/>
      <c r="BQ470" s="257"/>
      <c r="BR470" s="257"/>
      <c r="BS470" s="258"/>
      <c r="BT470" s="257"/>
      <c r="BU470" s="257"/>
      <c r="BV470" s="257"/>
      <c r="BW470" s="258"/>
      <c r="BX470" s="21"/>
      <c r="BY470" s="22"/>
      <c r="BZ470" s="15"/>
      <c r="CA470" s="15"/>
      <c r="CB470" s="15"/>
      <c r="CC470" s="15"/>
      <c r="CD470" s="15"/>
      <c r="CE470" s="15"/>
      <c r="CF470" s="338"/>
      <c r="CG470" s="15"/>
      <c r="CH470" s="15"/>
      <c r="CI470" s="15"/>
      <c r="CJ470" s="15"/>
      <c r="CK470" s="15"/>
      <c r="CL470" s="15"/>
      <c r="CM470" s="15"/>
      <c r="CN470" s="15"/>
      <c r="CO470" s="15"/>
      <c r="CP470" s="211"/>
    </row>
    <row r="471" spans="1:94" ht="14.25" hidden="1" customHeight="1" outlineLevel="2">
      <c r="A471" s="247"/>
      <c r="B471" s="288" t="s">
        <v>206</v>
      </c>
      <c r="C471" s="396"/>
      <c r="D471" s="392"/>
      <c r="E471" s="392"/>
      <c r="F471" s="392"/>
      <c r="G471" s="396"/>
      <c r="H471" s="392"/>
      <c r="I471" s="392"/>
      <c r="J471" s="392"/>
      <c r="K471" s="396"/>
      <c r="L471" s="384"/>
      <c r="M471" s="384"/>
      <c r="N471" s="384"/>
      <c r="O471" s="385"/>
      <c r="P471" s="383"/>
      <c r="Q471" s="384"/>
      <c r="R471" s="384"/>
      <c r="S471" s="385"/>
      <c r="T471" s="383"/>
      <c r="U471" s="384"/>
      <c r="V471" s="384"/>
      <c r="W471" s="385"/>
      <c r="X471" s="383"/>
      <c r="Y471" s="384"/>
      <c r="Z471" s="384"/>
      <c r="AA471" s="385"/>
      <c r="AB471" s="383"/>
      <c r="AC471" s="384"/>
      <c r="AD471" s="384"/>
      <c r="AE471" s="796"/>
      <c r="AF471" s="383">
        <f>AF456+AF443+AF417+AF430</f>
        <v>110.6</v>
      </c>
      <c r="AG471" s="384">
        <f>AG456+AG443+AG417+AG430</f>
        <v>124.8</v>
      </c>
      <c r="AH471" s="384">
        <f>AH456+AH443+AH417+AH430</f>
        <v>137.69999999999999</v>
      </c>
      <c r="AI471" s="385">
        <f>AI456+AI443+AI417+AI430</f>
        <v>125</v>
      </c>
      <c r="AJ471" s="383">
        <f>AJ456+AJ443+AJ417+AJ430</f>
        <v>71.7</v>
      </c>
      <c r="AK471" s="384">
        <f t="shared" ref="AK471:AP471" si="825">AK456+AK443+AK417+AK430</f>
        <v>82.4</v>
      </c>
      <c r="AL471" s="384">
        <f t="shared" si="825"/>
        <v>70.100000000000009</v>
      </c>
      <c r="AM471" s="385">
        <f t="shared" si="825"/>
        <v>61.8</v>
      </c>
      <c r="AN471" s="383">
        <f t="shared" si="825"/>
        <v>67.099999999999994</v>
      </c>
      <c r="AO471" s="384">
        <f t="shared" si="825"/>
        <v>72.3</v>
      </c>
      <c r="AP471" s="384">
        <f t="shared" si="825"/>
        <v>68.300000000000011</v>
      </c>
      <c r="AQ471" s="385"/>
      <c r="AR471" s="383"/>
      <c r="AS471" s="384"/>
      <c r="AT471" s="384"/>
      <c r="AU471" s="385"/>
      <c r="AV471" s="383"/>
      <c r="AW471" s="384"/>
      <c r="AX471" s="384"/>
      <c r="AY471" s="385"/>
      <c r="AZ471" s="383"/>
      <c r="BA471" s="384"/>
      <c r="BB471" s="384"/>
      <c r="BC471" s="385"/>
      <c r="BD471" s="383"/>
      <c r="BE471" s="384"/>
      <c r="BF471" s="384"/>
      <c r="BG471" s="385"/>
      <c r="BH471" s="383"/>
      <c r="BI471" s="384"/>
      <c r="BJ471" s="384"/>
      <c r="BK471" s="385"/>
      <c r="BL471" s="383"/>
      <c r="BM471" s="384"/>
      <c r="BN471" s="384"/>
      <c r="BO471" s="385"/>
      <c r="BP471" s="383"/>
      <c r="BQ471" s="384"/>
      <c r="BR471" s="384"/>
      <c r="BS471" s="385"/>
      <c r="BT471" s="383"/>
      <c r="BU471" s="384"/>
      <c r="BV471" s="384"/>
      <c r="BW471" s="385"/>
      <c r="BX471" s="772"/>
      <c r="BY471" s="288"/>
      <c r="BZ471" s="392"/>
      <c r="CA471" s="384"/>
      <c r="CB471" s="384"/>
      <c r="CC471" s="384">
        <f>CC456+CC443+CC417+CC430</f>
        <v>326.40000000000003</v>
      </c>
      <c r="CD471" s="384">
        <f>CD456+CD443+CD417+CD430</f>
        <v>308.39999999999998</v>
      </c>
      <c r="CE471" s="384">
        <f>CE456+CE443+CE417+CE430</f>
        <v>226.8</v>
      </c>
      <c r="CF471" s="384">
        <f>SUM(AF471:AI471)</f>
        <v>498.09999999999997</v>
      </c>
      <c r="CG471" s="384">
        <f>SUM(AJ471:AM471)</f>
        <v>286.00000000000006</v>
      </c>
      <c r="CH471" s="384"/>
      <c r="CI471" s="384"/>
      <c r="CJ471" s="384"/>
      <c r="CK471" s="384"/>
      <c r="CL471" s="384"/>
      <c r="CM471" s="384"/>
      <c r="CN471" s="384"/>
      <c r="CO471" s="384"/>
      <c r="CP471" s="385"/>
    </row>
    <row r="472" spans="1:94" ht="14.25" hidden="1" customHeight="1" outlineLevel="2">
      <c r="A472" s="402"/>
      <c r="B472" s="301" t="s">
        <v>203</v>
      </c>
      <c r="C472" s="483"/>
      <c r="D472" s="497"/>
      <c r="E472" s="497"/>
      <c r="F472" s="497"/>
      <c r="G472" s="483"/>
      <c r="H472" s="497"/>
      <c r="I472" s="497"/>
      <c r="J472" s="497"/>
      <c r="K472" s="483"/>
      <c r="L472" s="675"/>
      <c r="M472" s="675"/>
      <c r="N472" s="675"/>
      <c r="O472" s="676"/>
      <c r="P472" s="677"/>
      <c r="Q472" s="675"/>
      <c r="R472" s="675"/>
      <c r="S472" s="676"/>
      <c r="T472" s="677"/>
      <c r="U472" s="675"/>
      <c r="V472" s="675"/>
      <c r="W472" s="676"/>
      <c r="X472" s="677"/>
      <c r="Y472" s="675"/>
      <c r="Z472" s="675"/>
      <c r="AA472" s="676"/>
      <c r="AB472" s="677"/>
      <c r="AC472" s="675"/>
      <c r="AD472" s="675"/>
      <c r="AE472" s="799"/>
      <c r="AF472" s="675"/>
      <c r="AG472" s="675"/>
      <c r="AH472" s="675"/>
      <c r="AI472" s="676"/>
      <c r="AJ472" s="675"/>
      <c r="AK472" s="675"/>
      <c r="AL472" s="675"/>
      <c r="AM472" s="676"/>
      <c r="AN472" s="675"/>
      <c r="AO472" s="675"/>
      <c r="AP472" s="675"/>
      <c r="AQ472" s="676"/>
      <c r="AR472" s="675"/>
      <c r="AS472" s="675"/>
      <c r="AT472" s="675"/>
      <c r="AU472" s="676"/>
      <c r="AV472" s="675"/>
      <c r="AW472" s="675"/>
      <c r="AX472" s="675"/>
      <c r="AY472" s="676"/>
      <c r="AZ472" s="675"/>
      <c r="BA472" s="675"/>
      <c r="BB472" s="675"/>
      <c r="BC472" s="676"/>
      <c r="BD472" s="675"/>
      <c r="BE472" s="675"/>
      <c r="BF472" s="675"/>
      <c r="BG472" s="676"/>
      <c r="BH472" s="675"/>
      <c r="BI472" s="675"/>
      <c r="BJ472" s="675"/>
      <c r="BK472" s="676"/>
      <c r="BL472" s="675"/>
      <c r="BM472" s="675"/>
      <c r="BN472" s="675"/>
      <c r="BO472" s="676"/>
      <c r="BP472" s="675"/>
      <c r="BQ472" s="675"/>
      <c r="BR472" s="675"/>
      <c r="BS472" s="676"/>
      <c r="BT472" s="675"/>
      <c r="BU472" s="675"/>
      <c r="BV472" s="675"/>
      <c r="BW472" s="676"/>
      <c r="BX472" s="403"/>
      <c r="BY472" s="301"/>
      <c r="BZ472" s="497"/>
      <c r="CA472" s="675"/>
      <c r="CB472" s="675"/>
      <c r="CC472" s="675"/>
      <c r="CD472" s="675"/>
      <c r="CE472" s="675"/>
      <c r="CF472" s="675"/>
      <c r="CG472" s="675"/>
      <c r="CH472" s="675"/>
      <c r="CI472" s="675"/>
      <c r="CJ472" s="675"/>
      <c r="CK472" s="675"/>
      <c r="CL472" s="675"/>
      <c r="CM472" s="675"/>
      <c r="CN472" s="675"/>
      <c r="CO472" s="675"/>
      <c r="CP472" s="676"/>
    </row>
    <row r="473" spans="1:94" ht="14.25" hidden="1" customHeight="1" outlineLevel="2">
      <c r="A473" s="247"/>
      <c r="B473" s="288" t="s">
        <v>207</v>
      </c>
      <c r="C473" s="396"/>
      <c r="D473" s="392"/>
      <c r="E473" s="392"/>
      <c r="F473" s="392"/>
      <c r="G473" s="396"/>
      <c r="H473" s="392"/>
      <c r="I473" s="392"/>
      <c r="J473" s="392"/>
      <c r="K473" s="396"/>
      <c r="L473" s="384"/>
      <c r="M473" s="384"/>
      <c r="N473" s="384"/>
      <c r="O473" s="385"/>
      <c r="P473" s="383"/>
      <c r="Q473" s="384"/>
      <c r="R473" s="384"/>
      <c r="S473" s="385"/>
      <c r="T473" s="383"/>
      <c r="U473" s="384"/>
      <c r="V473" s="384"/>
      <c r="W473" s="385"/>
      <c r="X473" s="383"/>
      <c r="Y473" s="384"/>
      <c r="Z473" s="384"/>
      <c r="AA473" s="385"/>
      <c r="AB473" s="383"/>
      <c r="AC473" s="384"/>
      <c r="AD473" s="384"/>
      <c r="AE473" s="796"/>
      <c r="AF473" s="781">
        <v>-3.8</v>
      </c>
      <c r="AG473" s="781">
        <v>-2.2999999999999998</v>
      </c>
      <c r="AH473" s="781">
        <v>-0.9</v>
      </c>
      <c r="AI473" s="782">
        <f>-10.5-SUM(AF473:AH473)</f>
        <v>-3.5</v>
      </c>
      <c r="AJ473" s="781">
        <v>-12.4</v>
      </c>
      <c r="AK473" s="781">
        <v>-5.0999999999999996</v>
      </c>
      <c r="AL473" s="781">
        <v>-65.400000000000006</v>
      </c>
      <c r="AM473" s="782">
        <f>-102.7-SUM(AJ473:AL473)</f>
        <v>-19.799999999999997</v>
      </c>
      <c r="AN473" s="781">
        <v>-11.5</v>
      </c>
      <c r="AO473" s="781">
        <v>-34.6</v>
      </c>
      <c r="AP473" s="781">
        <v>-11.2</v>
      </c>
      <c r="AQ473" s="782"/>
      <c r="AR473" s="384"/>
      <c r="AS473" s="384"/>
      <c r="AT473" s="384"/>
      <c r="AU473" s="385"/>
      <c r="AV473" s="384"/>
      <c r="AW473" s="384"/>
      <c r="AX473" s="384"/>
      <c r="AY473" s="385"/>
      <c r="AZ473" s="384"/>
      <c r="BA473" s="384"/>
      <c r="BB473" s="384"/>
      <c r="BC473" s="385"/>
      <c r="BD473" s="384"/>
      <c r="BE473" s="384"/>
      <c r="BF473" s="384"/>
      <c r="BG473" s="385"/>
      <c r="BH473" s="384"/>
      <c r="BI473" s="384"/>
      <c r="BJ473" s="384"/>
      <c r="BK473" s="385"/>
      <c r="BL473" s="384"/>
      <c r="BM473" s="384"/>
      <c r="BN473" s="384"/>
      <c r="BO473" s="385"/>
      <c r="BP473" s="384"/>
      <c r="BQ473" s="384"/>
      <c r="BR473" s="384"/>
      <c r="BS473" s="385"/>
      <c r="BT473" s="384"/>
      <c r="BU473" s="384"/>
      <c r="BV473" s="384"/>
      <c r="BW473" s="385"/>
      <c r="BX473" s="772"/>
      <c r="BY473" s="288"/>
      <c r="BZ473" s="392"/>
      <c r="CA473" s="384"/>
      <c r="CB473" s="384"/>
      <c r="CC473" s="781">
        <v>-3</v>
      </c>
      <c r="CD473" s="781">
        <v>-26.2</v>
      </c>
      <c r="CE473" s="781">
        <v>-24.9</v>
      </c>
      <c r="CF473" s="384">
        <f>SUM(AF473:AI473)</f>
        <v>-10.5</v>
      </c>
      <c r="CG473" s="384">
        <f>SUM(AJ473:AM473)</f>
        <v>-102.7</v>
      </c>
      <c r="CH473" s="384"/>
      <c r="CI473" s="384"/>
      <c r="CJ473" s="384"/>
      <c r="CK473" s="384"/>
      <c r="CL473" s="384"/>
      <c r="CM473" s="384"/>
      <c r="CN473" s="384"/>
      <c r="CO473" s="384"/>
      <c r="CP473" s="385"/>
    </row>
    <row r="474" spans="1:94" ht="14.25" hidden="1" customHeight="1" outlineLevel="2">
      <c r="A474" s="247"/>
      <c r="B474" s="288" t="s">
        <v>208</v>
      </c>
      <c r="C474" s="396"/>
      <c r="D474" s="392"/>
      <c r="E474" s="392"/>
      <c r="F474" s="392"/>
      <c r="G474" s="396"/>
      <c r="H474" s="392"/>
      <c r="I474" s="392"/>
      <c r="J474" s="392"/>
      <c r="K474" s="396"/>
      <c r="L474" s="384"/>
      <c r="M474" s="384"/>
      <c r="N474" s="384"/>
      <c r="O474" s="385"/>
      <c r="P474" s="383"/>
      <c r="Q474" s="384"/>
      <c r="R474" s="384"/>
      <c r="S474" s="385"/>
      <c r="T474" s="383"/>
      <c r="U474" s="384"/>
      <c r="V474" s="384"/>
      <c r="W474" s="385"/>
      <c r="X474" s="383"/>
      <c r="Y474" s="384"/>
      <c r="Z474" s="384"/>
      <c r="AA474" s="385"/>
      <c r="AB474" s="383"/>
      <c r="AC474" s="384"/>
      <c r="AD474" s="384"/>
      <c r="AE474" s="796"/>
      <c r="AF474" s="781">
        <v>0</v>
      </c>
      <c r="AG474" s="781">
        <v>0</v>
      </c>
      <c r="AH474" s="781">
        <v>0</v>
      </c>
      <c r="AI474" s="782">
        <f>-16.1-SUM(AF474:AH474)</f>
        <v>-16.100000000000001</v>
      </c>
      <c r="AJ474" s="781">
        <v>0</v>
      </c>
      <c r="AK474" s="781">
        <v>0</v>
      </c>
      <c r="AL474" s="781">
        <v>0</v>
      </c>
      <c r="AM474" s="782">
        <f>0-SUM(AJ474:AL474)</f>
        <v>0</v>
      </c>
      <c r="AN474" s="781">
        <v>0</v>
      </c>
      <c r="AO474" s="781">
        <v>0</v>
      </c>
      <c r="AP474" s="781">
        <v>0</v>
      </c>
      <c r="AQ474" s="782"/>
      <c r="AR474" s="384"/>
      <c r="AS474" s="384"/>
      <c r="AT474" s="384"/>
      <c r="AU474" s="385"/>
      <c r="AV474" s="384"/>
      <c r="AW474" s="384"/>
      <c r="AX474" s="384"/>
      <c r="AY474" s="385"/>
      <c r="AZ474" s="384"/>
      <c r="BA474" s="384"/>
      <c r="BB474" s="384"/>
      <c r="BC474" s="385"/>
      <c r="BD474" s="384"/>
      <c r="BE474" s="384"/>
      <c r="BF474" s="384"/>
      <c r="BG474" s="385"/>
      <c r="BH474" s="384"/>
      <c r="BI474" s="384"/>
      <c r="BJ474" s="384"/>
      <c r="BK474" s="385"/>
      <c r="BL474" s="384"/>
      <c r="BM474" s="384"/>
      <c r="BN474" s="384"/>
      <c r="BO474" s="385"/>
      <c r="BP474" s="384"/>
      <c r="BQ474" s="384"/>
      <c r="BR474" s="384"/>
      <c r="BS474" s="385"/>
      <c r="BT474" s="384"/>
      <c r="BU474" s="384"/>
      <c r="BV474" s="384"/>
      <c r="BW474" s="385"/>
      <c r="BX474" s="772"/>
      <c r="BY474" s="288"/>
      <c r="BZ474" s="392"/>
      <c r="CA474" s="384"/>
      <c r="CB474" s="384"/>
      <c r="CC474" s="781">
        <v>0</v>
      </c>
      <c r="CD474" s="781">
        <v>-544.5</v>
      </c>
      <c r="CE474" s="781">
        <v>0</v>
      </c>
      <c r="CF474" s="384">
        <f>SUM(AF474:AI474)</f>
        <v>-16.100000000000001</v>
      </c>
      <c r="CG474" s="384">
        <f>SUM(AJ474:AM474)</f>
        <v>0</v>
      </c>
      <c r="CH474" s="384"/>
      <c r="CI474" s="384"/>
      <c r="CJ474" s="384"/>
      <c r="CK474" s="384"/>
      <c r="CL474" s="384"/>
      <c r="CM474" s="384"/>
      <c r="CN474" s="384"/>
      <c r="CO474" s="384"/>
      <c r="CP474" s="385"/>
    </row>
    <row r="475" spans="1:94" ht="14.25" hidden="1" customHeight="1" outlineLevel="2">
      <c r="A475" s="247"/>
      <c r="B475" s="288" t="s">
        <v>204</v>
      </c>
      <c r="C475" s="396"/>
      <c r="D475" s="392"/>
      <c r="E475" s="392"/>
      <c r="F475" s="392"/>
      <c r="G475" s="396"/>
      <c r="H475" s="392"/>
      <c r="I475" s="392"/>
      <c r="J475" s="392"/>
      <c r="K475" s="396"/>
      <c r="L475" s="384"/>
      <c r="M475" s="384"/>
      <c r="N475" s="384"/>
      <c r="O475" s="385"/>
      <c r="P475" s="383"/>
      <c r="Q475" s="384"/>
      <c r="R475" s="384"/>
      <c r="S475" s="385"/>
      <c r="T475" s="383"/>
      <c r="U475" s="384"/>
      <c r="V475" s="384"/>
      <c r="W475" s="385"/>
      <c r="X475" s="383"/>
      <c r="Y475" s="384"/>
      <c r="Z475" s="384"/>
      <c r="AA475" s="385"/>
      <c r="AB475" s="383"/>
      <c r="AC475" s="384"/>
      <c r="AD475" s="384"/>
      <c r="AE475" s="796"/>
      <c r="AF475" s="781">
        <v>-13.6</v>
      </c>
      <c r="AG475" s="781">
        <v>-11.5</v>
      </c>
      <c r="AH475" s="781">
        <v>-14.7</v>
      </c>
      <c r="AI475" s="782">
        <f>-55.8-SUM(AF475:AH475)</f>
        <v>-16</v>
      </c>
      <c r="AJ475" s="781">
        <v>-16.2</v>
      </c>
      <c r="AK475" s="781">
        <v>-18.100000000000001</v>
      </c>
      <c r="AL475" s="781">
        <v>-10.4</v>
      </c>
      <c r="AM475" s="782">
        <f>-55-SUM(AJ475:AL475)</f>
        <v>-10.300000000000004</v>
      </c>
      <c r="AN475" s="781">
        <v>-12</v>
      </c>
      <c r="AO475" s="781">
        <v>-9.8000000000000007</v>
      </c>
      <c r="AP475" s="781">
        <v>-12.6</v>
      </c>
      <c r="AQ475" s="782"/>
      <c r="AR475" s="384"/>
      <c r="AS475" s="384"/>
      <c r="AT475" s="384"/>
      <c r="AU475" s="385"/>
      <c r="AV475" s="384"/>
      <c r="AW475" s="384"/>
      <c r="AX475" s="384"/>
      <c r="AY475" s="385"/>
      <c r="AZ475" s="384"/>
      <c r="BA475" s="384"/>
      <c r="BB475" s="384"/>
      <c r="BC475" s="385"/>
      <c r="BD475" s="384"/>
      <c r="BE475" s="384"/>
      <c r="BF475" s="384"/>
      <c r="BG475" s="385"/>
      <c r="BH475" s="384"/>
      <c r="BI475" s="384"/>
      <c r="BJ475" s="384"/>
      <c r="BK475" s="385"/>
      <c r="BL475" s="384"/>
      <c r="BM475" s="384"/>
      <c r="BN475" s="384"/>
      <c r="BO475" s="385"/>
      <c r="BP475" s="384"/>
      <c r="BQ475" s="384"/>
      <c r="BR475" s="384"/>
      <c r="BS475" s="385"/>
      <c r="BT475" s="384"/>
      <c r="BU475" s="384"/>
      <c r="BV475" s="384"/>
      <c r="BW475" s="385"/>
      <c r="BX475" s="772"/>
      <c r="BY475" s="288"/>
      <c r="BZ475" s="392"/>
      <c r="CA475" s="384"/>
      <c r="CB475" s="384"/>
      <c r="CC475" s="781">
        <v>-20.9</v>
      </c>
      <c r="CD475" s="781">
        <v>-43.7</v>
      </c>
      <c r="CE475" s="781">
        <v>-35.200000000000003</v>
      </c>
      <c r="CF475" s="384">
        <f>SUM(AF475:AI475)</f>
        <v>-55.8</v>
      </c>
      <c r="CG475" s="384">
        <f>SUM(AJ475:AM475)</f>
        <v>-55</v>
      </c>
      <c r="CH475" s="384"/>
      <c r="CI475" s="384"/>
      <c r="CJ475" s="384"/>
      <c r="CK475" s="384"/>
      <c r="CL475" s="384"/>
      <c r="CM475" s="384"/>
      <c r="CN475" s="384"/>
      <c r="CO475" s="384"/>
      <c r="CP475" s="385"/>
    </row>
    <row r="476" spans="1:94" ht="14.25" hidden="1" customHeight="1" outlineLevel="2">
      <c r="A476" s="247"/>
      <c r="B476" s="288" t="s">
        <v>209</v>
      </c>
      <c r="C476" s="396"/>
      <c r="D476" s="392"/>
      <c r="E476" s="392"/>
      <c r="F476" s="392"/>
      <c r="G476" s="396"/>
      <c r="H476" s="392"/>
      <c r="I476" s="392"/>
      <c r="J476" s="392"/>
      <c r="K476" s="396"/>
      <c r="L476" s="384"/>
      <c r="M476" s="384"/>
      <c r="N476" s="384"/>
      <c r="O476" s="385"/>
      <c r="P476" s="383"/>
      <c r="Q476" s="384"/>
      <c r="R476" s="384"/>
      <c r="S476" s="385"/>
      <c r="T476" s="383"/>
      <c r="U476" s="384"/>
      <c r="V476" s="384"/>
      <c r="W476" s="385"/>
      <c r="X476" s="383"/>
      <c r="Y476" s="384"/>
      <c r="Z476" s="384"/>
      <c r="AA476" s="385"/>
      <c r="AB476" s="383"/>
      <c r="AC476" s="384"/>
      <c r="AD476" s="384"/>
      <c r="AE476" s="796"/>
      <c r="AF476" s="781">
        <v>-9</v>
      </c>
      <c r="AG476" s="781">
        <v>-9.5</v>
      </c>
      <c r="AH476" s="781">
        <v>-14.4</v>
      </c>
      <c r="AI476" s="782">
        <f>-41.5-SUM(AF476:AH476)</f>
        <v>-8.6000000000000014</v>
      </c>
      <c r="AJ476" s="781">
        <v>-10.4</v>
      </c>
      <c r="AK476" s="781">
        <v>-2.2999999999999998</v>
      </c>
      <c r="AL476" s="781">
        <v>-1</v>
      </c>
      <c r="AM476" s="782">
        <f>-14.9-SUM(AJ476:AL476)</f>
        <v>-1.2000000000000011</v>
      </c>
      <c r="AN476" s="781">
        <v>0</v>
      </c>
      <c r="AO476" s="781">
        <v>-1</v>
      </c>
      <c r="AP476" s="781">
        <v>0.1</v>
      </c>
      <c r="AQ476" s="782"/>
      <c r="AR476" s="384"/>
      <c r="AS476" s="384"/>
      <c r="AT476" s="384"/>
      <c r="AU476" s="385"/>
      <c r="AV476" s="384"/>
      <c r="AW476" s="384"/>
      <c r="AX476" s="384"/>
      <c r="AY476" s="385"/>
      <c r="AZ476" s="384"/>
      <c r="BA476" s="384"/>
      <c r="BB476" s="384"/>
      <c r="BC476" s="385"/>
      <c r="BD476" s="384"/>
      <c r="BE476" s="384"/>
      <c r="BF476" s="384"/>
      <c r="BG476" s="385"/>
      <c r="BH476" s="384"/>
      <c r="BI476" s="384"/>
      <c r="BJ476" s="384"/>
      <c r="BK476" s="385"/>
      <c r="BL476" s="384"/>
      <c r="BM476" s="384"/>
      <c r="BN476" s="384"/>
      <c r="BO476" s="385"/>
      <c r="BP476" s="384"/>
      <c r="BQ476" s="384"/>
      <c r="BR476" s="384"/>
      <c r="BS476" s="385"/>
      <c r="BT476" s="384"/>
      <c r="BU476" s="384"/>
      <c r="BV476" s="384"/>
      <c r="BW476" s="385"/>
      <c r="BX476" s="772"/>
      <c r="BY476" s="288"/>
      <c r="BZ476" s="392"/>
      <c r="CA476" s="384"/>
      <c r="CB476" s="384"/>
      <c r="CC476" s="781">
        <v>-25.3</v>
      </c>
      <c r="CD476" s="781">
        <v>-59.9</v>
      </c>
      <c r="CE476" s="781">
        <v>-24.1</v>
      </c>
      <c r="CF476" s="384">
        <f>SUM(AF476:AI476)</f>
        <v>-41.5</v>
      </c>
      <c r="CG476" s="384">
        <f>SUM(AJ476:AM476)</f>
        <v>-14.9</v>
      </c>
      <c r="CH476" s="384"/>
      <c r="CI476" s="384"/>
      <c r="CJ476" s="384"/>
      <c r="CK476" s="384"/>
      <c r="CL476" s="384"/>
      <c r="CM476" s="384"/>
      <c r="CN476" s="384"/>
      <c r="CO476" s="384"/>
      <c r="CP476" s="385"/>
    </row>
    <row r="477" spans="1:94" ht="14.25" hidden="1" customHeight="1" outlineLevel="2">
      <c r="A477" s="91"/>
      <c r="B477" s="286" t="s">
        <v>210</v>
      </c>
      <c r="C477" s="287"/>
      <c r="D477" s="284"/>
      <c r="E477" s="284"/>
      <c r="F477" s="284"/>
      <c r="G477" s="287"/>
      <c r="H477" s="284"/>
      <c r="I477" s="284"/>
      <c r="J477" s="284"/>
      <c r="K477" s="287"/>
      <c r="L477" s="325"/>
      <c r="M477" s="325"/>
      <c r="N477" s="325"/>
      <c r="O477" s="326"/>
      <c r="P477" s="334"/>
      <c r="Q477" s="325"/>
      <c r="R477" s="325"/>
      <c r="S477" s="326"/>
      <c r="T477" s="334"/>
      <c r="U477" s="325"/>
      <c r="V477" s="325"/>
      <c r="W477" s="326"/>
      <c r="X477" s="334"/>
      <c r="Y477" s="325"/>
      <c r="Z477" s="325"/>
      <c r="AA477" s="326"/>
      <c r="AB477" s="334"/>
      <c r="AC477" s="325"/>
      <c r="AD477" s="325"/>
      <c r="AE477" s="798"/>
      <c r="AF477" s="325">
        <f t="shared" ref="AF477:AP477" si="826">AF471+SUM(AF473:AF476)</f>
        <v>84.199999999999989</v>
      </c>
      <c r="AG477" s="325">
        <f t="shared" si="826"/>
        <v>101.5</v>
      </c>
      <c r="AH477" s="325">
        <f t="shared" si="826"/>
        <v>107.69999999999999</v>
      </c>
      <c r="AI477" s="326">
        <f t="shared" si="826"/>
        <v>80.8</v>
      </c>
      <c r="AJ477" s="325">
        <f t="shared" si="826"/>
        <v>32.700000000000003</v>
      </c>
      <c r="AK477" s="325">
        <f t="shared" si="826"/>
        <v>56.900000000000006</v>
      </c>
      <c r="AL477" s="325">
        <f t="shared" si="826"/>
        <v>-6.7000000000000028</v>
      </c>
      <c r="AM477" s="326">
        <f t="shared" si="826"/>
        <v>30.499999999999993</v>
      </c>
      <c r="AN477" s="325">
        <f t="shared" si="826"/>
        <v>43.599999999999994</v>
      </c>
      <c r="AO477" s="325">
        <f t="shared" si="826"/>
        <v>26.899999999999991</v>
      </c>
      <c r="AP477" s="325">
        <f t="shared" si="826"/>
        <v>44.600000000000016</v>
      </c>
      <c r="AQ477" s="326"/>
      <c r="AR477" s="325"/>
      <c r="AS477" s="325"/>
      <c r="AT477" s="325"/>
      <c r="AU477" s="326"/>
      <c r="AV477" s="325"/>
      <c r="AW477" s="325"/>
      <c r="AX477" s="325"/>
      <c r="AY477" s="326"/>
      <c r="AZ477" s="325"/>
      <c r="BA477" s="325"/>
      <c r="BB477" s="325"/>
      <c r="BC477" s="326"/>
      <c r="BD477" s="325"/>
      <c r="BE477" s="325"/>
      <c r="BF477" s="325"/>
      <c r="BG477" s="326"/>
      <c r="BH477" s="325"/>
      <c r="BI477" s="325"/>
      <c r="BJ477" s="325"/>
      <c r="BK477" s="326"/>
      <c r="BL477" s="325"/>
      <c r="BM477" s="325"/>
      <c r="BN477" s="325"/>
      <c r="BO477" s="326"/>
      <c r="BP477" s="325"/>
      <c r="BQ477" s="325"/>
      <c r="BR477" s="325"/>
      <c r="BS477" s="326"/>
      <c r="BT477" s="325"/>
      <c r="BU477" s="325"/>
      <c r="BV477" s="325"/>
      <c r="BW477" s="326"/>
      <c r="BX477" s="283"/>
      <c r="BY477" s="286"/>
      <c r="BZ477" s="284"/>
      <c r="CA477" s="325"/>
      <c r="CB477" s="325"/>
      <c r="CC477" s="325">
        <f>CC471+SUM(CC473:CC476)</f>
        <v>277.20000000000005</v>
      </c>
      <c r="CD477" s="325">
        <f>CD471+SUM(CD473:CD476)</f>
        <v>-365.90000000000009</v>
      </c>
      <c r="CE477" s="325">
        <f>CE471+SUM(CE473:CE476)</f>
        <v>142.60000000000002</v>
      </c>
      <c r="CF477" s="325">
        <f>CF471+SUM(CF473:CF476)</f>
        <v>374.19999999999993</v>
      </c>
      <c r="CG477" s="325">
        <f>CG471+SUM(CG473:CG476)</f>
        <v>113.40000000000006</v>
      </c>
      <c r="CH477" s="325"/>
      <c r="CI477" s="325"/>
      <c r="CJ477" s="325"/>
      <c r="CK477" s="325"/>
      <c r="CL477" s="325"/>
      <c r="CM477" s="325"/>
      <c r="CN477" s="325"/>
      <c r="CO477" s="325"/>
      <c r="CP477" s="326"/>
    </row>
    <row r="478" spans="1:94" ht="14.25" hidden="1" customHeight="1" outlineLevel="2">
      <c r="A478" s="9"/>
      <c r="B478" s="288" t="s">
        <v>358</v>
      </c>
      <c r="C478" s="277"/>
      <c r="D478" s="251"/>
      <c r="E478" s="251"/>
      <c r="F478" s="251"/>
      <c r="G478" s="277"/>
      <c r="H478" s="251"/>
      <c r="I478" s="251"/>
      <c r="J478" s="251"/>
      <c r="K478" s="277"/>
      <c r="L478" s="289"/>
      <c r="M478" s="289"/>
      <c r="N478" s="289"/>
      <c r="O478" s="290"/>
      <c r="P478" s="323"/>
      <c r="Q478" s="289"/>
      <c r="R478" s="289"/>
      <c r="S478" s="290"/>
      <c r="T478" s="323"/>
      <c r="U478" s="289"/>
      <c r="V478" s="289"/>
      <c r="W478" s="290"/>
      <c r="X478" s="323"/>
      <c r="Y478" s="289"/>
      <c r="Z478" s="289"/>
      <c r="AA478" s="290"/>
      <c r="AB478" s="323"/>
      <c r="AC478" s="289"/>
      <c r="AD478" s="289"/>
      <c r="AE478" s="290"/>
      <c r="AF478" s="289">
        <f>AF471/AF461</f>
        <v>0.20101781170483457</v>
      </c>
      <c r="AG478" s="338">
        <f>AG471/AG461</f>
        <v>0.21395508314760844</v>
      </c>
      <c r="AH478" s="289">
        <f>AH471/AH461</f>
        <v>0.22923256201098718</v>
      </c>
      <c r="AI478" s="290">
        <f>AI471/AI461</f>
        <v>0.21581491712707179</v>
      </c>
      <c r="AJ478" s="289">
        <f t="shared" ref="AJ478:AP478" si="827">AJ471/AJ461</f>
        <v>8.2356995175740855E-2</v>
      </c>
      <c r="AK478" s="338">
        <f t="shared" si="827"/>
        <v>9.0979352986640172E-2</v>
      </c>
      <c r="AL478" s="289">
        <f t="shared" si="827"/>
        <v>7.8062360801781749E-2</v>
      </c>
      <c r="AM478" s="290">
        <f t="shared" si="827"/>
        <v>8.0468749999999992E-2</v>
      </c>
      <c r="AN478" s="289">
        <f t="shared" si="827"/>
        <v>9.0139709833422885E-2</v>
      </c>
      <c r="AO478" s="289">
        <f t="shared" si="827"/>
        <v>9.7073039742212666E-2</v>
      </c>
      <c r="AP478" s="289">
        <f t="shared" si="827"/>
        <v>9.4141971054445231E-2</v>
      </c>
      <c r="AQ478" s="290"/>
      <c r="AR478" s="289"/>
      <c r="AS478" s="289"/>
      <c r="AT478" s="289"/>
      <c r="AU478" s="290"/>
      <c r="AV478" s="289"/>
      <c r="AW478" s="289"/>
      <c r="AX478" s="289"/>
      <c r="AY478" s="290"/>
      <c r="AZ478" s="289"/>
      <c r="BA478" s="289"/>
      <c r="BB478" s="289"/>
      <c r="BC478" s="290"/>
      <c r="BD478" s="289"/>
      <c r="BE478" s="289"/>
      <c r="BF478" s="289"/>
      <c r="BG478" s="290"/>
      <c r="BH478" s="289"/>
      <c r="BI478" s="289"/>
      <c r="BJ478" s="289"/>
      <c r="BK478" s="290"/>
      <c r="BL478" s="289"/>
      <c r="BM478" s="289"/>
      <c r="BN478" s="289"/>
      <c r="BO478" s="290"/>
      <c r="BP478" s="289"/>
      <c r="BQ478" s="289"/>
      <c r="BR478" s="289"/>
      <c r="BS478" s="290"/>
      <c r="BT478" s="289"/>
      <c r="BU478" s="289"/>
      <c r="BV478" s="289"/>
      <c r="BW478" s="290"/>
      <c r="BX478" s="263"/>
      <c r="BY478" s="235"/>
      <c r="BZ478" s="251"/>
      <c r="CA478" s="338"/>
      <c r="CB478" s="338"/>
      <c r="CC478" s="338">
        <f>CC471/CC461</f>
        <v>0.20840250287319631</v>
      </c>
      <c r="CD478" s="338">
        <f>CD471/CD461</f>
        <v>0.15008759976640063</v>
      </c>
      <c r="CE478" s="338">
        <f>CE471/CE461</f>
        <v>0.12821527502967947</v>
      </c>
      <c r="CF478" s="289">
        <f>CF471/CF461</f>
        <v>0.215310797959713</v>
      </c>
      <c r="CG478" s="338">
        <f>CG471/CG461</f>
        <v>8.3083984545216871E-2</v>
      </c>
      <c r="CH478" s="338"/>
      <c r="CI478" s="338"/>
      <c r="CJ478" s="338"/>
      <c r="CK478" s="338"/>
      <c r="CL478" s="338"/>
      <c r="CM478" s="338"/>
      <c r="CN478" s="338"/>
      <c r="CO478" s="338"/>
      <c r="CP478" s="337"/>
    </row>
    <row r="479" spans="1:94" ht="14.25" hidden="1" customHeight="1" outlineLevel="2">
      <c r="A479" s="9"/>
      <c r="B479" s="217" t="s">
        <v>297</v>
      </c>
      <c r="C479" s="218"/>
      <c r="D479" s="372"/>
      <c r="E479" s="372"/>
      <c r="F479" s="372"/>
      <c r="G479" s="218"/>
      <c r="H479" s="372"/>
      <c r="I479" s="372"/>
      <c r="J479" s="372"/>
      <c r="K479" s="218"/>
      <c r="L479" s="220"/>
      <c r="M479" s="220"/>
      <c r="N479" s="220"/>
      <c r="O479" s="258"/>
      <c r="P479" s="220"/>
      <c r="Q479" s="220"/>
      <c r="R479" s="220"/>
      <c r="S479" s="258"/>
      <c r="T479" s="220"/>
      <c r="U479" s="220"/>
      <c r="V479" s="220"/>
      <c r="W479" s="258"/>
      <c r="X479" s="220"/>
      <c r="Y479" s="220"/>
      <c r="Z479" s="220"/>
      <c r="AA479" s="258"/>
      <c r="AB479" s="220"/>
      <c r="AC479" s="220"/>
      <c r="AD479" s="220"/>
      <c r="AE479" s="258"/>
      <c r="AF479" s="425"/>
      <c r="AG479" s="220">
        <f t="shared" ref="AG479:AP479" si="828">AG471/AF471-1</f>
        <v>0.12839059674502717</v>
      </c>
      <c r="AH479" s="220">
        <f t="shared" si="828"/>
        <v>0.10336538461538458</v>
      </c>
      <c r="AI479" s="258">
        <f t="shared" si="828"/>
        <v>-9.2229484386347038E-2</v>
      </c>
      <c r="AJ479" s="425">
        <f t="shared" si="828"/>
        <v>-0.4264</v>
      </c>
      <c r="AK479" s="220">
        <f t="shared" si="828"/>
        <v>0.1492329149232916</v>
      </c>
      <c r="AL479" s="220">
        <f t="shared" si="828"/>
        <v>-0.14927184466019416</v>
      </c>
      <c r="AM479" s="258">
        <f t="shared" si="828"/>
        <v>-0.11840228245363782</v>
      </c>
      <c r="AN479" s="220">
        <f t="shared" si="828"/>
        <v>8.5760517799352787E-2</v>
      </c>
      <c r="AO479" s="220">
        <f t="shared" si="828"/>
        <v>7.7496274217585759E-2</v>
      </c>
      <c r="AP479" s="220">
        <f t="shared" si="828"/>
        <v>-5.5325034578146415E-2</v>
      </c>
      <c r="AQ479" s="258"/>
      <c r="AR479" s="257"/>
      <c r="AS479" s="257"/>
      <c r="AT479" s="257"/>
      <c r="AU479" s="258"/>
      <c r="AV479" s="257"/>
      <c r="AW479" s="257"/>
      <c r="AX479" s="257"/>
      <c r="AY479" s="258"/>
      <c r="AZ479" s="257"/>
      <c r="BA479" s="257"/>
      <c r="BB479" s="257"/>
      <c r="BC479" s="258"/>
      <c r="BD479" s="257"/>
      <c r="BE479" s="257"/>
      <c r="BF479" s="257"/>
      <c r="BG479" s="258"/>
      <c r="BH479" s="257"/>
      <c r="BI479" s="257"/>
      <c r="BJ479" s="257"/>
      <c r="BK479" s="258"/>
      <c r="BL479" s="257"/>
      <c r="BM479" s="257"/>
      <c r="BN479" s="257"/>
      <c r="BO479" s="258"/>
      <c r="BP479" s="257"/>
      <c r="BQ479" s="257"/>
      <c r="BR479" s="257"/>
      <c r="BS479" s="258"/>
      <c r="BT479" s="257"/>
      <c r="BU479" s="257"/>
      <c r="BV479" s="257"/>
      <c r="BW479" s="258"/>
      <c r="BX479" s="263"/>
      <c r="BY479" s="235"/>
      <c r="BZ479" s="251"/>
      <c r="CA479" s="15"/>
      <c r="CB479" s="15"/>
      <c r="CC479" s="15"/>
      <c r="CD479" s="15"/>
      <c r="CE479" s="15"/>
      <c r="CF479" s="338"/>
      <c r="CG479" s="220"/>
      <c r="CH479" s="220"/>
      <c r="CI479" s="220"/>
      <c r="CJ479" s="220"/>
      <c r="CK479" s="220"/>
      <c r="CL479" s="220"/>
      <c r="CM479" s="220"/>
      <c r="CN479" s="220"/>
      <c r="CO479" s="220"/>
      <c r="CP479" s="258"/>
    </row>
    <row r="480" spans="1:94" ht="14.25" hidden="1" customHeight="1" outlineLevel="2">
      <c r="A480" s="9"/>
      <c r="B480" s="32" t="s">
        <v>298</v>
      </c>
      <c r="C480" s="33"/>
      <c r="D480" s="259"/>
      <c r="E480" s="259"/>
      <c r="F480" s="259"/>
      <c r="G480" s="33"/>
      <c r="H480" s="259"/>
      <c r="I480" s="259"/>
      <c r="J480" s="259"/>
      <c r="K480" s="33"/>
      <c r="L480" s="220"/>
      <c r="M480" s="220"/>
      <c r="N480" s="220"/>
      <c r="O480" s="258"/>
      <c r="P480" s="220"/>
      <c r="Q480" s="220"/>
      <c r="R480" s="220"/>
      <c r="S480" s="258"/>
      <c r="T480" s="220"/>
      <c r="U480" s="220"/>
      <c r="V480" s="220"/>
      <c r="W480" s="258"/>
      <c r="X480" s="220"/>
      <c r="Y480" s="220"/>
      <c r="Z480" s="220"/>
      <c r="AA480" s="258"/>
      <c r="AB480" s="220"/>
      <c r="AC480" s="220"/>
      <c r="AD480" s="220"/>
      <c r="AE480" s="258"/>
      <c r="AF480" s="425"/>
      <c r="AG480" s="418"/>
      <c r="AH480" s="418"/>
      <c r="AI480" s="419"/>
      <c r="AJ480" s="425">
        <f t="shared" ref="AJ480:AP480" si="829">AJ471/AF471-1</f>
        <v>-0.35171790235081368</v>
      </c>
      <c r="AK480" s="418">
        <f t="shared" si="829"/>
        <v>-0.33974358974358965</v>
      </c>
      <c r="AL480" s="418">
        <f t="shared" si="829"/>
        <v>-0.4909222948438634</v>
      </c>
      <c r="AM480" s="419">
        <f t="shared" si="829"/>
        <v>-0.50560000000000005</v>
      </c>
      <c r="AN480" s="220">
        <f t="shared" si="829"/>
        <v>-6.4156206415620809E-2</v>
      </c>
      <c r="AO480" s="220">
        <f t="shared" si="829"/>
        <v>-0.12257281553398069</v>
      </c>
      <c r="AP480" s="220">
        <f t="shared" si="829"/>
        <v>-2.5677603423680417E-2</v>
      </c>
      <c r="AQ480" s="258"/>
      <c r="AR480" s="257"/>
      <c r="AS480" s="257"/>
      <c r="AT480" s="257"/>
      <c r="AU480" s="258"/>
      <c r="AV480" s="257"/>
      <c r="AW480" s="257"/>
      <c r="AX480" s="257"/>
      <c r="AY480" s="258"/>
      <c r="AZ480" s="257"/>
      <c r="BA480" s="257"/>
      <c r="BB480" s="257"/>
      <c r="BC480" s="258"/>
      <c r="BD480" s="257"/>
      <c r="BE480" s="257"/>
      <c r="BF480" s="257"/>
      <c r="BG480" s="258"/>
      <c r="BH480" s="257"/>
      <c r="BI480" s="257"/>
      <c r="BJ480" s="257"/>
      <c r="BK480" s="258"/>
      <c r="BL480" s="257"/>
      <c r="BM480" s="257"/>
      <c r="BN480" s="257"/>
      <c r="BO480" s="258"/>
      <c r="BP480" s="257"/>
      <c r="BQ480" s="257"/>
      <c r="BR480" s="257"/>
      <c r="BS480" s="258"/>
      <c r="BT480" s="257"/>
      <c r="BU480" s="257"/>
      <c r="BV480" s="257"/>
      <c r="BW480" s="258"/>
      <c r="BX480" s="263"/>
      <c r="BY480" s="235"/>
      <c r="BZ480" s="251"/>
      <c r="CA480" s="15"/>
      <c r="CB480" s="338"/>
      <c r="CC480" s="418"/>
      <c r="CD480" s="338">
        <f>CD471/CC471-1</f>
        <v>-5.5147058823529549E-2</v>
      </c>
      <c r="CE480" s="338">
        <f>CE471/CD471-1</f>
        <v>-0.2645914396887159</v>
      </c>
      <c r="CF480" s="338">
        <f>CF471/CE471-1</f>
        <v>1.1962081128747792</v>
      </c>
      <c r="CG480" s="338">
        <f>CG471/CF471-1</f>
        <v>-0.42581810881349114</v>
      </c>
      <c r="CH480" s="338"/>
      <c r="CI480" s="338"/>
      <c r="CJ480" s="338"/>
      <c r="CK480" s="338"/>
      <c r="CL480" s="338"/>
      <c r="CM480" s="338"/>
      <c r="CN480" s="338"/>
      <c r="CO480" s="338"/>
      <c r="CP480" s="337"/>
    </row>
    <row r="481" spans="1:94" ht="14.25" hidden="1" customHeight="1" outlineLevel="2">
      <c r="A481" s="9"/>
      <c r="B481" s="32"/>
      <c r="C481" s="259"/>
      <c r="D481" s="259"/>
      <c r="E481" s="259"/>
      <c r="F481" s="259"/>
      <c r="G481" s="33"/>
      <c r="H481" s="259"/>
      <c r="I481" s="259"/>
      <c r="J481" s="259"/>
      <c r="K481" s="33"/>
      <c r="L481" s="15"/>
      <c r="M481" s="15"/>
      <c r="N481" s="15"/>
      <c r="O481" s="211"/>
      <c r="P481" s="15"/>
      <c r="Q481" s="15"/>
      <c r="R481" s="15"/>
      <c r="S481" s="211"/>
      <c r="T481" s="15"/>
      <c r="U481" s="15"/>
      <c r="V481" s="15"/>
      <c r="W481" s="211"/>
      <c r="X481" s="15"/>
      <c r="Y481" s="15"/>
      <c r="Z481" s="15"/>
      <c r="AA481" s="211"/>
      <c r="AB481" s="15"/>
      <c r="AC481" s="15"/>
      <c r="AD481" s="15"/>
      <c r="AE481" s="211"/>
      <c r="AF481" s="220"/>
      <c r="AG481" s="220"/>
      <c r="AH481" s="220"/>
      <c r="AI481" s="258"/>
      <c r="AJ481" s="220"/>
      <c r="AK481" s="220"/>
      <c r="AL481" s="220"/>
      <c r="AM481" s="258"/>
      <c r="AN481" s="220"/>
      <c r="AO481" s="220"/>
      <c r="AP481" s="257"/>
      <c r="AQ481" s="258"/>
      <c r="AR481" s="257"/>
      <c r="AS481" s="257"/>
      <c r="AT481" s="257"/>
      <c r="AU481" s="258"/>
      <c r="AV481" s="257"/>
      <c r="AW481" s="257"/>
      <c r="AX481" s="257"/>
      <c r="AY481" s="258"/>
      <c r="AZ481" s="257"/>
      <c r="BA481" s="257"/>
      <c r="BB481" s="257"/>
      <c r="BC481" s="258"/>
      <c r="BD481" s="257"/>
      <c r="BE481" s="257"/>
      <c r="BF481" s="257"/>
      <c r="BG481" s="258"/>
      <c r="BH481" s="257"/>
      <c r="BI481" s="257"/>
      <c r="BJ481" s="257"/>
      <c r="BK481" s="258"/>
      <c r="BL481" s="257"/>
      <c r="BM481" s="257"/>
      <c r="BN481" s="257"/>
      <c r="BO481" s="258"/>
      <c r="BP481" s="257"/>
      <c r="BQ481" s="257"/>
      <c r="BR481" s="257"/>
      <c r="BS481" s="258"/>
      <c r="BT481" s="257"/>
      <c r="BU481" s="257"/>
      <c r="BV481" s="257"/>
      <c r="BW481" s="258"/>
      <c r="BX481" s="263"/>
      <c r="BY481" s="235"/>
      <c r="BZ481" s="251"/>
      <c r="CA481" s="15"/>
      <c r="CB481" s="15"/>
      <c r="CC481" s="15"/>
      <c r="CD481" s="15"/>
      <c r="CE481" s="15"/>
      <c r="CF481" s="220"/>
      <c r="CG481" s="220"/>
      <c r="CH481" s="220"/>
      <c r="CI481" s="220"/>
      <c r="CJ481" s="220"/>
      <c r="CK481" s="220"/>
      <c r="CL481" s="220"/>
      <c r="CM481" s="220"/>
      <c r="CN481" s="220"/>
      <c r="CO481" s="220"/>
      <c r="CP481" s="258"/>
    </row>
    <row r="482" spans="1:94" ht="14.25" hidden="1" customHeight="1" outlineLevel="2">
      <c r="A482" s="9"/>
      <c r="B482" s="235" t="s">
        <v>318</v>
      </c>
      <c r="C482" s="259"/>
      <c r="D482" s="259"/>
      <c r="E482" s="259"/>
      <c r="F482" s="259"/>
      <c r="G482" s="33"/>
      <c r="H482" s="259"/>
      <c r="I482" s="259"/>
      <c r="J482" s="259"/>
      <c r="K482" s="33"/>
      <c r="L482" s="329"/>
      <c r="M482" s="329"/>
      <c r="N482" s="329"/>
      <c r="O482" s="330"/>
      <c r="P482" s="331"/>
      <c r="Q482" s="329"/>
      <c r="R482" s="329"/>
      <c r="S482" s="330"/>
      <c r="T482" s="331"/>
      <c r="U482" s="329"/>
      <c r="V482" s="329"/>
      <c r="W482" s="330"/>
      <c r="X482" s="331"/>
      <c r="Y482" s="329"/>
      <c r="Z482" s="329"/>
      <c r="AA482" s="330"/>
      <c r="AB482" s="331"/>
      <c r="AC482" s="329"/>
      <c r="AD482" s="329"/>
      <c r="AE482" s="330"/>
      <c r="AF482" s="331">
        <v>550.20000000000005</v>
      </c>
      <c r="AG482" s="329">
        <v>583.29999999999995</v>
      </c>
      <c r="AH482" s="329">
        <v>600.70000000000005</v>
      </c>
      <c r="AI482" s="330">
        <v>579.20000000000005</v>
      </c>
      <c r="AJ482" s="331">
        <v>870.6</v>
      </c>
      <c r="AK482" s="329">
        <v>905.8</v>
      </c>
      <c r="AL482" s="329">
        <v>898</v>
      </c>
      <c r="AM482" s="330">
        <v>767.9</v>
      </c>
      <c r="AN482" s="331">
        <v>744.4</v>
      </c>
      <c r="AO482" s="329">
        <v>744.8</v>
      </c>
      <c r="AP482" s="554">
        <v>725.5</v>
      </c>
      <c r="AQ482" s="330"/>
      <c r="AR482" s="391"/>
      <c r="AS482" s="390"/>
      <c r="AT482" s="390"/>
      <c r="AU482" s="389"/>
      <c r="AV482" s="391"/>
      <c r="AW482" s="390"/>
      <c r="AX482" s="390"/>
      <c r="AY482" s="389"/>
      <c r="AZ482" s="391"/>
      <c r="BA482" s="390"/>
      <c r="BB482" s="390"/>
      <c r="BC482" s="389"/>
      <c r="BD482" s="391"/>
      <c r="BE482" s="390"/>
      <c r="BF482" s="390"/>
      <c r="BG482" s="389"/>
      <c r="BH482" s="391"/>
      <c r="BI482" s="390"/>
      <c r="BJ482" s="390"/>
      <c r="BK482" s="389"/>
      <c r="BL482" s="391"/>
      <c r="BM482" s="390"/>
      <c r="BN482" s="390"/>
      <c r="BO482" s="389"/>
      <c r="BP482" s="391"/>
      <c r="BQ482" s="390"/>
      <c r="BR482" s="390"/>
      <c r="BS482" s="389"/>
      <c r="BT482" s="391"/>
      <c r="BU482" s="390"/>
      <c r="BV482" s="390"/>
      <c r="BW482" s="389"/>
      <c r="BX482" s="263"/>
      <c r="BY482" s="235"/>
      <c r="BZ482" s="251"/>
      <c r="CA482" s="325"/>
      <c r="CB482" s="325"/>
      <c r="CC482" s="329">
        <v>1566.2</v>
      </c>
      <c r="CD482" s="554">
        <v>2054.8000000000002</v>
      </c>
      <c r="CE482" s="554">
        <v>1768.9</v>
      </c>
      <c r="CF482" s="325">
        <f>SUM(AF482:AI482)</f>
        <v>2313.4</v>
      </c>
      <c r="CG482" s="325">
        <f>SUM(AJ482:AM482)</f>
        <v>3442.3</v>
      </c>
      <c r="CH482" s="325"/>
      <c r="CI482" s="325"/>
      <c r="CJ482" s="325"/>
      <c r="CK482" s="325"/>
      <c r="CL482" s="325"/>
      <c r="CM482" s="325"/>
      <c r="CN482" s="325"/>
      <c r="CO482" s="325"/>
      <c r="CP482" s="326"/>
    </row>
    <row r="483" spans="1:94" ht="14.25" hidden="1" customHeight="1" outlineLevel="2">
      <c r="A483" s="689"/>
      <c r="B483" s="678" t="s">
        <v>166</v>
      </c>
      <c r="C483" s="679"/>
      <c r="D483" s="679"/>
      <c r="E483" s="679"/>
      <c r="F483" s="679"/>
      <c r="G483" s="680"/>
      <c r="H483" s="679"/>
      <c r="I483" s="679"/>
      <c r="J483" s="679"/>
      <c r="K483" s="680"/>
      <c r="L483" s="681"/>
      <c r="M483" s="681"/>
      <c r="N483" s="681"/>
      <c r="O483" s="682"/>
      <c r="P483" s="681"/>
      <c r="Q483" s="681"/>
      <c r="R483" s="681"/>
      <c r="S483" s="682"/>
      <c r="T483" s="681"/>
      <c r="U483" s="681"/>
      <c r="V483" s="681"/>
      <c r="W483" s="682"/>
      <c r="X483" s="681"/>
      <c r="Y483" s="681"/>
      <c r="Z483" s="681"/>
      <c r="AA483" s="682"/>
      <c r="AB483" s="681"/>
      <c r="AC483" s="681"/>
      <c r="AD483" s="681"/>
      <c r="AE483" s="682"/>
      <c r="AF483" s="757">
        <f t="shared" ref="AF483:AP483" si="830">AF482-AF461</f>
        <v>0</v>
      </c>
      <c r="AG483" s="757">
        <f t="shared" si="830"/>
        <v>0</v>
      </c>
      <c r="AH483" s="757">
        <f t="shared" si="830"/>
        <v>0</v>
      </c>
      <c r="AI483" s="758">
        <f t="shared" si="830"/>
        <v>0</v>
      </c>
      <c r="AJ483" s="757">
        <f t="shared" si="830"/>
        <v>0</v>
      </c>
      <c r="AK483" s="757">
        <f t="shared" si="830"/>
        <v>9.9999999999909051E-2</v>
      </c>
      <c r="AL483" s="757">
        <f t="shared" si="830"/>
        <v>0</v>
      </c>
      <c r="AM483" s="758">
        <f t="shared" si="830"/>
        <v>-0.10000000000002274</v>
      </c>
      <c r="AN483" s="757">
        <f t="shared" si="830"/>
        <v>0</v>
      </c>
      <c r="AO483" s="757">
        <f t="shared" si="830"/>
        <v>0</v>
      </c>
      <c r="AP483" s="757">
        <f t="shared" si="830"/>
        <v>0</v>
      </c>
      <c r="AQ483" s="758"/>
      <c r="AR483" s="684"/>
      <c r="AS483" s="684"/>
      <c r="AT483" s="684"/>
      <c r="AU483" s="685"/>
      <c r="AV483" s="684"/>
      <c r="AW483" s="684"/>
      <c r="AX483" s="684"/>
      <c r="AY483" s="685"/>
      <c r="AZ483" s="684"/>
      <c r="BA483" s="684"/>
      <c r="BB483" s="684"/>
      <c r="BC483" s="685"/>
      <c r="BD483" s="684"/>
      <c r="BE483" s="684"/>
      <c r="BF483" s="684"/>
      <c r="BG483" s="685"/>
      <c r="BH483" s="684"/>
      <c r="BI483" s="684"/>
      <c r="BJ483" s="684"/>
      <c r="BK483" s="685"/>
      <c r="BL483" s="684"/>
      <c r="BM483" s="684"/>
      <c r="BN483" s="684"/>
      <c r="BO483" s="685"/>
      <c r="BP483" s="684"/>
      <c r="BQ483" s="684"/>
      <c r="BR483" s="684"/>
      <c r="BS483" s="685"/>
      <c r="BT483" s="684"/>
      <c r="BU483" s="684"/>
      <c r="BV483" s="684"/>
      <c r="BW483" s="685"/>
      <c r="BX483" s="774"/>
      <c r="BY483" s="686"/>
      <c r="BZ483" s="687"/>
      <c r="CA483" s="688"/>
      <c r="CB483" s="688"/>
      <c r="CC483" s="759">
        <f>CC482-CC461</f>
        <v>0</v>
      </c>
      <c r="CD483" s="759">
        <f>CD482-CD461</f>
        <v>0</v>
      </c>
      <c r="CE483" s="759">
        <f>CE482-CE461</f>
        <v>0</v>
      </c>
      <c r="CF483" s="759">
        <f>CF482-CF461</f>
        <v>0</v>
      </c>
      <c r="CG483" s="759">
        <f>CG482-CG461</f>
        <v>0</v>
      </c>
      <c r="CH483" s="759"/>
      <c r="CI483" s="688"/>
      <c r="CJ483" s="688"/>
      <c r="CK483" s="688"/>
      <c r="CL483" s="688"/>
      <c r="CM483" s="688"/>
      <c r="CN483" s="688"/>
      <c r="CO483" s="688"/>
      <c r="CP483" s="798"/>
    </row>
    <row r="484" spans="1:94" ht="14.25" hidden="1" customHeight="1" outlineLevel="2">
      <c r="A484" s="9"/>
      <c r="B484" s="235"/>
      <c r="C484" s="259"/>
      <c r="D484" s="259"/>
      <c r="E484" s="259"/>
      <c r="F484" s="259"/>
      <c r="G484" s="33"/>
      <c r="H484" s="259"/>
      <c r="I484" s="259"/>
      <c r="J484" s="259"/>
      <c r="K484" s="33"/>
      <c r="L484" s="329"/>
      <c r="M484" s="329"/>
      <c r="N484" s="329"/>
      <c r="O484" s="330"/>
      <c r="P484" s="329"/>
      <c r="Q484" s="329"/>
      <c r="R484" s="329"/>
      <c r="S484" s="330"/>
      <c r="T484" s="329"/>
      <c r="U484" s="329"/>
      <c r="V484" s="329"/>
      <c r="W484" s="330"/>
      <c r="X484" s="329"/>
      <c r="Y484" s="329"/>
      <c r="Z484" s="329"/>
      <c r="AA484" s="330"/>
      <c r="AB484" s="329"/>
      <c r="AC484" s="329"/>
      <c r="AD484" s="329"/>
      <c r="AE484" s="330"/>
      <c r="AF484" s="329"/>
      <c r="AG484" s="329"/>
      <c r="AH484" s="329"/>
      <c r="AI484" s="330"/>
      <c r="AJ484" s="329"/>
      <c r="AK484" s="329"/>
      <c r="AL484" s="329"/>
      <c r="AM484" s="330"/>
      <c r="AN484" s="329"/>
      <c r="AO484" s="329"/>
      <c r="AP484" s="554"/>
      <c r="AQ484" s="330"/>
      <c r="AR484" s="390"/>
      <c r="AS484" s="390"/>
      <c r="AT484" s="390"/>
      <c r="AU484" s="389"/>
      <c r="AV484" s="390"/>
      <c r="AW484" s="390"/>
      <c r="AX484" s="390"/>
      <c r="AY484" s="389"/>
      <c r="AZ484" s="390"/>
      <c r="BA484" s="390"/>
      <c r="BB484" s="390"/>
      <c r="BC484" s="389"/>
      <c r="BD484" s="390"/>
      <c r="BE484" s="390"/>
      <c r="BF484" s="390"/>
      <c r="BG484" s="389"/>
      <c r="BH484" s="390"/>
      <c r="BI484" s="390"/>
      <c r="BJ484" s="390"/>
      <c r="BK484" s="389"/>
      <c r="BL484" s="390"/>
      <c r="BM484" s="390"/>
      <c r="BN484" s="390"/>
      <c r="BO484" s="389"/>
      <c r="BP484" s="390"/>
      <c r="BQ484" s="390"/>
      <c r="BR484" s="390"/>
      <c r="BS484" s="389"/>
      <c r="BT484" s="390"/>
      <c r="BU484" s="390"/>
      <c r="BV484" s="390"/>
      <c r="BW484" s="389"/>
      <c r="BX484" s="263"/>
      <c r="BY484" s="235"/>
      <c r="BZ484" s="251"/>
      <c r="CA484" s="325"/>
      <c r="CB484" s="325"/>
      <c r="CC484" s="329"/>
      <c r="CD484" s="554"/>
      <c r="CE484" s="554"/>
      <c r="CF484" s="329"/>
      <c r="CG484" s="325"/>
      <c r="CH484" s="325"/>
      <c r="CI484" s="325"/>
      <c r="CJ484" s="325"/>
      <c r="CK484" s="325"/>
      <c r="CL484" s="325"/>
      <c r="CM484" s="325"/>
      <c r="CN484" s="325"/>
      <c r="CO484" s="325"/>
      <c r="CP484" s="326"/>
    </row>
    <row r="485" spans="1:94" ht="14.25" hidden="1" customHeight="1" outlineLevel="2">
      <c r="A485" s="9"/>
      <c r="B485" s="235" t="s">
        <v>211</v>
      </c>
      <c r="C485" s="259"/>
      <c r="D485" s="259"/>
      <c r="E485" s="259"/>
      <c r="F485" s="259"/>
      <c r="G485" s="33"/>
      <c r="H485" s="259"/>
      <c r="I485" s="259"/>
      <c r="J485" s="259"/>
      <c r="K485" s="33"/>
      <c r="L485" s="329"/>
      <c r="M485" s="329"/>
      <c r="N485" s="329"/>
      <c r="O485" s="330"/>
      <c r="P485" s="329"/>
      <c r="Q485" s="329"/>
      <c r="R485" s="329"/>
      <c r="S485" s="330"/>
      <c r="T485" s="329"/>
      <c r="U485" s="329"/>
      <c r="V485" s="329"/>
      <c r="W485" s="330"/>
      <c r="X485" s="329"/>
      <c r="Y485" s="329"/>
      <c r="Z485" s="329"/>
      <c r="AA485" s="330"/>
      <c r="AB485" s="329"/>
      <c r="AC485" s="329"/>
      <c r="AD485" s="329"/>
      <c r="AE485" s="330"/>
      <c r="AF485" s="329">
        <v>228.1</v>
      </c>
      <c r="AG485" s="329">
        <v>243.8</v>
      </c>
      <c r="AH485" s="329">
        <v>246.5</v>
      </c>
      <c r="AI485" s="330">
        <v>237.6</v>
      </c>
      <c r="AJ485" s="329">
        <v>242.4</v>
      </c>
      <c r="AK485" s="329">
        <v>266.10000000000002</v>
      </c>
      <c r="AL485" s="329">
        <v>261.10000000000002</v>
      </c>
      <c r="AM485" s="330">
        <v>239.2</v>
      </c>
      <c r="AN485" s="329">
        <v>245.2</v>
      </c>
      <c r="AO485" s="329">
        <v>258.3</v>
      </c>
      <c r="AP485" s="554">
        <v>238</v>
      </c>
      <c r="AQ485" s="330"/>
      <c r="AR485" s="390"/>
      <c r="AS485" s="390"/>
      <c r="AT485" s="390"/>
      <c r="AU485" s="389"/>
      <c r="AV485" s="390"/>
      <c r="AW485" s="390"/>
      <c r="AX485" s="390"/>
      <c r="AY485" s="389"/>
      <c r="AZ485" s="390"/>
      <c r="BA485" s="390"/>
      <c r="BB485" s="390"/>
      <c r="BC485" s="389"/>
      <c r="BD485" s="390"/>
      <c r="BE485" s="390"/>
      <c r="BF485" s="390"/>
      <c r="BG485" s="389"/>
      <c r="BH485" s="390"/>
      <c r="BI485" s="390"/>
      <c r="BJ485" s="390"/>
      <c r="BK485" s="389"/>
      <c r="BL485" s="390"/>
      <c r="BM485" s="390"/>
      <c r="BN485" s="390"/>
      <c r="BO485" s="389"/>
      <c r="BP485" s="390"/>
      <c r="BQ485" s="390"/>
      <c r="BR485" s="390"/>
      <c r="BS485" s="389"/>
      <c r="BT485" s="390"/>
      <c r="BU485" s="390"/>
      <c r="BV485" s="390"/>
      <c r="BW485" s="389"/>
      <c r="BX485" s="263"/>
      <c r="BY485" s="235"/>
      <c r="BZ485" s="251"/>
      <c r="CA485" s="325"/>
      <c r="CB485" s="325"/>
      <c r="CC485" s="329">
        <v>590.5</v>
      </c>
      <c r="CD485" s="554">
        <v>745.5</v>
      </c>
      <c r="CE485" s="554">
        <v>620.70000000000005</v>
      </c>
      <c r="CF485" s="325">
        <f>SUM(AF485:AI485)</f>
        <v>956</v>
      </c>
      <c r="CG485" s="325">
        <f>SUM(AJ485:AM485)</f>
        <v>1008.8</v>
      </c>
      <c r="CH485" s="325"/>
      <c r="CI485" s="325"/>
      <c r="CJ485" s="325"/>
      <c r="CK485" s="325"/>
      <c r="CL485" s="325"/>
      <c r="CM485" s="325"/>
      <c r="CN485" s="325"/>
      <c r="CO485" s="325"/>
      <c r="CP485" s="326"/>
    </row>
    <row r="486" spans="1:94" ht="14.25" hidden="1" customHeight="1" outlineLevel="2">
      <c r="A486" s="689"/>
      <c r="B486" s="678" t="s">
        <v>166</v>
      </c>
      <c r="C486" s="679"/>
      <c r="D486" s="679"/>
      <c r="E486" s="679"/>
      <c r="F486" s="679"/>
      <c r="G486" s="680"/>
      <c r="H486" s="679"/>
      <c r="I486" s="679"/>
      <c r="J486" s="679"/>
      <c r="K486" s="680"/>
      <c r="L486" s="681"/>
      <c r="M486" s="681"/>
      <c r="N486" s="681"/>
      <c r="O486" s="682"/>
      <c r="P486" s="681"/>
      <c r="Q486" s="681"/>
      <c r="R486" s="681"/>
      <c r="S486" s="682"/>
      <c r="T486" s="681"/>
      <c r="U486" s="681"/>
      <c r="V486" s="681"/>
      <c r="W486" s="682"/>
      <c r="X486" s="681"/>
      <c r="Y486" s="681"/>
      <c r="Z486" s="681"/>
      <c r="AA486" s="682"/>
      <c r="AB486" s="681"/>
      <c r="AC486" s="681"/>
      <c r="AD486" s="681"/>
      <c r="AE486" s="682"/>
      <c r="AF486" s="752">
        <f t="shared" ref="AF486:AP486" si="831">AF485-AF468</f>
        <v>0</v>
      </c>
      <c r="AG486" s="752">
        <f t="shared" si="831"/>
        <v>0</v>
      </c>
      <c r="AH486" s="752">
        <f t="shared" si="831"/>
        <v>0</v>
      </c>
      <c r="AI486" s="753">
        <f t="shared" si="831"/>
        <v>0</v>
      </c>
      <c r="AJ486" s="752">
        <f t="shared" si="831"/>
        <v>0</v>
      </c>
      <c r="AK486" s="752">
        <f t="shared" si="831"/>
        <v>0</v>
      </c>
      <c r="AL486" s="752">
        <f t="shared" si="831"/>
        <v>0</v>
      </c>
      <c r="AM486" s="753">
        <f t="shared" si="831"/>
        <v>0</v>
      </c>
      <c r="AN486" s="752">
        <f t="shared" si="831"/>
        <v>0</v>
      </c>
      <c r="AO486" s="752">
        <f t="shared" si="831"/>
        <v>0</v>
      </c>
      <c r="AP486" s="752">
        <f t="shared" si="831"/>
        <v>0</v>
      </c>
      <c r="AQ486" s="753"/>
      <c r="AR486" s="684"/>
      <c r="AS486" s="684"/>
      <c r="AT486" s="684"/>
      <c r="AU486" s="685"/>
      <c r="AV486" s="684"/>
      <c r="AW486" s="684"/>
      <c r="AX486" s="684"/>
      <c r="AY486" s="685"/>
      <c r="AZ486" s="684"/>
      <c r="BA486" s="684"/>
      <c r="BB486" s="684"/>
      <c r="BC486" s="685"/>
      <c r="BD486" s="684"/>
      <c r="BE486" s="684"/>
      <c r="BF486" s="684"/>
      <c r="BG486" s="685"/>
      <c r="BH486" s="684"/>
      <c r="BI486" s="684"/>
      <c r="BJ486" s="684"/>
      <c r="BK486" s="685"/>
      <c r="BL486" s="684"/>
      <c r="BM486" s="684"/>
      <c r="BN486" s="684"/>
      <c r="BO486" s="685"/>
      <c r="BP486" s="684"/>
      <c r="BQ486" s="684"/>
      <c r="BR486" s="684"/>
      <c r="BS486" s="685"/>
      <c r="BT486" s="684"/>
      <c r="BU486" s="684"/>
      <c r="BV486" s="684"/>
      <c r="BW486" s="685"/>
      <c r="BX486" s="774"/>
      <c r="BY486" s="686"/>
      <c r="BZ486" s="687"/>
      <c r="CA486" s="688"/>
      <c r="CB486" s="688"/>
      <c r="CC486" s="759">
        <f>CC485-CC468</f>
        <v>0</v>
      </c>
      <c r="CD486" s="759">
        <f>CD485-CD468</f>
        <v>0</v>
      </c>
      <c r="CE486" s="759">
        <f>CE485-CE468</f>
        <v>0</v>
      </c>
      <c r="CF486" s="759">
        <f>CF485-CF468</f>
        <v>0</v>
      </c>
      <c r="CG486" s="759">
        <f>CG485-CG468</f>
        <v>0</v>
      </c>
      <c r="CH486" s="759"/>
      <c r="CI486" s="688"/>
      <c r="CJ486" s="688"/>
      <c r="CK486" s="688"/>
      <c r="CL486" s="688"/>
      <c r="CM486" s="688"/>
      <c r="CN486" s="688"/>
      <c r="CO486" s="688"/>
      <c r="CP486" s="798"/>
    </row>
    <row r="487" spans="1:94" ht="14.25" hidden="1" customHeight="1" outlineLevel="2">
      <c r="A487" s="9"/>
      <c r="B487" s="235"/>
      <c r="C487" s="259"/>
      <c r="D487" s="259"/>
      <c r="E487" s="259"/>
      <c r="F487" s="259"/>
      <c r="G487" s="33"/>
      <c r="H487" s="259"/>
      <c r="I487" s="259"/>
      <c r="J487" s="259"/>
      <c r="K487" s="33"/>
      <c r="L487" s="329"/>
      <c r="M487" s="329"/>
      <c r="N487" s="329"/>
      <c r="O487" s="330"/>
      <c r="P487" s="329"/>
      <c r="Q487" s="329"/>
      <c r="R487" s="329"/>
      <c r="S487" s="330"/>
      <c r="T487" s="329"/>
      <c r="U487" s="329"/>
      <c r="V487" s="329"/>
      <c r="W487" s="330"/>
      <c r="X487" s="329"/>
      <c r="Y487" s="329"/>
      <c r="Z487" s="329"/>
      <c r="AA487" s="330"/>
      <c r="AB487" s="329"/>
      <c r="AC487" s="329"/>
      <c r="AD487" s="329"/>
      <c r="AE487" s="330"/>
      <c r="AF487" s="329"/>
      <c r="AG487" s="329"/>
      <c r="AH487" s="329"/>
      <c r="AI487" s="330"/>
      <c r="AJ487" s="329"/>
      <c r="AK487" s="329"/>
      <c r="AL487" s="329"/>
      <c r="AM487" s="330"/>
      <c r="AN487" s="329"/>
      <c r="AO487" s="329"/>
      <c r="AP487" s="554"/>
      <c r="AQ487" s="330"/>
      <c r="AR487" s="390"/>
      <c r="AS487" s="390"/>
      <c r="AT487" s="390"/>
      <c r="AU487" s="389"/>
      <c r="AV487" s="390"/>
      <c r="AW487" s="390"/>
      <c r="AX487" s="390"/>
      <c r="AY487" s="389"/>
      <c r="AZ487" s="390"/>
      <c r="BA487" s="390"/>
      <c r="BB487" s="390"/>
      <c r="BC487" s="389"/>
      <c r="BD487" s="390"/>
      <c r="BE487" s="390"/>
      <c r="BF487" s="390"/>
      <c r="BG487" s="389"/>
      <c r="BH487" s="390"/>
      <c r="BI487" s="390"/>
      <c r="BJ487" s="390"/>
      <c r="BK487" s="389"/>
      <c r="BL487" s="390"/>
      <c r="BM487" s="390"/>
      <c r="BN487" s="390"/>
      <c r="BO487" s="389"/>
      <c r="BP487" s="390"/>
      <c r="BQ487" s="390"/>
      <c r="BR487" s="390"/>
      <c r="BS487" s="389"/>
      <c r="BT487" s="390"/>
      <c r="BU487" s="390"/>
      <c r="BV487" s="390"/>
      <c r="BW487" s="389"/>
      <c r="BX487" s="263"/>
      <c r="BY487" s="235"/>
      <c r="BZ487" s="251"/>
      <c r="CA487" s="325"/>
      <c r="CB487" s="325"/>
      <c r="CC487" s="329"/>
      <c r="CD487" s="554"/>
      <c r="CE487" s="554"/>
      <c r="CF487" s="329"/>
      <c r="CG487" s="325"/>
      <c r="CH487" s="325"/>
      <c r="CI487" s="325"/>
      <c r="CJ487" s="325"/>
      <c r="CK487" s="325"/>
      <c r="CL487" s="325"/>
      <c r="CM487" s="325"/>
      <c r="CN487" s="325"/>
      <c r="CO487" s="325"/>
      <c r="CP487" s="326"/>
    </row>
    <row r="488" spans="1:94" ht="14.25" hidden="1" customHeight="1" outlineLevel="2">
      <c r="A488" s="9"/>
      <c r="B488" s="235" t="s">
        <v>212</v>
      </c>
      <c r="C488" s="259"/>
      <c r="D488" s="259"/>
      <c r="E488" s="259"/>
      <c r="F488" s="259"/>
      <c r="G488" s="33"/>
      <c r="H488" s="259"/>
      <c r="I488" s="259"/>
      <c r="J488" s="259"/>
      <c r="K488" s="33"/>
      <c r="L488" s="329"/>
      <c r="M488" s="329"/>
      <c r="N488" s="329"/>
      <c r="O488" s="330"/>
      <c r="P488" s="329"/>
      <c r="Q488" s="329"/>
      <c r="R488" s="329"/>
      <c r="S488" s="330"/>
      <c r="T488" s="329"/>
      <c r="U488" s="329"/>
      <c r="V488" s="329"/>
      <c r="W488" s="330"/>
      <c r="X488" s="329"/>
      <c r="Y488" s="329"/>
      <c r="Z488" s="329"/>
      <c r="AA488" s="330"/>
      <c r="AB488" s="329"/>
      <c r="AC488" s="329"/>
      <c r="AD488" s="329"/>
      <c r="AE488" s="330"/>
      <c r="AF488" s="329">
        <v>84.2</v>
      </c>
      <c r="AG488" s="329">
        <v>101.5</v>
      </c>
      <c r="AH488" s="329">
        <v>107.7</v>
      </c>
      <c r="AI488" s="330">
        <v>80.8</v>
      </c>
      <c r="AJ488" s="329">
        <v>32.700000000000003</v>
      </c>
      <c r="AK488" s="329">
        <v>56.9</v>
      </c>
      <c r="AL488" s="329">
        <v>-6.7</v>
      </c>
      <c r="AM488" s="330">
        <f>113.4-SUM(AJ488:AL488)</f>
        <v>30.500000000000014</v>
      </c>
      <c r="AN488" s="329">
        <v>43.6</v>
      </c>
      <c r="AO488" s="329">
        <v>26.9</v>
      </c>
      <c r="AP488" s="554">
        <v>44.6</v>
      </c>
      <c r="AQ488" s="330"/>
      <c r="AR488" s="390"/>
      <c r="AS488" s="390"/>
      <c r="AT488" s="390"/>
      <c r="AU488" s="389"/>
      <c r="AV488" s="390"/>
      <c r="AW488" s="390"/>
      <c r="AX488" s="390"/>
      <c r="AY488" s="389"/>
      <c r="AZ488" s="390"/>
      <c r="BA488" s="390"/>
      <c r="BB488" s="390"/>
      <c r="BC488" s="389"/>
      <c r="BD488" s="390"/>
      <c r="BE488" s="390"/>
      <c r="BF488" s="390"/>
      <c r="BG488" s="389"/>
      <c r="BH488" s="390"/>
      <c r="BI488" s="390"/>
      <c r="BJ488" s="390"/>
      <c r="BK488" s="389"/>
      <c r="BL488" s="390"/>
      <c r="BM488" s="390"/>
      <c r="BN488" s="390"/>
      <c r="BO488" s="389"/>
      <c r="BP488" s="390"/>
      <c r="BQ488" s="390"/>
      <c r="BR488" s="390"/>
      <c r="BS488" s="389"/>
      <c r="BT488" s="390"/>
      <c r="BU488" s="390"/>
      <c r="BV488" s="390"/>
      <c r="BW488" s="389"/>
      <c r="BX488" s="263"/>
      <c r="BY488" s="235"/>
      <c r="BZ488" s="251"/>
      <c r="CA488" s="325"/>
      <c r="CB488" s="325"/>
      <c r="CC488" s="329">
        <v>277.2</v>
      </c>
      <c r="CD488" s="554">
        <v>-365.9</v>
      </c>
      <c r="CE488" s="554">
        <v>142.6</v>
      </c>
      <c r="CF488" s="325">
        <f>SUM(AF488:AI488)</f>
        <v>374.2</v>
      </c>
      <c r="CG488" s="325">
        <f>SUM(AJ488:AM488)</f>
        <v>113.4</v>
      </c>
      <c r="CH488" s="325"/>
      <c r="CI488" s="325"/>
      <c r="CJ488" s="325"/>
      <c r="CK488" s="325"/>
      <c r="CL488" s="325"/>
      <c r="CM488" s="325"/>
      <c r="CN488" s="325"/>
      <c r="CO488" s="325"/>
      <c r="CP488" s="326"/>
    </row>
    <row r="489" spans="1:94" ht="14.25" hidden="1" customHeight="1" outlineLevel="2">
      <c r="A489" s="689"/>
      <c r="B489" s="678" t="s">
        <v>166</v>
      </c>
      <c r="C489" s="679"/>
      <c r="D489" s="679"/>
      <c r="E489" s="679"/>
      <c r="F489" s="679"/>
      <c r="G489" s="680"/>
      <c r="H489" s="679"/>
      <c r="I489" s="679"/>
      <c r="J489" s="679"/>
      <c r="K489" s="680"/>
      <c r="L489" s="681"/>
      <c r="M489" s="681"/>
      <c r="N489" s="681"/>
      <c r="O489" s="682"/>
      <c r="P489" s="681"/>
      <c r="Q489" s="681"/>
      <c r="R489" s="681"/>
      <c r="S489" s="682"/>
      <c r="T489" s="681"/>
      <c r="U489" s="681"/>
      <c r="V489" s="681"/>
      <c r="W489" s="682"/>
      <c r="X489" s="681"/>
      <c r="Y489" s="681"/>
      <c r="Z489" s="681"/>
      <c r="AA489" s="682"/>
      <c r="AB489" s="681"/>
      <c r="AC489" s="681"/>
      <c r="AD489" s="681"/>
      <c r="AE489" s="682"/>
      <c r="AF489" s="754">
        <f t="shared" ref="AF489:AP489" si="832">AF488-AF477</f>
        <v>0</v>
      </c>
      <c r="AG489" s="754">
        <f t="shared" si="832"/>
        <v>0</v>
      </c>
      <c r="AH489" s="754">
        <f t="shared" si="832"/>
        <v>0</v>
      </c>
      <c r="AI489" s="755">
        <f t="shared" si="832"/>
        <v>0</v>
      </c>
      <c r="AJ489" s="754">
        <f t="shared" si="832"/>
        <v>0</v>
      </c>
      <c r="AK489" s="754">
        <f t="shared" si="832"/>
        <v>0</v>
      </c>
      <c r="AL489" s="754">
        <f t="shared" si="832"/>
        <v>0</v>
      </c>
      <c r="AM489" s="755">
        <f t="shared" si="832"/>
        <v>0</v>
      </c>
      <c r="AN489" s="754">
        <f t="shared" si="832"/>
        <v>0</v>
      </c>
      <c r="AO489" s="754">
        <f t="shared" si="832"/>
        <v>0</v>
      </c>
      <c r="AP489" s="754">
        <f t="shared" si="832"/>
        <v>0</v>
      </c>
      <c r="AQ489" s="755"/>
      <c r="AR489" s="684"/>
      <c r="AS489" s="684"/>
      <c r="AT489" s="684"/>
      <c r="AU489" s="685"/>
      <c r="AV489" s="684"/>
      <c r="AW489" s="684"/>
      <c r="AX489" s="684"/>
      <c r="AY489" s="685"/>
      <c r="AZ489" s="684"/>
      <c r="BA489" s="684"/>
      <c r="BB489" s="684"/>
      <c r="BC489" s="685"/>
      <c r="BD489" s="684"/>
      <c r="BE489" s="684"/>
      <c r="BF489" s="684"/>
      <c r="BG489" s="685"/>
      <c r="BH489" s="684"/>
      <c r="BI489" s="684"/>
      <c r="BJ489" s="684"/>
      <c r="BK489" s="685"/>
      <c r="BL489" s="684"/>
      <c r="BM489" s="684"/>
      <c r="BN489" s="684"/>
      <c r="BO489" s="685"/>
      <c r="BP489" s="684"/>
      <c r="BQ489" s="684"/>
      <c r="BR489" s="684"/>
      <c r="BS489" s="685"/>
      <c r="BT489" s="684"/>
      <c r="BU489" s="684"/>
      <c r="BV489" s="684"/>
      <c r="BW489" s="685"/>
      <c r="BX489" s="774"/>
      <c r="BY489" s="686"/>
      <c r="BZ489" s="687"/>
      <c r="CA489" s="688"/>
      <c r="CB489" s="688"/>
      <c r="CC489" s="760">
        <f>CC488-CC477</f>
        <v>0</v>
      </c>
      <c r="CD489" s="760">
        <f>CD488-CD477</f>
        <v>0</v>
      </c>
      <c r="CE489" s="760">
        <f>CE488-CE477</f>
        <v>0</v>
      </c>
      <c r="CF489" s="760">
        <f>CF488-CF477</f>
        <v>0</v>
      </c>
      <c r="CG489" s="760">
        <f>CG488-CG477</f>
        <v>0</v>
      </c>
      <c r="CH489" s="760"/>
      <c r="CI489" s="688"/>
      <c r="CJ489" s="688"/>
      <c r="CK489" s="688"/>
      <c r="CL489" s="688"/>
      <c r="CM489" s="688"/>
      <c r="CN489" s="688"/>
      <c r="CO489" s="688"/>
      <c r="CP489" s="798"/>
    </row>
    <row r="490" spans="1:94" ht="12.75" hidden="1" customHeight="1" outlineLevel="2">
      <c r="A490" s="9"/>
      <c r="B490" s="235"/>
      <c r="C490" s="259"/>
      <c r="D490" s="259"/>
      <c r="E490" s="259"/>
      <c r="F490" s="259"/>
      <c r="G490" s="33"/>
      <c r="H490" s="259"/>
      <c r="I490" s="259"/>
      <c r="J490" s="259"/>
      <c r="K490" s="33"/>
      <c r="L490" s="329"/>
      <c r="M490" s="329"/>
      <c r="N490" s="329"/>
      <c r="O490" s="330"/>
      <c r="P490" s="329"/>
      <c r="Q490" s="329"/>
      <c r="R490" s="329"/>
      <c r="S490" s="330"/>
      <c r="T490" s="329"/>
      <c r="U490" s="329"/>
      <c r="V490" s="329"/>
      <c r="W490" s="330"/>
      <c r="X490" s="329"/>
      <c r="Y490" s="329"/>
      <c r="Z490" s="329"/>
      <c r="AA490" s="330"/>
      <c r="AB490" s="329"/>
      <c r="AC490" s="329"/>
      <c r="AD490" s="329"/>
      <c r="AE490" s="330"/>
      <c r="AF490" s="329"/>
      <c r="AG490" s="329"/>
      <c r="AH490" s="329"/>
      <c r="AI490" s="330"/>
      <c r="AJ490" s="329"/>
      <c r="AK490" s="329"/>
      <c r="AL490" s="329"/>
      <c r="AM490" s="330"/>
      <c r="AN490" s="329"/>
      <c r="AO490" s="329"/>
      <c r="AP490" s="554"/>
      <c r="AQ490" s="330"/>
      <c r="AR490" s="390"/>
      <c r="AS490" s="390"/>
      <c r="AT490" s="390"/>
      <c r="AU490" s="389"/>
      <c r="AV490" s="390"/>
      <c r="AW490" s="390"/>
      <c r="AX490" s="390"/>
      <c r="AY490" s="389"/>
      <c r="AZ490" s="390"/>
      <c r="BA490" s="390"/>
      <c r="BB490" s="390"/>
      <c r="BC490" s="389"/>
      <c r="BD490" s="390"/>
      <c r="BE490" s="390"/>
      <c r="BF490" s="390"/>
      <c r="BG490" s="389"/>
      <c r="BH490" s="390"/>
      <c r="BI490" s="390"/>
      <c r="BJ490" s="390"/>
      <c r="BK490" s="389"/>
      <c r="BL490" s="390"/>
      <c r="BM490" s="390"/>
      <c r="BN490" s="390"/>
      <c r="BO490" s="389"/>
      <c r="BP490" s="390"/>
      <c r="BQ490" s="390"/>
      <c r="BR490" s="390"/>
      <c r="BS490" s="389"/>
      <c r="BT490" s="390"/>
      <c r="BU490" s="390"/>
      <c r="BV490" s="390"/>
      <c r="BW490" s="389"/>
      <c r="BX490" s="263"/>
      <c r="BY490" s="235"/>
      <c r="BZ490" s="251"/>
      <c r="CA490" s="325"/>
      <c r="CB490" s="325"/>
      <c r="CC490" s="325"/>
      <c r="CD490" s="325"/>
      <c r="CE490" s="325"/>
      <c r="CF490" s="325"/>
      <c r="CG490" s="325"/>
      <c r="CH490" s="325"/>
      <c r="CI490" s="325"/>
      <c r="CJ490" s="325"/>
      <c r="CK490" s="325"/>
      <c r="CL490" s="325"/>
      <c r="CM490" s="325"/>
      <c r="CN490" s="325"/>
      <c r="CO490" s="325"/>
      <c r="CP490" s="326"/>
    </row>
    <row r="491" spans="1:94" ht="14.25" hidden="1" customHeight="1" outlineLevel="2">
      <c r="A491" s="9"/>
      <c r="B491" s="217" t="s">
        <v>297</v>
      </c>
      <c r="C491" s="218"/>
      <c r="D491" s="372"/>
      <c r="E491" s="220"/>
      <c r="F491" s="220"/>
      <c r="G491" s="220"/>
      <c r="H491" s="219"/>
      <c r="I491" s="220"/>
      <c r="J491" s="220"/>
      <c r="K491" s="220"/>
      <c r="L491" s="219"/>
      <c r="M491" s="220"/>
      <c r="N491" s="220"/>
      <c r="O491" s="220"/>
      <c r="P491" s="219"/>
      <c r="Q491" s="220"/>
      <c r="R491" s="220"/>
      <c r="S491" s="220"/>
      <c r="T491" s="219"/>
      <c r="U491" s="220"/>
      <c r="V491" s="220"/>
      <c r="W491" s="220"/>
      <c r="X491" s="219"/>
      <c r="Y491" s="220"/>
      <c r="Z491" s="220"/>
      <c r="AA491" s="220"/>
      <c r="AB491" s="219"/>
      <c r="AC491" s="220"/>
      <c r="AD491" s="220"/>
      <c r="AE491" s="258"/>
      <c r="AF491" s="219"/>
      <c r="AG491" s="220">
        <f t="shared" ref="AG491:AP491" si="833">AG482/AF482-1</f>
        <v>6.0159941839331044E-2</v>
      </c>
      <c r="AH491" s="220">
        <f t="shared" si="833"/>
        <v>2.9830276015772483E-2</v>
      </c>
      <c r="AI491" s="220">
        <f t="shared" si="833"/>
        <v>-3.579157649409026E-2</v>
      </c>
      <c r="AJ491" s="219">
        <f t="shared" si="833"/>
        <v>0.50310773480662974</v>
      </c>
      <c r="AK491" s="220">
        <f t="shared" si="833"/>
        <v>4.0431886055593669E-2</v>
      </c>
      <c r="AL491" s="220">
        <f t="shared" si="833"/>
        <v>-8.6111724442481385E-3</v>
      </c>
      <c r="AM491" s="220">
        <f t="shared" si="833"/>
        <v>-0.14487750556792878</v>
      </c>
      <c r="AN491" s="219">
        <f t="shared" si="833"/>
        <v>-3.0602943091548429E-2</v>
      </c>
      <c r="AO491" s="220">
        <f t="shared" si="833"/>
        <v>5.3734551316497736E-4</v>
      </c>
      <c r="AP491" s="220">
        <f t="shared" si="833"/>
        <v>-2.5912996777658348E-2</v>
      </c>
      <c r="AQ491" s="220"/>
      <c r="AR491" s="219"/>
      <c r="AS491" s="257"/>
      <c r="AT491" s="257"/>
      <c r="AU491" s="258"/>
      <c r="AV491" s="257"/>
      <c r="AW491" s="257"/>
      <c r="AX491" s="257"/>
      <c r="AY491" s="258"/>
      <c r="AZ491" s="257"/>
      <c r="BA491" s="257"/>
      <c r="BB491" s="257"/>
      <c r="BC491" s="258"/>
      <c r="BD491" s="257"/>
      <c r="BE491" s="257"/>
      <c r="BF491" s="257"/>
      <c r="BG491" s="258"/>
      <c r="BH491" s="257"/>
      <c r="BI491" s="257"/>
      <c r="BJ491" s="257"/>
      <c r="BK491" s="258"/>
      <c r="BL491" s="257"/>
      <c r="BM491" s="257"/>
      <c r="BN491" s="257"/>
      <c r="BO491" s="258"/>
      <c r="BP491" s="257"/>
      <c r="BQ491" s="257"/>
      <c r="BR491" s="257"/>
      <c r="BS491" s="258"/>
      <c r="BT491" s="257"/>
      <c r="BU491" s="257"/>
      <c r="BV491" s="257"/>
      <c r="BW491" s="258"/>
      <c r="BX491" s="21"/>
      <c r="BY491" s="22"/>
      <c r="BZ491" s="15"/>
      <c r="CA491" s="15"/>
      <c r="CB491" s="15"/>
      <c r="CC491" s="15"/>
      <c r="CD491" s="15"/>
      <c r="CE491" s="15"/>
      <c r="CF491" s="220"/>
      <c r="CG491" s="220"/>
      <c r="CH491" s="220"/>
      <c r="CI491" s="220"/>
      <c r="CJ491" s="220"/>
      <c r="CK491" s="220"/>
      <c r="CL491" s="220"/>
      <c r="CM491" s="220"/>
      <c r="CN491" s="220"/>
      <c r="CO491" s="220"/>
      <c r="CP491" s="258"/>
    </row>
    <row r="492" spans="1:94" ht="14.25" hidden="1" customHeight="1" outlineLevel="2">
      <c r="A492" s="9"/>
      <c r="B492" s="32" t="s">
        <v>298</v>
      </c>
      <c r="C492" s="33"/>
      <c r="D492" s="259"/>
      <c r="E492" s="259"/>
      <c r="F492" s="259"/>
      <c r="G492" s="33"/>
      <c r="H492" s="220"/>
      <c r="I492" s="220"/>
      <c r="J492" s="220"/>
      <c r="K492" s="220"/>
      <c r="L492" s="219"/>
      <c r="M492" s="220"/>
      <c r="N492" s="220"/>
      <c r="O492" s="220"/>
      <c r="P492" s="219"/>
      <c r="Q492" s="220"/>
      <c r="R492" s="220"/>
      <c r="S492" s="220"/>
      <c r="T492" s="219"/>
      <c r="U492" s="220"/>
      <c r="V492" s="220"/>
      <c r="W492" s="220"/>
      <c r="X492" s="219"/>
      <c r="Y492" s="220"/>
      <c r="Z492" s="220"/>
      <c r="AA492" s="220"/>
      <c r="AB492" s="219"/>
      <c r="AC492" s="220"/>
      <c r="AD492" s="220"/>
      <c r="AE492" s="258"/>
      <c r="AF492" s="219"/>
      <c r="AG492" s="220"/>
      <c r="AH492" s="220"/>
      <c r="AI492" s="220"/>
      <c r="AJ492" s="219">
        <f t="shared" ref="AJ492:AP492" si="834">AJ482/AF482-1</f>
        <v>0.58233369683751346</v>
      </c>
      <c r="AK492" s="220">
        <f t="shared" si="834"/>
        <v>0.55288873649922854</v>
      </c>
      <c r="AL492" s="220">
        <f t="shared" si="834"/>
        <v>0.49492259031130326</v>
      </c>
      <c r="AM492" s="220">
        <f t="shared" si="834"/>
        <v>0.32579419889502748</v>
      </c>
      <c r="AN492" s="219">
        <f t="shared" si="834"/>
        <v>-0.14495750057431667</v>
      </c>
      <c r="AO492" s="220">
        <f t="shared" si="834"/>
        <v>-0.1777434312210201</v>
      </c>
      <c r="AP492" s="220">
        <f t="shared" si="834"/>
        <v>-0.19209354120267264</v>
      </c>
      <c r="AQ492" s="220"/>
      <c r="AR492" s="219"/>
      <c r="AS492" s="257"/>
      <c r="AT492" s="257"/>
      <c r="AU492" s="258"/>
      <c r="AV492" s="257"/>
      <c r="AW492" s="257"/>
      <c r="AX492" s="257"/>
      <c r="AY492" s="258"/>
      <c r="AZ492" s="257"/>
      <c r="BA492" s="257"/>
      <c r="BB492" s="257"/>
      <c r="BC492" s="258"/>
      <c r="BD492" s="257"/>
      <c r="BE492" s="257"/>
      <c r="BF492" s="257"/>
      <c r="BG492" s="258"/>
      <c r="BH492" s="257"/>
      <c r="BI492" s="257"/>
      <c r="BJ492" s="257"/>
      <c r="BK492" s="258"/>
      <c r="BL492" s="257"/>
      <c r="BM492" s="257"/>
      <c r="BN492" s="257"/>
      <c r="BO492" s="258"/>
      <c r="BP492" s="257"/>
      <c r="BQ492" s="257"/>
      <c r="BR492" s="257"/>
      <c r="BS492" s="258"/>
      <c r="BT492" s="257"/>
      <c r="BU492" s="257"/>
      <c r="BV492" s="257"/>
      <c r="BW492" s="258"/>
      <c r="BX492" s="21"/>
      <c r="BY492" s="22"/>
      <c r="BZ492" s="338"/>
      <c r="CA492" s="338"/>
      <c r="CB492" s="338"/>
      <c r="CC492" s="338"/>
      <c r="CD492" s="338">
        <f>CD482/CC482-1</f>
        <v>0.31196526624952114</v>
      </c>
      <c r="CE492" s="338">
        <f>CE482/CD482-1</f>
        <v>-0.13913762896632276</v>
      </c>
      <c r="CF492" s="338">
        <f>CF482/CE482-1</f>
        <v>0.30781841822601619</v>
      </c>
      <c r="CG492" s="338">
        <f>CG482/CF482-1</f>
        <v>0.48798305524336483</v>
      </c>
      <c r="CH492" s="338"/>
      <c r="CI492" s="338"/>
      <c r="CJ492" s="338"/>
      <c r="CK492" s="338"/>
      <c r="CL492" s="338"/>
      <c r="CM492" s="338"/>
      <c r="CN492" s="338"/>
      <c r="CO492" s="338"/>
      <c r="CP492" s="337"/>
    </row>
    <row r="493" spans="1:94" ht="14.25" hidden="1" customHeight="1" outlineLevel="2">
      <c r="B493" s="226"/>
      <c r="C493" s="304"/>
      <c r="D493" s="304"/>
      <c r="E493" s="304"/>
      <c r="F493" s="304"/>
      <c r="G493" s="305"/>
      <c r="H493" s="304"/>
      <c r="I493" s="304"/>
      <c r="J493" s="304"/>
      <c r="K493" s="305"/>
      <c r="L493" s="304"/>
      <c r="M493" s="304"/>
      <c r="N493" s="304"/>
      <c r="O493" s="305"/>
      <c r="P493" s="304"/>
      <c r="Q493" s="304"/>
      <c r="R493" s="304"/>
      <c r="S493" s="305"/>
      <c r="T493" s="304"/>
      <c r="U493" s="304"/>
      <c r="V493" s="304"/>
      <c r="W493" s="305"/>
      <c r="X493" s="304"/>
      <c r="Y493" s="304"/>
      <c r="Z493" s="304"/>
      <c r="AA493" s="304"/>
      <c r="AB493" s="731"/>
      <c r="AC493" s="304"/>
      <c r="AD493" s="304"/>
      <c r="AE493" s="305"/>
      <c r="AF493" s="304"/>
      <c r="AG493" s="304"/>
      <c r="AH493" s="304"/>
      <c r="AI493" s="304"/>
      <c r="AJ493" s="731"/>
      <c r="AK493" s="304"/>
      <c r="AL493" s="304"/>
      <c r="AM493" s="304"/>
      <c r="AN493" s="731"/>
      <c r="AO493" s="304"/>
      <c r="AP493" s="304"/>
      <c r="AQ493" s="305"/>
      <c r="AR493" s="731"/>
      <c r="AS493" s="304"/>
      <c r="AT493" s="304"/>
      <c r="AU493" s="305"/>
      <c r="AV493" s="731"/>
      <c r="AW493" s="304"/>
      <c r="AX493" s="304"/>
      <c r="AY493" s="305"/>
      <c r="AZ493" s="731"/>
      <c r="BA493" s="304"/>
      <c r="BB493" s="304"/>
      <c r="BC493" s="305"/>
      <c r="BD493" s="731"/>
      <c r="BE493" s="304"/>
      <c r="BF493" s="304"/>
      <c r="BG493" s="305"/>
      <c r="BH493" s="731"/>
      <c r="BI493" s="304"/>
      <c r="BJ493" s="304"/>
      <c r="BK493" s="305"/>
      <c r="BL493" s="731"/>
      <c r="BM493" s="304"/>
      <c r="BN493" s="304"/>
      <c r="BO493" s="305"/>
      <c r="BP493" s="731"/>
      <c r="BQ493" s="304"/>
      <c r="BR493" s="304"/>
      <c r="BS493" s="305"/>
      <c r="BT493" s="731"/>
      <c r="BU493" s="304"/>
      <c r="BV493" s="304"/>
      <c r="BW493" s="305"/>
      <c r="BX493" s="346"/>
      <c r="BY493" s="731"/>
      <c r="BZ493" s="304"/>
      <c r="CA493" s="304"/>
      <c r="CB493" s="304"/>
      <c r="CC493" s="304"/>
      <c r="CD493" s="249"/>
      <c r="CE493" s="249"/>
      <c r="CF493" s="249"/>
      <c r="CG493" s="304"/>
      <c r="CH493" s="304"/>
      <c r="CI493" s="304"/>
      <c r="CJ493" s="304"/>
      <c r="CK493" s="304"/>
      <c r="CL493" s="304"/>
      <c r="CM493" s="304"/>
      <c r="CN493" s="304"/>
      <c r="CO493" s="304"/>
      <c r="CP493" s="305"/>
    </row>
    <row r="494" spans="1:94" ht="14.25" hidden="1" customHeight="1" outlineLevel="1">
      <c r="M494" s="302"/>
      <c r="N494" s="302"/>
      <c r="O494" s="302"/>
      <c r="P494" s="302"/>
      <c r="Q494" s="302"/>
      <c r="R494" s="302"/>
      <c r="S494" s="302"/>
      <c r="T494" s="302"/>
      <c r="U494" s="302"/>
      <c r="V494" s="302"/>
      <c r="W494" s="302"/>
      <c r="X494" s="302"/>
      <c r="Y494" s="302"/>
      <c r="Z494" s="302"/>
      <c r="AA494" s="302"/>
      <c r="AB494" s="302"/>
      <c r="AC494" s="302"/>
      <c r="AD494" s="302"/>
      <c r="AE494" s="302"/>
      <c r="AF494" s="302"/>
      <c r="AG494" s="302"/>
      <c r="AH494" s="302"/>
      <c r="AI494" s="302"/>
      <c r="AJ494" s="302"/>
      <c r="AK494" s="302"/>
      <c r="AL494" s="302"/>
      <c r="AM494" s="302"/>
      <c r="AN494" s="302"/>
      <c r="AO494" s="302"/>
      <c r="AP494" s="302"/>
      <c r="AQ494" s="302"/>
      <c r="CJ494" s="302"/>
      <c r="CK494" s="302"/>
      <c r="CL494" s="302"/>
      <c r="CM494" s="302"/>
      <c r="CN494" s="302"/>
      <c r="CO494" s="302"/>
      <c r="CP494" s="302"/>
    </row>
    <row r="495" spans="1:94" ht="14.25" hidden="1" customHeight="1" outlineLevel="1">
      <c r="B495" s="91" t="s">
        <v>506</v>
      </c>
      <c r="M495" s="302"/>
      <c r="N495" s="302"/>
      <c r="O495" s="302"/>
      <c r="P495" s="302"/>
      <c r="Q495" s="302"/>
      <c r="R495" s="302"/>
      <c r="S495" s="302"/>
      <c r="T495" s="302"/>
      <c r="U495" s="302"/>
      <c r="V495" s="302"/>
      <c r="W495" s="302"/>
      <c r="X495" s="302"/>
      <c r="Y495" s="302"/>
      <c r="Z495" s="302"/>
      <c r="AA495" s="302"/>
      <c r="AB495" s="302"/>
      <c r="AC495" s="302"/>
      <c r="AD495" s="302"/>
      <c r="AE495" s="302"/>
      <c r="AF495" s="302"/>
      <c r="AG495" s="302"/>
      <c r="AH495" s="302"/>
      <c r="AI495" s="302"/>
      <c r="AJ495" s="302"/>
      <c r="AK495" s="302"/>
      <c r="AL495" s="302"/>
      <c r="AM495" s="302"/>
      <c r="AN495" s="302"/>
      <c r="AO495" s="302"/>
      <c r="AP495" s="302"/>
      <c r="AQ495" s="302"/>
      <c r="CJ495" s="302"/>
      <c r="CK495" s="302"/>
      <c r="CL495" s="302"/>
      <c r="CM495" s="302"/>
      <c r="CN495" s="302"/>
      <c r="CO495" s="302"/>
      <c r="CP495" s="302"/>
    </row>
    <row r="496" spans="1:94" ht="14.25" hidden="1" customHeight="1" outlineLevel="1">
      <c r="A496" s="302"/>
      <c r="B496" s="302"/>
      <c r="C496" s="302"/>
      <c r="D496" s="302"/>
      <c r="E496" s="302"/>
      <c r="F496" s="302"/>
      <c r="G496" s="302"/>
      <c r="H496" s="302"/>
      <c r="I496" s="302"/>
      <c r="J496" s="302"/>
      <c r="K496" s="302"/>
      <c r="L496" s="302"/>
      <c r="M496" s="302"/>
      <c r="N496" s="302"/>
      <c r="O496" s="302"/>
      <c r="P496" s="302"/>
      <c r="Q496" s="302"/>
      <c r="R496" s="302"/>
      <c r="S496" s="302"/>
      <c r="T496" s="302"/>
      <c r="U496" s="302"/>
      <c r="V496" s="302"/>
      <c r="W496" s="302"/>
      <c r="X496" s="302"/>
      <c r="Y496" s="302"/>
      <c r="Z496" s="302"/>
      <c r="AA496" s="302"/>
      <c r="AB496" s="302"/>
      <c r="AC496" s="302"/>
      <c r="AD496" s="302"/>
      <c r="AE496" s="302"/>
      <c r="AF496" s="302"/>
      <c r="AG496" s="302"/>
      <c r="AH496" s="302"/>
      <c r="AI496" s="302"/>
      <c r="AJ496" s="302"/>
      <c r="AK496" s="302"/>
      <c r="AL496" s="302"/>
      <c r="AM496" s="302"/>
      <c r="AN496" s="302"/>
      <c r="AO496" s="302"/>
      <c r="AP496" s="302"/>
      <c r="AQ496" s="302"/>
      <c r="AR496" s="302"/>
      <c r="AS496" s="302"/>
      <c r="AT496" s="302"/>
      <c r="AU496" s="302"/>
      <c r="AV496" s="302"/>
      <c r="AW496" s="302"/>
      <c r="AX496" s="302"/>
      <c r="AY496" s="302"/>
      <c r="AZ496" s="302"/>
      <c r="BA496" s="302"/>
      <c r="BB496" s="302"/>
      <c r="BC496" s="302"/>
      <c r="BD496" s="302"/>
      <c r="BE496" s="302"/>
      <c r="BF496" s="302"/>
      <c r="BG496" s="302"/>
      <c r="BH496" s="302"/>
      <c r="BI496" s="302"/>
      <c r="BJ496" s="302"/>
      <c r="BK496" s="302"/>
      <c r="BL496" s="302"/>
      <c r="BM496" s="302"/>
      <c r="BN496" s="302"/>
      <c r="BO496" s="302"/>
      <c r="BP496" s="302"/>
      <c r="BQ496" s="302"/>
      <c r="BR496" s="302"/>
      <c r="BS496" s="302"/>
      <c r="BT496" s="302"/>
      <c r="BU496" s="302"/>
      <c r="BV496" s="302"/>
      <c r="BW496" s="302"/>
      <c r="BX496" s="302"/>
      <c r="BY496" s="302"/>
      <c r="BZ496" s="302"/>
      <c r="CA496" s="302"/>
      <c r="CB496" s="302"/>
      <c r="CC496" s="302"/>
      <c r="CD496" s="302"/>
      <c r="CE496" s="302"/>
      <c r="CF496" s="302"/>
      <c r="CG496" s="302"/>
      <c r="CH496" s="302"/>
      <c r="CI496" s="302"/>
      <c r="CJ496" s="302"/>
      <c r="CK496" s="302"/>
      <c r="CL496" s="302"/>
      <c r="CM496" s="302"/>
      <c r="CN496" s="302"/>
      <c r="CO496" s="302"/>
      <c r="CP496" s="302"/>
    </row>
    <row r="497" spans="2:94" ht="14.25" hidden="1" customHeight="1" outlineLevel="2">
      <c r="B497" s="10" t="s">
        <v>221</v>
      </c>
      <c r="C497" s="713"/>
      <c r="D497" s="713"/>
      <c r="E497" s="713"/>
      <c r="F497" s="713"/>
      <c r="G497" s="345"/>
      <c r="H497" s="713"/>
      <c r="I497" s="713"/>
      <c r="J497" s="713"/>
      <c r="K497" s="713"/>
      <c r="L497" s="393"/>
      <c r="M497" s="394"/>
      <c r="N497" s="394"/>
      <c r="O497" s="395"/>
      <c r="P497" s="393"/>
      <c r="Q497" s="394"/>
      <c r="R497" s="394"/>
      <c r="S497" s="395"/>
      <c r="T497" s="393"/>
      <c r="U497" s="394"/>
      <c r="V497" s="394"/>
      <c r="W497" s="395"/>
      <c r="X497" s="762">
        <v>102.6</v>
      </c>
      <c r="Y497" s="784">
        <v>139</v>
      </c>
      <c r="Z497" s="784">
        <v>136.1</v>
      </c>
      <c r="AA497" s="756">
        <v>108.6</v>
      </c>
      <c r="AB497" s="762">
        <v>84.7</v>
      </c>
      <c r="AC497" s="784">
        <v>93</v>
      </c>
      <c r="AD497" s="784">
        <v>108.3</v>
      </c>
      <c r="AE497" s="756">
        <v>114.9</v>
      </c>
      <c r="AF497" s="762">
        <v>125.9</v>
      </c>
      <c r="AG497" s="784">
        <v>139.19999999999999</v>
      </c>
      <c r="AH497" s="784">
        <v>144.6</v>
      </c>
      <c r="AI497" s="784">
        <v>136.9</v>
      </c>
      <c r="AJ497" s="762">
        <v>147</v>
      </c>
      <c r="AK497" s="784">
        <v>155.69999999999999</v>
      </c>
      <c r="AL497" s="784">
        <v>149.4</v>
      </c>
      <c r="AM497" s="713"/>
      <c r="AN497" s="729"/>
      <c r="AO497" s="713"/>
      <c r="AP497" s="713"/>
      <c r="AQ497" s="345"/>
      <c r="AR497" s="729"/>
      <c r="AS497" s="713"/>
      <c r="AT497" s="713"/>
      <c r="AU497" s="345"/>
      <c r="AV497" s="729"/>
      <c r="AW497" s="713"/>
      <c r="AX497" s="713"/>
      <c r="AY497" s="345"/>
      <c r="AZ497" s="729"/>
      <c r="BA497" s="713"/>
      <c r="BB497" s="713"/>
      <c r="BC497" s="345"/>
      <c r="BD497" s="729"/>
      <c r="BE497" s="713"/>
      <c r="BF497" s="713"/>
      <c r="BG497" s="345"/>
      <c r="BH497" s="729"/>
      <c r="BI497" s="713"/>
      <c r="BJ497" s="713"/>
      <c r="BK497" s="345"/>
      <c r="BL497" s="729"/>
      <c r="BM497" s="713"/>
      <c r="BN497" s="713"/>
      <c r="BO497" s="345"/>
      <c r="BP497" s="729"/>
      <c r="BQ497" s="713"/>
      <c r="BR497" s="713"/>
      <c r="BS497" s="345"/>
      <c r="BT497" s="729"/>
      <c r="BU497" s="713"/>
      <c r="BV497" s="713"/>
      <c r="BW497" s="345"/>
      <c r="BX497" s="346"/>
      <c r="BY497" s="729"/>
      <c r="BZ497" s="713"/>
      <c r="CA497" s="713"/>
      <c r="CB497" s="713"/>
      <c r="CC497" s="784">
        <v>390.4</v>
      </c>
      <c r="CD497" s="387">
        <f>SUM(X497:AA497)</f>
        <v>486.29999999999995</v>
      </c>
      <c r="CE497" s="813">
        <f>SUM(AB497:AE497)</f>
        <v>400.9</v>
      </c>
      <c r="CF497" s="813">
        <f>SUM(AF497:AI497)</f>
        <v>546.6</v>
      </c>
      <c r="CG497" s="713"/>
      <c r="CH497" s="713"/>
      <c r="CI497" s="713"/>
      <c r="CJ497" s="713"/>
      <c r="CK497" s="713"/>
      <c r="CL497" s="713"/>
      <c r="CM497" s="713"/>
      <c r="CN497" s="713"/>
      <c r="CO497" s="713"/>
      <c r="CP497" s="345"/>
    </row>
    <row r="498" spans="2:94" ht="13.5" hidden="1" customHeight="1" outlineLevel="2">
      <c r="B498" s="217" t="s">
        <v>297</v>
      </c>
      <c r="G498" s="303"/>
      <c r="L498" s="377"/>
      <c r="M498" s="370"/>
      <c r="N498" s="370"/>
      <c r="O498" s="335"/>
      <c r="P498" s="377"/>
      <c r="Q498" s="370"/>
      <c r="R498" s="370"/>
      <c r="S498" s="335"/>
      <c r="T498" s="377"/>
      <c r="U498" s="370"/>
      <c r="V498" s="370"/>
      <c r="W498" s="335"/>
      <c r="X498" s="425"/>
      <c r="Y498" s="370">
        <f t="shared" ref="Y498:AI498" si="835">Y497/X497-1</f>
        <v>0.35477582846003908</v>
      </c>
      <c r="Z498" s="370">
        <f t="shared" si="835"/>
        <v>-2.0863309352518011E-2</v>
      </c>
      <c r="AA498" s="335">
        <f t="shared" si="835"/>
        <v>-0.20205731080088174</v>
      </c>
      <c r="AB498" s="377">
        <f t="shared" si="835"/>
        <v>-0.22007366482504598</v>
      </c>
      <c r="AC498" s="370">
        <f t="shared" si="835"/>
        <v>9.7992916174734379E-2</v>
      </c>
      <c r="AD498" s="370">
        <f t="shared" si="835"/>
        <v>0.1645161290322581</v>
      </c>
      <c r="AE498" s="335">
        <f t="shared" si="835"/>
        <v>6.094182825484773E-2</v>
      </c>
      <c r="AF498" s="377">
        <f t="shared" si="835"/>
        <v>9.5735422106179247E-2</v>
      </c>
      <c r="AG498" s="370">
        <f t="shared" si="835"/>
        <v>0.10563939634630648</v>
      </c>
      <c r="AH498" s="370">
        <f t="shared" si="835"/>
        <v>3.8793103448275801E-2</v>
      </c>
      <c r="AI498" s="370">
        <f t="shared" si="835"/>
        <v>-5.3250345781466035E-2</v>
      </c>
      <c r="AJ498" s="377">
        <f>AJ497/AI497-1</f>
        <v>7.3776479181884458E-2</v>
      </c>
      <c r="AK498" s="370">
        <f>AK497/AJ497-1</f>
        <v>5.9183673469387577E-2</v>
      </c>
      <c r="AL498" s="370">
        <f>AL497/AK497-1</f>
        <v>-4.0462427745664664E-2</v>
      </c>
      <c r="AN498" s="256"/>
      <c r="AQ498" s="303"/>
      <c r="AR498" s="256"/>
      <c r="AU498" s="303"/>
      <c r="AV498" s="256"/>
      <c r="AY498" s="303"/>
      <c r="AZ498" s="256"/>
      <c r="BC498" s="303"/>
      <c r="BD498" s="256"/>
      <c r="BG498" s="303"/>
      <c r="BH498" s="256"/>
      <c r="BK498" s="303"/>
      <c r="BL498" s="256"/>
      <c r="BO498" s="303"/>
      <c r="BP498" s="256"/>
      <c r="BS498" s="303"/>
      <c r="BT498" s="256"/>
      <c r="BW498" s="303"/>
      <c r="BX498" s="346"/>
      <c r="BY498" s="256"/>
      <c r="BZ498" s="302"/>
      <c r="CA498" s="302"/>
      <c r="CB498" s="302"/>
      <c r="CC498" s="370"/>
      <c r="CD498" s="392"/>
      <c r="CE498" s="284"/>
      <c r="CF498" s="730"/>
      <c r="CG498" s="302"/>
      <c r="CH498" s="302"/>
      <c r="CI498" s="302"/>
      <c r="CJ498" s="302"/>
      <c r="CK498" s="302"/>
      <c r="CL498" s="302"/>
      <c r="CM498" s="302"/>
      <c r="CN498" s="302"/>
      <c r="CO498" s="302"/>
      <c r="CP498" s="303"/>
    </row>
    <row r="499" spans="2:94" ht="14.25" hidden="1" customHeight="1" outlineLevel="2">
      <c r="B499" s="32" t="s">
        <v>298</v>
      </c>
      <c r="G499" s="303"/>
      <c r="L499" s="377"/>
      <c r="M499" s="370"/>
      <c r="N499" s="370"/>
      <c r="O499" s="335"/>
      <c r="P499" s="377"/>
      <c r="Q499" s="370"/>
      <c r="R499" s="370"/>
      <c r="S499" s="335"/>
      <c r="T499" s="377"/>
      <c r="U499" s="370"/>
      <c r="V499" s="370"/>
      <c r="W499" s="335"/>
      <c r="X499" s="425"/>
      <c r="Y499" s="418"/>
      <c r="Z499" s="418"/>
      <c r="AA499" s="419"/>
      <c r="AB499" s="377">
        <f t="shared" ref="AB499:AI499" si="836">AB497/X497-1</f>
        <v>-0.17446393762183232</v>
      </c>
      <c r="AC499" s="370">
        <f t="shared" si="836"/>
        <v>-0.3309352517985612</v>
      </c>
      <c r="AD499" s="370">
        <f t="shared" si="836"/>
        <v>-0.20426157237325493</v>
      </c>
      <c r="AE499" s="335">
        <f t="shared" si="836"/>
        <v>5.8011049723756924E-2</v>
      </c>
      <c r="AF499" s="377">
        <f t="shared" si="836"/>
        <v>0.48642266824085012</v>
      </c>
      <c r="AG499" s="370">
        <f t="shared" si="836"/>
        <v>0.49677419354838692</v>
      </c>
      <c r="AH499" s="370">
        <f t="shared" si="836"/>
        <v>0.33518005540166196</v>
      </c>
      <c r="AI499" s="370">
        <f t="shared" si="836"/>
        <v>0.19147084421235849</v>
      </c>
      <c r="AJ499" s="377">
        <f>AJ497/AF497-1</f>
        <v>0.16759332803812543</v>
      </c>
      <c r="AK499" s="370">
        <f>AK497/AG497-1</f>
        <v>0.11853448275862077</v>
      </c>
      <c r="AL499" s="370">
        <f>AL497/AH497-1</f>
        <v>3.3195020746888071E-2</v>
      </c>
      <c r="AN499" s="256"/>
      <c r="AQ499" s="303"/>
      <c r="AR499" s="256"/>
      <c r="AU499" s="303"/>
      <c r="AV499" s="256"/>
      <c r="AY499" s="303"/>
      <c r="AZ499" s="256"/>
      <c r="BC499" s="303"/>
      <c r="BD499" s="256"/>
      <c r="BG499" s="303"/>
      <c r="BH499" s="256"/>
      <c r="BK499" s="303"/>
      <c r="BL499" s="256"/>
      <c r="BO499" s="303"/>
      <c r="BP499" s="256"/>
      <c r="BS499" s="303"/>
      <c r="BT499" s="256"/>
      <c r="BW499" s="303"/>
      <c r="BX499" s="346"/>
      <c r="BY499" s="256"/>
      <c r="BZ499" s="302"/>
      <c r="CA499" s="302"/>
      <c r="CB499" s="302"/>
      <c r="CC499" s="418"/>
      <c r="CD499" s="370">
        <f>CD497/CC497-1</f>
        <v>0.24564549180327866</v>
      </c>
      <c r="CE499" s="370">
        <f>CE497/CD497-1</f>
        <v>-0.17561176228665432</v>
      </c>
      <c r="CF499" s="370">
        <f>CF497/CE497-1</f>
        <v>0.36343227737590444</v>
      </c>
      <c r="CG499" s="302"/>
      <c r="CH499" s="302"/>
      <c r="CI499" s="302"/>
      <c r="CJ499" s="302"/>
      <c r="CK499" s="302"/>
      <c r="CL499" s="302"/>
      <c r="CM499" s="302"/>
      <c r="CN499" s="302"/>
      <c r="CO499" s="302"/>
      <c r="CP499" s="303"/>
    </row>
    <row r="500" spans="2:94" ht="14.25" hidden="1" customHeight="1" outlineLevel="2">
      <c r="B500" s="217" t="s">
        <v>299</v>
      </c>
      <c r="G500" s="303"/>
      <c r="L500" s="359"/>
      <c r="M500" s="370"/>
      <c r="N500" s="370"/>
      <c r="O500" s="337"/>
      <c r="P500" s="359"/>
      <c r="Q500" s="370"/>
      <c r="R500" s="370"/>
      <c r="S500" s="337"/>
      <c r="T500" s="359"/>
      <c r="U500" s="370"/>
      <c r="V500" s="370"/>
      <c r="W500" s="337"/>
      <c r="X500" s="359">
        <f t="shared" ref="X500:AI500" si="837">X497/X562</f>
        <v>0.24318558900213322</v>
      </c>
      <c r="Y500" s="370">
        <f t="shared" si="837"/>
        <v>0.24702328061133816</v>
      </c>
      <c r="Z500" s="370">
        <f t="shared" si="837"/>
        <v>0.23404987102321581</v>
      </c>
      <c r="AA500" s="337">
        <f t="shared" si="837"/>
        <v>0.22222222222222218</v>
      </c>
      <c r="AB500" s="359">
        <f t="shared" si="837"/>
        <v>0.22342389870746504</v>
      </c>
      <c r="AC500" s="370">
        <f t="shared" si="837"/>
        <v>0.2215340638399238</v>
      </c>
      <c r="AD500" s="370">
        <f t="shared" si="837"/>
        <v>0.22901247621061535</v>
      </c>
      <c r="AE500" s="337">
        <f t="shared" si="837"/>
        <v>0.23114061557030779</v>
      </c>
      <c r="AF500" s="359">
        <f t="shared" si="837"/>
        <v>0.22882588149763722</v>
      </c>
      <c r="AG500" s="370">
        <f t="shared" si="837"/>
        <v>0.23864220812617865</v>
      </c>
      <c r="AH500" s="370">
        <f t="shared" si="837"/>
        <v>0.24071916097885798</v>
      </c>
      <c r="AI500" s="338">
        <f t="shared" si="837"/>
        <v>0.23636049723756905</v>
      </c>
      <c r="AJ500" s="359">
        <f>AJ497/AJ562</f>
        <v>0.16884906960716747</v>
      </c>
      <c r="AK500" s="370">
        <f>AK497/AK562</f>
        <v>0.17189224994480018</v>
      </c>
      <c r="AL500" s="370">
        <f>AL497/AL562</f>
        <v>0.16636971046770602</v>
      </c>
      <c r="AN500" s="256"/>
      <c r="AQ500" s="303"/>
      <c r="AR500" s="256"/>
      <c r="AU500" s="303"/>
      <c r="AV500" s="256"/>
      <c r="AY500" s="303"/>
      <c r="AZ500" s="256"/>
      <c r="BC500" s="303"/>
      <c r="BD500" s="256"/>
      <c r="BG500" s="303"/>
      <c r="BH500" s="256"/>
      <c r="BK500" s="303"/>
      <c r="BL500" s="256"/>
      <c r="BO500" s="303"/>
      <c r="BP500" s="256"/>
      <c r="BS500" s="303"/>
      <c r="BT500" s="256"/>
      <c r="BW500" s="303"/>
      <c r="BX500" s="346"/>
      <c r="BY500" s="256"/>
      <c r="BZ500" s="302"/>
      <c r="CA500" s="302"/>
      <c r="CB500" s="302"/>
      <c r="CC500" s="370">
        <f>CC497/CC562</f>
        <v>0.24926573873068572</v>
      </c>
      <c r="CD500" s="370">
        <f>CD497/CD562</f>
        <v>0.23666536889234957</v>
      </c>
      <c r="CE500" s="370">
        <f>CE497/CE562</f>
        <v>0.22663802363050481</v>
      </c>
      <c r="CF500" s="370">
        <f>CF497/CF562</f>
        <v>0.23627561165384284</v>
      </c>
      <c r="CG500" s="302"/>
      <c r="CH500" s="302"/>
      <c r="CI500" s="302"/>
      <c r="CJ500" s="302"/>
      <c r="CK500" s="302"/>
      <c r="CL500" s="302"/>
      <c r="CM500" s="302"/>
      <c r="CN500" s="302"/>
      <c r="CO500" s="302"/>
      <c r="CP500" s="303"/>
    </row>
    <row r="501" spans="2:94" ht="14.25" hidden="1" customHeight="1" outlineLevel="2">
      <c r="B501" s="217"/>
      <c r="G501" s="303"/>
      <c r="L501" s="82"/>
      <c r="M501" s="80"/>
      <c r="N501" s="80"/>
      <c r="O501" s="262"/>
      <c r="P501" s="82"/>
      <c r="Q501" s="80"/>
      <c r="R501" s="80"/>
      <c r="S501" s="262"/>
      <c r="T501" s="82"/>
      <c r="U501" s="80"/>
      <c r="V501" s="80"/>
      <c r="W501" s="262"/>
      <c r="X501" s="82"/>
      <c r="Y501" s="80"/>
      <c r="Z501" s="80"/>
      <c r="AA501" s="262"/>
      <c r="AB501" s="82"/>
      <c r="AC501" s="80"/>
      <c r="AD501" s="80"/>
      <c r="AE501" s="262"/>
      <c r="AF501" s="82"/>
      <c r="AG501" s="80"/>
      <c r="AH501" s="80"/>
      <c r="AI501" s="261"/>
      <c r="AJ501" s="82"/>
      <c r="AK501" s="80"/>
      <c r="AL501" s="80"/>
      <c r="AN501" s="256"/>
      <c r="AQ501" s="303"/>
      <c r="AR501" s="256"/>
      <c r="AU501" s="303"/>
      <c r="AV501" s="256"/>
      <c r="AY501" s="303"/>
      <c r="AZ501" s="256"/>
      <c r="BC501" s="303"/>
      <c r="BD501" s="256"/>
      <c r="BG501" s="303"/>
      <c r="BH501" s="256"/>
      <c r="BK501" s="303"/>
      <c r="BL501" s="256"/>
      <c r="BO501" s="303"/>
      <c r="BP501" s="256"/>
      <c r="BS501" s="303"/>
      <c r="BT501" s="256"/>
      <c r="BW501" s="303"/>
      <c r="BX501" s="346"/>
      <c r="BY501" s="256"/>
      <c r="BZ501" s="302"/>
      <c r="CA501" s="302"/>
      <c r="CB501" s="302"/>
      <c r="CC501" s="80"/>
      <c r="CD501" s="392"/>
      <c r="CE501" s="284"/>
      <c r="CF501" s="730"/>
      <c r="CG501" s="302"/>
      <c r="CH501" s="302"/>
      <c r="CI501" s="302"/>
      <c r="CJ501" s="302"/>
      <c r="CK501" s="302"/>
      <c r="CL501" s="302"/>
      <c r="CM501" s="302"/>
      <c r="CN501" s="302"/>
      <c r="CO501" s="302"/>
      <c r="CP501" s="303"/>
    </row>
    <row r="502" spans="2:94" ht="14.25" hidden="1" customHeight="1" outlineLevel="2">
      <c r="B502" s="235" t="s">
        <v>222</v>
      </c>
      <c r="G502" s="303"/>
      <c r="L502" s="375"/>
      <c r="M502" s="343"/>
      <c r="N502" s="343"/>
      <c r="O502" s="369"/>
      <c r="P502" s="375"/>
      <c r="Q502" s="343"/>
      <c r="R502" s="343"/>
      <c r="S502" s="369"/>
      <c r="T502" s="375"/>
      <c r="U502" s="343"/>
      <c r="V502" s="343"/>
      <c r="W502" s="369"/>
      <c r="X502" s="422">
        <v>38.6</v>
      </c>
      <c r="Y502" s="423">
        <v>46.7</v>
      </c>
      <c r="Z502" s="423">
        <v>49.8</v>
      </c>
      <c r="AA502" s="401">
        <v>39.1</v>
      </c>
      <c r="AB502" s="422">
        <v>22.3</v>
      </c>
      <c r="AC502" s="423">
        <v>25.2</v>
      </c>
      <c r="AD502" s="423">
        <v>38.1</v>
      </c>
      <c r="AE502" s="401">
        <v>43.2</v>
      </c>
      <c r="AF502" s="422">
        <v>44.8</v>
      </c>
      <c r="AG502" s="423">
        <v>51.9</v>
      </c>
      <c r="AH502" s="423">
        <v>55.6</v>
      </c>
      <c r="AI502" s="423">
        <v>51</v>
      </c>
      <c r="AJ502" s="422">
        <v>55.4</v>
      </c>
      <c r="AK502" s="423">
        <v>54.7</v>
      </c>
      <c r="AL502" s="423">
        <v>54.7</v>
      </c>
      <c r="AN502" s="256"/>
      <c r="AQ502" s="303"/>
      <c r="AR502" s="256"/>
      <c r="AU502" s="303"/>
      <c r="AV502" s="256"/>
      <c r="AY502" s="303"/>
      <c r="AZ502" s="256"/>
      <c r="BC502" s="303"/>
      <c r="BD502" s="256"/>
      <c r="BG502" s="303"/>
      <c r="BH502" s="256"/>
      <c r="BK502" s="303"/>
      <c r="BL502" s="256"/>
      <c r="BO502" s="303"/>
      <c r="BP502" s="256"/>
      <c r="BS502" s="303"/>
      <c r="BT502" s="256"/>
      <c r="BW502" s="303"/>
      <c r="BX502" s="346"/>
      <c r="BY502" s="256"/>
      <c r="BZ502" s="302"/>
      <c r="CA502" s="302"/>
      <c r="CB502" s="302"/>
      <c r="CC502" s="423">
        <v>158.80000000000001</v>
      </c>
      <c r="CD502" s="325">
        <f>SUM(X502:AA502)</f>
        <v>174.20000000000002</v>
      </c>
      <c r="CE502" s="730">
        <f>SUM(AB502:AE502)</f>
        <v>128.80000000000001</v>
      </c>
      <c r="CF502" s="730">
        <f>SUM(AF502:AI502)</f>
        <v>203.29999999999998</v>
      </c>
      <c r="CG502" s="302"/>
      <c r="CH502" s="302"/>
      <c r="CI502" s="302"/>
      <c r="CJ502" s="302"/>
      <c r="CK502" s="302"/>
      <c r="CL502" s="302"/>
      <c r="CM502" s="302"/>
      <c r="CN502" s="302"/>
      <c r="CO502" s="302"/>
      <c r="CP502" s="303"/>
    </row>
    <row r="503" spans="2:94" ht="14.25" hidden="1" customHeight="1" outlineLevel="2">
      <c r="B503" s="217" t="s">
        <v>193</v>
      </c>
      <c r="G503" s="303"/>
      <c r="L503" s="377"/>
      <c r="M503" s="370"/>
      <c r="N503" s="370"/>
      <c r="O503" s="335"/>
      <c r="P503" s="377"/>
      <c r="Q503" s="370"/>
      <c r="R503" s="370"/>
      <c r="S503" s="335"/>
      <c r="T503" s="377"/>
      <c r="U503" s="370"/>
      <c r="V503" s="370"/>
      <c r="W503" s="335"/>
      <c r="X503" s="377">
        <f t="shared" ref="X503:AI503" si="838">X502/X497</f>
        <v>0.37621832358674467</v>
      </c>
      <c r="Y503" s="370">
        <f t="shared" si="838"/>
        <v>0.33597122302158278</v>
      </c>
      <c r="Z503" s="370">
        <f t="shared" si="838"/>
        <v>0.36590742101396034</v>
      </c>
      <c r="AA503" s="335">
        <f t="shared" si="838"/>
        <v>0.36003683241252304</v>
      </c>
      <c r="AB503" s="377">
        <f t="shared" si="838"/>
        <v>0.26328217237308149</v>
      </c>
      <c r="AC503" s="370">
        <f t="shared" si="838"/>
        <v>0.27096774193548384</v>
      </c>
      <c r="AD503" s="370">
        <f t="shared" si="838"/>
        <v>0.35180055401662053</v>
      </c>
      <c r="AE503" s="335">
        <f t="shared" si="838"/>
        <v>0.37597911227154046</v>
      </c>
      <c r="AF503" s="377">
        <f t="shared" si="838"/>
        <v>0.35583796664019057</v>
      </c>
      <c r="AG503" s="370">
        <f t="shared" si="838"/>
        <v>0.37284482758620691</v>
      </c>
      <c r="AH503" s="370">
        <f t="shared" si="838"/>
        <v>0.38450899031811897</v>
      </c>
      <c r="AI503" s="370">
        <f t="shared" si="838"/>
        <v>0.37253469685902119</v>
      </c>
      <c r="AJ503" s="377">
        <f>AJ502/AJ497</f>
        <v>0.37687074829931971</v>
      </c>
      <c r="AK503" s="370">
        <f>AK502/AK497</f>
        <v>0.35131663455362883</v>
      </c>
      <c r="AL503" s="370">
        <f>AL502/AL497</f>
        <v>0.36613119143239625</v>
      </c>
      <c r="AN503" s="256"/>
      <c r="AQ503" s="303"/>
      <c r="AR503" s="256"/>
      <c r="AU503" s="303"/>
      <c r="AV503" s="256"/>
      <c r="AY503" s="303"/>
      <c r="AZ503" s="256"/>
      <c r="BC503" s="303"/>
      <c r="BD503" s="256"/>
      <c r="BG503" s="303"/>
      <c r="BH503" s="256"/>
      <c r="BK503" s="303"/>
      <c r="BL503" s="256"/>
      <c r="BO503" s="303"/>
      <c r="BP503" s="256"/>
      <c r="BS503" s="303"/>
      <c r="BT503" s="256"/>
      <c r="BW503" s="303"/>
      <c r="BX503" s="346"/>
      <c r="BY503" s="256"/>
      <c r="BZ503" s="302"/>
      <c r="CA503" s="302"/>
      <c r="CB503" s="302"/>
      <c r="CC503" s="370">
        <f>CC502/CC497</f>
        <v>0.40676229508196726</v>
      </c>
      <c r="CD503" s="370">
        <f>CD502/CD497</f>
        <v>0.35821509356364389</v>
      </c>
      <c r="CE503" s="370">
        <f>CE502/CE497</f>
        <v>0.32127712646545276</v>
      </c>
      <c r="CF503" s="370">
        <f>CF502/CF497</f>
        <v>0.371935601902671</v>
      </c>
      <c r="CG503" s="302"/>
      <c r="CH503" s="302"/>
      <c r="CI503" s="302"/>
      <c r="CJ503" s="302"/>
      <c r="CK503" s="302"/>
      <c r="CL503" s="302"/>
      <c r="CM503" s="302"/>
      <c r="CN503" s="302"/>
      <c r="CO503" s="302"/>
      <c r="CP503" s="303"/>
    </row>
    <row r="504" spans="2:94" ht="14.25" hidden="1" customHeight="1" outlineLevel="2">
      <c r="B504" s="217"/>
      <c r="G504" s="303"/>
      <c r="L504" s="82"/>
      <c r="M504" s="80"/>
      <c r="N504" s="80"/>
      <c r="O504" s="262"/>
      <c r="P504" s="82"/>
      <c r="Q504" s="80"/>
      <c r="R504" s="80"/>
      <c r="S504" s="262"/>
      <c r="T504" s="82"/>
      <c r="U504" s="80"/>
      <c r="V504" s="80"/>
      <c r="W504" s="262"/>
      <c r="X504" s="82"/>
      <c r="Y504" s="80"/>
      <c r="Z504" s="80"/>
      <c r="AA504" s="262"/>
      <c r="AB504" s="82"/>
      <c r="AC504" s="80"/>
      <c r="AD504" s="80"/>
      <c r="AE504" s="262"/>
      <c r="AF504" s="82"/>
      <c r="AG504" s="80"/>
      <c r="AH504" s="80"/>
      <c r="AI504" s="261"/>
      <c r="AJ504" s="82"/>
      <c r="AK504" s="80"/>
      <c r="AL504" s="80"/>
      <c r="AN504" s="256"/>
      <c r="AQ504" s="303"/>
      <c r="AR504" s="256"/>
      <c r="AU504" s="303"/>
      <c r="AV504" s="256"/>
      <c r="AY504" s="303"/>
      <c r="AZ504" s="256"/>
      <c r="BC504" s="303"/>
      <c r="BD504" s="256"/>
      <c r="BG504" s="303"/>
      <c r="BH504" s="256"/>
      <c r="BK504" s="303"/>
      <c r="BL504" s="256"/>
      <c r="BO504" s="303"/>
      <c r="BP504" s="256"/>
      <c r="BS504" s="303"/>
      <c r="BT504" s="256"/>
      <c r="BW504" s="303"/>
      <c r="BX504" s="346"/>
      <c r="BY504" s="256"/>
      <c r="BZ504" s="302"/>
      <c r="CA504" s="302"/>
      <c r="CB504" s="302"/>
      <c r="CC504" s="80"/>
      <c r="CD504" s="392"/>
      <c r="CE504" s="730"/>
      <c r="CF504" s="730"/>
      <c r="CG504" s="302"/>
      <c r="CH504" s="302"/>
      <c r="CI504" s="302"/>
      <c r="CJ504" s="302"/>
      <c r="CK504" s="302"/>
      <c r="CL504" s="302"/>
      <c r="CM504" s="302"/>
      <c r="CN504" s="302"/>
      <c r="CO504" s="302"/>
      <c r="CP504" s="303"/>
    </row>
    <row r="505" spans="2:94" ht="14.25" hidden="1" customHeight="1" outlineLevel="2">
      <c r="B505" s="235" t="s">
        <v>223</v>
      </c>
      <c r="G505" s="303"/>
      <c r="L505" s="375"/>
      <c r="M505" s="343"/>
      <c r="N505" s="343"/>
      <c r="O505" s="369"/>
      <c r="P505" s="375"/>
      <c r="Q505" s="343"/>
      <c r="R505" s="343"/>
      <c r="S505" s="369"/>
      <c r="T505" s="375"/>
      <c r="U505" s="343"/>
      <c r="V505" s="343"/>
      <c r="W505" s="369"/>
      <c r="X505" s="422">
        <v>18.7</v>
      </c>
      <c r="Y505" s="423">
        <v>10.9</v>
      </c>
      <c r="Z505" s="423">
        <v>14.4</v>
      </c>
      <c r="AA505" s="401">
        <v>7.1</v>
      </c>
      <c r="AB505" s="422">
        <v>-2.5</v>
      </c>
      <c r="AC505" s="423">
        <v>-1</v>
      </c>
      <c r="AD505" s="423">
        <v>11.5</v>
      </c>
      <c r="AE505" s="401">
        <v>16.5</v>
      </c>
      <c r="AF505" s="422">
        <v>15.6</v>
      </c>
      <c r="AG505" s="423">
        <v>23.7</v>
      </c>
      <c r="AH505" s="423">
        <v>26.8</v>
      </c>
      <c r="AI505" s="423">
        <v>22.1</v>
      </c>
      <c r="AJ505" s="422">
        <v>22.8</v>
      </c>
      <c r="AK505" s="423">
        <v>22.7</v>
      </c>
      <c r="AL505" s="423">
        <v>23.6</v>
      </c>
      <c r="AN505" s="256"/>
      <c r="AQ505" s="303"/>
      <c r="AR505" s="256"/>
      <c r="AU505" s="303"/>
      <c r="AV505" s="256"/>
      <c r="AY505" s="303"/>
      <c r="AZ505" s="256"/>
      <c r="BC505" s="303"/>
      <c r="BD505" s="256"/>
      <c r="BG505" s="303"/>
      <c r="BH505" s="256"/>
      <c r="BK505" s="303"/>
      <c r="BL505" s="256"/>
      <c r="BO505" s="303"/>
      <c r="BP505" s="256"/>
      <c r="BS505" s="303"/>
      <c r="BT505" s="256"/>
      <c r="BW505" s="303"/>
      <c r="BX505" s="346"/>
      <c r="BY505" s="256"/>
      <c r="BZ505" s="302"/>
      <c r="CA505" s="302"/>
      <c r="CB505" s="302"/>
      <c r="CC505" s="423">
        <v>82.2</v>
      </c>
      <c r="CD505" s="325">
        <f>SUM(X505:AA505)</f>
        <v>51.1</v>
      </c>
      <c r="CE505" s="730">
        <f>SUM(AB505:AE505)</f>
        <v>24.5</v>
      </c>
      <c r="CF505" s="730">
        <f>SUM(AF505:AI505)</f>
        <v>88.199999999999989</v>
      </c>
      <c r="CG505" s="302"/>
      <c r="CH505" s="302"/>
      <c r="CI505" s="302"/>
      <c r="CJ505" s="302"/>
      <c r="CK505" s="302"/>
      <c r="CL505" s="302"/>
      <c r="CM505" s="302"/>
      <c r="CN505" s="302"/>
      <c r="CO505" s="302"/>
      <c r="CP505" s="303"/>
    </row>
    <row r="506" spans="2:94" ht="14.25" hidden="1" customHeight="1" outlineLevel="2">
      <c r="B506" s="217" t="s">
        <v>297</v>
      </c>
      <c r="G506" s="303"/>
      <c r="L506" s="377"/>
      <c r="M506" s="370"/>
      <c r="N506" s="370"/>
      <c r="O506" s="335"/>
      <c r="P506" s="377"/>
      <c r="Q506" s="370"/>
      <c r="R506" s="370"/>
      <c r="S506" s="335"/>
      <c r="T506" s="377"/>
      <c r="U506" s="370"/>
      <c r="V506" s="370"/>
      <c r="W506" s="335"/>
      <c r="X506" s="425"/>
      <c r="Y506" s="370">
        <f t="shared" ref="Y506:AI506" si="839">Y505/X505-1</f>
        <v>-0.41711229946524064</v>
      </c>
      <c r="Z506" s="370">
        <f t="shared" si="839"/>
        <v>0.32110091743119273</v>
      </c>
      <c r="AA506" s="335">
        <f t="shared" si="839"/>
        <v>-0.50694444444444442</v>
      </c>
      <c r="AB506" s="377">
        <f t="shared" si="839"/>
        <v>-1.352112676056338</v>
      </c>
      <c r="AC506" s="370">
        <f t="shared" si="839"/>
        <v>-0.6</v>
      </c>
      <c r="AD506" s="370">
        <f t="shared" si="839"/>
        <v>-12.5</v>
      </c>
      <c r="AE506" s="335">
        <f t="shared" si="839"/>
        <v>0.43478260869565211</v>
      </c>
      <c r="AF506" s="377">
        <f t="shared" si="839"/>
        <v>-5.4545454545454564E-2</v>
      </c>
      <c r="AG506" s="370">
        <f t="shared" si="839"/>
        <v>0.51923076923076916</v>
      </c>
      <c r="AH506" s="370">
        <f t="shared" si="839"/>
        <v>0.13080168776371304</v>
      </c>
      <c r="AI506" s="370">
        <f t="shared" si="839"/>
        <v>-0.17537313432835822</v>
      </c>
      <c r="AJ506" s="377">
        <f>AJ505/AI505-1</f>
        <v>3.1674208144796268E-2</v>
      </c>
      <c r="AK506" s="370">
        <f>AK505/AJ505-1</f>
        <v>-4.3859649122807154E-3</v>
      </c>
      <c r="AL506" s="370">
        <f>AL505/AK505-1</f>
        <v>3.9647577092511099E-2</v>
      </c>
      <c r="AN506" s="256"/>
      <c r="AQ506" s="303"/>
      <c r="AR506" s="256"/>
      <c r="AU506" s="303"/>
      <c r="AV506" s="256"/>
      <c r="AY506" s="303"/>
      <c r="AZ506" s="256"/>
      <c r="BC506" s="303"/>
      <c r="BD506" s="256"/>
      <c r="BG506" s="303"/>
      <c r="BH506" s="256"/>
      <c r="BK506" s="303"/>
      <c r="BL506" s="256"/>
      <c r="BO506" s="303"/>
      <c r="BP506" s="256"/>
      <c r="BS506" s="303"/>
      <c r="BT506" s="256"/>
      <c r="BW506" s="303"/>
      <c r="BX506" s="346"/>
      <c r="BY506" s="256"/>
      <c r="BZ506" s="302"/>
      <c r="CA506" s="302"/>
      <c r="CB506" s="302"/>
      <c r="CC506" s="370"/>
      <c r="CD506" s="392"/>
      <c r="CE506" s="392"/>
      <c r="CF506" s="392"/>
      <c r="CG506" s="302"/>
      <c r="CH506" s="302"/>
      <c r="CI506" s="302"/>
      <c r="CJ506" s="302"/>
      <c r="CK506" s="302"/>
      <c r="CL506" s="302"/>
      <c r="CM506" s="302"/>
      <c r="CN506" s="302"/>
      <c r="CO506" s="302"/>
      <c r="CP506" s="303"/>
    </row>
    <row r="507" spans="2:94" ht="14.25" hidden="1" customHeight="1" outlineLevel="2">
      <c r="B507" s="32" t="s">
        <v>298</v>
      </c>
      <c r="G507" s="303"/>
      <c r="L507" s="377"/>
      <c r="M507" s="370"/>
      <c r="N507" s="370"/>
      <c r="O507" s="335"/>
      <c r="P507" s="377"/>
      <c r="Q507" s="370"/>
      <c r="R507" s="370"/>
      <c r="S507" s="335"/>
      <c r="T507" s="377"/>
      <c r="U507" s="370"/>
      <c r="V507" s="370"/>
      <c r="W507" s="335"/>
      <c r="X507" s="425"/>
      <c r="Y507" s="418"/>
      <c r="Z507" s="418"/>
      <c r="AA507" s="419"/>
      <c r="AB507" s="377">
        <f t="shared" ref="AB507:AI507" si="840">AB505/X505-1</f>
        <v>-1.1336898395721926</v>
      </c>
      <c r="AC507" s="370">
        <f t="shared" si="840"/>
        <v>-1.0917431192660549</v>
      </c>
      <c r="AD507" s="370">
        <f t="shared" si="840"/>
        <v>-0.20138888888888895</v>
      </c>
      <c r="AE507" s="335">
        <f t="shared" si="840"/>
        <v>1.323943661971831</v>
      </c>
      <c r="AF507" s="377">
        <f t="shared" si="840"/>
        <v>-7.24</v>
      </c>
      <c r="AG507" s="370">
        <f t="shared" si="840"/>
        <v>-24.7</v>
      </c>
      <c r="AH507" s="370">
        <f t="shared" si="840"/>
        <v>1.3304347826086955</v>
      </c>
      <c r="AI507" s="370">
        <f t="shared" si="840"/>
        <v>0.33939393939393958</v>
      </c>
      <c r="AJ507" s="377">
        <f>AJ505/AF505-1</f>
        <v>0.46153846153846168</v>
      </c>
      <c r="AK507" s="370">
        <f>AK505/AG505-1</f>
        <v>-4.2194092827004259E-2</v>
      </c>
      <c r="AL507" s="370">
        <f>AL505/AH505-1</f>
        <v>-0.11940298507462688</v>
      </c>
      <c r="AN507" s="256"/>
      <c r="AQ507" s="303"/>
      <c r="AR507" s="256"/>
      <c r="AU507" s="303"/>
      <c r="AV507" s="256"/>
      <c r="AY507" s="303"/>
      <c r="AZ507" s="256"/>
      <c r="BC507" s="303"/>
      <c r="BD507" s="256"/>
      <c r="BG507" s="303"/>
      <c r="BH507" s="256"/>
      <c r="BK507" s="303"/>
      <c r="BL507" s="256"/>
      <c r="BO507" s="303"/>
      <c r="BP507" s="256"/>
      <c r="BS507" s="303"/>
      <c r="BT507" s="256"/>
      <c r="BW507" s="303"/>
      <c r="BX507" s="346"/>
      <c r="BY507" s="256"/>
      <c r="BZ507" s="302"/>
      <c r="CA507" s="302"/>
      <c r="CB507" s="302"/>
      <c r="CC507" s="418"/>
      <c r="CD507" s="370">
        <f>CD505/CC505-1</f>
        <v>-0.37834549878345503</v>
      </c>
      <c r="CE507" s="370">
        <f>CE505/CD505-1</f>
        <v>-0.52054794520547953</v>
      </c>
      <c r="CF507" s="370">
        <f>CF505/CE505-1</f>
        <v>2.5999999999999996</v>
      </c>
      <c r="CG507" s="302"/>
      <c r="CH507" s="302"/>
      <c r="CI507" s="302"/>
      <c r="CJ507" s="302"/>
      <c r="CK507" s="302"/>
      <c r="CL507" s="302"/>
      <c r="CM507" s="302"/>
      <c r="CN507" s="302"/>
      <c r="CO507" s="302"/>
      <c r="CP507" s="303"/>
    </row>
    <row r="508" spans="2:94" ht="14.25" hidden="1" customHeight="1" outlineLevel="2">
      <c r="B508" s="217" t="s">
        <v>374</v>
      </c>
      <c r="G508" s="303"/>
      <c r="L508" s="377"/>
      <c r="M508" s="370"/>
      <c r="N508" s="370"/>
      <c r="O508" s="335"/>
      <c r="P508" s="377"/>
      <c r="Q508" s="370"/>
      <c r="R508" s="370"/>
      <c r="S508" s="335"/>
      <c r="T508" s="377"/>
      <c r="U508" s="370"/>
      <c r="V508" s="370"/>
      <c r="W508" s="335"/>
      <c r="X508" s="377">
        <f t="shared" ref="X508:AI508" si="841">X505/X497</f>
        <v>0.18226120857699804</v>
      </c>
      <c r="Y508" s="370">
        <f t="shared" si="841"/>
        <v>7.8417266187050361E-2</v>
      </c>
      <c r="Z508" s="370">
        <f t="shared" si="841"/>
        <v>0.10580455547391625</v>
      </c>
      <c r="AA508" s="335">
        <f t="shared" si="841"/>
        <v>6.5377532228360957E-2</v>
      </c>
      <c r="AB508" s="377">
        <f t="shared" si="841"/>
        <v>-2.9515938606847696E-2</v>
      </c>
      <c r="AC508" s="370">
        <f t="shared" si="841"/>
        <v>-1.0752688172043012E-2</v>
      </c>
      <c r="AD508" s="370">
        <f t="shared" si="841"/>
        <v>0.1061865189289012</v>
      </c>
      <c r="AE508" s="335">
        <f t="shared" si="841"/>
        <v>0.14360313315926893</v>
      </c>
      <c r="AF508" s="377">
        <f t="shared" si="841"/>
        <v>0.1239078633836378</v>
      </c>
      <c r="AG508" s="370">
        <f t="shared" si="841"/>
        <v>0.17025862068965519</v>
      </c>
      <c r="AH508" s="370">
        <f t="shared" si="841"/>
        <v>0.18533886583679116</v>
      </c>
      <c r="AI508" s="370">
        <f t="shared" si="841"/>
        <v>0.16143170197224252</v>
      </c>
      <c r="AJ508" s="377">
        <f>AJ505/AJ497</f>
        <v>0.15510204081632653</v>
      </c>
      <c r="AK508" s="370">
        <f>AK505/AK497</f>
        <v>0.14579319203596661</v>
      </c>
      <c r="AL508" s="370">
        <f>AL505/AL497</f>
        <v>0.15796519410977242</v>
      </c>
      <c r="AN508" s="256"/>
      <c r="AQ508" s="303"/>
      <c r="AR508" s="256"/>
      <c r="AU508" s="303"/>
      <c r="AV508" s="256"/>
      <c r="AY508" s="303"/>
      <c r="AZ508" s="256"/>
      <c r="BC508" s="303"/>
      <c r="BD508" s="256"/>
      <c r="BG508" s="303"/>
      <c r="BH508" s="256"/>
      <c r="BK508" s="303"/>
      <c r="BL508" s="256"/>
      <c r="BO508" s="303"/>
      <c r="BP508" s="256"/>
      <c r="BS508" s="303"/>
      <c r="BT508" s="256"/>
      <c r="BW508" s="303"/>
      <c r="BX508" s="346"/>
      <c r="BY508" s="256"/>
      <c r="BZ508" s="302"/>
      <c r="CA508" s="302"/>
      <c r="CB508" s="302"/>
      <c r="CC508" s="370">
        <f>CC505/CC497</f>
        <v>0.21055327868852461</v>
      </c>
      <c r="CD508" s="370">
        <f>CD505/CD497</f>
        <v>0.10507916923709645</v>
      </c>
      <c r="CE508" s="370">
        <f>CE505/CE497</f>
        <v>6.111249688201547E-2</v>
      </c>
      <c r="CF508" s="370">
        <f>CF505/CF497</f>
        <v>0.16136114160263443</v>
      </c>
      <c r="CG508" s="302"/>
      <c r="CH508" s="302"/>
      <c r="CI508" s="302"/>
      <c r="CJ508" s="302"/>
      <c r="CK508" s="302"/>
      <c r="CL508" s="302"/>
      <c r="CM508" s="302"/>
      <c r="CN508" s="302"/>
      <c r="CO508" s="302"/>
      <c r="CP508" s="303"/>
    </row>
    <row r="509" spans="2:94" ht="14.25" hidden="1" customHeight="1" outlineLevel="2">
      <c r="B509" s="236"/>
      <c r="C509" s="304"/>
      <c r="D509" s="304"/>
      <c r="E509" s="304"/>
      <c r="F509" s="304"/>
      <c r="G509" s="305"/>
      <c r="H509" s="304"/>
      <c r="I509" s="304"/>
      <c r="J509" s="304"/>
      <c r="K509" s="305"/>
      <c r="L509" s="285"/>
      <c r="M509" s="1"/>
      <c r="N509" s="279"/>
      <c r="O509" s="280"/>
      <c r="P509" s="285"/>
      <c r="Q509" s="1"/>
      <c r="R509" s="279"/>
      <c r="S509" s="280"/>
      <c r="T509" s="285"/>
      <c r="U509" s="1"/>
      <c r="V509" s="279"/>
      <c r="W509" s="280"/>
      <c r="X509" s="285"/>
      <c r="Y509" s="1"/>
      <c r="Z509" s="279"/>
      <c r="AA509" s="280"/>
      <c r="AB509" s="285"/>
      <c r="AC509" s="1"/>
      <c r="AD509" s="279"/>
      <c r="AE509" s="280"/>
      <c r="AF509" s="285"/>
      <c r="AG509" s="1"/>
      <c r="AH509" s="279"/>
      <c r="AI509" s="279"/>
      <c r="AJ509" s="285"/>
      <c r="AK509" s="1"/>
      <c r="AL509" s="279"/>
      <c r="AM509" s="304"/>
      <c r="AN509" s="731"/>
      <c r="AO509" s="304"/>
      <c r="AP509" s="304"/>
      <c r="AQ509" s="305"/>
      <c r="AR509" s="731"/>
      <c r="AS509" s="304"/>
      <c r="AT509" s="304"/>
      <c r="AU509" s="305"/>
      <c r="AV509" s="731"/>
      <c r="AW509" s="304"/>
      <c r="AX509" s="304"/>
      <c r="AY509" s="305"/>
      <c r="AZ509" s="731"/>
      <c r="BA509" s="304"/>
      <c r="BB509" s="304"/>
      <c r="BC509" s="305"/>
      <c r="BD509" s="731"/>
      <c r="BE509" s="304"/>
      <c r="BF509" s="304"/>
      <c r="BG509" s="305"/>
      <c r="BH509" s="731"/>
      <c r="BI509" s="304"/>
      <c r="BJ509" s="304"/>
      <c r="BK509" s="305"/>
      <c r="BL509" s="731"/>
      <c r="BM509" s="304"/>
      <c r="BN509" s="304"/>
      <c r="BO509" s="305"/>
      <c r="BP509" s="731"/>
      <c r="BQ509" s="304"/>
      <c r="BR509" s="304"/>
      <c r="BS509" s="305"/>
      <c r="BT509" s="731"/>
      <c r="BU509" s="304"/>
      <c r="BV509" s="304"/>
      <c r="BW509" s="305"/>
      <c r="BX509" s="346"/>
      <c r="BY509" s="731"/>
      <c r="BZ509" s="304"/>
      <c r="CA509" s="304"/>
      <c r="CB509" s="304"/>
      <c r="CC509" s="279"/>
      <c r="CD509" s="249"/>
      <c r="CE509" s="249"/>
      <c r="CF509" s="249"/>
      <c r="CG509" s="304"/>
      <c r="CH509" s="304"/>
      <c r="CI509" s="304"/>
      <c r="CJ509" s="304"/>
      <c r="CK509" s="304"/>
      <c r="CL509" s="304"/>
      <c r="CM509" s="304"/>
      <c r="CN509" s="304"/>
      <c r="CO509" s="304"/>
      <c r="CP509" s="305"/>
    </row>
    <row r="510" spans="2:94" ht="14.25" hidden="1" customHeight="1" outlineLevel="2">
      <c r="B510" s="235" t="s">
        <v>224</v>
      </c>
      <c r="G510" s="303"/>
      <c r="L510" s="393"/>
      <c r="M510" s="343"/>
      <c r="N510" s="343"/>
      <c r="O510" s="369"/>
      <c r="P510" s="393"/>
      <c r="Q510" s="343"/>
      <c r="R510" s="343"/>
      <c r="S510" s="369"/>
      <c r="T510" s="393"/>
      <c r="U510" s="343"/>
      <c r="V510" s="343"/>
      <c r="W510" s="369"/>
      <c r="X510" s="762">
        <v>128.1</v>
      </c>
      <c r="Y510" s="423">
        <v>134.9</v>
      </c>
      <c r="Z510" s="423">
        <v>145.9</v>
      </c>
      <c r="AA510" s="401">
        <v>110.9</v>
      </c>
      <c r="AB510" s="762">
        <v>85.8</v>
      </c>
      <c r="AC510" s="423">
        <v>94.5</v>
      </c>
      <c r="AD510" s="423">
        <v>114.4</v>
      </c>
      <c r="AE510" s="401">
        <v>114.3</v>
      </c>
      <c r="AF510" s="762">
        <v>124.2</v>
      </c>
      <c r="AG510" s="423">
        <v>134.1</v>
      </c>
      <c r="AH510" s="423">
        <v>134.6</v>
      </c>
      <c r="AI510" s="423">
        <v>132.69999999999999</v>
      </c>
      <c r="AJ510" s="762">
        <v>133.30000000000001</v>
      </c>
      <c r="AK510" s="423">
        <v>143.80000000000001</v>
      </c>
      <c r="AL510" s="423">
        <v>130.4</v>
      </c>
      <c r="AN510" s="256"/>
      <c r="AQ510" s="303"/>
      <c r="AR510" s="256"/>
      <c r="AU510" s="303"/>
      <c r="AV510" s="256"/>
      <c r="AY510" s="303"/>
      <c r="AZ510" s="256"/>
      <c r="BC510" s="303"/>
      <c r="BD510" s="256"/>
      <c r="BG510" s="303"/>
      <c r="BH510" s="256"/>
      <c r="BK510" s="303"/>
      <c r="BL510" s="256"/>
      <c r="BO510" s="303"/>
      <c r="BP510" s="256"/>
      <c r="BS510" s="303"/>
      <c r="BT510" s="256"/>
      <c r="BW510" s="303"/>
      <c r="BX510" s="346"/>
      <c r="BY510" s="729"/>
      <c r="BZ510" s="713"/>
      <c r="CA510" s="302"/>
      <c r="CB510" s="302"/>
      <c r="CC510" s="784">
        <v>433.4</v>
      </c>
      <c r="CD510" s="325">
        <f>SUM(X510:AA510)</f>
        <v>519.79999999999995</v>
      </c>
      <c r="CE510" s="730">
        <f>SUM(AB510:AE510)</f>
        <v>409.00000000000006</v>
      </c>
      <c r="CF510" s="730">
        <f>SUM(AF510:AI510)</f>
        <v>525.59999999999991</v>
      </c>
      <c r="CG510" s="302"/>
      <c r="CH510" s="302"/>
      <c r="CI510" s="302"/>
      <c r="CJ510" s="302"/>
      <c r="CK510" s="302"/>
      <c r="CL510" s="302"/>
      <c r="CM510" s="302"/>
      <c r="CN510" s="302"/>
      <c r="CO510" s="302"/>
      <c r="CP510" s="303"/>
    </row>
    <row r="511" spans="2:94" ht="14.25" hidden="1" customHeight="1" outlineLevel="2">
      <c r="B511" s="217" t="s">
        <v>297</v>
      </c>
      <c r="G511" s="303"/>
      <c r="L511" s="377"/>
      <c r="M511" s="370"/>
      <c r="N511" s="370"/>
      <c r="O511" s="335"/>
      <c r="P511" s="377"/>
      <c r="Q511" s="370"/>
      <c r="R511" s="370"/>
      <c r="S511" s="335"/>
      <c r="T511" s="377"/>
      <c r="U511" s="370"/>
      <c r="V511" s="370"/>
      <c r="W511" s="335"/>
      <c r="X511" s="425"/>
      <c r="Y511" s="370">
        <f t="shared" ref="Y511:AI511" si="842">Y510/X510-1</f>
        <v>5.3083528493364618E-2</v>
      </c>
      <c r="Z511" s="370">
        <f t="shared" si="842"/>
        <v>8.1541882876204674E-2</v>
      </c>
      <c r="AA511" s="335">
        <f t="shared" si="842"/>
        <v>-0.23989033584647013</v>
      </c>
      <c r="AB511" s="377">
        <f t="shared" si="842"/>
        <v>-0.22633002705139771</v>
      </c>
      <c r="AC511" s="370">
        <f t="shared" si="842"/>
        <v>0.10139860139860146</v>
      </c>
      <c r="AD511" s="370">
        <f t="shared" si="842"/>
        <v>0.21058201058201065</v>
      </c>
      <c r="AE511" s="335">
        <f t="shared" si="842"/>
        <v>-8.7412587412594167E-4</v>
      </c>
      <c r="AF511" s="377">
        <f t="shared" si="842"/>
        <v>8.6614173228346525E-2</v>
      </c>
      <c r="AG511" s="370">
        <f t="shared" si="842"/>
        <v>7.9710144927536142E-2</v>
      </c>
      <c r="AH511" s="370">
        <f t="shared" si="842"/>
        <v>3.7285607755406236E-3</v>
      </c>
      <c r="AI511" s="370">
        <f t="shared" si="842"/>
        <v>-1.411589895988119E-2</v>
      </c>
      <c r="AJ511" s="377">
        <f>AJ510/AI510-1</f>
        <v>4.5214770158252815E-3</v>
      </c>
      <c r="AK511" s="370">
        <f>AK510/AJ510-1</f>
        <v>7.876969242310583E-2</v>
      </c>
      <c r="AL511" s="370">
        <f>AL510/AK510-1</f>
        <v>-9.3184979137691304E-2</v>
      </c>
      <c r="AN511" s="256"/>
      <c r="AQ511" s="303"/>
      <c r="AR511" s="256"/>
      <c r="AU511" s="303"/>
      <c r="AV511" s="256"/>
      <c r="AY511" s="303"/>
      <c r="AZ511" s="256"/>
      <c r="BC511" s="303"/>
      <c r="BD511" s="256"/>
      <c r="BG511" s="303"/>
      <c r="BH511" s="256"/>
      <c r="BK511" s="303"/>
      <c r="BL511" s="256"/>
      <c r="BO511" s="303"/>
      <c r="BP511" s="256"/>
      <c r="BS511" s="303"/>
      <c r="BT511" s="256"/>
      <c r="BW511" s="303"/>
      <c r="BX511" s="346"/>
      <c r="BY511" s="256"/>
      <c r="BZ511" s="302"/>
      <c r="CA511" s="302"/>
      <c r="CB511" s="302"/>
      <c r="CC511" s="370"/>
      <c r="CD511" s="392"/>
      <c r="CE511" s="730"/>
      <c r="CF511" s="730"/>
      <c r="CG511" s="302"/>
      <c r="CH511" s="302"/>
      <c r="CI511" s="302"/>
      <c r="CJ511" s="302"/>
      <c r="CK511" s="302"/>
      <c r="CL511" s="302"/>
      <c r="CM511" s="302"/>
      <c r="CN511" s="302"/>
      <c r="CO511" s="302"/>
      <c r="CP511" s="303"/>
    </row>
    <row r="512" spans="2:94" ht="14.25" hidden="1" customHeight="1" outlineLevel="2">
      <c r="B512" s="32" t="s">
        <v>298</v>
      </c>
      <c r="G512" s="303"/>
      <c r="L512" s="377"/>
      <c r="M512" s="370"/>
      <c r="N512" s="370"/>
      <c r="O512" s="335"/>
      <c r="P512" s="377"/>
      <c r="Q512" s="370"/>
      <c r="R512" s="370"/>
      <c r="S512" s="335"/>
      <c r="T512" s="377"/>
      <c r="U512" s="370"/>
      <c r="V512" s="370"/>
      <c r="W512" s="335"/>
      <c r="X512" s="425"/>
      <c r="Y512" s="418"/>
      <c r="Z512" s="418"/>
      <c r="AA512" s="419"/>
      <c r="AB512" s="377">
        <f t="shared" ref="AB512:AI512" si="843">AB510/X510-1</f>
        <v>-0.33021077283372369</v>
      </c>
      <c r="AC512" s="370">
        <f t="shared" si="843"/>
        <v>-0.29948109710896964</v>
      </c>
      <c r="AD512" s="370">
        <f t="shared" si="843"/>
        <v>-0.21590130226182314</v>
      </c>
      <c r="AE512" s="335">
        <f t="shared" si="843"/>
        <v>3.0658250676284915E-2</v>
      </c>
      <c r="AF512" s="377">
        <f t="shared" si="843"/>
        <v>0.44755244755244772</v>
      </c>
      <c r="AG512" s="370">
        <f t="shared" si="843"/>
        <v>0.41904761904761889</v>
      </c>
      <c r="AH512" s="370">
        <f t="shared" si="843"/>
        <v>0.17657342657342645</v>
      </c>
      <c r="AI512" s="370">
        <f t="shared" si="843"/>
        <v>0.16097987751531062</v>
      </c>
      <c r="AJ512" s="377">
        <f>AJ510/AF510-1</f>
        <v>7.3268921095008155E-2</v>
      </c>
      <c r="AK512" s="370">
        <f>AK510/AG510-1</f>
        <v>7.2334079045488497E-2</v>
      </c>
      <c r="AL512" s="370">
        <f>AL510/AH510-1</f>
        <v>-3.1203566121842385E-2</v>
      </c>
      <c r="AN512" s="256"/>
      <c r="AQ512" s="303"/>
      <c r="AR512" s="256"/>
      <c r="AU512" s="303"/>
      <c r="AV512" s="256"/>
      <c r="AY512" s="303"/>
      <c r="AZ512" s="256"/>
      <c r="BC512" s="303"/>
      <c r="BD512" s="256"/>
      <c r="BG512" s="303"/>
      <c r="BH512" s="256"/>
      <c r="BK512" s="303"/>
      <c r="BL512" s="256"/>
      <c r="BO512" s="303"/>
      <c r="BP512" s="256"/>
      <c r="BS512" s="303"/>
      <c r="BT512" s="256"/>
      <c r="BW512" s="303"/>
      <c r="BX512" s="346"/>
      <c r="BY512" s="256"/>
      <c r="BZ512" s="302"/>
      <c r="CA512" s="302"/>
      <c r="CB512" s="302"/>
      <c r="CC512" s="418"/>
      <c r="CD512" s="370">
        <f>CD510/CC510-1</f>
        <v>0.19935394554683894</v>
      </c>
      <c r="CE512" s="370">
        <f>CE510/CD510-1</f>
        <v>-0.21315890727202758</v>
      </c>
      <c r="CF512" s="370">
        <f>CF510/CE510-1</f>
        <v>0.2850855745721268</v>
      </c>
      <c r="CG512" s="302"/>
      <c r="CH512" s="302"/>
      <c r="CI512" s="302"/>
      <c r="CJ512" s="302"/>
      <c r="CK512" s="302"/>
      <c r="CL512" s="302"/>
      <c r="CM512" s="302"/>
      <c r="CN512" s="302"/>
      <c r="CO512" s="302"/>
      <c r="CP512" s="303"/>
    </row>
    <row r="513" spans="2:94" ht="14.25" hidden="1" customHeight="1" outlineLevel="2">
      <c r="B513" s="217" t="s">
        <v>299</v>
      </c>
      <c r="G513" s="303"/>
      <c r="L513" s="359"/>
      <c r="M513" s="370"/>
      <c r="N513" s="370"/>
      <c r="O513" s="337"/>
      <c r="P513" s="359"/>
      <c r="Q513" s="370"/>
      <c r="R513" s="370"/>
      <c r="S513" s="337"/>
      <c r="T513" s="359"/>
      <c r="U513" s="370"/>
      <c r="V513" s="370"/>
      <c r="W513" s="337"/>
      <c r="X513" s="359">
        <f t="shared" ref="X513:AI513" si="844">X510/X562</f>
        <v>0.30362645176582131</v>
      </c>
      <c r="Y513" s="370">
        <f t="shared" si="844"/>
        <v>0.23973698240625554</v>
      </c>
      <c r="Z513" s="370">
        <f t="shared" si="844"/>
        <v>0.25090283748925196</v>
      </c>
      <c r="AA513" s="337">
        <f t="shared" si="844"/>
        <v>0.22692858604460814</v>
      </c>
      <c r="AB513" s="359">
        <f t="shared" si="844"/>
        <v>0.22632550778158794</v>
      </c>
      <c r="AC513" s="370">
        <f t="shared" si="844"/>
        <v>0.22510719390185804</v>
      </c>
      <c r="AD513" s="370">
        <f t="shared" si="844"/>
        <v>0.2419116092197082</v>
      </c>
      <c r="AE513" s="337">
        <f t="shared" si="844"/>
        <v>0.22993361496680748</v>
      </c>
      <c r="AF513" s="359">
        <f t="shared" si="844"/>
        <v>0.22573609596510358</v>
      </c>
      <c r="AG513" s="370">
        <f t="shared" si="844"/>
        <v>0.22989885136293503</v>
      </c>
      <c r="AH513" s="370">
        <f t="shared" si="844"/>
        <v>0.22407191609788576</v>
      </c>
      <c r="AI513" s="338">
        <f t="shared" si="844"/>
        <v>0.22910911602209941</v>
      </c>
      <c r="AJ513" s="359">
        <f>AJ510/AJ562</f>
        <v>0.15311279577303011</v>
      </c>
      <c r="AK513" s="370">
        <f>AK510/AK562</f>
        <v>0.15875469198498568</v>
      </c>
      <c r="AL513" s="370">
        <f>AL510/AL562</f>
        <v>0.14521158129175948</v>
      </c>
      <c r="AN513" s="256"/>
      <c r="AQ513" s="303"/>
      <c r="AR513" s="256"/>
      <c r="AU513" s="303"/>
      <c r="AV513" s="256"/>
      <c r="AY513" s="303"/>
      <c r="AZ513" s="256"/>
      <c r="BC513" s="303"/>
      <c r="BD513" s="256"/>
      <c r="BG513" s="303"/>
      <c r="BH513" s="256"/>
      <c r="BK513" s="303"/>
      <c r="BL513" s="256"/>
      <c r="BO513" s="303"/>
      <c r="BP513" s="256"/>
      <c r="BS513" s="303"/>
      <c r="BT513" s="256"/>
      <c r="BW513" s="303"/>
      <c r="BX513" s="346"/>
      <c r="BY513" s="256"/>
      <c r="BZ513" s="302"/>
      <c r="CA513" s="302"/>
      <c r="CB513" s="302"/>
      <c r="CC513" s="370">
        <f>CC510/CC562</f>
        <v>0.27672072532243647</v>
      </c>
      <c r="CD513" s="370">
        <f>CD510/CD562</f>
        <v>0.25296865875024327</v>
      </c>
      <c r="CE513" s="370">
        <f>CE510/CE562</f>
        <v>0.23121714059585055</v>
      </c>
      <c r="CF513" s="370">
        <f>CF510/CF562</f>
        <v>0.22719806345638449</v>
      </c>
      <c r="CG513" s="302"/>
      <c r="CH513" s="302"/>
      <c r="CI513" s="302"/>
      <c r="CJ513" s="302"/>
      <c r="CK513" s="302"/>
      <c r="CL513" s="302"/>
      <c r="CM513" s="302"/>
      <c r="CN513" s="302"/>
      <c r="CO513" s="302"/>
      <c r="CP513" s="303"/>
    </row>
    <row r="514" spans="2:94" ht="14.25" hidden="1" customHeight="1" outlineLevel="2">
      <c r="B514" s="217"/>
      <c r="G514" s="303"/>
      <c r="L514" s="260"/>
      <c r="M514" s="80"/>
      <c r="N514" s="80"/>
      <c r="O514" s="262"/>
      <c r="P514" s="260"/>
      <c r="Q514" s="80"/>
      <c r="R514" s="80"/>
      <c r="S514" s="262"/>
      <c r="T514" s="260"/>
      <c r="U514" s="80"/>
      <c r="V514" s="80"/>
      <c r="W514" s="262"/>
      <c r="X514" s="260"/>
      <c r="Y514" s="80"/>
      <c r="Z514" s="80"/>
      <c r="AA514" s="262"/>
      <c r="AB514" s="260"/>
      <c r="AC514" s="80"/>
      <c r="AD514" s="80"/>
      <c r="AE514" s="262"/>
      <c r="AF514" s="260"/>
      <c r="AG514" s="80"/>
      <c r="AH514" s="80"/>
      <c r="AI514" s="261"/>
      <c r="AJ514" s="260"/>
      <c r="AK514" s="80"/>
      <c r="AL514" s="80"/>
      <c r="AN514" s="256"/>
      <c r="AQ514" s="303"/>
      <c r="AR514" s="256"/>
      <c r="AU514" s="303"/>
      <c r="AV514" s="256"/>
      <c r="AY514" s="303"/>
      <c r="AZ514" s="256"/>
      <c r="BC514" s="303"/>
      <c r="BD514" s="256"/>
      <c r="BG514" s="303"/>
      <c r="BH514" s="256"/>
      <c r="BK514" s="303"/>
      <c r="BL514" s="256"/>
      <c r="BO514" s="303"/>
      <c r="BP514" s="256"/>
      <c r="BS514" s="303"/>
      <c r="BT514" s="256"/>
      <c r="BW514" s="303"/>
      <c r="BX514" s="346"/>
      <c r="BY514" s="256"/>
      <c r="BZ514" s="302"/>
      <c r="CA514" s="302"/>
      <c r="CB514" s="302"/>
      <c r="CC514" s="80"/>
      <c r="CD514" s="392"/>
      <c r="CE514" s="730"/>
      <c r="CF514" s="730"/>
      <c r="CG514" s="302"/>
      <c r="CH514" s="302"/>
      <c r="CI514" s="302"/>
      <c r="CJ514" s="302"/>
      <c r="CK514" s="302"/>
      <c r="CL514" s="302"/>
      <c r="CM514" s="302"/>
      <c r="CN514" s="302"/>
      <c r="CO514" s="302"/>
      <c r="CP514" s="303"/>
    </row>
    <row r="515" spans="2:94" ht="14.25" hidden="1" customHeight="1" outlineLevel="2">
      <c r="B515" s="235" t="s">
        <v>225</v>
      </c>
      <c r="G515" s="303"/>
      <c r="L515" s="375"/>
      <c r="M515" s="343"/>
      <c r="N515" s="343"/>
      <c r="O515" s="369"/>
      <c r="P515" s="375"/>
      <c r="Q515" s="343"/>
      <c r="R515" s="343"/>
      <c r="S515" s="369"/>
      <c r="T515" s="375"/>
      <c r="U515" s="343"/>
      <c r="V515" s="343"/>
      <c r="W515" s="369"/>
      <c r="X515" s="422">
        <v>54.9</v>
      </c>
      <c r="Y515" s="423">
        <v>61</v>
      </c>
      <c r="Z515" s="423">
        <v>61.6</v>
      </c>
      <c r="AA515" s="401">
        <v>42.8</v>
      </c>
      <c r="AB515" s="422">
        <v>26.8</v>
      </c>
      <c r="AC515" s="423">
        <v>30.4</v>
      </c>
      <c r="AD515" s="423">
        <v>41.1</v>
      </c>
      <c r="AE515" s="401">
        <v>43.6</v>
      </c>
      <c r="AF515" s="422">
        <v>52.9</v>
      </c>
      <c r="AG515" s="423">
        <v>61.6</v>
      </c>
      <c r="AH515" s="423">
        <v>57.6</v>
      </c>
      <c r="AI515" s="423">
        <v>54.1</v>
      </c>
      <c r="AJ515" s="422">
        <v>54.4</v>
      </c>
      <c r="AK515" s="423">
        <v>58.2</v>
      </c>
      <c r="AL515" s="423">
        <v>47.8</v>
      </c>
      <c r="AN515" s="256"/>
      <c r="AQ515" s="303"/>
      <c r="AR515" s="256"/>
      <c r="AU515" s="303"/>
      <c r="AV515" s="256"/>
      <c r="AY515" s="303"/>
      <c r="AZ515" s="256"/>
      <c r="BC515" s="303"/>
      <c r="BD515" s="256"/>
      <c r="BG515" s="303"/>
      <c r="BH515" s="256"/>
      <c r="BK515" s="303"/>
      <c r="BL515" s="256"/>
      <c r="BO515" s="303"/>
      <c r="BP515" s="256"/>
      <c r="BS515" s="303"/>
      <c r="BT515" s="256"/>
      <c r="BW515" s="303"/>
      <c r="BX515" s="346"/>
      <c r="BY515" s="256"/>
      <c r="BZ515" s="302"/>
      <c r="CA515" s="302"/>
      <c r="CB515" s="302"/>
      <c r="CC515" s="423">
        <v>185.6</v>
      </c>
      <c r="CD515" s="325">
        <f>SUM(X515:AA515)</f>
        <v>220.3</v>
      </c>
      <c r="CE515" s="730">
        <f>SUM(AB515:AE515)</f>
        <v>141.9</v>
      </c>
      <c r="CF515" s="730">
        <f>SUM(AF515:AI515)</f>
        <v>226.2</v>
      </c>
      <c r="CG515" s="302"/>
      <c r="CH515" s="302"/>
      <c r="CI515" s="302"/>
      <c r="CJ515" s="302"/>
      <c r="CK515" s="302"/>
      <c r="CL515" s="302"/>
      <c r="CM515" s="302"/>
      <c r="CN515" s="302"/>
      <c r="CO515" s="302"/>
      <c r="CP515" s="303"/>
    </row>
    <row r="516" spans="2:94" ht="14.25" hidden="1" customHeight="1" outlineLevel="2">
      <c r="B516" s="217" t="s">
        <v>193</v>
      </c>
      <c r="G516" s="303"/>
      <c r="L516" s="377"/>
      <c r="M516" s="370"/>
      <c r="N516" s="370"/>
      <c r="O516" s="335"/>
      <c r="P516" s="377"/>
      <c r="Q516" s="370"/>
      <c r="R516" s="370"/>
      <c r="S516" s="335"/>
      <c r="T516" s="377"/>
      <c r="U516" s="370"/>
      <c r="V516" s="370"/>
      <c r="W516" s="335"/>
      <c r="X516" s="377">
        <f t="shared" ref="X516:AI516" si="845">X515/X510</f>
        <v>0.4285714285714286</v>
      </c>
      <c r="Y516" s="370">
        <f t="shared" si="845"/>
        <v>0.45218680504077091</v>
      </c>
      <c r="Z516" s="370">
        <f t="shared" si="845"/>
        <v>0.42220699108978754</v>
      </c>
      <c r="AA516" s="335">
        <f t="shared" si="845"/>
        <v>0.3859332732191163</v>
      </c>
      <c r="AB516" s="377">
        <f t="shared" si="845"/>
        <v>0.31235431235431238</v>
      </c>
      <c r="AC516" s="370">
        <f t="shared" si="845"/>
        <v>0.3216931216931217</v>
      </c>
      <c r="AD516" s="370">
        <f t="shared" si="845"/>
        <v>0.35926573426573427</v>
      </c>
      <c r="AE516" s="335">
        <f t="shared" si="845"/>
        <v>0.38145231846019251</v>
      </c>
      <c r="AF516" s="377">
        <f t="shared" si="845"/>
        <v>0.42592592592592593</v>
      </c>
      <c r="AG516" s="370">
        <f t="shared" si="845"/>
        <v>0.45935868754660703</v>
      </c>
      <c r="AH516" s="370">
        <f t="shared" si="845"/>
        <v>0.42793462109955427</v>
      </c>
      <c r="AI516" s="370">
        <f t="shared" si="845"/>
        <v>0.40768651092690283</v>
      </c>
      <c r="AJ516" s="377">
        <f>AJ515/AJ510</f>
        <v>0.40810202550637653</v>
      </c>
      <c r="AK516" s="370">
        <f>AK515/AK510</f>
        <v>0.4047287899860918</v>
      </c>
      <c r="AL516" s="370">
        <f>AL515/AL510</f>
        <v>0.36656441717791405</v>
      </c>
      <c r="AN516" s="256"/>
      <c r="AQ516" s="303"/>
      <c r="AR516" s="256"/>
      <c r="AU516" s="303"/>
      <c r="AV516" s="256"/>
      <c r="AY516" s="303"/>
      <c r="AZ516" s="256"/>
      <c r="BC516" s="303"/>
      <c r="BD516" s="256"/>
      <c r="BG516" s="303"/>
      <c r="BH516" s="256"/>
      <c r="BK516" s="303"/>
      <c r="BL516" s="256"/>
      <c r="BO516" s="303"/>
      <c r="BP516" s="256"/>
      <c r="BS516" s="303"/>
      <c r="BT516" s="256"/>
      <c r="BW516" s="303"/>
      <c r="BX516" s="346"/>
      <c r="BY516" s="256"/>
      <c r="BZ516" s="302"/>
      <c r="CA516" s="302"/>
      <c r="CB516" s="302"/>
      <c r="CC516" s="370">
        <f>CC515/CC510</f>
        <v>0.42824180895246888</v>
      </c>
      <c r="CD516" s="370">
        <f>CD515/CD510</f>
        <v>0.42381685263562913</v>
      </c>
      <c r="CE516" s="370">
        <f>CE515/CE510</f>
        <v>0.34694376528117354</v>
      </c>
      <c r="CF516" s="370">
        <f>CF515/CF510</f>
        <v>0.43036529680365304</v>
      </c>
      <c r="CG516" s="302"/>
      <c r="CH516" s="302"/>
      <c r="CI516" s="302"/>
      <c r="CJ516" s="302"/>
      <c r="CK516" s="302"/>
      <c r="CL516" s="302"/>
      <c r="CM516" s="302"/>
      <c r="CN516" s="302"/>
      <c r="CO516" s="302"/>
      <c r="CP516" s="303"/>
    </row>
    <row r="517" spans="2:94" ht="14.25" hidden="1" customHeight="1" outlineLevel="2">
      <c r="B517" s="217"/>
      <c r="G517" s="303"/>
      <c r="L517" s="82"/>
      <c r="M517" s="80"/>
      <c r="N517" s="80"/>
      <c r="O517" s="262"/>
      <c r="P517" s="82"/>
      <c r="Q517" s="80"/>
      <c r="R517" s="80"/>
      <c r="S517" s="262"/>
      <c r="T517" s="82"/>
      <c r="U517" s="80"/>
      <c r="V517" s="80"/>
      <c r="W517" s="262"/>
      <c r="X517" s="82"/>
      <c r="Y517" s="80"/>
      <c r="Z517" s="80"/>
      <c r="AA517" s="262"/>
      <c r="AB517" s="82"/>
      <c r="AC517" s="80"/>
      <c r="AD517" s="80"/>
      <c r="AE517" s="262"/>
      <c r="AF517" s="82"/>
      <c r="AG517" s="80"/>
      <c r="AH517" s="80"/>
      <c r="AI517" s="261"/>
      <c r="AJ517" s="82"/>
      <c r="AK517" s="80"/>
      <c r="AL517" s="80"/>
      <c r="AN517" s="256"/>
      <c r="AQ517" s="303"/>
      <c r="AR517" s="256"/>
      <c r="AU517" s="303"/>
      <c r="AV517" s="256"/>
      <c r="AY517" s="303"/>
      <c r="AZ517" s="256"/>
      <c r="BC517" s="303"/>
      <c r="BD517" s="256"/>
      <c r="BG517" s="303"/>
      <c r="BH517" s="256"/>
      <c r="BK517" s="303"/>
      <c r="BL517" s="256"/>
      <c r="BO517" s="303"/>
      <c r="BP517" s="256"/>
      <c r="BS517" s="303"/>
      <c r="BT517" s="256"/>
      <c r="BW517" s="303"/>
      <c r="BX517" s="346"/>
      <c r="BY517" s="256"/>
      <c r="BZ517" s="302"/>
      <c r="CA517" s="302"/>
      <c r="CB517" s="302"/>
      <c r="CC517" s="80"/>
      <c r="CD517" s="392"/>
      <c r="CE517" s="730"/>
      <c r="CF517" s="730"/>
      <c r="CG517" s="302"/>
      <c r="CH517" s="302"/>
      <c r="CI517" s="302"/>
      <c r="CJ517" s="302"/>
      <c r="CK517" s="302"/>
      <c r="CL517" s="302"/>
      <c r="CM517" s="302"/>
      <c r="CN517" s="302"/>
      <c r="CO517" s="302"/>
      <c r="CP517" s="303"/>
    </row>
    <row r="518" spans="2:94" ht="14.25" hidden="1" customHeight="1" outlineLevel="2">
      <c r="B518" s="235" t="s">
        <v>226</v>
      </c>
      <c r="G518" s="303"/>
      <c r="L518" s="375"/>
      <c r="M518" s="343"/>
      <c r="N518" s="343"/>
      <c r="O518" s="369"/>
      <c r="P518" s="375"/>
      <c r="Q518" s="343"/>
      <c r="R518" s="343"/>
      <c r="S518" s="369"/>
      <c r="T518" s="375"/>
      <c r="U518" s="343"/>
      <c r="V518" s="343"/>
      <c r="W518" s="369"/>
      <c r="X518" s="422">
        <v>23.6</v>
      </c>
      <c r="Y518" s="423">
        <v>24.7</v>
      </c>
      <c r="Z518" s="423">
        <v>24.9</v>
      </c>
      <c r="AA518" s="401">
        <v>14.2</v>
      </c>
      <c r="AB518" s="422">
        <v>2.2999999999999998</v>
      </c>
      <c r="AC518" s="423">
        <v>3.7</v>
      </c>
      <c r="AD518" s="423">
        <v>13.4</v>
      </c>
      <c r="AE518" s="401">
        <v>18</v>
      </c>
      <c r="AF518" s="422">
        <v>20.7</v>
      </c>
      <c r="AG518" s="423">
        <v>31.7</v>
      </c>
      <c r="AH518" s="423">
        <v>26.3</v>
      </c>
      <c r="AI518" s="423">
        <v>24</v>
      </c>
      <c r="AJ518" s="422">
        <v>21.1</v>
      </c>
      <c r="AK518" s="423">
        <v>28.1</v>
      </c>
      <c r="AL518" s="423">
        <v>17</v>
      </c>
      <c r="AN518" s="256"/>
      <c r="AQ518" s="303"/>
      <c r="AR518" s="256"/>
      <c r="AU518" s="303"/>
      <c r="AV518" s="256"/>
      <c r="AY518" s="303"/>
      <c r="AZ518" s="256"/>
      <c r="BC518" s="303"/>
      <c r="BD518" s="256"/>
      <c r="BG518" s="303"/>
      <c r="BH518" s="256"/>
      <c r="BK518" s="303"/>
      <c r="BL518" s="256"/>
      <c r="BO518" s="303"/>
      <c r="BP518" s="256"/>
      <c r="BS518" s="303"/>
      <c r="BT518" s="256"/>
      <c r="BW518" s="303"/>
      <c r="BX518" s="346"/>
      <c r="BY518" s="256"/>
      <c r="BZ518" s="302"/>
      <c r="CA518" s="302"/>
      <c r="CB518" s="302"/>
      <c r="CC518" s="423">
        <v>77.900000000000006</v>
      </c>
      <c r="CD518" s="325">
        <f>SUM(X518:AA518)</f>
        <v>87.399999999999991</v>
      </c>
      <c r="CE518" s="730">
        <f>SUM(AB518:AE518)</f>
        <v>37.4</v>
      </c>
      <c r="CF518" s="730">
        <f>SUM(AF518:AI518)</f>
        <v>102.7</v>
      </c>
      <c r="CG518" s="302"/>
      <c r="CH518" s="302"/>
      <c r="CI518" s="302"/>
      <c r="CJ518" s="302"/>
      <c r="CK518" s="302"/>
      <c r="CL518" s="302"/>
      <c r="CM518" s="302"/>
      <c r="CN518" s="302"/>
      <c r="CO518" s="302"/>
      <c r="CP518" s="303"/>
    </row>
    <row r="519" spans="2:94" ht="14.25" hidden="1" customHeight="1" outlineLevel="2">
      <c r="B519" s="217" t="s">
        <v>297</v>
      </c>
      <c r="G519" s="303"/>
      <c r="L519" s="377"/>
      <c r="M519" s="370"/>
      <c r="N519" s="370"/>
      <c r="O519" s="335"/>
      <c r="P519" s="377"/>
      <c r="Q519" s="370"/>
      <c r="R519" s="370"/>
      <c r="S519" s="335"/>
      <c r="T519" s="377"/>
      <c r="U519" s="370"/>
      <c r="V519" s="370"/>
      <c r="W519" s="335"/>
      <c r="X519" s="425"/>
      <c r="Y519" s="370">
        <f t="shared" ref="Y519:AI519" si="846">Y518/X518-1</f>
        <v>4.66101694915253E-2</v>
      </c>
      <c r="Z519" s="370">
        <f t="shared" si="846"/>
        <v>8.0971659919029104E-3</v>
      </c>
      <c r="AA519" s="335">
        <f t="shared" si="846"/>
        <v>-0.42971887550200805</v>
      </c>
      <c r="AB519" s="377">
        <f t="shared" si="846"/>
        <v>-0.8380281690140845</v>
      </c>
      <c r="AC519" s="370">
        <f t="shared" si="846"/>
        <v>0.6086956521739133</v>
      </c>
      <c r="AD519" s="370">
        <f t="shared" si="846"/>
        <v>2.6216216216216215</v>
      </c>
      <c r="AE519" s="335">
        <f t="shared" si="846"/>
        <v>0.34328358208955212</v>
      </c>
      <c r="AF519" s="377">
        <f t="shared" si="846"/>
        <v>0.14999999999999991</v>
      </c>
      <c r="AG519" s="370">
        <f t="shared" si="846"/>
        <v>0.5314009661835748</v>
      </c>
      <c r="AH519" s="370">
        <f t="shared" si="846"/>
        <v>-0.17034700315457407</v>
      </c>
      <c r="AI519" s="370">
        <f t="shared" si="846"/>
        <v>-8.7452471482889704E-2</v>
      </c>
      <c r="AJ519" s="377">
        <f>AJ518/AI518-1</f>
        <v>-0.12083333333333324</v>
      </c>
      <c r="AK519" s="370">
        <f>AK518/AJ518-1</f>
        <v>0.33175355450236954</v>
      </c>
      <c r="AL519" s="370">
        <f>AL518/AK518-1</f>
        <v>-0.39501779359430611</v>
      </c>
      <c r="AN519" s="256"/>
      <c r="AQ519" s="303"/>
      <c r="AR519" s="256"/>
      <c r="AU519" s="303"/>
      <c r="AV519" s="256"/>
      <c r="AY519" s="303"/>
      <c r="AZ519" s="256"/>
      <c r="BC519" s="303"/>
      <c r="BD519" s="256"/>
      <c r="BG519" s="303"/>
      <c r="BH519" s="256"/>
      <c r="BK519" s="303"/>
      <c r="BL519" s="256"/>
      <c r="BO519" s="303"/>
      <c r="BP519" s="256"/>
      <c r="BS519" s="303"/>
      <c r="BT519" s="256"/>
      <c r="BW519" s="303"/>
      <c r="BX519" s="346"/>
      <c r="BY519" s="256"/>
      <c r="BZ519" s="302"/>
      <c r="CA519" s="302"/>
      <c r="CB519" s="302"/>
      <c r="CC519" s="370"/>
      <c r="CD519" s="392"/>
      <c r="CE519" s="392"/>
      <c r="CF519" s="392"/>
      <c r="CG519" s="302"/>
      <c r="CH519" s="302"/>
      <c r="CI519" s="302"/>
      <c r="CJ519" s="302"/>
      <c r="CK519" s="302"/>
      <c r="CL519" s="302"/>
      <c r="CM519" s="302"/>
      <c r="CN519" s="302"/>
      <c r="CO519" s="302"/>
      <c r="CP519" s="303"/>
    </row>
    <row r="520" spans="2:94" ht="14.25" hidden="1" customHeight="1" outlineLevel="2">
      <c r="B520" s="32" t="s">
        <v>298</v>
      </c>
      <c r="G520" s="303"/>
      <c r="L520" s="377"/>
      <c r="M520" s="370"/>
      <c r="N520" s="370"/>
      <c r="O520" s="335"/>
      <c r="P520" s="377"/>
      <c r="Q520" s="370"/>
      <c r="R520" s="370"/>
      <c r="S520" s="335"/>
      <c r="T520" s="377"/>
      <c r="U520" s="370"/>
      <c r="V520" s="370"/>
      <c r="W520" s="335"/>
      <c r="X520" s="425"/>
      <c r="Y520" s="418"/>
      <c r="Z520" s="418"/>
      <c r="AA520" s="419"/>
      <c r="AB520" s="377">
        <f t="shared" ref="AB520:AI520" si="847">AB518/X518-1</f>
        <v>-0.90254237288135597</v>
      </c>
      <c r="AC520" s="370">
        <f t="shared" si="847"/>
        <v>-0.8502024291497976</v>
      </c>
      <c r="AD520" s="370">
        <f t="shared" si="847"/>
        <v>-0.4618473895582329</v>
      </c>
      <c r="AE520" s="335">
        <f t="shared" si="847"/>
        <v>0.26760563380281699</v>
      </c>
      <c r="AF520" s="377">
        <f t="shared" si="847"/>
        <v>8</v>
      </c>
      <c r="AG520" s="370">
        <f t="shared" si="847"/>
        <v>7.5675675675675667</v>
      </c>
      <c r="AH520" s="370">
        <f t="shared" si="847"/>
        <v>0.96268656716417911</v>
      </c>
      <c r="AI520" s="370">
        <f t="shared" si="847"/>
        <v>0.33333333333333326</v>
      </c>
      <c r="AJ520" s="377">
        <f>AJ518/AF518-1</f>
        <v>1.9323671497584627E-2</v>
      </c>
      <c r="AK520" s="370">
        <f>AK518/AG518-1</f>
        <v>-0.11356466876971605</v>
      </c>
      <c r="AL520" s="370">
        <f>AL518/AH518-1</f>
        <v>-0.35361216730038025</v>
      </c>
      <c r="AN520" s="256"/>
      <c r="AQ520" s="303"/>
      <c r="AR520" s="256"/>
      <c r="AU520" s="303"/>
      <c r="AV520" s="256"/>
      <c r="AY520" s="303"/>
      <c r="AZ520" s="256"/>
      <c r="BC520" s="303"/>
      <c r="BD520" s="256"/>
      <c r="BG520" s="303"/>
      <c r="BH520" s="256"/>
      <c r="BK520" s="303"/>
      <c r="BL520" s="256"/>
      <c r="BO520" s="303"/>
      <c r="BP520" s="256"/>
      <c r="BS520" s="303"/>
      <c r="BT520" s="256"/>
      <c r="BW520" s="303"/>
      <c r="BX520" s="346"/>
      <c r="BY520" s="256"/>
      <c r="BZ520" s="302"/>
      <c r="CA520" s="302"/>
      <c r="CB520" s="302"/>
      <c r="CC520" s="418"/>
      <c r="CD520" s="370">
        <f>CD518/CC518-1</f>
        <v>0.12195121951219501</v>
      </c>
      <c r="CE520" s="370">
        <f>CE518/CD518-1</f>
        <v>-0.57208237986270016</v>
      </c>
      <c r="CF520" s="370">
        <f>CF518/CE518-1</f>
        <v>1.7459893048128343</v>
      </c>
      <c r="CG520" s="302"/>
      <c r="CH520" s="302"/>
      <c r="CI520" s="302"/>
      <c r="CJ520" s="302"/>
      <c r="CK520" s="302"/>
      <c r="CL520" s="302"/>
      <c r="CM520" s="302"/>
      <c r="CN520" s="302"/>
      <c r="CO520" s="302"/>
      <c r="CP520" s="303"/>
    </row>
    <row r="521" spans="2:94" ht="14.25" hidden="1" customHeight="1" outlineLevel="2">
      <c r="B521" s="217" t="s">
        <v>374</v>
      </c>
      <c r="G521" s="303"/>
      <c r="L521" s="377"/>
      <c r="M521" s="370"/>
      <c r="N521" s="370"/>
      <c r="O521" s="335"/>
      <c r="P521" s="377"/>
      <c r="Q521" s="370"/>
      <c r="R521" s="370"/>
      <c r="S521" s="335"/>
      <c r="T521" s="377"/>
      <c r="U521" s="370"/>
      <c r="V521" s="370"/>
      <c r="W521" s="335"/>
      <c r="X521" s="377">
        <f t="shared" ref="X521:AI521" si="848">X518/X510</f>
        <v>0.18423106947697113</v>
      </c>
      <c r="Y521" s="370">
        <f t="shared" si="848"/>
        <v>0.18309859154929575</v>
      </c>
      <c r="Z521" s="370">
        <f t="shared" si="848"/>
        <v>0.1706648389307745</v>
      </c>
      <c r="AA521" s="335">
        <f t="shared" si="848"/>
        <v>0.12804328223624886</v>
      </c>
      <c r="AB521" s="377">
        <f t="shared" si="848"/>
        <v>2.6806526806526804E-2</v>
      </c>
      <c r="AC521" s="370">
        <f t="shared" si="848"/>
        <v>3.9153439153439155E-2</v>
      </c>
      <c r="AD521" s="370">
        <f t="shared" si="848"/>
        <v>0.11713286713286714</v>
      </c>
      <c r="AE521" s="335">
        <f t="shared" si="848"/>
        <v>0.15748031496062992</v>
      </c>
      <c r="AF521" s="377">
        <f t="shared" si="848"/>
        <v>0.16666666666666666</v>
      </c>
      <c r="AG521" s="370">
        <f t="shared" si="848"/>
        <v>0.23639075316927666</v>
      </c>
      <c r="AH521" s="370">
        <f t="shared" si="848"/>
        <v>0.19539375928677563</v>
      </c>
      <c r="AI521" s="370">
        <f t="shared" si="848"/>
        <v>0.18085908063300679</v>
      </c>
      <c r="AJ521" s="377">
        <f>AJ518/AJ510</f>
        <v>0.15828957239309827</v>
      </c>
      <c r="AK521" s="370">
        <f>AK518/AK510</f>
        <v>0.19541029207232266</v>
      </c>
      <c r="AL521" s="370">
        <f>AL518/AL510</f>
        <v>0.1303680981595092</v>
      </c>
      <c r="AN521" s="256"/>
      <c r="AQ521" s="303"/>
      <c r="AR521" s="256"/>
      <c r="AU521" s="303"/>
      <c r="AV521" s="256"/>
      <c r="AY521" s="303"/>
      <c r="AZ521" s="256"/>
      <c r="BC521" s="303"/>
      <c r="BD521" s="256"/>
      <c r="BG521" s="303"/>
      <c r="BH521" s="256"/>
      <c r="BK521" s="303"/>
      <c r="BL521" s="256"/>
      <c r="BO521" s="303"/>
      <c r="BP521" s="256"/>
      <c r="BS521" s="303"/>
      <c r="BT521" s="256"/>
      <c r="BW521" s="303"/>
      <c r="BX521" s="346"/>
      <c r="BY521" s="256"/>
      <c r="BZ521" s="302"/>
      <c r="CA521" s="302"/>
      <c r="CB521" s="302"/>
      <c r="CC521" s="370">
        <f>CC518/CC510</f>
        <v>0.1797415782187356</v>
      </c>
      <c r="CD521" s="370">
        <f>CD518/CD510</f>
        <v>0.16814159292035399</v>
      </c>
      <c r="CE521" s="370">
        <f>CE518/CE510</f>
        <v>9.1442542787286044E-2</v>
      </c>
      <c r="CF521" s="370">
        <f>CF518/CF510</f>
        <v>0.19539573820395742</v>
      </c>
      <c r="CG521" s="302"/>
      <c r="CH521" s="302"/>
      <c r="CI521" s="302"/>
      <c r="CJ521" s="302"/>
      <c r="CK521" s="302"/>
      <c r="CL521" s="302"/>
      <c r="CM521" s="302"/>
      <c r="CN521" s="302"/>
      <c r="CO521" s="302"/>
      <c r="CP521" s="303"/>
    </row>
    <row r="522" spans="2:94" ht="14.25" hidden="1" customHeight="1" outlineLevel="2">
      <c r="B522" s="236"/>
      <c r="C522" s="304"/>
      <c r="D522" s="304"/>
      <c r="E522" s="304"/>
      <c r="F522" s="304"/>
      <c r="G522" s="305"/>
      <c r="H522" s="304"/>
      <c r="I522" s="304"/>
      <c r="J522" s="304"/>
      <c r="K522" s="305"/>
      <c r="L522" s="285"/>
      <c r="M522" s="279"/>
      <c r="N522" s="279"/>
      <c r="O522" s="280"/>
      <c r="P522" s="285"/>
      <c r="Q522" s="279"/>
      <c r="R522" s="279"/>
      <c r="S522" s="280"/>
      <c r="T522" s="285"/>
      <c r="U522" s="279"/>
      <c r="V522" s="279"/>
      <c r="W522" s="280"/>
      <c r="X522" s="285"/>
      <c r="Y522" s="279"/>
      <c r="Z522" s="279"/>
      <c r="AA522" s="280"/>
      <c r="AB522" s="285"/>
      <c r="AC522" s="279"/>
      <c r="AD522" s="279"/>
      <c r="AE522" s="280"/>
      <c r="AF522" s="285"/>
      <c r="AG522" s="279"/>
      <c r="AH522" s="279"/>
      <c r="AI522" s="279"/>
      <c r="AJ522" s="285"/>
      <c r="AK522" s="279"/>
      <c r="AL522" s="279"/>
      <c r="AM522" s="304"/>
      <c r="AN522" s="731"/>
      <c r="AO522" s="304"/>
      <c r="AP522" s="304"/>
      <c r="AQ522" s="305"/>
      <c r="AR522" s="731"/>
      <c r="AS522" s="304"/>
      <c r="AT522" s="304"/>
      <c r="AU522" s="305"/>
      <c r="AV522" s="731"/>
      <c r="AW522" s="304"/>
      <c r="AX522" s="304"/>
      <c r="AY522" s="305"/>
      <c r="AZ522" s="731"/>
      <c r="BA522" s="304"/>
      <c r="BB522" s="304"/>
      <c r="BC522" s="305"/>
      <c r="BD522" s="731"/>
      <c r="BE522" s="304"/>
      <c r="BF522" s="304"/>
      <c r="BG522" s="305"/>
      <c r="BH522" s="731"/>
      <c r="BI522" s="304"/>
      <c r="BJ522" s="304"/>
      <c r="BK522" s="305"/>
      <c r="BL522" s="731"/>
      <c r="BM522" s="304"/>
      <c r="BN522" s="304"/>
      <c r="BO522" s="305"/>
      <c r="BP522" s="731"/>
      <c r="BQ522" s="304"/>
      <c r="BR522" s="304"/>
      <c r="BS522" s="305"/>
      <c r="BT522" s="731"/>
      <c r="BU522" s="304"/>
      <c r="BV522" s="304"/>
      <c r="BW522" s="305"/>
      <c r="BX522" s="346"/>
      <c r="BY522" s="731"/>
      <c r="BZ522" s="304"/>
      <c r="CA522" s="304"/>
      <c r="CB522" s="304"/>
      <c r="CC522" s="279"/>
      <c r="CD522" s="249"/>
      <c r="CE522" s="249"/>
      <c r="CF522" s="249"/>
      <c r="CG522" s="304"/>
      <c r="CH522" s="304"/>
      <c r="CI522" s="304"/>
      <c r="CJ522" s="304"/>
      <c r="CK522" s="304"/>
      <c r="CL522" s="304"/>
      <c r="CM522" s="304"/>
      <c r="CN522" s="304"/>
      <c r="CO522" s="304"/>
      <c r="CP522" s="305"/>
    </row>
    <row r="523" spans="2:94" ht="14.25" hidden="1" customHeight="1" outlineLevel="2">
      <c r="B523" s="286" t="s">
        <v>227</v>
      </c>
      <c r="G523" s="303"/>
      <c r="L523" s="375"/>
      <c r="M523" s="343"/>
      <c r="N523" s="343"/>
      <c r="O523" s="369"/>
      <c r="P523" s="375"/>
      <c r="Q523" s="343"/>
      <c r="R523" s="343"/>
      <c r="S523" s="369"/>
      <c r="T523" s="375"/>
      <c r="U523" s="343"/>
      <c r="V523" s="343"/>
      <c r="W523" s="369"/>
      <c r="X523" s="422">
        <v>56.6</v>
      </c>
      <c r="Y523" s="423">
        <v>135.1</v>
      </c>
      <c r="Z523" s="423">
        <v>139.69999999999999</v>
      </c>
      <c r="AA523" s="401">
        <v>139.6</v>
      </c>
      <c r="AB523" s="422">
        <v>101.7</v>
      </c>
      <c r="AC523" s="423">
        <v>116.4</v>
      </c>
      <c r="AD523" s="423">
        <v>101.5</v>
      </c>
      <c r="AE523" s="401">
        <v>122.4</v>
      </c>
      <c r="AF523" s="422">
        <v>138.5</v>
      </c>
      <c r="AG523" s="423">
        <v>134</v>
      </c>
      <c r="AH523" s="423">
        <v>137.30000000000001</v>
      </c>
      <c r="AI523" s="423">
        <v>134.5</v>
      </c>
      <c r="AJ523" s="422">
        <v>139</v>
      </c>
      <c r="AK523" s="423">
        <v>155.80000000000001</v>
      </c>
      <c r="AL523" s="423">
        <v>156.80000000000001</v>
      </c>
      <c r="AN523" s="256"/>
      <c r="AQ523" s="303"/>
      <c r="AR523" s="256"/>
      <c r="AU523" s="303"/>
      <c r="AV523" s="256"/>
      <c r="AY523" s="303"/>
      <c r="AZ523" s="256"/>
      <c r="BC523" s="303"/>
      <c r="BD523" s="256"/>
      <c r="BG523" s="303"/>
      <c r="BH523" s="256"/>
      <c r="BK523" s="303"/>
      <c r="BL523" s="256"/>
      <c r="BO523" s="303"/>
      <c r="BP523" s="256"/>
      <c r="BS523" s="303"/>
      <c r="BT523" s="256"/>
      <c r="BW523" s="303"/>
      <c r="BX523" s="346"/>
      <c r="BY523" s="729"/>
      <c r="BZ523" s="713"/>
      <c r="CA523" s="302"/>
      <c r="CB523" s="302"/>
      <c r="CC523" s="784">
        <v>168.8</v>
      </c>
      <c r="CD523" s="325">
        <f>SUM(X523:AA523)</f>
        <v>471</v>
      </c>
      <c r="CE523" s="730">
        <f>SUM(AB523:AE523)</f>
        <v>442</v>
      </c>
      <c r="CF523" s="730">
        <f>SUM(AF523:AI523)</f>
        <v>544.29999999999995</v>
      </c>
      <c r="CG523" s="302"/>
      <c r="CH523" s="302"/>
      <c r="CI523" s="302"/>
      <c r="CJ523" s="302"/>
      <c r="CK523" s="302"/>
      <c r="CL523" s="302"/>
      <c r="CM523" s="302"/>
      <c r="CN523" s="302"/>
      <c r="CO523" s="302"/>
      <c r="CP523" s="303"/>
    </row>
    <row r="524" spans="2:94" ht="14.25" hidden="1" customHeight="1" outlineLevel="2">
      <c r="B524" s="217" t="s">
        <v>297</v>
      </c>
      <c r="G524" s="303"/>
      <c r="L524" s="377"/>
      <c r="M524" s="370"/>
      <c r="N524" s="370"/>
      <c r="O524" s="335"/>
      <c r="P524" s="377"/>
      <c r="Q524" s="370"/>
      <c r="R524" s="370"/>
      <c r="S524" s="335"/>
      <c r="T524" s="377"/>
      <c r="U524" s="370"/>
      <c r="V524" s="370"/>
      <c r="W524" s="335"/>
      <c r="X524" s="425"/>
      <c r="Y524" s="370">
        <f t="shared" ref="Y524:AI524" si="849">Y523/X523-1</f>
        <v>1.3869257950530032</v>
      </c>
      <c r="Z524" s="370">
        <f t="shared" si="849"/>
        <v>3.4048852701702437E-2</v>
      </c>
      <c r="AA524" s="335">
        <f t="shared" si="849"/>
        <v>-7.158196134573469E-4</v>
      </c>
      <c r="AB524" s="377">
        <f t="shared" si="849"/>
        <v>-0.27148997134670483</v>
      </c>
      <c r="AC524" s="370">
        <f t="shared" si="849"/>
        <v>0.14454277286135686</v>
      </c>
      <c r="AD524" s="370">
        <f t="shared" si="849"/>
        <v>-0.12800687285223367</v>
      </c>
      <c r="AE524" s="335">
        <f t="shared" si="849"/>
        <v>0.20591133004926121</v>
      </c>
      <c r="AF524" s="377">
        <f t="shared" si="849"/>
        <v>0.13153594771241828</v>
      </c>
      <c r="AG524" s="370">
        <f t="shared" si="849"/>
        <v>-3.2490974729241895E-2</v>
      </c>
      <c r="AH524" s="370">
        <f t="shared" si="849"/>
        <v>2.4626865671641962E-2</v>
      </c>
      <c r="AI524" s="370">
        <f t="shared" si="849"/>
        <v>-2.0393299344501181E-2</v>
      </c>
      <c r="AJ524" s="377">
        <f>AJ523/AI523-1</f>
        <v>3.3457249070631967E-2</v>
      </c>
      <c r="AK524" s="370">
        <f>AK523/AJ523-1</f>
        <v>0.12086330935251799</v>
      </c>
      <c r="AL524" s="370">
        <f>AL523/AK523-1</f>
        <v>6.4184852374840062E-3</v>
      </c>
      <c r="AN524" s="256"/>
      <c r="AQ524" s="303"/>
      <c r="AR524" s="256"/>
      <c r="AU524" s="303"/>
      <c r="AV524" s="256"/>
      <c r="AY524" s="303"/>
      <c r="AZ524" s="256"/>
      <c r="BC524" s="303"/>
      <c r="BD524" s="256"/>
      <c r="BG524" s="303"/>
      <c r="BH524" s="256"/>
      <c r="BK524" s="303"/>
      <c r="BL524" s="256"/>
      <c r="BO524" s="303"/>
      <c r="BP524" s="256"/>
      <c r="BS524" s="303"/>
      <c r="BT524" s="256"/>
      <c r="BW524" s="303"/>
      <c r="BX524" s="346"/>
      <c r="BY524" s="256"/>
      <c r="BZ524" s="302"/>
      <c r="CA524" s="302"/>
      <c r="CB524" s="302"/>
      <c r="CC524" s="370"/>
      <c r="CD524" s="392"/>
      <c r="CE524" s="730"/>
      <c r="CF524" s="730"/>
      <c r="CG524" s="302"/>
      <c r="CH524" s="302"/>
      <c r="CI524" s="302"/>
      <c r="CJ524" s="302"/>
      <c r="CK524" s="302"/>
      <c r="CL524" s="302"/>
      <c r="CM524" s="302"/>
      <c r="CN524" s="302"/>
      <c r="CO524" s="302"/>
      <c r="CP524" s="303"/>
    </row>
    <row r="525" spans="2:94" ht="14.25" hidden="1" customHeight="1" outlineLevel="2">
      <c r="B525" s="32" t="s">
        <v>298</v>
      </c>
      <c r="G525" s="303"/>
      <c r="L525" s="377"/>
      <c r="M525" s="370"/>
      <c r="N525" s="370"/>
      <c r="O525" s="335"/>
      <c r="P525" s="377"/>
      <c r="Q525" s="370"/>
      <c r="R525" s="370"/>
      <c r="S525" s="335"/>
      <c r="T525" s="377"/>
      <c r="U525" s="370"/>
      <c r="V525" s="370"/>
      <c r="W525" s="335"/>
      <c r="X525" s="425"/>
      <c r="Y525" s="418"/>
      <c r="Z525" s="418"/>
      <c r="AA525" s="419"/>
      <c r="AB525" s="377">
        <f t="shared" ref="AB525:AI525" si="850">AB523/X523-1</f>
        <v>0.79681978798586584</v>
      </c>
      <c r="AC525" s="370">
        <f t="shared" si="850"/>
        <v>-0.13841598815692069</v>
      </c>
      <c r="AD525" s="370">
        <f t="shared" si="850"/>
        <v>-0.27344309234073005</v>
      </c>
      <c r="AE525" s="335">
        <f t="shared" si="850"/>
        <v>-0.12320916905444124</v>
      </c>
      <c r="AF525" s="377">
        <f t="shared" si="850"/>
        <v>0.36184857423795469</v>
      </c>
      <c r="AG525" s="370">
        <f t="shared" si="850"/>
        <v>0.15120274914089338</v>
      </c>
      <c r="AH525" s="370">
        <f t="shared" si="850"/>
        <v>0.35270935960591143</v>
      </c>
      <c r="AI525" s="370">
        <f t="shared" si="850"/>
        <v>9.8856209150326668E-2</v>
      </c>
      <c r="AJ525" s="377">
        <f>AJ523/AF523-1</f>
        <v>3.6101083032491488E-3</v>
      </c>
      <c r="AK525" s="370">
        <f>AK523/AG523-1</f>
        <v>0.16268656716417929</v>
      </c>
      <c r="AL525" s="370">
        <f>AL523/AH523-1</f>
        <v>0.14202476329206126</v>
      </c>
      <c r="AN525" s="256"/>
      <c r="AQ525" s="303"/>
      <c r="AR525" s="256"/>
      <c r="AU525" s="303"/>
      <c r="AV525" s="256"/>
      <c r="AY525" s="303"/>
      <c r="AZ525" s="256"/>
      <c r="BC525" s="303"/>
      <c r="BD525" s="256"/>
      <c r="BG525" s="303"/>
      <c r="BH525" s="256"/>
      <c r="BK525" s="303"/>
      <c r="BL525" s="256"/>
      <c r="BO525" s="303"/>
      <c r="BP525" s="256"/>
      <c r="BS525" s="303"/>
      <c r="BT525" s="256"/>
      <c r="BW525" s="303"/>
      <c r="BX525" s="346"/>
      <c r="BY525" s="256"/>
      <c r="BZ525" s="302"/>
      <c r="CA525" s="302"/>
      <c r="CB525" s="302"/>
      <c r="CC525" s="418"/>
      <c r="CD525" s="370">
        <f>CD523/CC523-1</f>
        <v>1.7902843601895735</v>
      </c>
      <c r="CE525" s="370">
        <f>CE523/CD523-1</f>
        <v>-6.1571125265392768E-2</v>
      </c>
      <c r="CF525" s="370">
        <f>CF523/CE523-1</f>
        <v>0.23144796380090482</v>
      </c>
      <c r="CG525" s="302"/>
      <c r="CH525" s="302"/>
      <c r="CI525" s="302"/>
      <c r="CJ525" s="302"/>
      <c r="CK525" s="302"/>
      <c r="CL525" s="302"/>
      <c r="CM525" s="302"/>
      <c r="CN525" s="302"/>
      <c r="CO525" s="302"/>
      <c r="CP525" s="303"/>
    </row>
    <row r="526" spans="2:94" ht="14.25" hidden="1" customHeight="1" outlineLevel="2">
      <c r="B526" s="217" t="s">
        <v>299</v>
      </c>
      <c r="G526" s="303"/>
      <c r="L526" s="359"/>
      <c r="M526" s="370"/>
      <c r="N526" s="370"/>
      <c r="O526" s="337"/>
      <c r="P526" s="359"/>
      <c r="Q526" s="370"/>
      <c r="R526" s="370"/>
      <c r="S526" s="337"/>
      <c r="T526" s="359"/>
      <c r="U526" s="370"/>
      <c r="V526" s="370"/>
      <c r="W526" s="337"/>
      <c r="X526" s="359">
        <f t="shared" ref="X526:AI526" si="851">X523/X562</f>
        <v>0.13415501303626454</v>
      </c>
      <c r="Y526" s="370">
        <f t="shared" si="851"/>
        <v>0.24009241158699127</v>
      </c>
      <c r="Z526" s="370">
        <f t="shared" si="851"/>
        <v>0.24024075666380049</v>
      </c>
      <c r="AA526" s="337">
        <f t="shared" si="851"/>
        <v>0.28565582156742375</v>
      </c>
      <c r="AB526" s="359">
        <f t="shared" si="851"/>
        <v>0.26826694803481932</v>
      </c>
      <c r="AC526" s="370">
        <f t="shared" si="851"/>
        <v>0.27727489280609818</v>
      </c>
      <c r="AD526" s="370">
        <f t="shared" si="851"/>
        <v>0.21463311482342992</v>
      </c>
      <c r="AE526" s="337">
        <f t="shared" si="851"/>
        <v>0.24622812311406156</v>
      </c>
      <c r="AF526" s="359">
        <f t="shared" si="851"/>
        <v>0.25172664485641583</v>
      </c>
      <c r="AG526" s="370">
        <f t="shared" si="851"/>
        <v>0.2297274129950283</v>
      </c>
      <c r="AH526" s="370">
        <f t="shared" si="851"/>
        <v>0.22856667221574831</v>
      </c>
      <c r="AI526" s="338">
        <f t="shared" si="851"/>
        <v>0.23221685082872925</v>
      </c>
      <c r="AJ526" s="359">
        <f>AJ523/AJ562</f>
        <v>0.1596600045945325</v>
      </c>
      <c r="AK526" s="370">
        <f>AK523/AK562</f>
        <v>0.17200264959152134</v>
      </c>
      <c r="AL526" s="370">
        <f>AL523/AL562</f>
        <v>0.17461024498886416</v>
      </c>
      <c r="AN526" s="256"/>
      <c r="AQ526" s="303"/>
      <c r="AR526" s="256"/>
      <c r="AU526" s="303"/>
      <c r="AV526" s="256"/>
      <c r="AY526" s="303"/>
      <c r="AZ526" s="256"/>
      <c r="BC526" s="303"/>
      <c r="BD526" s="256"/>
      <c r="BG526" s="303"/>
      <c r="BH526" s="256"/>
      <c r="BK526" s="303"/>
      <c r="BL526" s="256"/>
      <c r="BO526" s="303"/>
      <c r="BP526" s="256"/>
      <c r="BS526" s="303"/>
      <c r="BT526" s="256"/>
      <c r="BW526" s="303"/>
      <c r="BX526" s="346"/>
      <c r="BY526" s="256"/>
      <c r="BZ526" s="302"/>
      <c r="CA526" s="302"/>
      <c r="CB526" s="302"/>
      <c r="CC526" s="370">
        <f>CC523/CC562</f>
        <v>0.10777678457412847</v>
      </c>
      <c r="CD526" s="370">
        <f>CD523/CD562</f>
        <v>0.22921938874829664</v>
      </c>
      <c r="CE526" s="370">
        <f>CE523/CE562</f>
        <v>0.24987280230651815</v>
      </c>
      <c r="CF526" s="370">
        <f>CF523/CF562</f>
        <v>0.23528140399412117</v>
      </c>
      <c r="CG526" s="302"/>
      <c r="CH526" s="302"/>
      <c r="CI526" s="302"/>
      <c r="CJ526" s="302"/>
      <c r="CK526" s="302"/>
      <c r="CL526" s="302"/>
      <c r="CM526" s="302"/>
      <c r="CN526" s="302"/>
      <c r="CO526" s="302"/>
      <c r="CP526" s="303"/>
    </row>
    <row r="527" spans="2:94" ht="14.25" hidden="1" customHeight="1" outlineLevel="2">
      <c r="B527" s="217"/>
      <c r="G527" s="303"/>
      <c r="L527" s="260"/>
      <c r="M527" s="80"/>
      <c r="N527" s="80"/>
      <c r="O527" s="262"/>
      <c r="P527" s="260"/>
      <c r="Q527" s="80"/>
      <c r="R527" s="80"/>
      <c r="S527" s="262"/>
      <c r="T527" s="260"/>
      <c r="U527" s="80"/>
      <c r="V527" s="80"/>
      <c r="W527" s="262"/>
      <c r="X527" s="260"/>
      <c r="Y527" s="80"/>
      <c r="Z527" s="80"/>
      <c r="AA527" s="262"/>
      <c r="AB527" s="260"/>
      <c r="AC527" s="80"/>
      <c r="AD527" s="80"/>
      <c r="AE527" s="262"/>
      <c r="AF527" s="260"/>
      <c r="AG527" s="80"/>
      <c r="AH527" s="80"/>
      <c r="AI527" s="261"/>
      <c r="AJ527" s="260"/>
      <c r="AK527" s="80"/>
      <c r="AL527" s="80"/>
      <c r="AN527" s="256"/>
      <c r="AQ527" s="303"/>
      <c r="AR527" s="256"/>
      <c r="AU527" s="303"/>
      <c r="AV527" s="256"/>
      <c r="AY527" s="303"/>
      <c r="AZ527" s="256"/>
      <c r="BC527" s="303"/>
      <c r="BD527" s="256"/>
      <c r="BG527" s="303"/>
      <c r="BH527" s="256"/>
      <c r="BK527" s="303"/>
      <c r="BL527" s="256"/>
      <c r="BO527" s="303"/>
      <c r="BP527" s="256"/>
      <c r="BS527" s="303"/>
      <c r="BT527" s="256"/>
      <c r="BW527" s="303"/>
      <c r="BX527" s="346"/>
      <c r="BY527" s="256"/>
      <c r="BZ527" s="302"/>
      <c r="CA527" s="302"/>
      <c r="CB527" s="302"/>
      <c r="CC527" s="80"/>
      <c r="CD527" s="392"/>
      <c r="CE527" s="730"/>
      <c r="CF527" s="730"/>
      <c r="CG527" s="302"/>
      <c r="CH527" s="302"/>
      <c r="CI527" s="302"/>
      <c r="CJ527" s="302"/>
      <c r="CK527" s="302"/>
      <c r="CL527" s="302"/>
      <c r="CM527" s="302"/>
      <c r="CN527" s="302"/>
      <c r="CO527" s="302"/>
      <c r="CP527" s="303"/>
    </row>
    <row r="528" spans="2:94" ht="14.25" hidden="1" customHeight="1" outlineLevel="2">
      <c r="B528" s="235" t="s">
        <v>228</v>
      </c>
      <c r="G528" s="303"/>
      <c r="L528" s="375"/>
      <c r="M528" s="343"/>
      <c r="N528" s="343"/>
      <c r="O528" s="369"/>
      <c r="P528" s="375"/>
      <c r="Q528" s="343"/>
      <c r="R528" s="343"/>
      <c r="S528" s="369"/>
      <c r="T528" s="375"/>
      <c r="U528" s="343"/>
      <c r="V528" s="343"/>
      <c r="W528" s="369"/>
      <c r="X528" s="422">
        <v>12.4</v>
      </c>
      <c r="Y528" s="423">
        <v>40</v>
      </c>
      <c r="Z528" s="423">
        <v>61.1</v>
      </c>
      <c r="AA528" s="401">
        <v>68.5</v>
      </c>
      <c r="AB528" s="422">
        <v>46.8</v>
      </c>
      <c r="AC528" s="423">
        <v>60.7</v>
      </c>
      <c r="AD528" s="423">
        <v>54.7</v>
      </c>
      <c r="AE528" s="401">
        <v>61.5</v>
      </c>
      <c r="AF528" s="422">
        <v>84.6</v>
      </c>
      <c r="AG528" s="423">
        <v>77.900000000000006</v>
      </c>
      <c r="AH528" s="423">
        <v>74</v>
      </c>
      <c r="AI528" s="423">
        <v>77.5</v>
      </c>
      <c r="AJ528" s="422">
        <v>78.3</v>
      </c>
      <c r="AK528" s="423">
        <v>85.2</v>
      </c>
      <c r="AL528" s="423">
        <v>88.3</v>
      </c>
      <c r="AN528" s="256"/>
      <c r="AQ528" s="303"/>
      <c r="AR528" s="256"/>
      <c r="AU528" s="303"/>
      <c r="AV528" s="256"/>
      <c r="AY528" s="303"/>
      <c r="AZ528" s="256"/>
      <c r="BC528" s="303"/>
      <c r="BD528" s="256"/>
      <c r="BG528" s="303"/>
      <c r="BH528" s="256"/>
      <c r="BK528" s="303"/>
      <c r="BL528" s="256"/>
      <c r="BO528" s="303"/>
      <c r="BP528" s="256"/>
      <c r="BS528" s="303"/>
      <c r="BT528" s="256"/>
      <c r="BW528" s="303"/>
      <c r="BX528" s="346"/>
      <c r="BY528" s="256"/>
      <c r="BZ528" s="302"/>
      <c r="CA528" s="302"/>
      <c r="CB528" s="302"/>
      <c r="CC528" s="423">
        <v>53</v>
      </c>
      <c r="CD528" s="325">
        <f>SUM(X528:AA528)</f>
        <v>182</v>
      </c>
      <c r="CE528" s="730">
        <f>SUM(AB528:AE528)</f>
        <v>223.7</v>
      </c>
      <c r="CF528" s="730">
        <f>SUM(AF528:AI528)</f>
        <v>314</v>
      </c>
      <c r="CG528" s="302"/>
      <c r="CH528" s="302"/>
      <c r="CI528" s="302"/>
      <c r="CJ528" s="302"/>
      <c r="CK528" s="302"/>
      <c r="CL528" s="302"/>
      <c r="CM528" s="302"/>
      <c r="CN528" s="302"/>
      <c r="CO528" s="302"/>
      <c r="CP528" s="303"/>
    </row>
    <row r="529" spans="2:94" ht="14.25" hidden="1" customHeight="1" outlineLevel="2">
      <c r="B529" s="217" t="s">
        <v>193</v>
      </c>
      <c r="G529" s="303"/>
      <c r="L529" s="377"/>
      <c r="M529" s="370"/>
      <c r="N529" s="370"/>
      <c r="O529" s="335"/>
      <c r="P529" s="377"/>
      <c r="Q529" s="370"/>
      <c r="R529" s="370"/>
      <c r="S529" s="335"/>
      <c r="T529" s="377"/>
      <c r="U529" s="370"/>
      <c r="V529" s="370"/>
      <c r="W529" s="335"/>
      <c r="X529" s="377">
        <f t="shared" ref="X529:AI529" si="852">X528/X523</f>
        <v>0.21908127208480566</v>
      </c>
      <c r="Y529" s="370">
        <f t="shared" si="852"/>
        <v>0.29607698001480387</v>
      </c>
      <c r="Z529" s="370">
        <f t="shared" si="852"/>
        <v>0.43736578382247676</v>
      </c>
      <c r="AA529" s="335">
        <f t="shared" si="852"/>
        <v>0.49068767908309457</v>
      </c>
      <c r="AB529" s="377">
        <f t="shared" si="852"/>
        <v>0.46017699115044242</v>
      </c>
      <c r="AC529" s="370">
        <f t="shared" si="852"/>
        <v>0.52147766323024058</v>
      </c>
      <c r="AD529" s="370">
        <f t="shared" si="852"/>
        <v>0.5389162561576355</v>
      </c>
      <c r="AE529" s="335">
        <f t="shared" si="852"/>
        <v>0.50245098039215685</v>
      </c>
      <c r="AF529" s="377">
        <f t="shared" si="852"/>
        <v>0.6108303249097472</v>
      </c>
      <c r="AG529" s="370">
        <f t="shared" si="852"/>
        <v>0.58134328358208964</v>
      </c>
      <c r="AH529" s="370">
        <f t="shared" si="852"/>
        <v>0.53896576839038601</v>
      </c>
      <c r="AI529" s="370">
        <f t="shared" si="852"/>
        <v>0.57620817843866168</v>
      </c>
      <c r="AJ529" s="377">
        <f>AJ528/AJ523</f>
        <v>0.56330935251798564</v>
      </c>
      <c r="AK529" s="370">
        <f>AK528/AK523</f>
        <v>0.54685494223363285</v>
      </c>
      <c r="AL529" s="370">
        <f>AL528/AL523</f>
        <v>0.56313775510204078</v>
      </c>
      <c r="AN529" s="256"/>
      <c r="AQ529" s="303"/>
      <c r="AR529" s="256"/>
      <c r="AU529" s="303"/>
      <c r="AV529" s="256"/>
      <c r="AY529" s="303"/>
      <c r="AZ529" s="256"/>
      <c r="BC529" s="303"/>
      <c r="BD529" s="256"/>
      <c r="BG529" s="303"/>
      <c r="BH529" s="256"/>
      <c r="BK529" s="303"/>
      <c r="BL529" s="256"/>
      <c r="BO529" s="303"/>
      <c r="BP529" s="256"/>
      <c r="BS529" s="303"/>
      <c r="BT529" s="256"/>
      <c r="BW529" s="303"/>
      <c r="BX529" s="346"/>
      <c r="BY529" s="256"/>
      <c r="BZ529" s="302"/>
      <c r="CA529" s="302"/>
      <c r="CB529" s="302"/>
      <c r="CC529" s="370">
        <f>CC528/CC523</f>
        <v>0.31398104265402843</v>
      </c>
      <c r="CD529" s="370">
        <f>CD528/CD523</f>
        <v>0.386411889596603</v>
      </c>
      <c r="CE529" s="370">
        <f>CE528/CE523</f>
        <v>0.50610859728506785</v>
      </c>
      <c r="CF529" s="370">
        <f>CF528/CF523</f>
        <v>0.57688774572845858</v>
      </c>
      <c r="CG529" s="302"/>
      <c r="CH529" s="302"/>
      <c r="CI529" s="302"/>
      <c r="CJ529" s="302"/>
      <c r="CK529" s="302"/>
      <c r="CL529" s="302"/>
      <c r="CM529" s="302"/>
      <c r="CN529" s="302"/>
      <c r="CO529" s="302"/>
      <c r="CP529" s="303"/>
    </row>
    <row r="530" spans="2:94" ht="14.25" hidden="1" customHeight="1" outlineLevel="2">
      <c r="B530" s="217"/>
      <c r="G530" s="303"/>
      <c r="L530" s="82"/>
      <c r="M530" s="80"/>
      <c r="N530" s="80"/>
      <c r="O530" s="262"/>
      <c r="P530" s="82"/>
      <c r="Q530" s="80"/>
      <c r="R530" s="80"/>
      <c r="S530" s="262"/>
      <c r="T530" s="82"/>
      <c r="U530" s="80"/>
      <c r="V530" s="80"/>
      <c r="W530" s="262"/>
      <c r="X530" s="82"/>
      <c r="Y530" s="80"/>
      <c r="Z530" s="80"/>
      <c r="AA530" s="262"/>
      <c r="AB530" s="82"/>
      <c r="AC530" s="80"/>
      <c r="AD530" s="80"/>
      <c r="AE530" s="262"/>
      <c r="AF530" s="82"/>
      <c r="AG530" s="80"/>
      <c r="AH530" s="80"/>
      <c r="AI530" s="261"/>
      <c r="AJ530" s="82"/>
      <c r="AK530" s="80"/>
      <c r="AL530" s="80"/>
      <c r="AN530" s="256"/>
      <c r="AQ530" s="303"/>
      <c r="AR530" s="256"/>
      <c r="AU530" s="303"/>
      <c r="AV530" s="256"/>
      <c r="AY530" s="303"/>
      <c r="AZ530" s="256"/>
      <c r="BC530" s="303"/>
      <c r="BD530" s="256"/>
      <c r="BG530" s="303"/>
      <c r="BH530" s="256"/>
      <c r="BK530" s="303"/>
      <c r="BL530" s="256"/>
      <c r="BO530" s="303"/>
      <c r="BP530" s="256"/>
      <c r="BS530" s="303"/>
      <c r="BT530" s="256"/>
      <c r="BW530" s="303"/>
      <c r="BX530" s="346"/>
      <c r="BY530" s="256"/>
      <c r="BZ530" s="302"/>
      <c r="CA530" s="302"/>
      <c r="CB530" s="302"/>
      <c r="CC530" s="80"/>
      <c r="CD530" s="392"/>
      <c r="CE530" s="730"/>
      <c r="CF530" s="730"/>
      <c r="CG530" s="302"/>
      <c r="CH530" s="302"/>
      <c r="CI530" s="302"/>
      <c r="CJ530" s="302"/>
      <c r="CK530" s="302"/>
      <c r="CL530" s="302"/>
      <c r="CM530" s="302"/>
      <c r="CN530" s="302"/>
      <c r="CO530" s="302"/>
      <c r="CP530" s="303"/>
    </row>
    <row r="531" spans="2:94" ht="14.25" hidden="1" customHeight="1" outlineLevel="2">
      <c r="B531" s="235" t="s">
        <v>229</v>
      </c>
      <c r="G531" s="303"/>
      <c r="L531" s="375"/>
      <c r="M531" s="343"/>
      <c r="N531" s="343"/>
      <c r="O531" s="369"/>
      <c r="P531" s="375"/>
      <c r="Q531" s="343"/>
      <c r="R531" s="343"/>
      <c r="S531" s="369"/>
      <c r="T531" s="375"/>
      <c r="U531" s="343"/>
      <c r="V531" s="343"/>
      <c r="W531" s="369"/>
      <c r="X531" s="422">
        <v>4.5</v>
      </c>
      <c r="Y531" s="423">
        <v>-1.1000000000000001</v>
      </c>
      <c r="Z531" s="423">
        <v>19.100000000000001</v>
      </c>
      <c r="AA531" s="401">
        <v>13.2</v>
      </c>
      <c r="AB531" s="422">
        <v>9.5</v>
      </c>
      <c r="AC531" s="423">
        <v>21.2</v>
      </c>
      <c r="AD531" s="423">
        <v>17.5</v>
      </c>
      <c r="AE531" s="401">
        <v>19.100000000000001</v>
      </c>
      <c r="AF531" s="422">
        <v>36</v>
      </c>
      <c r="AG531" s="423">
        <v>31.1</v>
      </c>
      <c r="AH531" s="423">
        <v>27.7</v>
      </c>
      <c r="AI531" s="423">
        <v>28.4</v>
      </c>
      <c r="AJ531" s="422">
        <v>26.3</v>
      </c>
      <c r="AK531" s="423">
        <v>30.4</v>
      </c>
      <c r="AL531" s="423">
        <v>38.299999999999997</v>
      </c>
      <c r="AN531" s="256"/>
      <c r="AQ531" s="303"/>
      <c r="AR531" s="256"/>
      <c r="AU531" s="303"/>
      <c r="AV531" s="256"/>
      <c r="AY531" s="303"/>
      <c r="AZ531" s="256"/>
      <c r="BC531" s="303"/>
      <c r="BD531" s="256"/>
      <c r="BG531" s="303"/>
      <c r="BH531" s="256"/>
      <c r="BK531" s="303"/>
      <c r="BL531" s="256"/>
      <c r="BO531" s="303"/>
      <c r="BP531" s="256"/>
      <c r="BS531" s="303"/>
      <c r="BT531" s="256"/>
      <c r="BW531" s="303"/>
      <c r="BX531" s="346"/>
      <c r="BY531" s="256"/>
      <c r="BZ531" s="302"/>
      <c r="CA531" s="302"/>
      <c r="CB531" s="302"/>
      <c r="CC531" s="423">
        <v>34.6</v>
      </c>
      <c r="CD531" s="325">
        <f>SUM(X531:AA531)</f>
        <v>35.700000000000003</v>
      </c>
      <c r="CE531" s="730">
        <f>SUM(AB531:AE531)</f>
        <v>67.300000000000011</v>
      </c>
      <c r="CF531" s="730">
        <f>SUM(AF531:AI531)</f>
        <v>123.19999999999999</v>
      </c>
      <c r="CG531" s="302"/>
      <c r="CH531" s="302"/>
      <c r="CI531" s="302"/>
      <c r="CJ531" s="302"/>
      <c r="CK531" s="302"/>
      <c r="CL531" s="302"/>
      <c r="CM531" s="302"/>
      <c r="CN531" s="302"/>
      <c r="CO531" s="302"/>
      <c r="CP531" s="303"/>
    </row>
    <row r="532" spans="2:94" ht="13.5" hidden="1" customHeight="1" outlineLevel="2">
      <c r="B532" s="217" t="s">
        <v>297</v>
      </c>
      <c r="G532" s="303"/>
      <c r="L532" s="377"/>
      <c r="M532" s="370"/>
      <c r="N532" s="370"/>
      <c r="O532" s="335"/>
      <c r="P532" s="377"/>
      <c r="Q532" s="370"/>
      <c r="R532" s="370"/>
      <c r="S532" s="335"/>
      <c r="T532" s="377"/>
      <c r="U532" s="370"/>
      <c r="V532" s="370"/>
      <c r="W532" s="335"/>
      <c r="X532" s="425"/>
      <c r="Y532" s="370">
        <f t="shared" ref="Y532:AI532" si="853">Y531/X531-1</f>
        <v>-1.2444444444444445</v>
      </c>
      <c r="Z532" s="370">
        <f t="shared" si="853"/>
        <v>-18.363636363636363</v>
      </c>
      <c r="AA532" s="335">
        <f t="shared" si="853"/>
        <v>-0.30890052356020947</v>
      </c>
      <c r="AB532" s="377">
        <f t="shared" si="853"/>
        <v>-0.28030303030303028</v>
      </c>
      <c r="AC532" s="370">
        <f t="shared" si="853"/>
        <v>1.2315789473684209</v>
      </c>
      <c r="AD532" s="370">
        <f t="shared" si="853"/>
        <v>-0.17452830188679247</v>
      </c>
      <c r="AE532" s="335">
        <f t="shared" si="853"/>
        <v>9.1428571428571415E-2</v>
      </c>
      <c r="AF532" s="377">
        <f t="shared" si="853"/>
        <v>0.88481675392670134</v>
      </c>
      <c r="AG532" s="370">
        <f t="shared" si="853"/>
        <v>-0.13611111111111107</v>
      </c>
      <c r="AH532" s="370">
        <f t="shared" si="853"/>
        <v>-0.10932475884244375</v>
      </c>
      <c r="AI532" s="370">
        <f t="shared" si="853"/>
        <v>2.5270758122743597E-2</v>
      </c>
      <c r="AJ532" s="377">
        <f>AJ531/AI531-1</f>
        <v>-7.3943661971830887E-2</v>
      </c>
      <c r="AK532" s="370">
        <f>AK531/AJ531-1</f>
        <v>0.15589353612167289</v>
      </c>
      <c r="AL532" s="370">
        <f>AL531/AK531-1</f>
        <v>0.25986842105263164</v>
      </c>
      <c r="AN532" s="256"/>
      <c r="AQ532" s="303"/>
      <c r="AR532" s="256"/>
      <c r="AU532" s="303"/>
      <c r="AV532" s="256"/>
      <c r="AY532" s="303"/>
      <c r="AZ532" s="256"/>
      <c r="BC532" s="303"/>
      <c r="BD532" s="256"/>
      <c r="BG532" s="303"/>
      <c r="BH532" s="256"/>
      <c r="BK532" s="303"/>
      <c r="BL532" s="256"/>
      <c r="BO532" s="303"/>
      <c r="BP532" s="256"/>
      <c r="BS532" s="303"/>
      <c r="BT532" s="256"/>
      <c r="BW532" s="303"/>
      <c r="BX532" s="346"/>
      <c r="BY532" s="256"/>
      <c r="BZ532" s="302"/>
      <c r="CA532" s="302"/>
      <c r="CB532" s="302"/>
      <c r="CC532" s="370"/>
      <c r="CD532" s="392"/>
      <c r="CE532" s="392"/>
      <c r="CF532" s="392"/>
      <c r="CG532" s="302"/>
      <c r="CH532" s="302"/>
      <c r="CI532" s="302"/>
      <c r="CJ532" s="302"/>
      <c r="CK532" s="302"/>
      <c r="CL532" s="302"/>
      <c r="CM532" s="302"/>
      <c r="CN532" s="302"/>
      <c r="CO532" s="302"/>
      <c r="CP532" s="303"/>
    </row>
    <row r="533" spans="2:94" ht="14.25" hidden="1" customHeight="1" outlineLevel="2">
      <c r="B533" s="32" t="s">
        <v>298</v>
      </c>
      <c r="G533" s="303"/>
      <c r="L533" s="377"/>
      <c r="M533" s="370"/>
      <c r="N533" s="370"/>
      <c r="O533" s="335"/>
      <c r="P533" s="377"/>
      <c r="Q533" s="370"/>
      <c r="R533" s="370"/>
      <c r="S533" s="335"/>
      <c r="T533" s="377"/>
      <c r="U533" s="370"/>
      <c r="V533" s="370"/>
      <c r="W533" s="335"/>
      <c r="X533" s="425"/>
      <c r="Y533" s="418"/>
      <c r="Z533" s="418"/>
      <c r="AA533" s="419"/>
      <c r="AB533" s="377">
        <f t="shared" ref="AB533:AI533" si="854">AB531/X531-1</f>
        <v>1.1111111111111112</v>
      </c>
      <c r="AC533" s="370">
        <f t="shared" si="854"/>
        <v>-20.27272727272727</v>
      </c>
      <c r="AD533" s="370">
        <f t="shared" si="854"/>
        <v>-8.3769633507853491E-2</v>
      </c>
      <c r="AE533" s="335">
        <f t="shared" si="854"/>
        <v>0.44696969696969724</v>
      </c>
      <c r="AF533" s="377">
        <f t="shared" si="854"/>
        <v>2.7894736842105261</v>
      </c>
      <c r="AG533" s="370">
        <f t="shared" si="854"/>
        <v>0.46698113207547176</v>
      </c>
      <c r="AH533" s="370">
        <f t="shared" si="854"/>
        <v>0.58285714285714274</v>
      </c>
      <c r="AI533" s="370">
        <f t="shared" si="854"/>
        <v>0.4869109947643977</v>
      </c>
      <c r="AJ533" s="377">
        <f>AJ531/AF531-1</f>
        <v>-0.26944444444444438</v>
      </c>
      <c r="AK533" s="370">
        <f>AK531/AG531-1</f>
        <v>-2.2508038585209111E-2</v>
      </c>
      <c r="AL533" s="370">
        <f>AL531/AH531-1</f>
        <v>0.38267148014440422</v>
      </c>
      <c r="AN533" s="256"/>
      <c r="AQ533" s="303"/>
      <c r="AR533" s="256"/>
      <c r="AU533" s="303"/>
      <c r="AV533" s="256"/>
      <c r="AY533" s="303"/>
      <c r="AZ533" s="256"/>
      <c r="BC533" s="303"/>
      <c r="BD533" s="256"/>
      <c r="BG533" s="303"/>
      <c r="BH533" s="256"/>
      <c r="BK533" s="303"/>
      <c r="BL533" s="256"/>
      <c r="BO533" s="303"/>
      <c r="BP533" s="256"/>
      <c r="BS533" s="303"/>
      <c r="BT533" s="256"/>
      <c r="BW533" s="303"/>
      <c r="BX533" s="346"/>
      <c r="BY533" s="256"/>
      <c r="BZ533" s="302"/>
      <c r="CA533" s="302"/>
      <c r="CB533" s="302"/>
      <c r="CC533" s="418"/>
      <c r="CD533" s="370">
        <f>CD531/CC531-1</f>
        <v>3.1791907514450823E-2</v>
      </c>
      <c r="CE533" s="370">
        <f>CE531/CD531-1</f>
        <v>0.88515406162465005</v>
      </c>
      <c r="CF533" s="370">
        <f>CF531/CE531-1</f>
        <v>0.83060921248142594</v>
      </c>
      <c r="CG533" s="302"/>
      <c r="CH533" s="302"/>
      <c r="CI533" s="302"/>
      <c r="CJ533" s="302"/>
      <c r="CK533" s="302"/>
      <c r="CL533" s="302"/>
      <c r="CM533" s="302"/>
      <c r="CN533" s="302"/>
      <c r="CO533" s="302"/>
      <c r="CP533" s="303"/>
    </row>
    <row r="534" spans="2:94" ht="14.25" hidden="1" customHeight="1" outlineLevel="2">
      <c r="B534" s="217" t="s">
        <v>374</v>
      </c>
      <c r="G534" s="303"/>
      <c r="L534" s="377"/>
      <c r="M534" s="370"/>
      <c r="N534" s="370"/>
      <c r="O534" s="335"/>
      <c r="P534" s="377"/>
      <c r="Q534" s="370"/>
      <c r="R534" s="370"/>
      <c r="S534" s="335"/>
      <c r="T534" s="377"/>
      <c r="U534" s="370"/>
      <c r="V534" s="370"/>
      <c r="W534" s="335"/>
      <c r="X534" s="377">
        <f t="shared" ref="X534:AI534" si="855">X531/X523</f>
        <v>7.9505300353356886E-2</v>
      </c>
      <c r="Y534" s="370">
        <f t="shared" si="855"/>
        <v>-8.1421169504071068E-3</v>
      </c>
      <c r="Z534" s="370">
        <f t="shared" si="855"/>
        <v>0.13672154617036508</v>
      </c>
      <c r="AA534" s="335">
        <f t="shared" si="855"/>
        <v>9.4555873925501438E-2</v>
      </c>
      <c r="AB534" s="377">
        <f t="shared" si="855"/>
        <v>9.3411996066863318E-2</v>
      </c>
      <c r="AC534" s="370">
        <f t="shared" si="855"/>
        <v>0.18213058419243985</v>
      </c>
      <c r="AD534" s="370">
        <f t="shared" si="855"/>
        <v>0.17241379310344829</v>
      </c>
      <c r="AE534" s="335">
        <f t="shared" si="855"/>
        <v>0.15604575163398693</v>
      </c>
      <c r="AF534" s="377">
        <f t="shared" si="855"/>
        <v>0.25992779783393499</v>
      </c>
      <c r="AG534" s="370">
        <f t="shared" si="855"/>
        <v>0.23208955223880598</v>
      </c>
      <c r="AH534" s="370">
        <f t="shared" si="855"/>
        <v>0.20174799708667149</v>
      </c>
      <c r="AI534" s="370">
        <f t="shared" si="855"/>
        <v>0.21115241635687731</v>
      </c>
      <c r="AJ534" s="377">
        <f>AJ531/AJ523</f>
        <v>0.18920863309352517</v>
      </c>
      <c r="AK534" s="370">
        <f>AK531/AK523</f>
        <v>0.19512195121951217</v>
      </c>
      <c r="AL534" s="370">
        <f>AL531/AL523</f>
        <v>0.24426020408163263</v>
      </c>
      <c r="AN534" s="256"/>
      <c r="AQ534" s="303"/>
      <c r="AR534" s="256"/>
      <c r="AU534" s="303"/>
      <c r="AV534" s="256"/>
      <c r="AY534" s="303"/>
      <c r="AZ534" s="256"/>
      <c r="BC534" s="303"/>
      <c r="BD534" s="256"/>
      <c r="BG534" s="303"/>
      <c r="BH534" s="256"/>
      <c r="BK534" s="303"/>
      <c r="BL534" s="256"/>
      <c r="BO534" s="303"/>
      <c r="BP534" s="256"/>
      <c r="BS534" s="303"/>
      <c r="BT534" s="256"/>
      <c r="BW534" s="303"/>
      <c r="BX534" s="346"/>
      <c r="BY534" s="256"/>
      <c r="BZ534" s="302"/>
      <c r="CA534" s="302"/>
      <c r="CB534" s="302"/>
      <c r="CC534" s="370">
        <f>CC531/CC523</f>
        <v>0.20497630331753555</v>
      </c>
      <c r="CD534" s="370">
        <f>CD531/CD523</f>
        <v>7.5796178343949056E-2</v>
      </c>
      <c r="CE534" s="370">
        <f>CE531/CE523</f>
        <v>0.15226244343891404</v>
      </c>
      <c r="CF534" s="370">
        <f>CF531/CF523</f>
        <v>0.22634576520301306</v>
      </c>
      <c r="CG534" s="302"/>
      <c r="CH534" s="302"/>
      <c r="CI534" s="302"/>
      <c r="CJ534" s="302"/>
      <c r="CK534" s="302"/>
      <c r="CL534" s="302"/>
      <c r="CM534" s="302"/>
      <c r="CN534" s="302"/>
      <c r="CO534" s="302"/>
      <c r="CP534" s="303"/>
    </row>
    <row r="535" spans="2:94" ht="14.25" hidden="1" customHeight="1" outlineLevel="2">
      <c r="B535" s="236"/>
      <c r="C535" s="304"/>
      <c r="D535" s="304"/>
      <c r="E535" s="304"/>
      <c r="F535" s="304"/>
      <c r="G535" s="305"/>
      <c r="H535" s="304"/>
      <c r="I535" s="304"/>
      <c r="J535" s="304"/>
      <c r="K535" s="305"/>
      <c r="L535" s="285"/>
      <c r="M535" s="279"/>
      <c r="N535" s="279"/>
      <c r="O535" s="280"/>
      <c r="P535" s="285"/>
      <c r="Q535" s="279"/>
      <c r="R535" s="279"/>
      <c r="S535" s="280"/>
      <c r="T535" s="285"/>
      <c r="U535" s="279"/>
      <c r="V535" s="279"/>
      <c r="W535" s="280"/>
      <c r="X535" s="285"/>
      <c r="Y535" s="279"/>
      <c r="Z535" s="279"/>
      <c r="AA535" s="280"/>
      <c r="AB535" s="285"/>
      <c r="AC535" s="279"/>
      <c r="AD535" s="279"/>
      <c r="AE535" s="280"/>
      <c r="AF535" s="285"/>
      <c r="AG535" s="279"/>
      <c r="AH535" s="279"/>
      <c r="AI535" s="279"/>
      <c r="AJ535" s="285"/>
      <c r="AK535" s="279"/>
      <c r="AL535" s="279"/>
      <c r="AM535" s="304"/>
      <c r="AN535" s="731"/>
      <c r="AO535" s="304"/>
      <c r="AP535" s="304"/>
      <c r="AQ535" s="305"/>
      <c r="AR535" s="731"/>
      <c r="AS535" s="304"/>
      <c r="AT535" s="304"/>
      <c r="AU535" s="305"/>
      <c r="AV535" s="731"/>
      <c r="AW535" s="304"/>
      <c r="AX535" s="304"/>
      <c r="AY535" s="305"/>
      <c r="AZ535" s="731"/>
      <c r="BA535" s="304"/>
      <c r="BB535" s="304"/>
      <c r="BC535" s="305"/>
      <c r="BD535" s="731"/>
      <c r="BE535" s="304"/>
      <c r="BF535" s="304"/>
      <c r="BG535" s="305"/>
      <c r="BH535" s="731"/>
      <c r="BI535" s="304"/>
      <c r="BJ535" s="304"/>
      <c r="BK535" s="305"/>
      <c r="BL535" s="731"/>
      <c r="BM535" s="304"/>
      <c r="BN535" s="304"/>
      <c r="BO535" s="305"/>
      <c r="BP535" s="731"/>
      <c r="BQ535" s="304"/>
      <c r="BR535" s="304"/>
      <c r="BS535" s="305"/>
      <c r="BT535" s="731"/>
      <c r="BU535" s="304"/>
      <c r="BV535" s="304"/>
      <c r="BW535" s="305"/>
      <c r="BX535" s="346"/>
      <c r="BY535" s="731"/>
      <c r="BZ535" s="304"/>
      <c r="CA535" s="304"/>
      <c r="CB535" s="304"/>
      <c r="CC535" s="279"/>
      <c r="CD535" s="249"/>
      <c r="CE535" s="249"/>
      <c r="CF535" s="249"/>
      <c r="CG535" s="304"/>
      <c r="CH535" s="304"/>
      <c r="CI535" s="304"/>
      <c r="CJ535" s="304"/>
      <c r="CK535" s="304"/>
      <c r="CL535" s="304"/>
      <c r="CM535" s="304"/>
      <c r="CN535" s="304"/>
      <c r="CO535" s="304"/>
      <c r="CP535" s="305"/>
    </row>
    <row r="536" spans="2:94" ht="15" hidden="1" customHeight="1" outlineLevel="2">
      <c r="B536" s="235" t="s">
        <v>195</v>
      </c>
      <c r="G536" s="303"/>
      <c r="L536" s="375"/>
      <c r="M536" s="343"/>
      <c r="N536" s="343"/>
      <c r="O536" s="369"/>
      <c r="P536" s="375"/>
      <c r="Q536" s="343"/>
      <c r="R536" s="343"/>
      <c r="S536" s="369"/>
      <c r="T536" s="375"/>
      <c r="U536" s="343"/>
      <c r="V536" s="343"/>
      <c r="W536" s="369"/>
      <c r="X536" s="422">
        <v>134.6</v>
      </c>
      <c r="Y536" s="423">
        <v>153.69999999999999</v>
      </c>
      <c r="Z536" s="423">
        <v>159.80000000000001</v>
      </c>
      <c r="AA536" s="401">
        <v>129.6</v>
      </c>
      <c r="AB536" s="422">
        <v>106.9</v>
      </c>
      <c r="AC536" s="423">
        <v>115.9</v>
      </c>
      <c r="AD536" s="423">
        <v>148.69999999999999</v>
      </c>
      <c r="AE536" s="401">
        <v>145.5</v>
      </c>
      <c r="AF536" s="422">
        <v>161.6</v>
      </c>
      <c r="AG536" s="423">
        <v>176</v>
      </c>
      <c r="AH536" s="423">
        <v>184.2</v>
      </c>
      <c r="AI536" s="423">
        <v>175.1</v>
      </c>
      <c r="AJ536" s="422">
        <v>173.2</v>
      </c>
      <c r="AK536" s="423">
        <v>176.2</v>
      </c>
      <c r="AL536" s="423">
        <v>166.6</v>
      </c>
      <c r="AN536" s="256"/>
      <c r="AQ536" s="303"/>
      <c r="AR536" s="256"/>
      <c r="AU536" s="303"/>
      <c r="AV536" s="256"/>
      <c r="AY536" s="303"/>
      <c r="AZ536" s="256"/>
      <c r="BC536" s="303"/>
      <c r="BD536" s="256"/>
      <c r="BG536" s="303"/>
      <c r="BH536" s="256"/>
      <c r="BK536" s="303"/>
      <c r="BL536" s="256"/>
      <c r="BO536" s="303"/>
      <c r="BP536" s="256"/>
      <c r="BS536" s="303"/>
      <c r="BT536" s="256"/>
      <c r="BW536" s="303"/>
      <c r="BX536" s="346"/>
      <c r="BY536" s="729"/>
      <c r="BZ536" s="713"/>
      <c r="CA536" s="302"/>
      <c r="CB536" s="302"/>
      <c r="CC536" s="784">
        <v>573.6</v>
      </c>
      <c r="CD536" s="325">
        <f>SUM(X536:AA536)</f>
        <v>577.69999999999993</v>
      </c>
      <c r="CE536" s="730">
        <f>SUM(AB536:AE536)</f>
        <v>517</v>
      </c>
      <c r="CF536" s="730">
        <f>SUM(AF536:AI536)</f>
        <v>696.9</v>
      </c>
      <c r="CG536" s="302"/>
      <c r="CH536" s="302"/>
      <c r="CI536" s="302"/>
      <c r="CJ536" s="302"/>
      <c r="CK536" s="302"/>
      <c r="CL536" s="302"/>
      <c r="CM536" s="302"/>
      <c r="CN536" s="302"/>
      <c r="CO536" s="302"/>
      <c r="CP536" s="303"/>
    </row>
    <row r="537" spans="2:94" ht="14.25" hidden="1" customHeight="1" outlineLevel="2">
      <c r="B537" s="217" t="s">
        <v>297</v>
      </c>
      <c r="G537" s="303"/>
      <c r="L537" s="377"/>
      <c r="M537" s="370"/>
      <c r="N537" s="370"/>
      <c r="O537" s="335"/>
      <c r="P537" s="377"/>
      <c r="Q537" s="370"/>
      <c r="R537" s="370"/>
      <c r="S537" s="335"/>
      <c r="T537" s="377"/>
      <c r="U537" s="370"/>
      <c r="V537" s="370"/>
      <c r="W537" s="335"/>
      <c r="X537" s="425"/>
      <c r="Y537" s="370">
        <f t="shared" ref="Y537:AI537" si="856">Y536/X536-1</f>
        <v>0.14190193164933129</v>
      </c>
      <c r="Z537" s="370">
        <f t="shared" si="856"/>
        <v>3.9687703318152412E-2</v>
      </c>
      <c r="AA537" s="335">
        <f t="shared" si="856"/>
        <v>-0.18898623279098881</v>
      </c>
      <c r="AB537" s="377">
        <f t="shared" si="856"/>
        <v>-0.17515432098765427</v>
      </c>
      <c r="AC537" s="370">
        <f t="shared" si="856"/>
        <v>8.4190832553788564E-2</v>
      </c>
      <c r="AD537" s="370">
        <f t="shared" si="856"/>
        <v>0.28300258843830872</v>
      </c>
      <c r="AE537" s="335">
        <f t="shared" si="856"/>
        <v>-2.1519838601210428E-2</v>
      </c>
      <c r="AF537" s="377">
        <f t="shared" si="856"/>
        <v>0.11065292096219936</v>
      </c>
      <c r="AG537" s="370">
        <f t="shared" si="856"/>
        <v>8.9108910891089188E-2</v>
      </c>
      <c r="AH537" s="370">
        <f t="shared" si="856"/>
        <v>4.6590909090909127E-2</v>
      </c>
      <c r="AI537" s="370">
        <f t="shared" si="856"/>
        <v>-4.940282301845822E-2</v>
      </c>
      <c r="AJ537" s="377">
        <f>AJ536/AI536-1</f>
        <v>-1.0850942318675116E-2</v>
      </c>
      <c r="AK537" s="370">
        <f>AK536/AJ536-1</f>
        <v>1.7321016166281789E-2</v>
      </c>
      <c r="AL537" s="370">
        <f>AL536/AK536-1</f>
        <v>-5.4483541430192961E-2</v>
      </c>
      <c r="AN537" s="256"/>
      <c r="AQ537" s="303"/>
      <c r="AR537" s="256"/>
      <c r="AU537" s="303"/>
      <c r="AV537" s="256"/>
      <c r="AY537" s="303"/>
      <c r="AZ537" s="256"/>
      <c r="BC537" s="303"/>
      <c r="BD537" s="256"/>
      <c r="BG537" s="303"/>
      <c r="BH537" s="256"/>
      <c r="BK537" s="303"/>
      <c r="BL537" s="256"/>
      <c r="BO537" s="303"/>
      <c r="BP537" s="256"/>
      <c r="BS537" s="303"/>
      <c r="BT537" s="256"/>
      <c r="BW537" s="303"/>
      <c r="BX537" s="346"/>
      <c r="BY537" s="256"/>
      <c r="BZ537" s="302"/>
      <c r="CA537" s="302"/>
      <c r="CB537" s="302"/>
      <c r="CC537" s="370"/>
      <c r="CD537" s="392"/>
      <c r="CE537" s="730"/>
      <c r="CF537" s="730"/>
      <c r="CG537" s="302"/>
      <c r="CH537" s="302"/>
      <c r="CI537" s="302"/>
      <c r="CJ537" s="302"/>
      <c r="CK537" s="302"/>
      <c r="CL537" s="302"/>
      <c r="CM537" s="302"/>
      <c r="CN537" s="302"/>
      <c r="CO537" s="302"/>
      <c r="CP537" s="303"/>
    </row>
    <row r="538" spans="2:94" ht="14.25" hidden="1" customHeight="1" outlineLevel="2">
      <c r="B538" s="32" t="s">
        <v>298</v>
      </c>
      <c r="G538" s="303"/>
      <c r="L538" s="377"/>
      <c r="M538" s="370"/>
      <c r="N538" s="370"/>
      <c r="O538" s="335"/>
      <c r="P538" s="377"/>
      <c r="Q538" s="370"/>
      <c r="R538" s="370"/>
      <c r="S538" s="335"/>
      <c r="T538" s="377"/>
      <c r="U538" s="370"/>
      <c r="V538" s="370"/>
      <c r="W538" s="335"/>
      <c r="X538" s="425"/>
      <c r="Y538" s="418"/>
      <c r="Z538" s="418"/>
      <c r="AA538" s="419"/>
      <c r="AB538" s="377">
        <f t="shared" ref="AB538:AI538" si="857">AB536/X536-1</f>
        <v>-0.2057949479940564</v>
      </c>
      <c r="AC538" s="370">
        <f t="shared" si="857"/>
        <v>-0.24593363695510728</v>
      </c>
      <c r="AD538" s="370">
        <f t="shared" si="857"/>
        <v>-6.9461827284105215E-2</v>
      </c>
      <c r="AE538" s="335">
        <f t="shared" si="857"/>
        <v>0.12268518518518534</v>
      </c>
      <c r="AF538" s="377">
        <f t="shared" si="857"/>
        <v>0.51169317118802615</v>
      </c>
      <c r="AG538" s="370">
        <f t="shared" si="857"/>
        <v>0.5185504745470233</v>
      </c>
      <c r="AH538" s="370">
        <f t="shared" si="857"/>
        <v>0.23873570948217893</v>
      </c>
      <c r="AI538" s="370">
        <f t="shared" si="857"/>
        <v>0.20343642611683843</v>
      </c>
      <c r="AJ538" s="377">
        <f>AJ536/AF536-1</f>
        <v>7.1782178217821846E-2</v>
      </c>
      <c r="AK538" s="370">
        <f>AK536/AG536-1</f>
        <v>1.136363636363491E-3</v>
      </c>
      <c r="AL538" s="370">
        <f>AL536/AH536-1</f>
        <v>-9.5548317046688314E-2</v>
      </c>
      <c r="AN538" s="256"/>
      <c r="AQ538" s="303"/>
      <c r="AR538" s="256"/>
      <c r="AU538" s="303"/>
      <c r="AV538" s="256"/>
      <c r="AY538" s="303"/>
      <c r="AZ538" s="256"/>
      <c r="BC538" s="303"/>
      <c r="BD538" s="256"/>
      <c r="BG538" s="303"/>
      <c r="BH538" s="256"/>
      <c r="BK538" s="303"/>
      <c r="BL538" s="256"/>
      <c r="BO538" s="303"/>
      <c r="BP538" s="256"/>
      <c r="BS538" s="303"/>
      <c r="BT538" s="256"/>
      <c r="BW538" s="303"/>
      <c r="BX538" s="346"/>
      <c r="BY538" s="256"/>
      <c r="BZ538" s="302"/>
      <c r="CA538" s="302"/>
      <c r="CB538" s="302"/>
      <c r="CC538" s="418"/>
      <c r="CD538" s="370">
        <f>CD536/CC536-1</f>
        <v>7.1478382147835973E-3</v>
      </c>
      <c r="CE538" s="370">
        <f>CE536/CD536-1</f>
        <v>-0.10507183659338748</v>
      </c>
      <c r="CF538" s="370">
        <f>CF536/CE536-1</f>
        <v>0.34796905222437124</v>
      </c>
      <c r="CG538" s="302"/>
      <c r="CH538" s="302"/>
      <c r="CI538" s="302"/>
      <c r="CJ538" s="302"/>
      <c r="CK538" s="302"/>
      <c r="CL538" s="302"/>
      <c r="CM538" s="302"/>
      <c r="CN538" s="302"/>
      <c r="CO538" s="302"/>
      <c r="CP538" s="303"/>
    </row>
    <row r="539" spans="2:94" ht="14.25" hidden="1" customHeight="1" outlineLevel="2">
      <c r="B539" s="217" t="s">
        <v>299</v>
      </c>
      <c r="G539" s="303"/>
      <c r="L539" s="359"/>
      <c r="M539" s="370"/>
      <c r="N539" s="370"/>
      <c r="O539" s="337"/>
      <c r="P539" s="359"/>
      <c r="Q539" s="370"/>
      <c r="R539" s="370"/>
      <c r="S539" s="337"/>
      <c r="T539" s="359"/>
      <c r="U539" s="370"/>
      <c r="V539" s="370"/>
      <c r="W539" s="337"/>
      <c r="X539" s="359">
        <f t="shared" ref="X539:AI539" si="858">X536/X562</f>
        <v>0.31903294619578099</v>
      </c>
      <c r="Y539" s="370">
        <f t="shared" si="858"/>
        <v>0.27314732539541492</v>
      </c>
      <c r="Z539" s="370">
        <f t="shared" si="858"/>
        <v>0.27480653482373174</v>
      </c>
      <c r="AA539" s="337">
        <f t="shared" si="858"/>
        <v>0.26519337016574585</v>
      </c>
      <c r="AB539" s="359">
        <f t="shared" si="858"/>
        <v>0.28198364547612764</v>
      </c>
      <c r="AC539" s="370">
        <f t="shared" si="858"/>
        <v>0.27608384945212011</v>
      </c>
      <c r="AD539" s="370">
        <f t="shared" si="858"/>
        <v>0.31444279974624656</v>
      </c>
      <c r="AE539" s="337">
        <f t="shared" si="858"/>
        <v>0.29269764634882317</v>
      </c>
      <c r="AF539" s="359">
        <f t="shared" si="858"/>
        <v>0.29371137768084332</v>
      </c>
      <c r="AG539" s="370">
        <f t="shared" si="858"/>
        <v>0.30173152751585808</v>
      </c>
      <c r="AH539" s="370">
        <f t="shared" si="858"/>
        <v>0.30664225070750789</v>
      </c>
      <c r="AI539" s="338">
        <f t="shared" si="858"/>
        <v>0.30231353591160215</v>
      </c>
      <c r="AJ539" s="359">
        <f>AJ536/AJ562</f>
        <v>0.19894325752354697</v>
      </c>
      <c r="AK539" s="370">
        <f>AK536/AK562</f>
        <v>0.19452417752263193</v>
      </c>
      <c r="AL539" s="370">
        <f>AL536/AL562</f>
        <v>0.18552338530066814</v>
      </c>
      <c r="AN539" s="256"/>
      <c r="AQ539" s="303"/>
      <c r="AR539" s="256"/>
      <c r="AU539" s="303"/>
      <c r="AV539" s="256"/>
      <c r="AY539" s="303"/>
      <c r="AZ539" s="256"/>
      <c r="BC539" s="303"/>
      <c r="BD539" s="256"/>
      <c r="BG539" s="303"/>
      <c r="BH539" s="256"/>
      <c r="BK539" s="303"/>
      <c r="BL539" s="256"/>
      <c r="BO539" s="303"/>
      <c r="BP539" s="256"/>
      <c r="BS539" s="303"/>
      <c r="BT539" s="256"/>
      <c r="BW539" s="303"/>
      <c r="BX539" s="346"/>
      <c r="BY539" s="256"/>
      <c r="BZ539" s="302"/>
      <c r="CA539" s="302"/>
      <c r="CB539" s="302"/>
      <c r="CC539" s="370">
        <f>CC536/CC562</f>
        <v>0.36623675137274936</v>
      </c>
      <c r="CD539" s="370">
        <f>CD536/CD562</f>
        <v>0.28114658360911032</v>
      </c>
      <c r="CE539" s="370">
        <f>CE536/CE562</f>
        <v>0.29227203346712644</v>
      </c>
      <c r="CF539" s="370">
        <f>CF536/CF562</f>
        <v>0.30124492089565141</v>
      </c>
      <c r="CG539" s="302"/>
      <c r="CH539" s="302"/>
      <c r="CI539" s="302"/>
      <c r="CJ539" s="302"/>
      <c r="CK539" s="302"/>
      <c r="CL539" s="302"/>
      <c r="CM539" s="302"/>
      <c r="CN539" s="302"/>
      <c r="CO539" s="302"/>
      <c r="CP539" s="303"/>
    </row>
    <row r="540" spans="2:94" ht="14.25" hidden="1" customHeight="1" outlineLevel="2">
      <c r="B540" s="217"/>
      <c r="G540" s="303"/>
      <c r="L540" s="260"/>
      <c r="M540" s="80"/>
      <c r="N540" s="80"/>
      <c r="O540" s="262"/>
      <c r="P540" s="260"/>
      <c r="Q540" s="80"/>
      <c r="R540" s="80"/>
      <c r="S540" s="262"/>
      <c r="T540" s="260"/>
      <c r="U540" s="80"/>
      <c r="V540" s="80"/>
      <c r="W540" s="262"/>
      <c r="X540" s="260"/>
      <c r="Y540" s="80"/>
      <c r="Z540" s="80"/>
      <c r="AA540" s="262"/>
      <c r="AB540" s="260"/>
      <c r="AC540" s="80"/>
      <c r="AD540" s="80"/>
      <c r="AE540" s="262"/>
      <c r="AF540" s="260"/>
      <c r="AG540" s="80"/>
      <c r="AH540" s="80"/>
      <c r="AI540" s="261"/>
      <c r="AJ540" s="260"/>
      <c r="AK540" s="80"/>
      <c r="AL540" s="80"/>
      <c r="AN540" s="256"/>
      <c r="AQ540" s="303"/>
      <c r="AR540" s="256"/>
      <c r="AU540" s="303"/>
      <c r="AV540" s="256"/>
      <c r="AY540" s="303"/>
      <c r="AZ540" s="256"/>
      <c r="BC540" s="303"/>
      <c r="BD540" s="256"/>
      <c r="BG540" s="303"/>
      <c r="BH540" s="256"/>
      <c r="BK540" s="303"/>
      <c r="BL540" s="256"/>
      <c r="BO540" s="303"/>
      <c r="BP540" s="256"/>
      <c r="BS540" s="303"/>
      <c r="BT540" s="256"/>
      <c r="BW540" s="303"/>
      <c r="BX540" s="346"/>
      <c r="BY540" s="256"/>
      <c r="BZ540" s="302"/>
      <c r="CA540" s="302"/>
      <c r="CB540" s="302"/>
      <c r="CC540" s="80"/>
      <c r="CD540" s="392"/>
      <c r="CE540" s="730"/>
      <c r="CF540" s="730"/>
      <c r="CG540" s="302"/>
      <c r="CH540" s="302"/>
      <c r="CI540" s="302"/>
      <c r="CJ540" s="302"/>
      <c r="CK540" s="302"/>
      <c r="CL540" s="302"/>
      <c r="CM540" s="302"/>
      <c r="CN540" s="302"/>
      <c r="CO540" s="302"/>
      <c r="CP540" s="303"/>
    </row>
    <row r="541" spans="2:94" ht="14.25" hidden="1" customHeight="1" outlineLevel="2">
      <c r="B541" s="235" t="s">
        <v>230</v>
      </c>
      <c r="G541" s="303"/>
      <c r="L541" s="375"/>
      <c r="M541" s="343"/>
      <c r="N541" s="343"/>
      <c r="O541" s="369"/>
      <c r="P541" s="375"/>
      <c r="Q541" s="343"/>
      <c r="R541" s="343"/>
      <c r="S541" s="369"/>
      <c r="T541" s="375"/>
      <c r="U541" s="343"/>
      <c r="V541" s="343"/>
      <c r="W541" s="369"/>
      <c r="X541" s="422">
        <v>51</v>
      </c>
      <c r="Y541" s="423">
        <v>57.8</v>
      </c>
      <c r="Z541" s="423">
        <v>57.8</v>
      </c>
      <c r="AA541" s="401">
        <f>45.8+0.3</f>
        <v>46.099999999999994</v>
      </c>
      <c r="AB541" s="422">
        <v>26.6</v>
      </c>
      <c r="AC541" s="423">
        <v>32.4</v>
      </c>
      <c r="AD541" s="423">
        <v>49.3</v>
      </c>
      <c r="AE541" s="401">
        <v>53.2</v>
      </c>
      <c r="AF541" s="422">
        <v>59.4</v>
      </c>
      <c r="AG541" s="423">
        <v>63.9</v>
      </c>
      <c r="AH541" s="423">
        <v>74</v>
      </c>
      <c r="AI541" s="423">
        <v>71</v>
      </c>
      <c r="AJ541" s="422">
        <v>66.8</v>
      </c>
      <c r="AK541" s="423">
        <v>64.8</v>
      </c>
      <c r="AL541" s="423">
        <v>54.7</v>
      </c>
      <c r="AN541" s="256"/>
      <c r="AQ541" s="303"/>
      <c r="AR541" s="256"/>
      <c r="AU541" s="303"/>
      <c r="AV541" s="256"/>
      <c r="AY541" s="303"/>
      <c r="AZ541" s="256"/>
      <c r="BC541" s="303"/>
      <c r="BD541" s="256"/>
      <c r="BG541" s="303"/>
      <c r="BH541" s="256"/>
      <c r="BK541" s="303"/>
      <c r="BL541" s="256"/>
      <c r="BO541" s="303"/>
      <c r="BP541" s="256"/>
      <c r="BS541" s="303"/>
      <c r="BT541" s="256"/>
      <c r="BW541" s="303"/>
      <c r="BX541" s="346"/>
      <c r="BY541" s="256"/>
      <c r="BZ541" s="302"/>
      <c r="CA541" s="302"/>
      <c r="CB541" s="302"/>
      <c r="CC541" s="423">
        <v>214</v>
      </c>
      <c r="CD541" s="325">
        <f>SUM(X541:AA541)</f>
        <v>212.7</v>
      </c>
      <c r="CE541" s="730">
        <f>SUM(AB541:AE541)</f>
        <v>161.5</v>
      </c>
      <c r="CF541" s="730">
        <f>SUM(AF541:AI541)</f>
        <v>268.3</v>
      </c>
      <c r="CG541" s="302"/>
      <c r="CH541" s="302"/>
      <c r="CI541" s="302"/>
      <c r="CJ541" s="302"/>
      <c r="CK541" s="302"/>
      <c r="CL541" s="302"/>
      <c r="CM541" s="302"/>
      <c r="CN541" s="302"/>
      <c r="CO541" s="302"/>
      <c r="CP541" s="303"/>
    </row>
    <row r="542" spans="2:94" ht="14.25" hidden="1" customHeight="1" outlineLevel="2">
      <c r="B542" s="217" t="s">
        <v>373</v>
      </c>
      <c r="G542" s="303"/>
      <c r="L542" s="377"/>
      <c r="M542" s="370"/>
      <c r="N542" s="370"/>
      <c r="O542" s="335"/>
      <c r="P542" s="377"/>
      <c r="Q542" s="370"/>
      <c r="R542" s="370"/>
      <c r="S542" s="335"/>
      <c r="T542" s="377"/>
      <c r="U542" s="370"/>
      <c r="V542" s="370"/>
      <c r="W542" s="335"/>
      <c r="X542" s="377">
        <f t="shared" ref="X542:AI542" si="859">X541/X536</f>
        <v>0.37890044576523035</v>
      </c>
      <c r="Y542" s="370">
        <f t="shared" si="859"/>
        <v>0.37605725439167209</v>
      </c>
      <c r="Z542" s="370">
        <f t="shared" si="859"/>
        <v>0.36170212765957444</v>
      </c>
      <c r="AA542" s="335">
        <f t="shared" si="859"/>
        <v>0.35570987654320985</v>
      </c>
      <c r="AB542" s="377">
        <f t="shared" si="859"/>
        <v>0.24883068288119739</v>
      </c>
      <c r="AC542" s="370">
        <f t="shared" si="859"/>
        <v>0.27955133735979287</v>
      </c>
      <c r="AD542" s="370">
        <f t="shared" si="859"/>
        <v>0.33154001344989914</v>
      </c>
      <c r="AE542" s="335">
        <f t="shared" si="859"/>
        <v>0.36563573883161515</v>
      </c>
      <c r="AF542" s="377">
        <f t="shared" si="859"/>
        <v>0.36757425742574257</v>
      </c>
      <c r="AG542" s="370">
        <f t="shared" si="859"/>
        <v>0.36306818181818179</v>
      </c>
      <c r="AH542" s="370">
        <f t="shared" si="859"/>
        <v>0.40173724212812162</v>
      </c>
      <c r="AI542" s="370">
        <f t="shared" si="859"/>
        <v>0.40548258138206739</v>
      </c>
      <c r="AJ542" s="377">
        <f>AJ541/AJ536</f>
        <v>0.38568129330254042</v>
      </c>
      <c r="AK542" s="370">
        <f>AK541/AK536</f>
        <v>0.36776390465380249</v>
      </c>
      <c r="AL542" s="370">
        <f>AL541/AL536</f>
        <v>0.32833133253301322</v>
      </c>
      <c r="AN542" s="256"/>
      <c r="AQ542" s="303"/>
      <c r="AR542" s="256"/>
      <c r="AU542" s="303"/>
      <c r="AV542" s="256"/>
      <c r="AY542" s="303"/>
      <c r="AZ542" s="256"/>
      <c r="BC542" s="303"/>
      <c r="BD542" s="256"/>
      <c r="BG542" s="303"/>
      <c r="BH542" s="256"/>
      <c r="BK542" s="303"/>
      <c r="BL542" s="256"/>
      <c r="BO542" s="303"/>
      <c r="BP542" s="256"/>
      <c r="BS542" s="303"/>
      <c r="BT542" s="256"/>
      <c r="BW542" s="303"/>
      <c r="BX542" s="346"/>
      <c r="BY542" s="256"/>
      <c r="BZ542" s="302"/>
      <c r="CA542" s="302"/>
      <c r="CB542" s="302"/>
      <c r="CC542" s="370">
        <f>CC541/CC536</f>
        <v>0.37308228730822873</v>
      </c>
      <c r="CD542" s="370">
        <f>CD541/CD536</f>
        <v>0.36818417863943226</v>
      </c>
      <c r="CE542" s="370">
        <f>CE541/CE536</f>
        <v>0.31237911025145065</v>
      </c>
      <c r="CF542" s="370">
        <f>CF541/CF536</f>
        <v>0.38499067298034156</v>
      </c>
      <c r="CG542" s="302"/>
      <c r="CH542" s="302"/>
      <c r="CI542" s="302"/>
      <c r="CJ542" s="302"/>
      <c r="CK542" s="302"/>
      <c r="CL542" s="302"/>
      <c r="CM542" s="302"/>
      <c r="CN542" s="302"/>
      <c r="CO542" s="302"/>
      <c r="CP542" s="303"/>
    </row>
    <row r="543" spans="2:94" ht="14.25" hidden="1" customHeight="1" outlineLevel="2">
      <c r="B543" s="217"/>
      <c r="G543" s="303"/>
      <c r="L543" s="82"/>
      <c r="M543" s="80"/>
      <c r="N543" s="80"/>
      <c r="O543" s="262"/>
      <c r="P543" s="82"/>
      <c r="Q543" s="80"/>
      <c r="R543" s="80"/>
      <c r="S543" s="262"/>
      <c r="T543" s="82"/>
      <c r="U543" s="80"/>
      <c r="V543" s="80"/>
      <c r="W543" s="262"/>
      <c r="X543" s="82"/>
      <c r="Y543" s="80"/>
      <c r="Z543" s="80"/>
      <c r="AA543" s="262"/>
      <c r="AB543" s="82"/>
      <c r="AC543" s="80"/>
      <c r="AD543" s="80"/>
      <c r="AE543" s="262"/>
      <c r="AF543" s="82"/>
      <c r="AG543" s="80"/>
      <c r="AH543" s="80"/>
      <c r="AI543" s="261"/>
      <c r="AJ543" s="82"/>
      <c r="AK543" s="80"/>
      <c r="AL543" s="80"/>
      <c r="AN543" s="256"/>
      <c r="AQ543" s="303"/>
      <c r="AR543" s="256"/>
      <c r="AU543" s="303"/>
      <c r="AV543" s="256"/>
      <c r="AY543" s="303"/>
      <c r="AZ543" s="256"/>
      <c r="BC543" s="303"/>
      <c r="BD543" s="256"/>
      <c r="BG543" s="303"/>
      <c r="BH543" s="256"/>
      <c r="BK543" s="303"/>
      <c r="BL543" s="256"/>
      <c r="BO543" s="303"/>
      <c r="BP543" s="256"/>
      <c r="BS543" s="303"/>
      <c r="BT543" s="256"/>
      <c r="BW543" s="303"/>
      <c r="BX543" s="346"/>
      <c r="BY543" s="256"/>
      <c r="BZ543" s="302"/>
      <c r="CA543" s="302"/>
      <c r="CB543" s="302"/>
      <c r="CC543" s="80"/>
      <c r="CD543" s="392"/>
      <c r="CE543" s="730"/>
      <c r="CF543" s="730"/>
      <c r="CG543" s="302"/>
      <c r="CH543" s="302"/>
      <c r="CI543" s="302"/>
      <c r="CJ543" s="302"/>
      <c r="CK543" s="302"/>
      <c r="CL543" s="302"/>
      <c r="CM543" s="302"/>
      <c r="CN543" s="302"/>
      <c r="CO543" s="302"/>
      <c r="CP543" s="303"/>
    </row>
    <row r="544" spans="2:94" ht="14.25" hidden="1" customHeight="1" outlineLevel="2">
      <c r="B544" s="235" t="s">
        <v>197</v>
      </c>
      <c r="G544" s="303"/>
      <c r="L544" s="375"/>
      <c r="M544" s="343"/>
      <c r="N544" s="343"/>
      <c r="O544" s="369"/>
      <c r="P544" s="375"/>
      <c r="Q544" s="343"/>
      <c r="R544" s="343"/>
      <c r="S544" s="369"/>
      <c r="T544" s="375"/>
      <c r="U544" s="343"/>
      <c r="V544" s="343"/>
      <c r="W544" s="369"/>
      <c r="X544" s="422">
        <v>30.9</v>
      </c>
      <c r="Y544" s="423">
        <v>37.4</v>
      </c>
      <c r="Z544" s="423">
        <v>37.4</v>
      </c>
      <c r="AA544" s="401">
        <v>28.5</v>
      </c>
      <c r="AB544" s="422">
        <v>13.2</v>
      </c>
      <c r="AC544" s="423">
        <v>16.2</v>
      </c>
      <c r="AD544" s="423">
        <v>30.8</v>
      </c>
      <c r="AE544" s="401">
        <v>37.4</v>
      </c>
      <c r="AF544" s="422">
        <v>38.299999999999997</v>
      </c>
      <c r="AG544" s="423">
        <v>38.299999999999997</v>
      </c>
      <c r="AH544" s="423">
        <v>56.9</v>
      </c>
      <c r="AI544" s="423">
        <v>50.5</v>
      </c>
      <c r="AJ544" s="422">
        <v>45</v>
      </c>
      <c r="AK544" s="423">
        <v>43.9</v>
      </c>
      <c r="AL544" s="423">
        <v>33.4</v>
      </c>
      <c r="AN544" s="256"/>
      <c r="AQ544" s="303"/>
      <c r="AR544" s="256"/>
      <c r="AU544" s="303"/>
      <c r="AV544" s="256"/>
      <c r="AY544" s="303"/>
      <c r="AZ544" s="256"/>
      <c r="BC544" s="303"/>
      <c r="BD544" s="256"/>
      <c r="BG544" s="303"/>
      <c r="BH544" s="256"/>
      <c r="BK544" s="303"/>
      <c r="BL544" s="256"/>
      <c r="BO544" s="303"/>
      <c r="BP544" s="256"/>
      <c r="BS544" s="303"/>
      <c r="BT544" s="256"/>
      <c r="BW544" s="303"/>
      <c r="BX544" s="346"/>
      <c r="BY544" s="256"/>
      <c r="BZ544" s="302"/>
      <c r="CA544" s="302"/>
      <c r="CB544" s="302"/>
      <c r="CC544" s="423">
        <v>131.69999999999999</v>
      </c>
      <c r="CD544" s="325">
        <f>SUM(X544:AA544)</f>
        <v>134.19999999999999</v>
      </c>
      <c r="CE544" s="730">
        <f>SUM(AB544:AE544)</f>
        <v>97.6</v>
      </c>
      <c r="CF544" s="730">
        <f>SUM(AF544:AI544)</f>
        <v>184</v>
      </c>
      <c r="CG544" s="302"/>
      <c r="CH544" s="302"/>
      <c r="CI544" s="302"/>
      <c r="CJ544" s="302"/>
      <c r="CK544" s="302"/>
      <c r="CL544" s="302"/>
      <c r="CM544" s="302"/>
      <c r="CN544" s="302"/>
      <c r="CO544" s="302"/>
      <c r="CP544" s="303"/>
    </row>
    <row r="545" spans="1:94" ht="14.25" hidden="1" customHeight="1" outlineLevel="2">
      <c r="B545" s="217" t="s">
        <v>297</v>
      </c>
      <c r="G545" s="303"/>
      <c r="L545" s="377"/>
      <c r="M545" s="370"/>
      <c r="N545" s="370"/>
      <c r="O545" s="335"/>
      <c r="P545" s="377"/>
      <c r="Q545" s="370"/>
      <c r="R545" s="370"/>
      <c r="S545" s="335"/>
      <c r="T545" s="377"/>
      <c r="U545" s="370"/>
      <c r="V545" s="370"/>
      <c r="W545" s="335"/>
      <c r="X545" s="425"/>
      <c r="Y545" s="370">
        <f t="shared" ref="Y545:AI545" si="860">Y544/X544-1</f>
        <v>0.21035598705501624</v>
      </c>
      <c r="Z545" s="370">
        <f t="shared" si="860"/>
        <v>0</v>
      </c>
      <c r="AA545" s="335">
        <f t="shared" si="860"/>
        <v>-0.23796791443850263</v>
      </c>
      <c r="AB545" s="377">
        <f t="shared" si="860"/>
        <v>-0.5368421052631579</v>
      </c>
      <c r="AC545" s="370">
        <f t="shared" si="860"/>
        <v>0.22727272727272729</v>
      </c>
      <c r="AD545" s="370">
        <f t="shared" si="860"/>
        <v>0.9012345679012348</v>
      </c>
      <c r="AE545" s="335">
        <f t="shared" si="860"/>
        <v>0.21428571428571419</v>
      </c>
      <c r="AF545" s="377">
        <f t="shared" si="860"/>
        <v>2.4064171122994527E-2</v>
      </c>
      <c r="AG545" s="370">
        <f t="shared" si="860"/>
        <v>0</v>
      </c>
      <c r="AH545" s="370">
        <f t="shared" si="860"/>
        <v>0.48563968668407309</v>
      </c>
      <c r="AI545" s="370">
        <f t="shared" si="860"/>
        <v>-0.11247803163444636</v>
      </c>
      <c r="AJ545" s="377">
        <f>AJ544/AI544-1</f>
        <v>-0.1089108910891089</v>
      </c>
      <c r="AK545" s="370">
        <f>AK544/AJ544-1</f>
        <v>-2.4444444444444491E-2</v>
      </c>
      <c r="AL545" s="370">
        <f>AL544/AK544-1</f>
        <v>-0.23917995444191342</v>
      </c>
      <c r="AN545" s="256"/>
      <c r="AQ545" s="303"/>
      <c r="AR545" s="256"/>
      <c r="AU545" s="303"/>
      <c r="AV545" s="256"/>
      <c r="AY545" s="303"/>
      <c r="AZ545" s="256"/>
      <c r="BC545" s="303"/>
      <c r="BD545" s="256"/>
      <c r="BG545" s="303"/>
      <c r="BH545" s="256"/>
      <c r="BK545" s="303"/>
      <c r="BL545" s="256"/>
      <c r="BO545" s="303"/>
      <c r="BP545" s="256"/>
      <c r="BS545" s="303"/>
      <c r="BT545" s="256"/>
      <c r="BW545" s="303"/>
      <c r="BX545" s="346"/>
      <c r="BY545" s="256"/>
      <c r="BZ545" s="302"/>
      <c r="CA545" s="302"/>
      <c r="CB545" s="302"/>
      <c r="CC545" s="370"/>
      <c r="CD545" s="392"/>
      <c r="CE545" s="392"/>
      <c r="CF545" s="392"/>
      <c r="CG545" s="302"/>
      <c r="CH545" s="302"/>
      <c r="CI545" s="302"/>
      <c r="CJ545" s="302"/>
      <c r="CK545" s="302"/>
      <c r="CL545" s="302"/>
      <c r="CM545" s="302"/>
      <c r="CN545" s="302"/>
      <c r="CO545" s="302"/>
      <c r="CP545" s="303"/>
    </row>
    <row r="546" spans="1:94" ht="14.25" hidden="1" customHeight="1" outlineLevel="2">
      <c r="B546" s="32" t="s">
        <v>298</v>
      </c>
      <c r="G546" s="303"/>
      <c r="L546" s="377"/>
      <c r="M546" s="370"/>
      <c r="N546" s="370"/>
      <c r="O546" s="335"/>
      <c r="P546" s="377"/>
      <c r="Q546" s="370"/>
      <c r="R546" s="370"/>
      <c r="S546" s="335"/>
      <c r="T546" s="377"/>
      <c r="U546" s="370"/>
      <c r="V546" s="370"/>
      <c r="W546" s="335"/>
      <c r="X546" s="425"/>
      <c r="Y546" s="418"/>
      <c r="Z546" s="418"/>
      <c r="AA546" s="419"/>
      <c r="AB546" s="377">
        <f t="shared" ref="AB546:AI546" si="861">AB544/X544-1</f>
        <v>-0.57281553398058249</v>
      </c>
      <c r="AC546" s="370">
        <f t="shared" si="861"/>
        <v>-0.5668449197860963</v>
      </c>
      <c r="AD546" s="370">
        <f t="shared" si="861"/>
        <v>-0.17647058823529405</v>
      </c>
      <c r="AE546" s="335">
        <f t="shared" si="861"/>
        <v>0.31228070175438583</v>
      </c>
      <c r="AF546" s="377">
        <f t="shared" si="861"/>
        <v>1.9015151515151514</v>
      </c>
      <c r="AG546" s="370">
        <f t="shared" si="861"/>
        <v>1.3641975308641974</v>
      </c>
      <c r="AH546" s="370">
        <f t="shared" si="861"/>
        <v>0.84740259740259738</v>
      </c>
      <c r="AI546" s="370">
        <f t="shared" si="861"/>
        <v>0.35026737967914445</v>
      </c>
      <c r="AJ546" s="377">
        <f>AJ544/AF544-1</f>
        <v>0.17493472584856407</v>
      </c>
      <c r="AK546" s="370">
        <f>AK544/AG544-1</f>
        <v>0.14621409921671025</v>
      </c>
      <c r="AL546" s="370">
        <f>AL544/AH544-1</f>
        <v>-0.41300527240773288</v>
      </c>
      <c r="AN546" s="256"/>
      <c r="AQ546" s="303"/>
      <c r="AR546" s="256"/>
      <c r="AU546" s="303"/>
      <c r="AV546" s="256"/>
      <c r="AY546" s="303"/>
      <c r="AZ546" s="256"/>
      <c r="BC546" s="303"/>
      <c r="BD546" s="256"/>
      <c r="BG546" s="303"/>
      <c r="BH546" s="256"/>
      <c r="BK546" s="303"/>
      <c r="BL546" s="256"/>
      <c r="BO546" s="303"/>
      <c r="BP546" s="256"/>
      <c r="BS546" s="303"/>
      <c r="BT546" s="256"/>
      <c r="BW546" s="303"/>
      <c r="BX546" s="346"/>
      <c r="BY546" s="256"/>
      <c r="BZ546" s="302"/>
      <c r="CA546" s="302"/>
      <c r="CB546" s="302"/>
      <c r="CC546" s="418"/>
      <c r="CD546" s="370">
        <f>CD544/CC544-1</f>
        <v>1.8982536066818545E-2</v>
      </c>
      <c r="CE546" s="370">
        <f>CE544/CD544-1</f>
        <v>-0.27272727272727271</v>
      </c>
      <c r="CF546" s="370">
        <f>CF544/CE544-1</f>
        <v>0.88524590163934436</v>
      </c>
      <c r="CG546" s="302"/>
      <c r="CH546" s="302"/>
      <c r="CI546" s="302"/>
      <c r="CJ546" s="302"/>
      <c r="CK546" s="302"/>
      <c r="CL546" s="302"/>
      <c r="CM546" s="302"/>
      <c r="CN546" s="302"/>
      <c r="CO546" s="302"/>
      <c r="CP546" s="303"/>
    </row>
    <row r="547" spans="1:94" ht="14.25" hidden="1" customHeight="1" outlineLevel="2">
      <c r="B547" s="217" t="s">
        <v>374</v>
      </c>
      <c r="G547" s="303"/>
      <c r="L547" s="377"/>
      <c r="M547" s="370"/>
      <c r="N547" s="370"/>
      <c r="O547" s="335"/>
      <c r="P547" s="377"/>
      <c r="Q547" s="370"/>
      <c r="R547" s="370"/>
      <c r="S547" s="335"/>
      <c r="T547" s="377"/>
      <c r="U547" s="370"/>
      <c r="V547" s="370"/>
      <c r="W547" s="335"/>
      <c r="X547" s="377">
        <f t="shared" ref="X547:AI547" si="862">X544/X536</f>
        <v>0.22956909361069835</v>
      </c>
      <c r="Y547" s="370">
        <f t="shared" si="862"/>
        <v>0.24333116460637608</v>
      </c>
      <c r="Z547" s="370">
        <f t="shared" si="862"/>
        <v>0.23404255319148934</v>
      </c>
      <c r="AA547" s="335">
        <f t="shared" si="862"/>
        <v>0.21990740740740741</v>
      </c>
      <c r="AB547" s="377">
        <f t="shared" si="862"/>
        <v>0.12347988774555659</v>
      </c>
      <c r="AC547" s="370">
        <f t="shared" si="862"/>
        <v>0.13977566867989644</v>
      </c>
      <c r="AD547" s="370">
        <f t="shared" si="862"/>
        <v>0.207128446536651</v>
      </c>
      <c r="AE547" s="335">
        <f t="shared" si="862"/>
        <v>0.25704467353951888</v>
      </c>
      <c r="AF547" s="377">
        <f t="shared" si="862"/>
        <v>0.23700495049504949</v>
      </c>
      <c r="AG547" s="370">
        <f t="shared" si="862"/>
        <v>0.21761363636363634</v>
      </c>
      <c r="AH547" s="370">
        <f t="shared" si="862"/>
        <v>0.30890336590662326</v>
      </c>
      <c r="AI547" s="370">
        <f t="shared" si="862"/>
        <v>0.28840662478583667</v>
      </c>
      <c r="AJ547" s="377">
        <f>AJ544/AJ536</f>
        <v>0.25981524249422633</v>
      </c>
      <c r="AK547" s="370">
        <f>AK544/AK536</f>
        <v>0.24914869466515324</v>
      </c>
      <c r="AL547" s="370">
        <f>AL544/AL536</f>
        <v>0.20048019207683074</v>
      </c>
      <c r="AN547" s="256"/>
      <c r="AQ547" s="303"/>
      <c r="AR547" s="256"/>
      <c r="AU547" s="303"/>
      <c r="AV547" s="256"/>
      <c r="AY547" s="303"/>
      <c r="AZ547" s="256"/>
      <c r="BC547" s="303"/>
      <c r="BD547" s="256"/>
      <c r="BG547" s="303"/>
      <c r="BH547" s="256"/>
      <c r="BK547" s="303"/>
      <c r="BL547" s="256"/>
      <c r="BO547" s="303"/>
      <c r="BP547" s="256"/>
      <c r="BS547" s="303"/>
      <c r="BT547" s="256"/>
      <c r="BW547" s="303"/>
      <c r="BX547" s="346"/>
      <c r="BY547" s="256"/>
      <c r="BZ547" s="302"/>
      <c r="CA547" s="302"/>
      <c r="CB547" s="302"/>
      <c r="CC547" s="370">
        <f>CC544/CC536</f>
        <v>0.22960251046025101</v>
      </c>
      <c r="CD547" s="370">
        <f>CD544/CD536</f>
        <v>0.23230050199065261</v>
      </c>
      <c r="CE547" s="370">
        <f>CE544/CE536</f>
        <v>0.1887814313346228</v>
      </c>
      <c r="CF547" s="370">
        <f>CF544/CF536</f>
        <v>0.26402640264026406</v>
      </c>
      <c r="CG547" s="302"/>
      <c r="CH547" s="302"/>
      <c r="CI547" s="302"/>
      <c r="CJ547" s="302"/>
      <c r="CK547" s="302"/>
      <c r="CL547" s="302"/>
      <c r="CM547" s="302"/>
      <c r="CN547" s="302"/>
      <c r="CO547" s="302"/>
      <c r="CP547" s="303"/>
    </row>
    <row r="548" spans="1:94" ht="14.25" hidden="1" customHeight="1" outlineLevel="2">
      <c r="B548" s="236"/>
      <c r="C548" s="304"/>
      <c r="D548" s="304"/>
      <c r="E548" s="304"/>
      <c r="F548" s="304"/>
      <c r="G548" s="305"/>
      <c r="H548" s="304"/>
      <c r="I548" s="304"/>
      <c r="J548" s="304"/>
      <c r="K548" s="305"/>
      <c r="L548" s="285"/>
      <c r="M548" s="279"/>
      <c r="N548" s="279"/>
      <c r="O548" s="280"/>
      <c r="P548" s="285"/>
      <c r="Q548" s="279"/>
      <c r="R548" s="279"/>
      <c r="S548" s="280"/>
      <c r="T548" s="285"/>
      <c r="U548" s="279"/>
      <c r="V548" s="279"/>
      <c r="W548" s="280"/>
      <c r="X548" s="285"/>
      <c r="Y548" s="279"/>
      <c r="Z548" s="279"/>
      <c r="AA548" s="280"/>
      <c r="AB548" s="285"/>
      <c r="AC548" s="279"/>
      <c r="AD548" s="279"/>
      <c r="AE548" s="280"/>
      <c r="AF548" s="285"/>
      <c r="AG548" s="279"/>
      <c r="AH548" s="279"/>
      <c r="AI548" s="279"/>
      <c r="AJ548" s="285"/>
      <c r="AK548" s="279"/>
      <c r="AL548" s="279"/>
      <c r="AM548" s="304"/>
      <c r="AN548" s="731"/>
      <c r="AO548" s="304"/>
      <c r="AP548" s="304"/>
      <c r="AQ548" s="305"/>
      <c r="AR548" s="731"/>
      <c r="AS548" s="304"/>
      <c r="AT548" s="304"/>
      <c r="AU548" s="305"/>
      <c r="AV548" s="731"/>
      <c r="AW548" s="304"/>
      <c r="AX548" s="304"/>
      <c r="AY548" s="305"/>
      <c r="AZ548" s="731"/>
      <c r="BA548" s="304"/>
      <c r="BB548" s="304"/>
      <c r="BC548" s="305"/>
      <c r="BD548" s="731"/>
      <c r="BE548" s="304"/>
      <c r="BF548" s="304"/>
      <c r="BG548" s="305"/>
      <c r="BH548" s="731"/>
      <c r="BI548" s="304"/>
      <c r="BJ548" s="304"/>
      <c r="BK548" s="305"/>
      <c r="BL548" s="731"/>
      <c r="BM548" s="304"/>
      <c r="BN548" s="304"/>
      <c r="BO548" s="305"/>
      <c r="BP548" s="731"/>
      <c r="BQ548" s="304"/>
      <c r="BR548" s="304"/>
      <c r="BS548" s="305"/>
      <c r="BT548" s="731"/>
      <c r="BU548" s="304"/>
      <c r="BV548" s="304"/>
      <c r="BW548" s="305"/>
      <c r="BX548" s="346"/>
      <c r="BY548" s="731"/>
      <c r="BZ548" s="304"/>
      <c r="CA548" s="304"/>
      <c r="CB548" s="304"/>
      <c r="CC548" s="279"/>
      <c r="CD548" s="249"/>
      <c r="CE548" s="249"/>
      <c r="CF548" s="249"/>
      <c r="CG548" s="304"/>
      <c r="CH548" s="304"/>
      <c r="CI548" s="304"/>
      <c r="CJ548" s="304"/>
      <c r="CK548" s="304"/>
      <c r="CL548" s="304"/>
      <c r="CM548" s="304"/>
      <c r="CN548" s="304"/>
      <c r="CO548" s="304"/>
      <c r="CP548" s="305"/>
    </row>
    <row r="549" spans="1:94" ht="14.25" hidden="1" customHeight="1" outlineLevel="2">
      <c r="A549" s="9"/>
      <c r="B549" s="286" t="s">
        <v>198</v>
      </c>
      <c r="C549" s="287"/>
      <c r="D549" s="284"/>
      <c r="E549" s="284"/>
      <c r="F549" s="284"/>
      <c r="G549" s="287"/>
      <c r="H549" s="284"/>
      <c r="I549" s="284"/>
      <c r="J549" s="284"/>
      <c r="K549" s="287"/>
      <c r="L549" s="343"/>
      <c r="M549" s="343"/>
      <c r="N549" s="343"/>
      <c r="O549" s="369"/>
      <c r="P549" s="343"/>
      <c r="Q549" s="343"/>
      <c r="R549" s="343"/>
      <c r="S549" s="369"/>
      <c r="T549" s="343"/>
      <c r="U549" s="343"/>
      <c r="V549" s="343"/>
      <c r="W549" s="369"/>
      <c r="X549" s="343"/>
      <c r="Y549" s="343"/>
      <c r="Z549" s="343"/>
      <c r="AA549" s="369"/>
      <c r="AB549" s="343"/>
      <c r="AC549" s="343"/>
      <c r="AD549" s="343"/>
      <c r="AE549" s="369"/>
      <c r="AF549" s="343"/>
      <c r="AG549" s="343"/>
      <c r="AH549" s="343"/>
      <c r="AI549" s="369"/>
      <c r="AJ549" s="423">
        <v>278.10000000000002</v>
      </c>
      <c r="AK549" s="423">
        <v>274.3</v>
      </c>
      <c r="AL549" s="423">
        <v>294.8</v>
      </c>
      <c r="AM549" s="401"/>
      <c r="AN549" s="423"/>
      <c r="AO549" s="423"/>
      <c r="AP549" s="423"/>
      <c r="AQ549" s="401"/>
      <c r="AR549" s="495"/>
      <c r="AS549" s="495"/>
      <c r="AT549" s="495"/>
      <c r="AU549" s="496"/>
      <c r="AV549" s="495"/>
      <c r="AW549" s="495"/>
      <c r="AX549" s="495"/>
      <c r="AY549" s="496"/>
      <c r="AZ549" s="495"/>
      <c r="BA549" s="495"/>
      <c r="BB549" s="495"/>
      <c r="BC549" s="496"/>
      <c r="BD549" s="495"/>
      <c r="BE549" s="495"/>
      <c r="BF549" s="495"/>
      <c r="BG549" s="496"/>
      <c r="BH549" s="495"/>
      <c r="BI549" s="495"/>
      <c r="BJ549" s="495"/>
      <c r="BK549" s="496"/>
      <c r="BL549" s="495"/>
      <c r="BM549" s="495"/>
      <c r="BN549" s="495"/>
      <c r="BO549" s="496"/>
      <c r="BP549" s="495"/>
      <c r="BQ549" s="495"/>
      <c r="BR549" s="495"/>
      <c r="BS549" s="496"/>
      <c r="BT549" s="495"/>
      <c r="BU549" s="495"/>
      <c r="BV549" s="495"/>
      <c r="BW549" s="496"/>
      <c r="BX549" s="283"/>
      <c r="BY549" s="667"/>
      <c r="BZ549" s="248"/>
      <c r="CA549" s="325"/>
      <c r="CB549" s="325"/>
      <c r="CC549" s="423">
        <v>0</v>
      </c>
      <c r="CD549" s="423">
        <v>0</v>
      </c>
      <c r="CE549" s="423">
        <v>0</v>
      </c>
      <c r="CF549" s="423">
        <v>0</v>
      </c>
      <c r="CG549" s="325"/>
      <c r="CH549" s="325"/>
      <c r="CI549" s="325"/>
      <c r="CJ549" s="325"/>
      <c r="CK549" s="325"/>
      <c r="CL549" s="325"/>
      <c r="CM549" s="325"/>
      <c r="CN549" s="325"/>
      <c r="CO549" s="325"/>
      <c r="CP549" s="326"/>
    </row>
    <row r="550" spans="1:94" ht="14.25" hidden="1" customHeight="1" outlineLevel="2">
      <c r="A550" s="9"/>
      <c r="B550" s="217" t="s">
        <v>297</v>
      </c>
      <c r="C550" s="218"/>
      <c r="D550" s="372"/>
      <c r="E550" s="372"/>
      <c r="F550" s="372"/>
      <c r="G550" s="218"/>
      <c r="H550" s="372"/>
      <c r="I550" s="372"/>
      <c r="J550" s="372"/>
      <c r="K550" s="218"/>
      <c r="L550" s="370"/>
      <c r="M550" s="370"/>
      <c r="N550" s="370"/>
      <c r="O550" s="335"/>
      <c r="P550" s="370"/>
      <c r="Q550" s="370"/>
      <c r="R550" s="370"/>
      <c r="S550" s="335"/>
      <c r="T550" s="370"/>
      <c r="U550" s="370"/>
      <c r="V550" s="370"/>
      <c r="W550" s="335"/>
      <c r="X550" s="370"/>
      <c r="Y550" s="370"/>
      <c r="Z550" s="370"/>
      <c r="AA550" s="335"/>
      <c r="AB550" s="370"/>
      <c r="AC550" s="370"/>
      <c r="AD550" s="370"/>
      <c r="AE550" s="335"/>
      <c r="AF550" s="370"/>
      <c r="AG550" s="370"/>
      <c r="AH550" s="370"/>
      <c r="AI550" s="335"/>
      <c r="AJ550" s="425"/>
      <c r="AK550" s="370">
        <f>AK549/AJ549-1</f>
        <v>-1.3664149586479768E-2</v>
      </c>
      <c r="AL550" s="370">
        <f>AL549/AK549-1</f>
        <v>7.4735690849434988E-2</v>
      </c>
      <c r="AM550" s="335"/>
      <c r="AN550" s="370"/>
      <c r="AO550" s="370"/>
      <c r="AP550" s="370"/>
      <c r="AQ550" s="335"/>
      <c r="AR550" s="231"/>
      <c r="AS550" s="231"/>
      <c r="AT550" s="231"/>
      <c r="AU550" s="79"/>
      <c r="AV550" s="231"/>
      <c r="AW550" s="231"/>
      <c r="AX550" s="231"/>
      <c r="AY550" s="79"/>
      <c r="AZ550" s="231"/>
      <c r="BA550" s="231"/>
      <c r="BB550" s="231"/>
      <c r="BC550" s="79"/>
      <c r="BD550" s="231"/>
      <c r="BE550" s="231"/>
      <c r="BF550" s="231"/>
      <c r="BG550" s="79"/>
      <c r="BH550" s="231"/>
      <c r="BI550" s="231"/>
      <c r="BJ550" s="231"/>
      <c r="BK550" s="79"/>
      <c r="BL550" s="231"/>
      <c r="BM550" s="231"/>
      <c r="BN550" s="231"/>
      <c r="BO550" s="79"/>
      <c r="BP550" s="231"/>
      <c r="BQ550" s="231"/>
      <c r="BR550" s="231"/>
      <c r="BS550" s="79"/>
      <c r="BT550" s="231"/>
      <c r="BU550" s="231"/>
      <c r="BV550" s="231"/>
      <c r="BW550" s="79"/>
      <c r="BX550" s="21"/>
      <c r="BY550" s="22"/>
      <c r="BZ550" s="15"/>
      <c r="CA550" s="15"/>
      <c r="CB550" s="15"/>
      <c r="CC550" s="370"/>
      <c r="CD550" s="370"/>
      <c r="CE550" s="370"/>
      <c r="CF550" s="370"/>
      <c r="CG550" s="220"/>
      <c r="CH550" s="220"/>
      <c r="CI550" s="220"/>
      <c r="CJ550" s="220"/>
      <c r="CK550" s="220"/>
      <c r="CL550" s="220"/>
      <c r="CM550" s="220"/>
      <c r="CN550" s="220"/>
      <c r="CO550" s="220"/>
      <c r="CP550" s="258"/>
    </row>
    <row r="551" spans="1:94" ht="14.25" hidden="1" customHeight="1" outlineLevel="2">
      <c r="A551" s="9"/>
      <c r="B551" s="32" t="s">
        <v>298</v>
      </c>
      <c r="C551" s="33"/>
      <c r="D551" s="259"/>
      <c r="E551" s="259"/>
      <c r="F551" s="259"/>
      <c r="G551" s="33"/>
      <c r="H551" s="259"/>
      <c r="I551" s="259"/>
      <c r="J551" s="259"/>
      <c r="K551" s="33"/>
      <c r="L551" s="370"/>
      <c r="M551" s="370"/>
      <c r="N551" s="370"/>
      <c r="O551" s="335"/>
      <c r="P551" s="370"/>
      <c r="Q551" s="370"/>
      <c r="R551" s="370"/>
      <c r="S551" s="335"/>
      <c r="T551" s="370"/>
      <c r="U551" s="370"/>
      <c r="V551" s="370"/>
      <c r="W551" s="335"/>
      <c r="X551" s="370"/>
      <c r="Y551" s="370"/>
      <c r="Z551" s="370"/>
      <c r="AA551" s="335"/>
      <c r="AB551" s="370"/>
      <c r="AC551" s="370"/>
      <c r="AD551" s="370"/>
      <c r="AE551" s="335"/>
      <c r="AF551" s="370"/>
      <c r="AG551" s="370"/>
      <c r="AH551" s="370"/>
      <c r="AI551" s="335"/>
      <c r="AJ551" s="425"/>
      <c r="AK551" s="418"/>
      <c r="AL551" s="418"/>
      <c r="AM551" s="419"/>
      <c r="AN551" s="370"/>
      <c r="AO551" s="370"/>
      <c r="AP551" s="370"/>
      <c r="AQ551" s="335"/>
      <c r="AR551" s="257"/>
      <c r="AS551" s="257"/>
      <c r="AT551" s="257"/>
      <c r="AU551" s="258"/>
      <c r="AV551" s="257"/>
      <c r="AW551" s="257"/>
      <c r="AX551" s="257"/>
      <c r="AY551" s="258"/>
      <c r="AZ551" s="257"/>
      <c r="BA551" s="257"/>
      <c r="BB551" s="257"/>
      <c r="BC551" s="258"/>
      <c r="BD551" s="257"/>
      <c r="BE551" s="257"/>
      <c r="BF551" s="257"/>
      <c r="BG551" s="258"/>
      <c r="BH551" s="257"/>
      <c r="BI551" s="257"/>
      <c r="BJ551" s="257"/>
      <c r="BK551" s="258"/>
      <c r="BL551" s="257"/>
      <c r="BM551" s="257"/>
      <c r="BN551" s="257"/>
      <c r="BO551" s="258"/>
      <c r="BP551" s="257"/>
      <c r="BQ551" s="257"/>
      <c r="BR551" s="257"/>
      <c r="BS551" s="258"/>
      <c r="BT551" s="257"/>
      <c r="BU551" s="257"/>
      <c r="BV551" s="257"/>
      <c r="BW551" s="258"/>
      <c r="BX551" s="21"/>
      <c r="BY551" s="22"/>
      <c r="BZ551" s="15"/>
      <c r="CA551" s="15"/>
      <c r="CB551" s="338"/>
      <c r="CC551" s="418"/>
      <c r="CD551" s="418" t="str">
        <f>IF(ISERROR(CD549/CC549-1),"NM",CD549/CC549-1)</f>
        <v>NM</v>
      </c>
      <c r="CE551" s="418" t="str">
        <f>IF(ISERROR(CE549/CD549-1),"NM",CE549/CD549-1)</f>
        <v>NM</v>
      </c>
      <c r="CF551" s="418" t="str">
        <f>IF(ISERROR(CF549/CE549-1),"NM",CF549/CE549-1)</f>
        <v>NM</v>
      </c>
      <c r="CG551" s="418"/>
      <c r="CH551" s="338"/>
      <c r="CI551" s="338"/>
      <c r="CJ551" s="338"/>
      <c r="CK551" s="338"/>
      <c r="CL551" s="338"/>
      <c r="CM551" s="338"/>
      <c r="CN551" s="338"/>
      <c r="CO551" s="338"/>
      <c r="CP551" s="337"/>
    </row>
    <row r="552" spans="1:94" ht="14.25" hidden="1" customHeight="1" outlineLevel="2">
      <c r="A552" s="9"/>
      <c r="B552" s="217" t="s">
        <v>299</v>
      </c>
      <c r="C552" s="218"/>
      <c r="D552" s="372"/>
      <c r="E552" s="372"/>
      <c r="F552" s="372"/>
      <c r="G552" s="218"/>
      <c r="H552" s="372"/>
      <c r="I552" s="372"/>
      <c r="J552" s="372"/>
      <c r="K552" s="218"/>
      <c r="L552" s="338"/>
      <c r="M552" s="370"/>
      <c r="N552" s="370"/>
      <c r="O552" s="337"/>
      <c r="P552" s="338"/>
      <c r="Q552" s="370"/>
      <c r="R552" s="370"/>
      <c r="S552" s="337"/>
      <c r="T552" s="338"/>
      <c r="U552" s="370"/>
      <c r="V552" s="370"/>
      <c r="W552" s="337"/>
      <c r="X552" s="338"/>
      <c r="Y552" s="370"/>
      <c r="Z552" s="370"/>
      <c r="AA552" s="337"/>
      <c r="AB552" s="338"/>
      <c r="AC552" s="370"/>
      <c r="AD552" s="370"/>
      <c r="AE552" s="337"/>
      <c r="AF552" s="338"/>
      <c r="AG552" s="370"/>
      <c r="AH552" s="370"/>
      <c r="AI552" s="337"/>
      <c r="AJ552" s="338">
        <f>AJ549/AJ562</f>
        <v>0.31943487250172298</v>
      </c>
      <c r="AK552" s="370">
        <f>AK549/AK562</f>
        <v>0.30282623095606098</v>
      </c>
      <c r="AL552" s="370">
        <f>AL549/AL562</f>
        <v>0.32828507795100226</v>
      </c>
      <c r="AM552" s="337"/>
      <c r="AN552" s="338"/>
      <c r="AO552" s="370"/>
      <c r="AP552" s="370"/>
      <c r="AQ552" s="337"/>
      <c r="AR552" s="231"/>
      <c r="AS552" s="231"/>
      <c r="AT552" s="231"/>
      <c r="AU552" s="79"/>
      <c r="AV552" s="231"/>
      <c r="AW552" s="231"/>
      <c r="AX552" s="231"/>
      <c r="AY552" s="79"/>
      <c r="AZ552" s="231"/>
      <c r="BA552" s="231"/>
      <c r="BB552" s="231"/>
      <c r="BC552" s="79"/>
      <c r="BD552" s="231"/>
      <c r="BE552" s="231"/>
      <c r="BF552" s="231"/>
      <c r="BG552" s="79"/>
      <c r="BH552" s="231"/>
      <c r="BI552" s="231"/>
      <c r="BJ552" s="231"/>
      <c r="BK552" s="79"/>
      <c r="BL552" s="231"/>
      <c r="BM552" s="231"/>
      <c r="BN552" s="231"/>
      <c r="BO552" s="79"/>
      <c r="BP552" s="231"/>
      <c r="BQ552" s="231"/>
      <c r="BR552" s="231"/>
      <c r="BS552" s="79"/>
      <c r="BT552" s="231"/>
      <c r="BU552" s="231"/>
      <c r="BV552" s="231"/>
      <c r="BW552" s="79"/>
      <c r="BX552" s="21"/>
      <c r="BY552" s="22"/>
      <c r="BZ552" s="15"/>
      <c r="CA552" s="338"/>
      <c r="CB552" s="338"/>
      <c r="CC552" s="370">
        <f>CC549/(CC562)</f>
        <v>0</v>
      </c>
      <c r="CD552" s="370">
        <f>CD549/(CD562)</f>
        <v>0</v>
      </c>
      <c r="CE552" s="370">
        <f>CE549/(CE562)</f>
        <v>0</v>
      </c>
      <c r="CF552" s="370">
        <f>CF549/(CF562)</f>
        <v>0</v>
      </c>
      <c r="CG552" s="338"/>
      <c r="CH552" s="338"/>
      <c r="CI552" s="338"/>
      <c r="CJ552" s="338"/>
      <c r="CK552" s="338"/>
      <c r="CL552" s="338"/>
      <c r="CM552" s="338"/>
      <c r="CN552" s="338"/>
      <c r="CO552" s="338"/>
      <c r="CP552" s="337"/>
    </row>
    <row r="553" spans="1:94" ht="14.25" hidden="1" customHeight="1" outlineLevel="2">
      <c r="A553" s="9"/>
      <c r="B553" s="217"/>
      <c r="C553" s="218"/>
      <c r="D553" s="372"/>
      <c r="E553" s="372"/>
      <c r="F553" s="372"/>
      <c r="G553" s="218"/>
      <c r="H553" s="372"/>
      <c r="I553" s="372"/>
      <c r="J553" s="372"/>
      <c r="K553" s="218"/>
      <c r="L553" s="261"/>
      <c r="M553" s="80"/>
      <c r="N553" s="80"/>
      <c r="O553" s="262"/>
      <c r="P553" s="261"/>
      <c r="Q553" s="80"/>
      <c r="R553" s="80"/>
      <c r="S553" s="262"/>
      <c r="T553" s="261"/>
      <c r="U553" s="80"/>
      <c r="V553" s="80"/>
      <c r="W553" s="262"/>
      <c r="X553" s="261"/>
      <c r="Y553" s="80"/>
      <c r="Z553" s="80"/>
      <c r="AA553" s="262"/>
      <c r="AB553" s="261"/>
      <c r="AC553" s="80"/>
      <c r="AD553" s="80"/>
      <c r="AE553" s="262"/>
      <c r="AF553" s="261"/>
      <c r="AG553" s="80"/>
      <c r="AH553" s="80"/>
      <c r="AI553" s="262"/>
      <c r="AJ553" s="261"/>
      <c r="AK553" s="80"/>
      <c r="AL553" s="80"/>
      <c r="AM553" s="262"/>
      <c r="AN553" s="261"/>
      <c r="AO553" s="80"/>
      <c r="AP553" s="80"/>
      <c r="AQ553" s="262"/>
      <c r="AR553" s="9"/>
      <c r="AS553" s="9"/>
      <c r="AT553" s="9"/>
      <c r="AU553" s="211"/>
      <c r="AV553" s="9"/>
      <c r="AW553" s="9"/>
      <c r="AX553" s="9"/>
      <c r="AY553" s="211"/>
      <c r="AZ553" s="9"/>
      <c r="BA553" s="9"/>
      <c r="BB553" s="9"/>
      <c r="BC553" s="211"/>
      <c r="BD553" s="9"/>
      <c r="BE553" s="9"/>
      <c r="BF553" s="9"/>
      <c r="BG553" s="211"/>
      <c r="BH553" s="9"/>
      <c r="BI553" s="9"/>
      <c r="BJ553" s="9"/>
      <c r="BK553" s="211"/>
      <c r="BL553" s="9"/>
      <c r="BM553" s="9"/>
      <c r="BN553" s="9"/>
      <c r="BO553" s="211"/>
      <c r="BP553" s="9"/>
      <c r="BQ553" s="9"/>
      <c r="BR553" s="9"/>
      <c r="BS553" s="211"/>
      <c r="BT553" s="9"/>
      <c r="BU553" s="9"/>
      <c r="BV553" s="9"/>
      <c r="BW553" s="211"/>
      <c r="BX553" s="21"/>
      <c r="BY553" s="22"/>
      <c r="BZ553" s="15"/>
      <c r="CA553" s="15"/>
      <c r="CB553" s="15"/>
      <c r="CC553" s="80"/>
      <c r="CD553" s="80"/>
      <c r="CE553" s="80"/>
      <c r="CF553" s="80"/>
      <c r="CG553" s="15"/>
      <c r="CH553" s="15"/>
      <c r="CI553" s="15"/>
      <c r="CJ553" s="15"/>
      <c r="CK553" s="15"/>
      <c r="CL553" s="15"/>
      <c r="CM553" s="15"/>
      <c r="CN553" s="15"/>
      <c r="CO553" s="15"/>
      <c r="CP553" s="211"/>
    </row>
    <row r="554" spans="1:94" ht="14.25" hidden="1" customHeight="1" outlineLevel="2">
      <c r="A554" s="9"/>
      <c r="B554" s="235" t="s">
        <v>199</v>
      </c>
      <c r="C554" s="218"/>
      <c r="D554" s="372"/>
      <c r="E554" s="372"/>
      <c r="F554" s="372"/>
      <c r="G554" s="218"/>
      <c r="H554" s="372"/>
      <c r="I554" s="372"/>
      <c r="J554" s="372"/>
      <c r="K554" s="218"/>
      <c r="L554" s="343"/>
      <c r="M554" s="343"/>
      <c r="N554" s="343"/>
      <c r="O554" s="369"/>
      <c r="P554" s="343"/>
      <c r="Q554" s="343"/>
      <c r="R554" s="343"/>
      <c r="S554" s="369"/>
      <c r="T554" s="343"/>
      <c r="U554" s="343"/>
      <c r="V554" s="343"/>
      <c r="W554" s="369"/>
      <c r="X554" s="343"/>
      <c r="Y554" s="343"/>
      <c r="Z554" s="343"/>
      <c r="AA554" s="369"/>
      <c r="AB554" s="343"/>
      <c r="AC554" s="343"/>
      <c r="AD554" s="343"/>
      <c r="AE554" s="369"/>
      <c r="AF554" s="343"/>
      <c r="AG554" s="343"/>
      <c r="AH554" s="343"/>
      <c r="AI554" s="369"/>
      <c r="AJ554" s="423">
        <v>4.4000000000000004</v>
      </c>
      <c r="AK554" s="423">
        <v>21.6</v>
      </c>
      <c r="AL554" s="423">
        <v>26.5</v>
      </c>
      <c r="AM554" s="401"/>
      <c r="AN554" s="423"/>
      <c r="AO554" s="423"/>
      <c r="AP554" s="423"/>
      <c r="AQ554" s="401"/>
      <c r="AR554" s="341"/>
      <c r="AS554" s="341"/>
      <c r="AT554" s="341"/>
      <c r="AU554" s="342"/>
      <c r="AV554" s="341"/>
      <c r="AW554" s="341"/>
      <c r="AX554" s="341"/>
      <c r="AY554" s="342"/>
      <c r="AZ554" s="341"/>
      <c r="BA554" s="341"/>
      <c r="BB554" s="341"/>
      <c r="BC554" s="342"/>
      <c r="BD554" s="341"/>
      <c r="BE554" s="341"/>
      <c r="BF554" s="341"/>
      <c r="BG554" s="342"/>
      <c r="BH554" s="341"/>
      <c r="BI554" s="341"/>
      <c r="BJ554" s="341"/>
      <c r="BK554" s="342"/>
      <c r="BL554" s="341"/>
      <c r="BM554" s="341"/>
      <c r="BN554" s="341"/>
      <c r="BO554" s="342"/>
      <c r="BP554" s="341"/>
      <c r="BQ554" s="341"/>
      <c r="BR554" s="341"/>
      <c r="BS554" s="342"/>
      <c r="BT554" s="341"/>
      <c r="BU554" s="341"/>
      <c r="BV554" s="341"/>
      <c r="BW554" s="342"/>
      <c r="BX554" s="263"/>
      <c r="BY554" s="235"/>
      <c r="BZ554" s="251"/>
      <c r="CA554" s="325"/>
      <c r="CB554" s="325"/>
      <c r="CC554" s="423">
        <v>0</v>
      </c>
      <c r="CD554" s="423">
        <v>0</v>
      </c>
      <c r="CE554" s="423">
        <v>0</v>
      </c>
      <c r="CF554" s="423">
        <v>0</v>
      </c>
      <c r="CG554" s="325"/>
      <c r="CH554" s="325"/>
      <c r="CI554" s="325"/>
      <c r="CJ554" s="325"/>
      <c r="CK554" s="325"/>
      <c r="CL554" s="325"/>
      <c r="CM554" s="325"/>
      <c r="CN554" s="325"/>
      <c r="CO554" s="325"/>
      <c r="CP554" s="326"/>
    </row>
    <row r="555" spans="1:94" ht="14.25" hidden="1" customHeight="1" outlineLevel="2">
      <c r="A555" s="9"/>
      <c r="B555" s="217" t="s">
        <v>193</v>
      </c>
      <c r="C555" s="218"/>
      <c r="D555" s="372"/>
      <c r="E555" s="372"/>
      <c r="F555" s="372"/>
      <c r="G555" s="218"/>
      <c r="H555" s="372"/>
      <c r="I555" s="372"/>
      <c r="J555" s="372"/>
      <c r="K555" s="218"/>
      <c r="L555" s="370"/>
      <c r="M555" s="370"/>
      <c r="N555" s="370"/>
      <c r="O555" s="335"/>
      <c r="P555" s="370"/>
      <c r="Q555" s="370"/>
      <c r="R555" s="370"/>
      <c r="S555" s="335"/>
      <c r="T555" s="370"/>
      <c r="U555" s="370"/>
      <c r="V555" s="370"/>
      <c r="W555" s="335"/>
      <c r="X555" s="370"/>
      <c r="Y555" s="370"/>
      <c r="Z555" s="370"/>
      <c r="AA555" s="335"/>
      <c r="AB555" s="370"/>
      <c r="AC555" s="370"/>
      <c r="AD555" s="370"/>
      <c r="AE555" s="335"/>
      <c r="AF555" s="370"/>
      <c r="AG555" s="370"/>
      <c r="AH555" s="370"/>
      <c r="AI555" s="335"/>
      <c r="AJ555" s="370">
        <f>AJ554/AJ549</f>
        <v>1.5821646889608056E-2</v>
      </c>
      <c r="AK555" s="370">
        <f>AK554/AK549</f>
        <v>7.8745898651111923E-2</v>
      </c>
      <c r="AL555" s="370">
        <f>AL554/AL549</f>
        <v>8.9891451831750332E-2</v>
      </c>
      <c r="AM555" s="335"/>
      <c r="AN555" s="370"/>
      <c r="AO555" s="370"/>
      <c r="AP555" s="370"/>
      <c r="AQ555" s="335"/>
      <c r="AR555" s="293"/>
      <c r="AS555" s="293"/>
      <c r="AT555" s="293"/>
      <c r="AU555" s="292"/>
      <c r="AV555" s="293"/>
      <c r="AW555" s="293"/>
      <c r="AX555" s="293"/>
      <c r="AY555" s="292"/>
      <c r="AZ555" s="293"/>
      <c r="BA555" s="293"/>
      <c r="BB555" s="293"/>
      <c r="BC555" s="292"/>
      <c r="BD555" s="293"/>
      <c r="BE555" s="293"/>
      <c r="BF555" s="293"/>
      <c r="BG555" s="292"/>
      <c r="BH555" s="293"/>
      <c r="BI555" s="293"/>
      <c r="BJ555" s="293"/>
      <c r="BK555" s="292"/>
      <c r="BL555" s="293"/>
      <c r="BM555" s="293"/>
      <c r="BN555" s="293"/>
      <c r="BO555" s="292"/>
      <c r="BP555" s="293"/>
      <c r="BQ555" s="293"/>
      <c r="BR555" s="293"/>
      <c r="BS555" s="292"/>
      <c r="BT555" s="293"/>
      <c r="BU555" s="293"/>
      <c r="BV555" s="293"/>
      <c r="BW555" s="292"/>
      <c r="BX555" s="21"/>
      <c r="BY555" s="22"/>
      <c r="BZ555" s="15"/>
      <c r="CA555" s="338"/>
      <c r="CB555" s="338"/>
      <c r="CC555" s="418" t="str">
        <f>IF(ISERROR(CC554/CC549),"NM",CC554/CC549)</f>
        <v>NM</v>
      </c>
      <c r="CD555" s="418" t="str">
        <f>IF(ISERROR(CD554/CD549),"NM",CD554/CD549)</f>
        <v>NM</v>
      </c>
      <c r="CE555" s="418" t="str">
        <f>IF(ISERROR(CE554/CE549),"NM",CE554/CE549)</f>
        <v>NM</v>
      </c>
      <c r="CF555" s="418" t="str">
        <f>IF(ISERROR(CF554/CF549),"NM",CF554/CF549)</f>
        <v>NM</v>
      </c>
      <c r="CG555" s="338"/>
      <c r="CH555" s="338"/>
      <c r="CI555" s="338"/>
      <c r="CJ555" s="338"/>
      <c r="CK555" s="338"/>
      <c r="CL555" s="338"/>
      <c r="CM555" s="338"/>
      <c r="CN555" s="338"/>
      <c r="CO555" s="338"/>
      <c r="CP555" s="337"/>
    </row>
    <row r="556" spans="1:94" ht="14.25" hidden="1" customHeight="1" outlineLevel="2">
      <c r="A556" s="9"/>
      <c r="B556" s="217"/>
      <c r="C556" s="218"/>
      <c r="D556" s="372"/>
      <c r="E556" s="372"/>
      <c r="F556" s="372"/>
      <c r="G556" s="218"/>
      <c r="H556" s="372"/>
      <c r="I556" s="372"/>
      <c r="J556" s="372"/>
      <c r="K556" s="218"/>
      <c r="L556" s="80"/>
      <c r="M556" s="80"/>
      <c r="N556" s="80"/>
      <c r="O556" s="262"/>
      <c r="P556" s="80"/>
      <c r="Q556" s="80"/>
      <c r="R556" s="80"/>
      <c r="S556" s="262"/>
      <c r="T556" s="80"/>
      <c r="U556" s="80"/>
      <c r="V556" s="80"/>
      <c r="W556" s="262"/>
      <c r="X556" s="80"/>
      <c r="Y556" s="80"/>
      <c r="Z556" s="80"/>
      <c r="AA556" s="262"/>
      <c r="AB556" s="80"/>
      <c r="AC556" s="80"/>
      <c r="AD556" s="80"/>
      <c r="AE556" s="262"/>
      <c r="AF556" s="80"/>
      <c r="AG556" s="80"/>
      <c r="AH556" s="80"/>
      <c r="AI556" s="262"/>
      <c r="AJ556" s="80"/>
      <c r="AK556" s="80"/>
      <c r="AL556" s="80"/>
      <c r="AM556" s="262"/>
      <c r="AN556" s="80"/>
      <c r="AO556" s="80"/>
      <c r="AP556" s="80"/>
      <c r="AQ556" s="262"/>
      <c r="AR556" s="9"/>
      <c r="AS556" s="9"/>
      <c r="AT556" s="9"/>
      <c r="AU556" s="211"/>
      <c r="AV556" s="9"/>
      <c r="AW556" s="9"/>
      <c r="AX556" s="9"/>
      <c r="AY556" s="211"/>
      <c r="AZ556" s="9"/>
      <c r="BA556" s="9"/>
      <c r="BB556" s="9"/>
      <c r="BC556" s="211"/>
      <c r="BD556" s="9"/>
      <c r="BE556" s="9"/>
      <c r="BF556" s="9"/>
      <c r="BG556" s="211"/>
      <c r="BH556" s="9"/>
      <c r="BI556" s="9"/>
      <c r="BJ556" s="9"/>
      <c r="BK556" s="211"/>
      <c r="BL556" s="9"/>
      <c r="BM556" s="9"/>
      <c r="BN556" s="9"/>
      <c r="BO556" s="211"/>
      <c r="BP556" s="9"/>
      <c r="BQ556" s="9"/>
      <c r="BR556" s="9"/>
      <c r="BS556" s="211"/>
      <c r="BT556" s="9"/>
      <c r="BU556" s="9"/>
      <c r="BV556" s="9"/>
      <c r="BW556" s="211"/>
      <c r="BX556" s="21"/>
      <c r="BY556" s="22"/>
      <c r="BZ556" s="15"/>
      <c r="CA556" s="15"/>
      <c r="CB556" s="15"/>
      <c r="CC556" s="80"/>
      <c r="CD556" s="80"/>
      <c r="CE556" s="80"/>
      <c r="CF556" s="80"/>
      <c r="CG556" s="386"/>
      <c r="CH556" s="386"/>
      <c r="CI556" s="386"/>
      <c r="CJ556" s="386"/>
      <c r="CK556" s="386"/>
      <c r="CL556" s="386"/>
      <c r="CM556" s="386"/>
      <c r="CN556" s="386"/>
      <c r="CO556" s="386"/>
      <c r="CP556" s="948"/>
    </row>
    <row r="557" spans="1:94" ht="14.25" hidden="1" customHeight="1" outlineLevel="2">
      <c r="A557" s="9"/>
      <c r="B557" s="235" t="s">
        <v>200</v>
      </c>
      <c r="C557" s="218"/>
      <c r="D557" s="372"/>
      <c r="E557" s="372"/>
      <c r="F557" s="372"/>
      <c r="G557" s="218"/>
      <c r="H557" s="372"/>
      <c r="I557" s="372"/>
      <c r="J557" s="372"/>
      <c r="K557" s="218"/>
      <c r="L557" s="343"/>
      <c r="M557" s="343"/>
      <c r="N557" s="343"/>
      <c r="O557" s="369"/>
      <c r="P557" s="343"/>
      <c r="Q557" s="343"/>
      <c r="R557" s="343"/>
      <c r="S557" s="369"/>
      <c r="T557" s="343"/>
      <c r="U557" s="343"/>
      <c r="V557" s="343"/>
      <c r="W557" s="369"/>
      <c r="X557" s="343"/>
      <c r="Y557" s="343"/>
      <c r="Z557" s="343"/>
      <c r="AA557" s="369"/>
      <c r="AB557" s="343"/>
      <c r="AC557" s="343"/>
      <c r="AD557" s="343"/>
      <c r="AE557" s="369"/>
      <c r="AF557" s="343"/>
      <c r="AG557" s="343"/>
      <c r="AH557" s="343"/>
      <c r="AI557" s="369"/>
      <c r="AJ557" s="423">
        <v>-42.8</v>
      </c>
      <c r="AK557" s="423">
        <v>-42.4</v>
      </c>
      <c r="AL557" s="423">
        <v>-41.9</v>
      </c>
      <c r="AM557" s="401"/>
      <c r="AN557" s="423"/>
      <c r="AO557" s="423"/>
      <c r="AP557" s="423"/>
      <c r="AQ557" s="401"/>
      <c r="AR557" s="341"/>
      <c r="AS557" s="341"/>
      <c r="AT557" s="341"/>
      <c r="AU557" s="342"/>
      <c r="AV557" s="341"/>
      <c r="AW557" s="341"/>
      <c r="AX557" s="341"/>
      <c r="AY557" s="342"/>
      <c r="AZ557" s="341"/>
      <c r="BA557" s="341"/>
      <c r="BB557" s="341"/>
      <c r="BC557" s="342"/>
      <c r="BD557" s="341"/>
      <c r="BE557" s="341"/>
      <c r="BF557" s="341"/>
      <c r="BG557" s="342"/>
      <c r="BH557" s="341"/>
      <c r="BI557" s="341"/>
      <c r="BJ557" s="341"/>
      <c r="BK557" s="342"/>
      <c r="BL557" s="341"/>
      <c r="BM557" s="341"/>
      <c r="BN557" s="341"/>
      <c r="BO557" s="342"/>
      <c r="BP557" s="341"/>
      <c r="BQ557" s="341"/>
      <c r="BR557" s="341"/>
      <c r="BS557" s="342"/>
      <c r="BT557" s="341"/>
      <c r="BU557" s="341"/>
      <c r="BV557" s="341"/>
      <c r="BW557" s="342"/>
      <c r="BX557" s="263"/>
      <c r="BY557" s="235"/>
      <c r="BZ557" s="251"/>
      <c r="CA557" s="325"/>
      <c r="CB557" s="325"/>
      <c r="CC557" s="423">
        <v>0</v>
      </c>
      <c r="CD557" s="423">
        <v>0</v>
      </c>
      <c r="CE557" s="423">
        <v>0</v>
      </c>
      <c r="CF557" s="423">
        <v>0</v>
      </c>
      <c r="CG557" s="325"/>
      <c r="CH557" s="325"/>
      <c r="CI557" s="325"/>
      <c r="CJ557" s="325"/>
      <c r="CK557" s="325"/>
      <c r="CL557" s="325"/>
      <c r="CM557" s="325"/>
      <c r="CN557" s="325"/>
      <c r="CO557" s="325"/>
      <c r="CP557" s="326"/>
    </row>
    <row r="558" spans="1:94" ht="14.25" hidden="1" customHeight="1" outlineLevel="2">
      <c r="A558" s="9"/>
      <c r="B558" s="217" t="s">
        <v>297</v>
      </c>
      <c r="C558" s="218"/>
      <c r="D558" s="372"/>
      <c r="E558" s="372"/>
      <c r="F558" s="372"/>
      <c r="G558" s="218"/>
      <c r="H558" s="372"/>
      <c r="I558" s="372"/>
      <c r="J558" s="372"/>
      <c r="K558" s="218"/>
      <c r="L558" s="370"/>
      <c r="M558" s="370"/>
      <c r="N558" s="370"/>
      <c r="O558" s="335"/>
      <c r="P558" s="370"/>
      <c r="Q558" s="370"/>
      <c r="R558" s="370"/>
      <c r="S558" s="335"/>
      <c r="T558" s="370"/>
      <c r="U558" s="370"/>
      <c r="V558" s="370"/>
      <c r="W558" s="335"/>
      <c r="X558" s="370"/>
      <c r="Y558" s="370"/>
      <c r="Z558" s="370"/>
      <c r="AA558" s="335"/>
      <c r="AB558" s="370"/>
      <c r="AC558" s="370"/>
      <c r="AD558" s="370"/>
      <c r="AE558" s="335"/>
      <c r="AF558" s="370"/>
      <c r="AG558" s="370"/>
      <c r="AH558" s="370"/>
      <c r="AI558" s="335"/>
      <c r="AJ558" s="425"/>
      <c r="AK558" s="370">
        <f>AK557/AJ557-1</f>
        <v>-9.3457943925233655E-3</v>
      </c>
      <c r="AL558" s="370">
        <f>AL557/AK557-1</f>
        <v>-1.1792452830188704E-2</v>
      </c>
      <c r="AM558" s="335"/>
      <c r="AN558" s="370"/>
      <c r="AO558" s="370"/>
      <c r="AP558" s="370"/>
      <c r="AQ558" s="335"/>
      <c r="AR558" s="231"/>
      <c r="AS558" s="231"/>
      <c r="AT558" s="231"/>
      <c r="AU558" s="79"/>
      <c r="AV558" s="231"/>
      <c r="AW558" s="231"/>
      <c r="AX558" s="231"/>
      <c r="AY558" s="79"/>
      <c r="AZ558" s="231"/>
      <c r="BA558" s="231"/>
      <c r="BB558" s="231"/>
      <c r="BC558" s="79"/>
      <c r="BD558" s="231"/>
      <c r="BE558" s="231"/>
      <c r="BF558" s="231"/>
      <c r="BG558" s="79"/>
      <c r="BH558" s="231"/>
      <c r="BI558" s="231"/>
      <c r="BJ558" s="231"/>
      <c r="BK558" s="79"/>
      <c r="BL558" s="231"/>
      <c r="BM558" s="231"/>
      <c r="BN558" s="231"/>
      <c r="BO558" s="79"/>
      <c r="BP558" s="231"/>
      <c r="BQ558" s="231"/>
      <c r="BR558" s="231"/>
      <c r="BS558" s="79"/>
      <c r="BT558" s="231"/>
      <c r="BU558" s="231"/>
      <c r="BV558" s="231"/>
      <c r="BW558" s="79"/>
      <c r="BX558" s="21"/>
      <c r="BY558" s="22"/>
      <c r="BZ558" s="15"/>
      <c r="CA558" s="15"/>
      <c r="CB558" s="15"/>
      <c r="CC558" s="15"/>
      <c r="CD558" s="220"/>
      <c r="CE558" s="220"/>
      <c r="CF558" s="370"/>
      <c r="CG558" s="220"/>
      <c r="CH558" s="220"/>
      <c r="CI558" s="220"/>
      <c r="CJ558" s="220"/>
      <c r="CK558" s="220"/>
      <c r="CL558" s="220"/>
      <c r="CM558" s="220"/>
      <c r="CN558" s="220"/>
      <c r="CO558" s="220"/>
      <c r="CP558" s="258"/>
    </row>
    <row r="559" spans="1:94" ht="14.25" hidden="1" customHeight="1" outlineLevel="2">
      <c r="A559" s="9"/>
      <c r="B559" s="32" t="s">
        <v>298</v>
      </c>
      <c r="C559" s="218"/>
      <c r="D559" s="372"/>
      <c r="E559" s="372"/>
      <c r="F559" s="372"/>
      <c r="G559" s="218"/>
      <c r="H559" s="372"/>
      <c r="I559" s="372"/>
      <c r="J559" s="372"/>
      <c r="K559" s="218"/>
      <c r="L559" s="370"/>
      <c r="M559" s="370"/>
      <c r="N559" s="370"/>
      <c r="O559" s="335"/>
      <c r="P559" s="370"/>
      <c r="Q559" s="370"/>
      <c r="R559" s="370"/>
      <c r="S559" s="335"/>
      <c r="T559" s="370"/>
      <c r="U559" s="370"/>
      <c r="V559" s="370"/>
      <c r="W559" s="335"/>
      <c r="X559" s="370"/>
      <c r="Y559" s="370"/>
      <c r="Z559" s="370"/>
      <c r="AA559" s="335"/>
      <c r="AB559" s="370"/>
      <c r="AC559" s="370"/>
      <c r="AD559" s="370"/>
      <c r="AE559" s="335"/>
      <c r="AF559" s="370"/>
      <c r="AG559" s="370"/>
      <c r="AH559" s="370"/>
      <c r="AI559" s="335"/>
      <c r="AJ559" s="425"/>
      <c r="AK559" s="418"/>
      <c r="AL559" s="418"/>
      <c r="AM559" s="419"/>
      <c r="AN559" s="370"/>
      <c r="AO559" s="370"/>
      <c r="AP559" s="370"/>
      <c r="AQ559" s="335"/>
      <c r="AR559" s="257"/>
      <c r="AS559" s="257"/>
      <c r="AT559" s="257"/>
      <c r="AU559" s="258"/>
      <c r="AV559" s="257"/>
      <c r="AW559" s="257"/>
      <c r="AX559" s="257"/>
      <c r="AY559" s="258"/>
      <c r="AZ559" s="257"/>
      <c r="BA559" s="257"/>
      <c r="BB559" s="257"/>
      <c r="BC559" s="258"/>
      <c r="BD559" s="257"/>
      <c r="BE559" s="257"/>
      <c r="BF559" s="257"/>
      <c r="BG559" s="258"/>
      <c r="BH559" s="257"/>
      <c r="BI559" s="257"/>
      <c r="BJ559" s="257"/>
      <c r="BK559" s="258"/>
      <c r="BL559" s="257"/>
      <c r="BM559" s="257"/>
      <c r="BN559" s="257"/>
      <c r="BO559" s="258"/>
      <c r="BP559" s="257"/>
      <c r="BQ559" s="257"/>
      <c r="BR559" s="257"/>
      <c r="BS559" s="258"/>
      <c r="BT559" s="257"/>
      <c r="BU559" s="257"/>
      <c r="BV559" s="257"/>
      <c r="BW559" s="258"/>
      <c r="BX559" s="21"/>
      <c r="BY559" s="22"/>
      <c r="BZ559" s="15"/>
      <c r="CA559" s="15"/>
      <c r="CB559" s="338"/>
      <c r="CC559" s="418"/>
      <c r="CD559" s="418" t="str">
        <f>IF(ISERROR(CD557/CC557-1),"NM",CD557/CC557-1)</f>
        <v>NM</v>
      </c>
      <c r="CE559" s="418" t="str">
        <f>IF(ISERROR(CE557/CD557-1),"NM",CE557/CD557-1)</f>
        <v>NM</v>
      </c>
      <c r="CF559" s="418" t="str">
        <f>IF(ISERROR(CF557/CE557-1),"NM",CF557/CE557-1)</f>
        <v>NM</v>
      </c>
      <c r="CG559" s="418"/>
      <c r="CH559" s="338"/>
      <c r="CI559" s="338"/>
      <c r="CJ559" s="338"/>
      <c r="CK559" s="338"/>
      <c r="CL559" s="338"/>
      <c r="CM559" s="338"/>
      <c r="CN559" s="338"/>
      <c r="CO559" s="338"/>
      <c r="CP559" s="337"/>
    </row>
    <row r="560" spans="1:94" ht="14.25" hidden="1" customHeight="1" outlineLevel="2">
      <c r="A560" s="9"/>
      <c r="B560" s="217" t="s">
        <v>374</v>
      </c>
      <c r="C560" s="218"/>
      <c r="D560" s="372"/>
      <c r="E560" s="372"/>
      <c r="F560" s="372"/>
      <c r="G560" s="218"/>
      <c r="H560" s="372"/>
      <c r="I560" s="372"/>
      <c r="J560" s="372"/>
      <c r="K560" s="218"/>
      <c r="L560" s="370"/>
      <c r="M560" s="370"/>
      <c r="N560" s="370"/>
      <c r="O560" s="335"/>
      <c r="P560" s="370"/>
      <c r="Q560" s="370"/>
      <c r="R560" s="370"/>
      <c r="S560" s="335"/>
      <c r="T560" s="370"/>
      <c r="U560" s="370"/>
      <c r="V560" s="370"/>
      <c r="W560" s="335"/>
      <c r="X560" s="370"/>
      <c r="Y560" s="370"/>
      <c r="Z560" s="370"/>
      <c r="AA560" s="335"/>
      <c r="AB560" s="370"/>
      <c r="AC560" s="370"/>
      <c r="AD560" s="370"/>
      <c r="AE560" s="335"/>
      <c r="AF560" s="370"/>
      <c r="AG560" s="370"/>
      <c r="AH560" s="370"/>
      <c r="AI560" s="335"/>
      <c r="AJ560" s="370">
        <f>AJ557/AJ549</f>
        <v>-0.15390147428982379</v>
      </c>
      <c r="AK560" s="370">
        <f>AK557/AK549</f>
        <v>-0.15457528253736783</v>
      </c>
      <c r="AL560" s="370">
        <f>AL557/AL549</f>
        <v>-0.14213025780189958</v>
      </c>
      <c r="AM560" s="335"/>
      <c r="AN560" s="370"/>
      <c r="AO560" s="370"/>
      <c r="AP560" s="370"/>
      <c r="AQ560" s="335"/>
      <c r="AR560" s="293"/>
      <c r="AS560" s="293"/>
      <c r="AT560" s="293"/>
      <c r="AU560" s="292"/>
      <c r="AV560" s="293"/>
      <c r="AW560" s="293"/>
      <c r="AX560" s="293"/>
      <c r="AY560" s="292"/>
      <c r="AZ560" s="293"/>
      <c r="BA560" s="293"/>
      <c r="BB560" s="293"/>
      <c r="BC560" s="292"/>
      <c r="BD560" s="293"/>
      <c r="BE560" s="293"/>
      <c r="BF560" s="293"/>
      <c r="BG560" s="292"/>
      <c r="BH560" s="293"/>
      <c r="BI560" s="293"/>
      <c r="BJ560" s="293"/>
      <c r="BK560" s="292"/>
      <c r="BL560" s="293"/>
      <c r="BM560" s="293"/>
      <c r="BN560" s="293"/>
      <c r="BO560" s="292"/>
      <c r="BP560" s="293"/>
      <c r="BQ560" s="293"/>
      <c r="BR560" s="293"/>
      <c r="BS560" s="292"/>
      <c r="BT560" s="293"/>
      <c r="BU560" s="293"/>
      <c r="BV560" s="293"/>
      <c r="BW560" s="292"/>
      <c r="BX560" s="21"/>
      <c r="BY560" s="22"/>
      <c r="BZ560" s="15"/>
      <c r="CA560" s="338"/>
      <c r="CB560" s="338"/>
      <c r="CC560" s="418" t="str">
        <f>IF(ISERROR(CC557/CC549),"NM",CC557/CC549)</f>
        <v>NM</v>
      </c>
      <c r="CD560" s="418" t="str">
        <f>IF(ISERROR(CD557/CD549),"NM",CD557/CD549)</f>
        <v>NM</v>
      </c>
      <c r="CE560" s="418" t="str">
        <f>IF(ISERROR(CE557/CE549),"NM",CE557/CE549)</f>
        <v>NM</v>
      </c>
      <c r="CF560" s="418" t="str">
        <f>IF(ISERROR(CF557/CF549),"NM",CF557/CF549)</f>
        <v>NM</v>
      </c>
      <c r="CG560" s="338"/>
      <c r="CH560" s="338"/>
      <c r="CI560" s="338"/>
      <c r="CJ560" s="338"/>
      <c r="CK560" s="338"/>
      <c r="CL560" s="338"/>
      <c r="CM560" s="338"/>
      <c r="CN560" s="338"/>
      <c r="CO560" s="338"/>
      <c r="CP560" s="337"/>
    </row>
    <row r="561" spans="1:94" ht="14.25" hidden="1" customHeight="1" outlineLevel="2">
      <c r="A561" s="9"/>
      <c r="B561" s="236"/>
      <c r="C561" s="237"/>
      <c r="D561" s="373"/>
      <c r="E561" s="373"/>
      <c r="F561" s="373"/>
      <c r="G561" s="237"/>
      <c r="H561" s="373"/>
      <c r="I561" s="373"/>
      <c r="J561" s="373"/>
      <c r="K561" s="237"/>
      <c r="L561" s="279"/>
      <c r="M561" s="279"/>
      <c r="N561" s="279"/>
      <c r="O561" s="280"/>
      <c r="P561" s="279"/>
      <c r="Q561" s="279"/>
      <c r="R561" s="279"/>
      <c r="S561" s="280"/>
      <c r="T561" s="279"/>
      <c r="U561" s="279"/>
      <c r="V561" s="279"/>
      <c r="W561" s="280"/>
      <c r="X561" s="279"/>
      <c r="Y561" s="279"/>
      <c r="Z561" s="279"/>
      <c r="AA561" s="280"/>
      <c r="AB561" s="279"/>
      <c r="AC561" s="279"/>
      <c r="AD561" s="279"/>
      <c r="AE561" s="280"/>
      <c r="AF561" s="279"/>
      <c r="AG561" s="279"/>
      <c r="AH561" s="279"/>
      <c r="AI561" s="280"/>
      <c r="AJ561" s="279"/>
      <c r="AK561" s="279"/>
      <c r="AL561" s="279"/>
      <c r="AM561" s="280"/>
      <c r="AN561" s="279"/>
      <c r="AO561" s="279"/>
      <c r="AP561" s="279"/>
      <c r="AQ561" s="280"/>
      <c r="AR561" s="499"/>
      <c r="AS561" s="499"/>
      <c r="AT561" s="499"/>
      <c r="AU561" s="500"/>
      <c r="AV561" s="499"/>
      <c r="AW561" s="499"/>
      <c r="AX561" s="499"/>
      <c r="AY561" s="500"/>
      <c r="AZ561" s="499"/>
      <c r="BA561" s="499"/>
      <c r="BB561" s="499"/>
      <c r="BC561" s="500"/>
      <c r="BD561" s="499"/>
      <c r="BE561" s="499"/>
      <c r="BF561" s="499"/>
      <c r="BG561" s="500"/>
      <c r="BH561" s="499"/>
      <c r="BI561" s="499"/>
      <c r="BJ561" s="499"/>
      <c r="BK561" s="500"/>
      <c r="BL561" s="499"/>
      <c r="BM561" s="499"/>
      <c r="BN561" s="499"/>
      <c r="BO561" s="500"/>
      <c r="BP561" s="499"/>
      <c r="BQ561" s="499"/>
      <c r="BR561" s="499"/>
      <c r="BS561" s="500"/>
      <c r="BT561" s="499"/>
      <c r="BU561" s="499"/>
      <c r="BV561" s="499"/>
      <c r="BW561" s="500"/>
      <c r="BX561" s="21"/>
      <c r="BY561" s="16"/>
      <c r="BZ561" s="203"/>
      <c r="CA561" s="203"/>
      <c r="CB561" s="203"/>
      <c r="CC561" s="203"/>
      <c r="CD561" s="238"/>
      <c r="CE561" s="238"/>
      <c r="CF561" s="279"/>
      <c r="CG561" s="238"/>
      <c r="CH561" s="238"/>
      <c r="CI561" s="238"/>
      <c r="CJ561" s="238"/>
      <c r="CK561" s="238"/>
      <c r="CL561" s="238"/>
      <c r="CM561" s="238"/>
      <c r="CN561" s="238"/>
      <c r="CO561" s="238"/>
      <c r="CP561" s="914"/>
    </row>
    <row r="562" spans="1:94" ht="13.5" hidden="1" customHeight="1" outlineLevel="2">
      <c r="A562" s="90"/>
      <c r="B562" s="286" t="s">
        <v>201</v>
      </c>
      <c r="C562" s="90"/>
      <c r="D562" s="90"/>
      <c r="E562" s="90"/>
      <c r="F562" s="90"/>
      <c r="G562" s="732"/>
      <c r="H562" s="90"/>
      <c r="I562" s="90"/>
      <c r="J562" s="90"/>
      <c r="K562" s="90"/>
      <c r="L562" s="334"/>
      <c r="M562" s="325"/>
      <c r="N562" s="325"/>
      <c r="O562" s="326"/>
      <c r="P562" s="334"/>
      <c r="Q562" s="325"/>
      <c r="R562" s="325"/>
      <c r="S562" s="326"/>
      <c r="T562" s="334"/>
      <c r="U562" s="325"/>
      <c r="V562" s="325"/>
      <c r="W562" s="326"/>
      <c r="X562" s="334">
        <f t="shared" ref="X562:AI562" si="863">X523+X510+X497+X536</f>
        <v>421.9</v>
      </c>
      <c r="Y562" s="325">
        <f t="shared" si="863"/>
        <v>562.70000000000005</v>
      </c>
      <c r="Z562" s="325">
        <f t="shared" si="863"/>
        <v>581.5</v>
      </c>
      <c r="AA562" s="326">
        <f t="shared" si="863"/>
        <v>488.70000000000005</v>
      </c>
      <c r="AB562" s="334">
        <f t="shared" si="863"/>
        <v>379.1</v>
      </c>
      <c r="AC562" s="325">
        <f t="shared" si="863"/>
        <v>419.79999999999995</v>
      </c>
      <c r="AD562" s="325">
        <f t="shared" si="863"/>
        <v>472.9</v>
      </c>
      <c r="AE562" s="326">
        <f t="shared" si="863"/>
        <v>497.1</v>
      </c>
      <c r="AF562" s="334">
        <f t="shared" si="863"/>
        <v>550.20000000000005</v>
      </c>
      <c r="AG562" s="325">
        <f t="shared" si="863"/>
        <v>583.29999999999995</v>
      </c>
      <c r="AH562" s="325">
        <f t="shared" si="863"/>
        <v>600.70000000000005</v>
      </c>
      <c r="AI562" s="325">
        <f t="shared" si="863"/>
        <v>579.20000000000005</v>
      </c>
      <c r="AJ562" s="334">
        <f>AJ523+AJ510+AJ497+AJ536+AJ549</f>
        <v>870.6</v>
      </c>
      <c r="AK562" s="325">
        <f>AK523+AK510+AK497+AK536+AK549</f>
        <v>905.8</v>
      </c>
      <c r="AL562" s="325">
        <f>AL523+AL510+AL497+AL536+AL549</f>
        <v>898</v>
      </c>
      <c r="AM562" s="90"/>
      <c r="AN562" s="733"/>
      <c r="AO562" s="90"/>
      <c r="AP562" s="90"/>
      <c r="AQ562" s="732"/>
      <c r="AR562" s="733"/>
      <c r="AS562" s="90"/>
      <c r="AT562" s="90"/>
      <c r="AU562" s="732"/>
      <c r="AV562" s="733"/>
      <c r="AW562" s="90"/>
      <c r="AX562" s="90"/>
      <c r="AY562" s="732"/>
      <c r="AZ562" s="733"/>
      <c r="BA562" s="90"/>
      <c r="BB562" s="90"/>
      <c r="BC562" s="732"/>
      <c r="BD562" s="733"/>
      <c r="BE562" s="90"/>
      <c r="BF562" s="90"/>
      <c r="BG562" s="732"/>
      <c r="BH562" s="733"/>
      <c r="BI562" s="90"/>
      <c r="BJ562" s="90"/>
      <c r="BK562" s="732"/>
      <c r="BL562" s="733"/>
      <c r="BM562" s="90"/>
      <c r="BN562" s="90"/>
      <c r="BO562" s="732"/>
      <c r="BP562" s="733"/>
      <c r="BQ562" s="90"/>
      <c r="BR562" s="90"/>
      <c r="BS562" s="732"/>
      <c r="BT562" s="733"/>
      <c r="BU562" s="90"/>
      <c r="BV562" s="90"/>
      <c r="BW562" s="732"/>
      <c r="BX562" s="349"/>
      <c r="BY562" s="734"/>
      <c r="BZ562" s="735"/>
      <c r="CA562" s="736"/>
      <c r="CB562" s="736"/>
      <c r="CC562" s="325">
        <f>CC523+CC510+CC497+CC536</f>
        <v>1566.2</v>
      </c>
      <c r="CD562" s="325">
        <f>SUM(X562:AA562)</f>
        <v>2054.8000000000002</v>
      </c>
      <c r="CE562" s="730">
        <f>SUM(AB562:AE562)</f>
        <v>1768.9</v>
      </c>
      <c r="CF562" s="730">
        <f>SUM(AF562:AI562)</f>
        <v>2313.4</v>
      </c>
      <c r="CG562" s="736"/>
      <c r="CH562" s="736"/>
      <c r="CI562" s="736"/>
      <c r="CJ562" s="736"/>
      <c r="CK562" s="736"/>
      <c r="CL562" s="736"/>
      <c r="CM562" s="736"/>
      <c r="CN562" s="736"/>
      <c r="CO562" s="736"/>
      <c r="CP562" s="732"/>
    </row>
    <row r="563" spans="1:94" ht="13.5" hidden="1" customHeight="1" outlineLevel="2">
      <c r="B563" s="217" t="s">
        <v>297</v>
      </c>
      <c r="G563" s="303"/>
      <c r="L563" s="219"/>
      <c r="M563" s="220"/>
      <c r="N563" s="220"/>
      <c r="O563" s="258"/>
      <c r="P563" s="219"/>
      <c r="Q563" s="220"/>
      <c r="R563" s="220"/>
      <c r="S563" s="258"/>
      <c r="T563" s="219"/>
      <c r="U563" s="220"/>
      <c r="V563" s="220"/>
      <c r="W563" s="258"/>
      <c r="X563" s="425"/>
      <c r="Y563" s="220">
        <f t="shared" ref="Y563:AI563" si="864">Y562/X562-1</f>
        <v>0.33372837165205049</v>
      </c>
      <c r="Z563" s="220">
        <f t="shared" si="864"/>
        <v>3.3410342989159236E-2</v>
      </c>
      <c r="AA563" s="258">
        <f t="shared" si="864"/>
        <v>-0.15958727429062758</v>
      </c>
      <c r="AB563" s="219">
        <f t="shared" si="864"/>
        <v>-0.22426846736239003</v>
      </c>
      <c r="AC563" s="220">
        <f t="shared" si="864"/>
        <v>0.10735953574254786</v>
      </c>
      <c r="AD563" s="220">
        <f t="shared" si="864"/>
        <v>0.12648880419247277</v>
      </c>
      <c r="AE563" s="258">
        <f t="shared" si="864"/>
        <v>5.1173609642630735E-2</v>
      </c>
      <c r="AF563" s="219">
        <f t="shared" si="864"/>
        <v>0.10681955340977667</v>
      </c>
      <c r="AG563" s="220">
        <f t="shared" si="864"/>
        <v>6.0159941839331044E-2</v>
      </c>
      <c r="AH563" s="220">
        <f t="shared" si="864"/>
        <v>2.9830276015772483E-2</v>
      </c>
      <c r="AI563" s="220">
        <f t="shared" si="864"/>
        <v>-3.579157649409026E-2</v>
      </c>
      <c r="AJ563" s="219">
        <f>AJ562/AI562-1</f>
        <v>0.50310773480662974</v>
      </c>
      <c r="AK563" s="220">
        <f>AK562/AJ562-1</f>
        <v>4.0431886055593669E-2</v>
      </c>
      <c r="AL563" s="220">
        <f>AL562/AK562-1</f>
        <v>-8.6111724442481385E-3</v>
      </c>
      <c r="AN563" s="256"/>
      <c r="AQ563" s="303"/>
      <c r="AR563" s="256"/>
      <c r="AU563" s="303"/>
      <c r="AV563" s="256"/>
      <c r="AY563" s="303"/>
      <c r="AZ563" s="256"/>
      <c r="BC563" s="303"/>
      <c r="BD563" s="256"/>
      <c r="BG563" s="303"/>
      <c r="BH563" s="256"/>
      <c r="BK563" s="303"/>
      <c r="BL563" s="256"/>
      <c r="BO563" s="303"/>
      <c r="BP563" s="256"/>
      <c r="BS563" s="303"/>
      <c r="BT563" s="256"/>
      <c r="BW563" s="303"/>
      <c r="BX563" s="346"/>
      <c r="BY563" s="256"/>
      <c r="BZ563" s="302"/>
      <c r="CA563" s="302"/>
      <c r="CB563" s="302"/>
      <c r="CC563" s="220"/>
      <c r="CD563" s="370"/>
      <c r="CE563" s="370"/>
      <c r="CF563" s="370"/>
      <c r="CG563" s="302"/>
      <c r="CH563" s="302"/>
      <c r="CI563" s="302"/>
      <c r="CJ563" s="302"/>
      <c r="CK563" s="302"/>
      <c r="CL563" s="302"/>
      <c r="CM563" s="302"/>
      <c r="CN563" s="302"/>
      <c r="CO563" s="302"/>
      <c r="CP563" s="303"/>
    </row>
    <row r="564" spans="1:94" ht="14.25" hidden="1" customHeight="1" outlineLevel="2">
      <c r="B564" s="32" t="s">
        <v>298</v>
      </c>
      <c r="G564" s="303"/>
      <c r="L564" s="219"/>
      <c r="M564" s="220"/>
      <c r="N564" s="220"/>
      <c r="O564" s="258"/>
      <c r="P564" s="219"/>
      <c r="Q564" s="220"/>
      <c r="R564" s="220"/>
      <c r="S564" s="258"/>
      <c r="T564" s="219"/>
      <c r="U564" s="220"/>
      <c r="V564" s="220"/>
      <c r="W564" s="258"/>
      <c r="X564" s="425"/>
      <c r="Y564" s="418"/>
      <c r="Z564" s="418"/>
      <c r="AA564" s="419"/>
      <c r="AB564" s="219">
        <f t="shared" ref="AB564:AI564" si="865">AB562/X562-1</f>
        <v>-0.10144584024650383</v>
      </c>
      <c r="AC564" s="220">
        <f t="shared" si="865"/>
        <v>-0.25395414963568519</v>
      </c>
      <c r="AD564" s="220">
        <f t="shared" si="865"/>
        <v>-0.18675838349097162</v>
      </c>
      <c r="AE564" s="258">
        <f t="shared" si="865"/>
        <v>1.718845917740941E-2</v>
      </c>
      <c r="AF564" s="219">
        <f t="shared" si="865"/>
        <v>0.45133210234766552</v>
      </c>
      <c r="AG564" s="220">
        <f t="shared" si="865"/>
        <v>0.38947117675083387</v>
      </c>
      <c r="AH564" s="220">
        <f t="shared" si="865"/>
        <v>0.27024740960033844</v>
      </c>
      <c r="AI564" s="220">
        <f t="shared" si="865"/>
        <v>0.16515791591229134</v>
      </c>
      <c r="AJ564" s="219">
        <f>AJ562/AF562-1</f>
        <v>0.58233369683751346</v>
      </c>
      <c r="AK564" s="220">
        <f>AK562/AG562-1</f>
        <v>0.55288873649922854</v>
      </c>
      <c r="AL564" s="220">
        <f>AL562/AH562-1</f>
        <v>0.49492259031130326</v>
      </c>
      <c r="AN564" s="256"/>
      <c r="AQ564" s="303"/>
      <c r="AR564" s="256"/>
      <c r="AU564" s="303"/>
      <c r="AV564" s="256"/>
      <c r="AY564" s="303"/>
      <c r="AZ564" s="256"/>
      <c r="BC564" s="303"/>
      <c r="BD564" s="256"/>
      <c r="BG564" s="303"/>
      <c r="BH564" s="256"/>
      <c r="BK564" s="303"/>
      <c r="BL564" s="256"/>
      <c r="BO564" s="303"/>
      <c r="BP564" s="256"/>
      <c r="BS564" s="303"/>
      <c r="BT564" s="256"/>
      <c r="BW564" s="303"/>
      <c r="BX564" s="346"/>
      <c r="BY564" s="256"/>
      <c r="BZ564" s="302"/>
      <c r="CA564" s="302"/>
      <c r="CB564" s="302"/>
      <c r="CC564" s="220"/>
      <c r="CD564" s="370">
        <f>CD562/CC562-1</f>
        <v>0.31196526624952114</v>
      </c>
      <c r="CE564" s="370">
        <f>CE562/CD562-1</f>
        <v>-0.13913762896632276</v>
      </c>
      <c r="CF564" s="370">
        <f>CF562/CE562-1</f>
        <v>0.30781841822601619</v>
      </c>
      <c r="CG564" s="302"/>
      <c r="CH564" s="302"/>
      <c r="CI564" s="302"/>
      <c r="CJ564" s="302"/>
      <c r="CK564" s="302"/>
      <c r="CL564" s="302"/>
      <c r="CM564" s="302"/>
      <c r="CN564" s="302"/>
      <c r="CO564" s="302"/>
      <c r="CP564" s="303"/>
    </row>
    <row r="565" spans="1:94" ht="14.25" hidden="1" customHeight="1" outlineLevel="2">
      <c r="B565" s="22"/>
      <c r="G565" s="303"/>
      <c r="L565" s="219"/>
      <c r="M565" s="220"/>
      <c r="N565" s="220"/>
      <c r="O565" s="258"/>
      <c r="P565" s="219"/>
      <c r="Q565" s="220"/>
      <c r="R565" s="220"/>
      <c r="S565" s="258"/>
      <c r="T565" s="219"/>
      <c r="U565" s="220"/>
      <c r="V565" s="220"/>
      <c r="W565" s="258"/>
      <c r="X565" s="219"/>
      <c r="Y565" s="220"/>
      <c r="Z565" s="220"/>
      <c r="AA565" s="258"/>
      <c r="AB565" s="219"/>
      <c r="AC565" s="220"/>
      <c r="AD565" s="220"/>
      <c r="AE565" s="258"/>
      <c r="AF565" s="219"/>
      <c r="AG565" s="220"/>
      <c r="AH565" s="220"/>
      <c r="AI565" s="220"/>
      <c r="AJ565" s="219"/>
      <c r="AK565" s="220"/>
      <c r="AL565" s="220"/>
      <c r="AN565" s="256"/>
      <c r="AQ565" s="303"/>
      <c r="AR565" s="256"/>
      <c r="AU565" s="303"/>
      <c r="AV565" s="256"/>
      <c r="AY565" s="303"/>
      <c r="AZ565" s="256"/>
      <c r="BC565" s="303"/>
      <c r="BD565" s="256"/>
      <c r="BG565" s="303"/>
      <c r="BH565" s="256"/>
      <c r="BK565" s="303"/>
      <c r="BL565" s="256"/>
      <c r="BO565" s="303"/>
      <c r="BP565" s="256"/>
      <c r="BS565" s="303"/>
      <c r="BT565" s="256"/>
      <c r="BW565" s="303"/>
      <c r="BX565" s="346"/>
      <c r="BY565" s="256"/>
      <c r="BZ565" s="302"/>
      <c r="CA565" s="302"/>
      <c r="CB565" s="302"/>
      <c r="CC565" s="220"/>
      <c r="CD565" s="392"/>
      <c r="CE565" s="392"/>
      <c r="CF565" s="392"/>
      <c r="CG565" s="302"/>
      <c r="CH565" s="302"/>
      <c r="CI565" s="302"/>
      <c r="CJ565" s="302"/>
      <c r="CK565" s="302"/>
      <c r="CL565" s="302"/>
      <c r="CM565" s="302"/>
      <c r="CN565" s="302"/>
      <c r="CO565" s="302"/>
      <c r="CP565" s="303"/>
    </row>
    <row r="566" spans="1:94" ht="14.25" hidden="1" customHeight="1" outlineLevel="2">
      <c r="B566" s="288" t="s">
        <v>202</v>
      </c>
      <c r="G566" s="303"/>
      <c r="L566" s="383"/>
      <c r="M566" s="384"/>
      <c r="N566" s="384"/>
      <c r="O566" s="385"/>
      <c r="P566" s="383"/>
      <c r="Q566" s="384"/>
      <c r="R566" s="384"/>
      <c r="S566" s="385"/>
      <c r="T566" s="383"/>
      <c r="U566" s="384"/>
      <c r="V566" s="384"/>
      <c r="W566" s="385"/>
      <c r="X566" s="383">
        <f t="shared" ref="X566:AI566" si="866">X528+X515+X502+X541</f>
        <v>156.9</v>
      </c>
      <c r="Y566" s="384">
        <f t="shared" si="866"/>
        <v>205.5</v>
      </c>
      <c r="Z566" s="384">
        <f t="shared" si="866"/>
        <v>230.3</v>
      </c>
      <c r="AA566" s="385">
        <f t="shared" si="866"/>
        <v>196.5</v>
      </c>
      <c r="AB566" s="383">
        <f t="shared" si="866"/>
        <v>122.5</v>
      </c>
      <c r="AC566" s="384">
        <f t="shared" si="866"/>
        <v>148.69999999999999</v>
      </c>
      <c r="AD566" s="384">
        <f t="shared" si="866"/>
        <v>183.2</v>
      </c>
      <c r="AE566" s="385">
        <f t="shared" si="866"/>
        <v>201.5</v>
      </c>
      <c r="AF566" s="383">
        <f t="shared" si="866"/>
        <v>241.70000000000002</v>
      </c>
      <c r="AG566" s="384">
        <f t="shared" si="866"/>
        <v>255.3</v>
      </c>
      <c r="AH566" s="384">
        <f t="shared" si="866"/>
        <v>261.2</v>
      </c>
      <c r="AI566" s="384">
        <f t="shared" si="866"/>
        <v>253.6</v>
      </c>
      <c r="AJ566" s="383">
        <f>AJ528+AJ515+AJ502+AJ541+AJ554</f>
        <v>259.29999999999995</v>
      </c>
      <c r="AK566" s="384">
        <f>AK528+AK515+AK502+AK541+AK554</f>
        <v>284.50000000000006</v>
      </c>
      <c r="AL566" s="384">
        <f>AL528+AL515+AL502+AL541+AL554</f>
        <v>272</v>
      </c>
      <c r="AN566" s="256"/>
      <c r="AQ566" s="303"/>
      <c r="AR566" s="256"/>
      <c r="AU566" s="303"/>
      <c r="AV566" s="256"/>
      <c r="AY566" s="303"/>
      <c r="AZ566" s="256"/>
      <c r="BC566" s="303"/>
      <c r="BD566" s="256"/>
      <c r="BG566" s="303"/>
      <c r="BH566" s="256"/>
      <c r="BK566" s="303"/>
      <c r="BL566" s="256"/>
      <c r="BO566" s="303"/>
      <c r="BP566" s="256"/>
      <c r="BS566" s="303"/>
      <c r="BT566" s="256"/>
      <c r="BW566" s="303"/>
      <c r="BX566" s="346"/>
      <c r="BY566" s="256"/>
      <c r="BZ566" s="302"/>
      <c r="CA566" s="302"/>
      <c r="CB566" s="302"/>
      <c r="CC566" s="384">
        <f>CC528+CC515+CC502+CC541</f>
        <v>611.4</v>
      </c>
      <c r="CD566" s="384">
        <f>SUM(X566:AA566)</f>
        <v>789.2</v>
      </c>
      <c r="CE566" s="696">
        <f>SUM(AB566:AE566)</f>
        <v>655.9</v>
      </c>
      <c r="CF566" s="696">
        <f>SUM(AF566:AI566)</f>
        <v>1011.8000000000001</v>
      </c>
      <c r="CG566" s="302"/>
      <c r="CH566" s="302"/>
      <c r="CI566" s="302"/>
      <c r="CJ566" s="302"/>
      <c r="CK566" s="302"/>
      <c r="CL566" s="302"/>
      <c r="CM566" s="302"/>
      <c r="CN566" s="302"/>
      <c r="CO566" s="302"/>
      <c r="CP566" s="303"/>
    </row>
    <row r="567" spans="1:94" ht="14.25" hidden="1" customHeight="1" outlineLevel="2">
      <c r="B567" s="301" t="s">
        <v>203</v>
      </c>
      <c r="G567" s="303"/>
      <c r="L567" s="673"/>
      <c r="M567" s="671"/>
      <c r="N567" s="671"/>
      <c r="O567" s="672"/>
      <c r="P567" s="673"/>
      <c r="Q567" s="671"/>
      <c r="R567" s="671"/>
      <c r="S567" s="672"/>
      <c r="T567" s="673"/>
      <c r="U567" s="671"/>
      <c r="V567" s="671"/>
      <c r="W567" s="672"/>
      <c r="X567" s="673"/>
      <c r="Y567" s="671"/>
      <c r="Z567" s="671"/>
      <c r="AA567" s="672"/>
      <c r="AB567" s="673"/>
      <c r="AC567" s="671"/>
      <c r="AD567" s="671"/>
      <c r="AE567" s="672"/>
      <c r="AF567" s="673"/>
      <c r="AG567" s="671"/>
      <c r="AH567" s="671"/>
      <c r="AI567" s="671"/>
      <c r="AJ567" s="673"/>
      <c r="AK567" s="671"/>
      <c r="AL567" s="671"/>
      <c r="AN567" s="256"/>
      <c r="AQ567" s="303"/>
      <c r="AR567" s="256"/>
      <c r="AU567" s="303"/>
      <c r="AV567" s="256"/>
      <c r="AY567" s="303"/>
      <c r="AZ567" s="256"/>
      <c r="BC567" s="303"/>
      <c r="BD567" s="256"/>
      <c r="BG567" s="303"/>
      <c r="BH567" s="256"/>
      <c r="BK567" s="303"/>
      <c r="BL567" s="256"/>
      <c r="BO567" s="303"/>
      <c r="BP567" s="256"/>
      <c r="BS567" s="303"/>
      <c r="BT567" s="256"/>
      <c r="BW567" s="303"/>
      <c r="BX567" s="346"/>
      <c r="BY567" s="256"/>
      <c r="BZ567" s="302"/>
      <c r="CA567" s="302"/>
      <c r="CB567" s="302"/>
      <c r="CC567" s="671"/>
      <c r="CD567" s="392"/>
      <c r="CE567" s="392"/>
      <c r="CF567" s="392"/>
      <c r="CG567" s="302"/>
      <c r="CH567" s="302"/>
      <c r="CI567" s="302"/>
      <c r="CJ567" s="302"/>
      <c r="CK567" s="302"/>
      <c r="CL567" s="302"/>
      <c r="CM567" s="302"/>
      <c r="CN567" s="302"/>
      <c r="CO567" s="302"/>
      <c r="CP567" s="303"/>
    </row>
    <row r="568" spans="1:94" ht="14.25" hidden="1" customHeight="1" outlineLevel="2">
      <c r="B568" s="288" t="s">
        <v>204</v>
      </c>
      <c r="G568" s="303"/>
      <c r="L568" s="383"/>
      <c r="M568" s="384"/>
      <c r="N568" s="384"/>
      <c r="O568" s="385"/>
      <c r="P568" s="383"/>
      <c r="Q568" s="384"/>
      <c r="R568" s="384"/>
      <c r="S568" s="385"/>
      <c r="T568" s="383"/>
      <c r="U568" s="384"/>
      <c r="V568" s="384"/>
      <c r="W568" s="385"/>
      <c r="X568" s="789">
        <v>-10.3</v>
      </c>
      <c r="Y568" s="781">
        <v>-13.9</v>
      </c>
      <c r="Z568" s="781">
        <v>-8.6999999999999993</v>
      </c>
      <c r="AA568" s="782">
        <f>-43.7-SUM(X568:Z568)</f>
        <v>-10.799999999999997</v>
      </c>
      <c r="AB568" s="789">
        <v>-10.4</v>
      </c>
      <c r="AC568" s="781">
        <v>-10.5</v>
      </c>
      <c r="AD568" s="781">
        <v>-7.4</v>
      </c>
      <c r="AE568" s="782">
        <f>-35.2-SUM(AB568:AD568)</f>
        <v>-6.9000000000000057</v>
      </c>
      <c r="AF568" s="789">
        <v>-13.6</v>
      </c>
      <c r="AG568" s="781">
        <v>-11.5</v>
      </c>
      <c r="AH568" s="781">
        <v>-14.7</v>
      </c>
      <c r="AI568" s="790">
        <f>-55.8-SUM(AF568:AH568)</f>
        <v>-16</v>
      </c>
      <c r="AJ568" s="789">
        <v>-16.899999999999999</v>
      </c>
      <c r="AK568" s="781">
        <v>-18.399999999999999</v>
      </c>
      <c r="AL568" s="781">
        <v>-10.9</v>
      </c>
      <c r="AN568" s="256"/>
      <c r="AQ568" s="303"/>
      <c r="AR568" s="256"/>
      <c r="AU568" s="303"/>
      <c r="AV568" s="256"/>
      <c r="AY568" s="303"/>
      <c r="AZ568" s="256"/>
      <c r="BC568" s="303"/>
      <c r="BD568" s="256"/>
      <c r="BG568" s="303"/>
      <c r="BH568" s="256"/>
      <c r="BK568" s="303"/>
      <c r="BL568" s="256"/>
      <c r="BO568" s="303"/>
      <c r="BP568" s="256"/>
      <c r="BS568" s="303"/>
      <c r="BT568" s="256"/>
      <c r="BW568" s="303"/>
      <c r="BX568" s="346"/>
      <c r="BY568" s="256"/>
      <c r="BZ568" s="302"/>
      <c r="CA568" s="302"/>
      <c r="CB568" s="302"/>
      <c r="CC568" s="781">
        <v>-20.9</v>
      </c>
      <c r="CD568" s="384">
        <f>SUM(X568:AA568)</f>
        <v>-43.7</v>
      </c>
      <c r="CE568" s="696">
        <f>SUM(AB568:AE568)</f>
        <v>-35.200000000000003</v>
      </c>
      <c r="CF568" s="696">
        <f>SUM(AF568:AI568)</f>
        <v>-55.8</v>
      </c>
      <c r="CG568" s="302"/>
      <c r="CH568" s="302"/>
      <c r="CI568" s="302"/>
      <c r="CJ568" s="302"/>
      <c r="CK568" s="302"/>
      <c r="CL568" s="302"/>
      <c r="CM568" s="302"/>
      <c r="CN568" s="302"/>
      <c r="CO568" s="302"/>
      <c r="CP568" s="303"/>
    </row>
    <row r="569" spans="1:94" ht="14.25" hidden="1" customHeight="1" outlineLevel="2">
      <c r="B569" s="235" t="s">
        <v>304</v>
      </c>
      <c r="G569" s="303"/>
      <c r="L569" s="334"/>
      <c r="M569" s="325"/>
      <c r="N569" s="325"/>
      <c r="O569" s="326"/>
      <c r="P569" s="334"/>
      <c r="Q569" s="325"/>
      <c r="R569" s="325"/>
      <c r="S569" s="326"/>
      <c r="T569" s="334"/>
      <c r="U569" s="325"/>
      <c r="V569" s="325"/>
      <c r="W569" s="326"/>
      <c r="X569" s="334">
        <f t="shared" ref="X569:AI569" si="867">X566+X568</f>
        <v>146.6</v>
      </c>
      <c r="Y569" s="325">
        <f t="shared" si="867"/>
        <v>191.6</v>
      </c>
      <c r="Z569" s="325">
        <f t="shared" si="867"/>
        <v>221.60000000000002</v>
      </c>
      <c r="AA569" s="326">
        <f t="shared" si="867"/>
        <v>185.7</v>
      </c>
      <c r="AB569" s="334">
        <f t="shared" si="867"/>
        <v>112.1</v>
      </c>
      <c r="AC569" s="325">
        <f t="shared" si="867"/>
        <v>138.19999999999999</v>
      </c>
      <c r="AD569" s="325">
        <f t="shared" si="867"/>
        <v>175.79999999999998</v>
      </c>
      <c r="AE569" s="326">
        <f t="shared" si="867"/>
        <v>194.6</v>
      </c>
      <c r="AF569" s="334">
        <f t="shared" si="867"/>
        <v>228.10000000000002</v>
      </c>
      <c r="AG569" s="325">
        <f t="shared" si="867"/>
        <v>243.8</v>
      </c>
      <c r="AH569" s="325">
        <f t="shared" si="867"/>
        <v>246.5</v>
      </c>
      <c r="AI569" s="325">
        <f t="shared" si="867"/>
        <v>237.6</v>
      </c>
      <c r="AJ569" s="334">
        <f>AJ566+AJ568</f>
        <v>242.39999999999995</v>
      </c>
      <c r="AK569" s="325">
        <f>AK566+AK568</f>
        <v>266.10000000000008</v>
      </c>
      <c r="AL569" s="325">
        <f>AL566+AL568</f>
        <v>261.10000000000002</v>
      </c>
      <c r="AN569" s="256"/>
      <c r="AQ569" s="303"/>
      <c r="AR569" s="256"/>
      <c r="AU569" s="303"/>
      <c r="AV569" s="256"/>
      <c r="AY569" s="303"/>
      <c r="AZ569" s="256"/>
      <c r="BC569" s="303"/>
      <c r="BD569" s="256"/>
      <c r="BG569" s="303"/>
      <c r="BH569" s="256"/>
      <c r="BK569" s="303"/>
      <c r="BL569" s="256"/>
      <c r="BO569" s="303"/>
      <c r="BP569" s="256"/>
      <c r="BS569" s="303"/>
      <c r="BT569" s="256"/>
      <c r="BW569" s="303"/>
      <c r="BX569" s="346"/>
      <c r="BY569" s="256"/>
      <c r="BZ569" s="302"/>
      <c r="CA569" s="302"/>
      <c r="CB569" s="302"/>
      <c r="CC569" s="325">
        <f>CC566+CC568</f>
        <v>590.5</v>
      </c>
      <c r="CD569" s="325">
        <f>CD566+CD568</f>
        <v>745.5</v>
      </c>
      <c r="CE569" s="325">
        <f>CE566+CE568</f>
        <v>620.69999999999993</v>
      </c>
      <c r="CF569" s="325">
        <f>CF566+CF568</f>
        <v>956.00000000000011</v>
      </c>
      <c r="CG569" s="302"/>
      <c r="CH569" s="302"/>
      <c r="CI569" s="302"/>
      <c r="CJ569" s="302"/>
      <c r="CK569" s="302"/>
      <c r="CL569" s="302"/>
      <c r="CM569" s="302"/>
      <c r="CN569" s="302"/>
      <c r="CO569" s="302"/>
      <c r="CP569" s="303"/>
    </row>
    <row r="570" spans="1:94" ht="14.25" hidden="1" customHeight="1" outlineLevel="2">
      <c r="B570" s="288" t="s">
        <v>205</v>
      </c>
      <c r="G570" s="303"/>
      <c r="L570" s="323"/>
      <c r="M570" s="338"/>
      <c r="N570" s="289"/>
      <c r="O570" s="290"/>
      <c r="P570" s="323"/>
      <c r="Q570" s="338"/>
      <c r="R570" s="289"/>
      <c r="S570" s="290"/>
      <c r="T570" s="323"/>
      <c r="U570" s="338"/>
      <c r="V570" s="289"/>
      <c r="W570" s="290"/>
      <c r="X570" s="323">
        <f t="shared" ref="X570:AI570" si="868">X569/X562</f>
        <v>0.34747570514339893</v>
      </c>
      <c r="Y570" s="338">
        <f t="shared" si="868"/>
        <v>0.34050115514483736</v>
      </c>
      <c r="Z570" s="289">
        <f t="shared" si="868"/>
        <v>0.38108340498710236</v>
      </c>
      <c r="AA570" s="290">
        <f t="shared" si="868"/>
        <v>0.37998772252915891</v>
      </c>
      <c r="AB570" s="323">
        <f t="shared" si="868"/>
        <v>0.29570034291743602</v>
      </c>
      <c r="AC570" s="338">
        <f t="shared" si="868"/>
        <v>0.32920438303954264</v>
      </c>
      <c r="AD570" s="289">
        <f t="shared" si="868"/>
        <v>0.37174878409811796</v>
      </c>
      <c r="AE570" s="290">
        <f t="shared" si="868"/>
        <v>0.39147052906859786</v>
      </c>
      <c r="AF570" s="323">
        <f t="shared" si="868"/>
        <v>0.41457651762995273</v>
      </c>
      <c r="AG570" s="338">
        <f t="shared" si="868"/>
        <v>0.41796674095662617</v>
      </c>
      <c r="AH570" s="289">
        <f t="shared" si="868"/>
        <v>0.41035458631596466</v>
      </c>
      <c r="AI570" s="289">
        <f t="shared" si="868"/>
        <v>0.4102209944751381</v>
      </c>
      <c r="AJ570" s="323">
        <f>AJ569/AJ562</f>
        <v>0.27842866988283937</v>
      </c>
      <c r="AK570" s="338">
        <f>AK569/AK562</f>
        <v>0.29377345992492832</v>
      </c>
      <c r="AL570" s="289">
        <f>AL569/AL562</f>
        <v>0.29075723830734967</v>
      </c>
      <c r="AN570" s="256"/>
      <c r="AQ570" s="303"/>
      <c r="AR570" s="256"/>
      <c r="AU570" s="303"/>
      <c r="AV570" s="256"/>
      <c r="AY570" s="303"/>
      <c r="AZ570" s="256"/>
      <c r="BC570" s="303"/>
      <c r="BD570" s="256"/>
      <c r="BG570" s="303"/>
      <c r="BH570" s="256"/>
      <c r="BK570" s="303"/>
      <c r="BL570" s="256"/>
      <c r="BO570" s="303"/>
      <c r="BP570" s="256"/>
      <c r="BS570" s="303"/>
      <c r="BT570" s="256"/>
      <c r="BW570" s="303"/>
      <c r="BX570" s="346"/>
      <c r="BY570" s="256"/>
      <c r="BZ570" s="302"/>
      <c r="CA570" s="302"/>
      <c r="CB570" s="302"/>
      <c r="CC570" s="338">
        <f>CC569/CC562</f>
        <v>0.37702719959136766</v>
      </c>
      <c r="CD570" s="338">
        <f>CD566/CD562</f>
        <v>0.38407630912984231</v>
      </c>
      <c r="CE570" s="338">
        <f>CE566/CE562</f>
        <v>0.37079540957657298</v>
      </c>
      <c r="CF570" s="289">
        <f>CF569/CF562</f>
        <v>0.41324457508429158</v>
      </c>
      <c r="CG570" s="302"/>
      <c r="CH570" s="302"/>
      <c r="CI570" s="302"/>
      <c r="CJ570" s="302"/>
      <c r="CK570" s="302"/>
      <c r="CL570" s="302"/>
      <c r="CM570" s="302"/>
      <c r="CN570" s="302"/>
      <c r="CO570" s="302"/>
      <c r="CP570" s="303"/>
    </row>
    <row r="571" spans="1:94" ht="14.25" hidden="1" customHeight="1" outlineLevel="2">
      <c r="B571" s="22"/>
      <c r="G571" s="303"/>
      <c r="L571" s="219"/>
      <c r="M571" s="220"/>
      <c r="N571" s="220"/>
      <c r="O571" s="258"/>
      <c r="P571" s="219"/>
      <c r="Q571" s="220"/>
      <c r="R571" s="220"/>
      <c r="S571" s="258"/>
      <c r="T571" s="219"/>
      <c r="U571" s="220"/>
      <c r="V571" s="220"/>
      <c r="W571" s="258"/>
      <c r="X571" s="219"/>
      <c r="Y571" s="220"/>
      <c r="Z571" s="220"/>
      <c r="AA571" s="258"/>
      <c r="AB571" s="219"/>
      <c r="AC571" s="220"/>
      <c r="AD571" s="220"/>
      <c r="AE571" s="258"/>
      <c r="AF571" s="219"/>
      <c r="AG571" s="220"/>
      <c r="AH571" s="220"/>
      <c r="AI571" s="220"/>
      <c r="AJ571" s="219"/>
      <c r="AK571" s="220"/>
      <c r="AL571" s="220"/>
      <c r="AN571" s="256"/>
      <c r="AQ571" s="303"/>
      <c r="AR571" s="256"/>
      <c r="AU571" s="303"/>
      <c r="AV571" s="256"/>
      <c r="AY571" s="303"/>
      <c r="AZ571" s="256"/>
      <c r="BC571" s="303"/>
      <c r="BD571" s="256"/>
      <c r="BG571" s="303"/>
      <c r="BH571" s="256"/>
      <c r="BK571" s="303"/>
      <c r="BL571" s="256"/>
      <c r="BO571" s="303"/>
      <c r="BP571" s="256"/>
      <c r="BS571" s="303"/>
      <c r="BT571" s="256"/>
      <c r="BW571" s="303"/>
      <c r="BX571" s="346"/>
      <c r="BY571" s="256"/>
      <c r="BZ571" s="302"/>
      <c r="CA571" s="302"/>
      <c r="CB571" s="302"/>
      <c r="CC571" s="220"/>
      <c r="CD571" s="392"/>
      <c r="CE571" s="392"/>
      <c r="CF571" s="392"/>
      <c r="CG571" s="302"/>
      <c r="CH571" s="302"/>
      <c r="CI571" s="302"/>
      <c r="CJ571" s="302"/>
      <c r="CK571" s="302"/>
      <c r="CL571" s="302"/>
      <c r="CM571" s="302"/>
      <c r="CN571" s="302"/>
      <c r="CO571" s="302"/>
      <c r="CP571" s="303"/>
    </row>
    <row r="572" spans="1:94" ht="14.25" hidden="1" customHeight="1" outlineLevel="2">
      <c r="B572" s="288" t="s">
        <v>206</v>
      </c>
      <c r="G572" s="303"/>
      <c r="L572" s="383"/>
      <c r="M572" s="384"/>
      <c r="N572" s="384"/>
      <c r="O572" s="385"/>
      <c r="P572" s="383"/>
      <c r="Q572" s="384"/>
      <c r="R572" s="384"/>
      <c r="S572" s="385"/>
      <c r="T572" s="383"/>
      <c r="U572" s="384"/>
      <c r="V572" s="384"/>
      <c r="W572" s="385"/>
      <c r="X572" s="383">
        <f t="shared" ref="X572:AI572" si="869">X531+X518+X505+X544</f>
        <v>77.699999999999989</v>
      </c>
      <c r="Y572" s="384">
        <f t="shared" si="869"/>
        <v>71.900000000000006</v>
      </c>
      <c r="Z572" s="384">
        <f t="shared" si="869"/>
        <v>95.8</v>
      </c>
      <c r="AA572" s="385">
        <f t="shared" si="869"/>
        <v>63</v>
      </c>
      <c r="AB572" s="383">
        <f t="shared" si="869"/>
        <v>22.5</v>
      </c>
      <c r="AC572" s="384">
        <f t="shared" si="869"/>
        <v>40.099999999999994</v>
      </c>
      <c r="AD572" s="384">
        <f t="shared" si="869"/>
        <v>73.2</v>
      </c>
      <c r="AE572" s="385">
        <f t="shared" si="869"/>
        <v>91</v>
      </c>
      <c r="AF572" s="383">
        <f t="shared" si="869"/>
        <v>110.6</v>
      </c>
      <c r="AG572" s="384">
        <f t="shared" si="869"/>
        <v>124.8</v>
      </c>
      <c r="AH572" s="384">
        <f t="shared" si="869"/>
        <v>137.69999999999999</v>
      </c>
      <c r="AI572" s="384">
        <f t="shared" si="869"/>
        <v>125</v>
      </c>
      <c r="AJ572" s="383">
        <f>AJ531+AJ518+AJ505+AJ544+AJ557</f>
        <v>72.400000000000006</v>
      </c>
      <c r="AK572" s="384">
        <f>AK531+AK518+AK505+AK544+AK557</f>
        <v>82.699999999999989</v>
      </c>
      <c r="AL572" s="384">
        <f>AL531+AL518+AL505+AL544+AL557</f>
        <v>70.400000000000006</v>
      </c>
      <c r="AN572" s="256"/>
      <c r="AQ572" s="303"/>
      <c r="AR572" s="256"/>
      <c r="AU572" s="303"/>
      <c r="AV572" s="256"/>
      <c r="AY572" s="303"/>
      <c r="AZ572" s="256"/>
      <c r="BC572" s="303"/>
      <c r="BD572" s="256"/>
      <c r="BG572" s="303"/>
      <c r="BH572" s="256"/>
      <c r="BK572" s="303"/>
      <c r="BL572" s="256"/>
      <c r="BO572" s="303"/>
      <c r="BP572" s="256"/>
      <c r="BS572" s="303"/>
      <c r="BT572" s="256"/>
      <c r="BW572" s="303"/>
      <c r="BX572" s="346"/>
      <c r="BY572" s="256"/>
      <c r="BZ572" s="302"/>
      <c r="CA572" s="302"/>
      <c r="CB572" s="302"/>
      <c r="CC572" s="384">
        <f>CC531+CC518+CC505+CC544</f>
        <v>326.39999999999998</v>
      </c>
      <c r="CD572" s="384">
        <f>SUM(X572:AA572)</f>
        <v>308.39999999999998</v>
      </c>
      <c r="CE572" s="696">
        <f>SUM(AB572:AE572)</f>
        <v>226.8</v>
      </c>
      <c r="CF572" s="696">
        <f>SUM(AF572:AI572)</f>
        <v>498.09999999999997</v>
      </c>
      <c r="CG572" s="302"/>
      <c r="CH572" s="302"/>
      <c r="CI572" s="302"/>
      <c r="CJ572" s="302"/>
      <c r="CK572" s="302"/>
      <c r="CL572" s="302"/>
      <c r="CM572" s="302"/>
      <c r="CN572" s="302"/>
      <c r="CO572" s="302"/>
      <c r="CP572" s="303"/>
    </row>
    <row r="573" spans="1:94" ht="14.25" hidden="1" customHeight="1" outlineLevel="2">
      <c r="B573" s="301" t="s">
        <v>203</v>
      </c>
      <c r="G573" s="303"/>
      <c r="L573" s="677"/>
      <c r="M573" s="675"/>
      <c r="N573" s="675"/>
      <c r="O573" s="676"/>
      <c r="P573" s="677"/>
      <c r="Q573" s="675"/>
      <c r="R573" s="675"/>
      <c r="S573" s="676"/>
      <c r="T573" s="677"/>
      <c r="U573" s="675"/>
      <c r="V573" s="675"/>
      <c r="W573" s="676"/>
      <c r="X573" s="677"/>
      <c r="Y573" s="675"/>
      <c r="Z573" s="675"/>
      <c r="AA573" s="676"/>
      <c r="AB573" s="677"/>
      <c r="AC573" s="675"/>
      <c r="AD573" s="675"/>
      <c r="AE573" s="676"/>
      <c r="AF573" s="677"/>
      <c r="AG573" s="675"/>
      <c r="AH573" s="675"/>
      <c r="AI573" s="675"/>
      <c r="AJ573" s="677"/>
      <c r="AK573" s="675"/>
      <c r="AL573" s="675"/>
      <c r="AN573" s="256"/>
      <c r="AQ573" s="303"/>
      <c r="AR573" s="256"/>
      <c r="AU573" s="303"/>
      <c r="AV573" s="256"/>
      <c r="AY573" s="303"/>
      <c r="AZ573" s="256"/>
      <c r="BC573" s="303"/>
      <c r="BD573" s="256"/>
      <c r="BG573" s="303"/>
      <c r="BH573" s="256"/>
      <c r="BK573" s="303"/>
      <c r="BL573" s="256"/>
      <c r="BO573" s="303"/>
      <c r="BP573" s="256"/>
      <c r="BS573" s="303"/>
      <c r="BT573" s="256"/>
      <c r="BW573" s="303"/>
      <c r="BX573" s="346"/>
      <c r="BY573" s="256"/>
      <c r="BZ573" s="302"/>
      <c r="CA573" s="302"/>
      <c r="CB573" s="302"/>
      <c r="CC573" s="675"/>
      <c r="CD573" s="392"/>
      <c r="CE573" s="392"/>
      <c r="CF573" s="392"/>
      <c r="CG573" s="302"/>
      <c r="CH573" s="302"/>
      <c r="CI573" s="302"/>
      <c r="CJ573" s="302"/>
      <c r="CK573" s="302"/>
      <c r="CL573" s="302"/>
      <c r="CM573" s="302"/>
      <c r="CN573" s="302"/>
      <c r="CO573" s="302"/>
      <c r="CP573" s="303"/>
    </row>
    <row r="574" spans="1:94" ht="14.25" hidden="1" customHeight="1" outlineLevel="2">
      <c r="B574" s="288" t="s">
        <v>207</v>
      </c>
      <c r="G574" s="303"/>
      <c r="L574" s="383"/>
      <c r="M574" s="384"/>
      <c r="N574" s="384"/>
      <c r="O574" s="385"/>
      <c r="P574" s="383"/>
      <c r="Q574" s="384"/>
      <c r="R574" s="384"/>
      <c r="S574" s="385"/>
      <c r="T574" s="383"/>
      <c r="U574" s="384"/>
      <c r="V574" s="384"/>
      <c r="W574" s="385"/>
      <c r="X574" s="789">
        <v>-5.8</v>
      </c>
      <c r="Y574" s="781">
        <v>-14.2</v>
      </c>
      <c r="Z574" s="781">
        <v>-2.5</v>
      </c>
      <c r="AA574" s="782">
        <f>-26.3-SUM(X574:Z574)</f>
        <v>-3.8000000000000007</v>
      </c>
      <c r="AB574" s="789">
        <v>-9.6</v>
      </c>
      <c r="AC574" s="781">
        <v>-8.1</v>
      </c>
      <c r="AD574" s="503">
        <f>-24.9-AB574-AC574-AE574</f>
        <v>-7.8999999999999995</v>
      </c>
      <c r="AE574" s="344">
        <v>0.7</v>
      </c>
      <c r="AF574" s="789">
        <v>-3.8</v>
      </c>
      <c r="AG574" s="781">
        <v>-2.2999999999999998</v>
      </c>
      <c r="AH574" s="781">
        <v>-0.9</v>
      </c>
      <c r="AI574" s="790">
        <f>-10.5-SUM(AF574:AH574)</f>
        <v>-3.5</v>
      </c>
      <c r="AJ574" s="789">
        <v>-12.4</v>
      </c>
      <c r="AK574" s="781">
        <v>-5.0999999999999996</v>
      </c>
      <c r="AL574" s="781">
        <v>-65.400000000000006</v>
      </c>
      <c r="AN574" s="256"/>
      <c r="AQ574" s="303"/>
      <c r="AR574" s="256"/>
      <c r="AU574" s="303"/>
      <c r="AV574" s="256"/>
      <c r="AY574" s="303"/>
      <c r="AZ574" s="256"/>
      <c r="BC574" s="303"/>
      <c r="BD574" s="256"/>
      <c r="BG574" s="303"/>
      <c r="BH574" s="256"/>
      <c r="BK574" s="303"/>
      <c r="BL574" s="256"/>
      <c r="BO574" s="303"/>
      <c r="BP574" s="256"/>
      <c r="BS574" s="303"/>
      <c r="BT574" s="256"/>
      <c r="BW574" s="303"/>
      <c r="BX574" s="346"/>
      <c r="BY574" s="256"/>
      <c r="BZ574" s="302"/>
      <c r="CA574" s="302"/>
      <c r="CB574" s="302"/>
      <c r="CC574" s="781">
        <v>-3</v>
      </c>
      <c r="CD574" s="384">
        <f>SUM(X574:AA574)</f>
        <v>-26.3</v>
      </c>
      <c r="CE574" s="696">
        <f>SUM(AB574:AE574)</f>
        <v>-24.9</v>
      </c>
      <c r="CF574" s="696">
        <f>SUM(AF574:AI574)</f>
        <v>-10.5</v>
      </c>
      <c r="CG574" s="302"/>
      <c r="CH574" s="302"/>
      <c r="CI574" s="302"/>
      <c r="CJ574" s="302"/>
      <c r="CK574" s="302"/>
      <c r="CL574" s="302"/>
      <c r="CM574" s="302"/>
      <c r="CN574" s="302"/>
      <c r="CO574" s="302"/>
      <c r="CP574" s="303"/>
    </row>
    <row r="575" spans="1:94" ht="14.25" hidden="1" customHeight="1" outlineLevel="2">
      <c r="B575" s="288" t="s">
        <v>208</v>
      </c>
      <c r="G575" s="303"/>
      <c r="L575" s="383"/>
      <c r="M575" s="384"/>
      <c r="N575" s="384"/>
      <c r="O575" s="385"/>
      <c r="P575" s="383"/>
      <c r="Q575" s="384"/>
      <c r="R575" s="384"/>
      <c r="S575" s="385"/>
      <c r="T575" s="383"/>
      <c r="U575" s="384"/>
      <c r="V575" s="384"/>
      <c r="W575" s="385"/>
      <c r="X575" s="789">
        <v>0</v>
      </c>
      <c r="Y575" s="781">
        <v>0</v>
      </c>
      <c r="Z575" s="781">
        <v>0</v>
      </c>
      <c r="AA575" s="782">
        <f>-544.5-SUM(X575:Z575)</f>
        <v>-544.5</v>
      </c>
      <c r="AB575" s="789">
        <v>0</v>
      </c>
      <c r="AC575" s="781">
        <v>0</v>
      </c>
      <c r="AD575" s="781">
        <v>0</v>
      </c>
      <c r="AE575" s="782">
        <f>0-SUM(AB575:AD575)</f>
        <v>0</v>
      </c>
      <c r="AF575" s="789">
        <v>0</v>
      </c>
      <c r="AG575" s="781">
        <v>0</v>
      </c>
      <c r="AH575" s="781">
        <v>0</v>
      </c>
      <c r="AI575" s="790">
        <f>-16.1-SUM(AF575:AH575)</f>
        <v>-16.100000000000001</v>
      </c>
      <c r="AJ575" s="789">
        <v>0</v>
      </c>
      <c r="AK575" s="781">
        <v>0</v>
      </c>
      <c r="AL575" s="781">
        <v>0</v>
      </c>
      <c r="AN575" s="256"/>
      <c r="AQ575" s="303"/>
      <c r="AR575" s="256"/>
      <c r="AU575" s="303"/>
      <c r="AV575" s="256"/>
      <c r="AY575" s="303"/>
      <c r="AZ575" s="256"/>
      <c r="BC575" s="303"/>
      <c r="BD575" s="256"/>
      <c r="BG575" s="303"/>
      <c r="BH575" s="256"/>
      <c r="BK575" s="303"/>
      <c r="BL575" s="256"/>
      <c r="BO575" s="303"/>
      <c r="BP575" s="256"/>
      <c r="BS575" s="303"/>
      <c r="BT575" s="256"/>
      <c r="BW575" s="303"/>
      <c r="BX575" s="346"/>
      <c r="BY575" s="256"/>
      <c r="BZ575" s="302"/>
      <c r="CA575" s="302"/>
      <c r="CB575" s="302"/>
      <c r="CC575" s="781">
        <v>0</v>
      </c>
      <c r="CD575" s="384">
        <f>SUM(X575:AA575)</f>
        <v>-544.5</v>
      </c>
      <c r="CE575" s="696">
        <f>SUM(AB575:AE575)</f>
        <v>0</v>
      </c>
      <c r="CF575" s="696">
        <f>SUM(AF575:AI575)</f>
        <v>-16.100000000000001</v>
      </c>
      <c r="CG575" s="302"/>
      <c r="CH575" s="302"/>
      <c r="CI575" s="302"/>
      <c r="CJ575" s="302"/>
      <c r="CK575" s="302"/>
      <c r="CL575" s="302"/>
      <c r="CM575" s="302"/>
      <c r="CN575" s="302"/>
      <c r="CO575" s="302"/>
      <c r="CP575" s="303"/>
    </row>
    <row r="576" spans="1:94" ht="14.25" hidden="1" customHeight="1" outlineLevel="2">
      <c r="B576" s="288" t="s">
        <v>204</v>
      </c>
      <c r="G576" s="303"/>
      <c r="L576" s="383"/>
      <c r="M576" s="384"/>
      <c r="N576" s="384"/>
      <c r="O576" s="385"/>
      <c r="P576" s="383"/>
      <c r="Q576" s="384"/>
      <c r="R576" s="384"/>
      <c r="S576" s="385"/>
      <c r="T576" s="383"/>
      <c r="U576" s="384"/>
      <c r="V576" s="384"/>
      <c r="W576" s="385"/>
      <c r="X576" s="789">
        <v>-10.3</v>
      </c>
      <c r="Y576" s="781">
        <v>-13.9</v>
      </c>
      <c r="Z576" s="781">
        <v>-8.6999999999999993</v>
      </c>
      <c r="AA576" s="782">
        <f>-43.7-SUM(X576:Z576)</f>
        <v>-10.799999999999997</v>
      </c>
      <c r="AB576" s="789">
        <v>-10.4</v>
      </c>
      <c r="AC576" s="781">
        <v>-10.5</v>
      </c>
      <c r="AD576" s="781">
        <v>-7.4</v>
      </c>
      <c r="AE576" s="782">
        <f>-35.2-SUM(AB576:AD576)</f>
        <v>-6.9000000000000057</v>
      </c>
      <c r="AF576" s="789">
        <v>-13.6</v>
      </c>
      <c r="AG576" s="781">
        <v>-11.5</v>
      </c>
      <c r="AH576" s="781">
        <v>-14.7</v>
      </c>
      <c r="AI576" s="790">
        <f>-55.8-SUM(AF576:AH576)</f>
        <v>-16</v>
      </c>
      <c r="AJ576" s="789">
        <v>-16.899999999999999</v>
      </c>
      <c r="AK576" s="781">
        <v>-18.399999999999999</v>
      </c>
      <c r="AL576" s="781">
        <v>-10.9</v>
      </c>
      <c r="AN576" s="256"/>
      <c r="AQ576" s="303"/>
      <c r="AR576" s="256"/>
      <c r="AU576" s="303"/>
      <c r="AV576" s="256"/>
      <c r="AY576" s="303"/>
      <c r="AZ576" s="256"/>
      <c r="BC576" s="303"/>
      <c r="BD576" s="256"/>
      <c r="BG576" s="303"/>
      <c r="BH576" s="256"/>
      <c r="BK576" s="303"/>
      <c r="BL576" s="256"/>
      <c r="BO576" s="303"/>
      <c r="BP576" s="256"/>
      <c r="BS576" s="303"/>
      <c r="BT576" s="256"/>
      <c r="BW576" s="303"/>
      <c r="BX576" s="346"/>
      <c r="BY576" s="256"/>
      <c r="BZ576" s="302"/>
      <c r="CA576" s="302"/>
      <c r="CB576" s="302"/>
      <c r="CC576" s="781">
        <v>-20.9</v>
      </c>
      <c r="CD576" s="384">
        <f>SUM(X576:AA576)</f>
        <v>-43.7</v>
      </c>
      <c r="CE576" s="696">
        <f>SUM(AB576:AE576)</f>
        <v>-35.200000000000003</v>
      </c>
      <c r="CF576" s="696">
        <f>SUM(AF576:AI576)</f>
        <v>-55.8</v>
      </c>
      <c r="CG576" s="302"/>
      <c r="CH576" s="302"/>
      <c r="CI576" s="302"/>
      <c r="CJ576" s="302"/>
      <c r="CK576" s="302"/>
      <c r="CL576" s="302"/>
      <c r="CM576" s="302"/>
      <c r="CN576" s="302"/>
      <c r="CO576" s="302"/>
      <c r="CP576" s="303"/>
    </row>
    <row r="577" spans="2:94" ht="14.25" hidden="1" customHeight="1" outlineLevel="2">
      <c r="B577" s="288" t="s">
        <v>209</v>
      </c>
      <c r="G577" s="303"/>
      <c r="L577" s="383"/>
      <c r="M577" s="384"/>
      <c r="N577" s="384"/>
      <c r="O577" s="385"/>
      <c r="P577" s="384"/>
      <c r="Q577" s="384"/>
      <c r="R577" s="384"/>
      <c r="S577" s="385"/>
      <c r="T577" s="384"/>
      <c r="U577" s="384"/>
      <c r="V577" s="384"/>
      <c r="W577" s="385"/>
      <c r="X577" s="789">
        <v>-30.8</v>
      </c>
      <c r="Y577" s="781">
        <v>-10.4</v>
      </c>
      <c r="Z577" s="781">
        <v>-11</v>
      </c>
      <c r="AA577" s="782">
        <f>-59.8-SUM(X577:Z577)</f>
        <v>-7.5999999999999943</v>
      </c>
      <c r="AB577" s="789">
        <v>-7.1</v>
      </c>
      <c r="AC577" s="781">
        <v>-7.8</v>
      </c>
      <c r="AD577" s="781">
        <v>-8.1999999999999993</v>
      </c>
      <c r="AE577" s="782">
        <f>-24.1-SUM(AB577:AD577)</f>
        <v>-1.0000000000000036</v>
      </c>
      <c r="AF577" s="789">
        <v>-9</v>
      </c>
      <c r="AG577" s="781">
        <v>-9.5</v>
      </c>
      <c r="AH577" s="781">
        <v>-14.4</v>
      </c>
      <c r="AI577" s="790">
        <f>-41.5-SUM(AF577:AH577)</f>
        <v>-8.6000000000000014</v>
      </c>
      <c r="AJ577" s="789">
        <v>-10.4</v>
      </c>
      <c r="AK577" s="781">
        <v>-2.2999999999999998</v>
      </c>
      <c r="AL577" s="781">
        <v>-0.8</v>
      </c>
      <c r="AN577" s="256"/>
      <c r="AQ577" s="303"/>
      <c r="AR577" s="256"/>
      <c r="AU577" s="303"/>
      <c r="AV577" s="256"/>
      <c r="AY577" s="303"/>
      <c r="AZ577" s="256"/>
      <c r="BC577" s="303"/>
      <c r="BD577" s="256"/>
      <c r="BG577" s="303"/>
      <c r="BH577" s="256"/>
      <c r="BK577" s="303"/>
      <c r="BL577" s="256"/>
      <c r="BO577" s="303"/>
      <c r="BP577" s="256"/>
      <c r="BS577" s="303"/>
      <c r="BT577" s="256"/>
      <c r="BW577" s="303"/>
      <c r="BX577" s="346"/>
      <c r="BY577" s="256"/>
      <c r="BZ577" s="302"/>
      <c r="CA577" s="302"/>
      <c r="CB577" s="302"/>
      <c r="CC577" s="781">
        <v>-25.3</v>
      </c>
      <c r="CD577" s="384">
        <f>SUM(X577:AA577)</f>
        <v>-59.8</v>
      </c>
      <c r="CE577" s="696">
        <f>SUM(AB577:AE577)</f>
        <v>-24.1</v>
      </c>
      <c r="CF577" s="696">
        <f>SUM(AF577:AI577)</f>
        <v>-41.5</v>
      </c>
      <c r="CG577" s="302"/>
      <c r="CH577" s="302"/>
      <c r="CI577" s="302"/>
      <c r="CJ577" s="302"/>
      <c r="CK577" s="302"/>
      <c r="CL577" s="302"/>
      <c r="CM577" s="302"/>
      <c r="CN577" s="302"/>
      <c r="CO577" s="302"/>
      <c r="CP577" s="303"/>
    </row>
    <row r="578" spans="2:94" ht="14.25" hidden="1" customHeight="1" outlineLevel="2">
      <c r="B578" s="286" t="s">
        <v>210</v>
      </c>
      <c r="G578" s="303"/>
      <c r="K578" s="303"/>
      <c r="L578" s="325"/>
      <c r="M578" s="325"/>
      <c r="N578" s="325"/>
      <c r="O578" s="326"/>
      <c r="P578" s="325"/>
      <c r="Q578" s="325"/>
      <c r="R578" s="325"/>
      <c r="S578" s="326"/>
      <c r="T578" s="325"/>
      <c r="U578" s="325"/>
      <c r="V578" s="325"/>
      <c r="W578" s="326"/>
      <c r="X578" s="325">
        <f t="shared" ref="X578:AI578" si="870">X572+SUM(X574:X577)</f>
        <v>30.799999999999983</v>
      </c>
      <c r="Y578" s="325">
        <f t="shared" si="870"/>
        <v>33.400000000000006</v>
      </c>
      <c r="Z578" s="325">
        <f t="shared" si="870"/>
        <v>73.599999999999994</v>
      </c>
      <c r="AA578" s="326">
        <f t="shared" si="870"/>
        <v>-503.69999999999993</v>
      </c>
      <c r="AB578" s="334">
        <f t="shared" si="870"/>
        <v>-4.6000000000000014</v>
      </c>
      <c r="AC578" s="325">
        <f t="shared" si="870"/>
        <v>13.699999999999992</v>
      </c>
      <c r="AD578" s="325">
        <f t="shared" si="870"/>
        <v>49.7</v>
      </c>
      <c r="AE578" s="326">
        <f t="shared" si="870"/>
        <v>83.8</v>
      </c>
      <c r="AF578" s="334">
        <f t="shared" si="870"/>
        <v>84.199999999999989</v>
      </c>
      <c r="AG578" s="325">
        <f t="shared" si="870"/>
        <v>101.5</v>
      </c>
      <c r="AH578" s="325">
        <f t="shared" si="870"/>
        <v>107.69999999999999</v>
      </c>
      <c r="AI578" s="325">
        <f t="shared" si="870"/>
        <v>80.8</v>
      </c>
      <c r="AJ578" s="334">
        <f>AJ572+SUM(AJ574:AJ577)</f>
        <v>32.70000000000001</v>
      </c>
      <c r="AK578" s="325">
        <f>AK572+SUM(AK574:AK577)</f>
        <v>56.899999999999991</v>
      </c>
      <c r="AL578" s="325">
        <f>AL572+SUM(AL574:AL577)</f>
        <v>-6.7000000000000028</v>
      </c>
      <c r="AM578" s="303"/>
      <c r="AN578" s="302"/>
      <c r="AQ578" s="303"/>
      <c r="AR578" s="302"/>
      <c r="AU578" s="303"/>
      <c r="AV578" s="302"/>
      <c r="AY578" s="303"/>
      <c r="AZ578" s="302"/>
      <c r="BC578" s="303"/>
      <c r="BD578" s="302"/>
      <c r="BG578" s="303"/>
      <c r="BH578" s="302"/>
      <c r="BK578" s="303"/>
      <c r="BL578" s="302"/>
      <c r="BO578" s="303"/>
      <c r="BP578" s="302"/>
      <c r="BS578" s="303"/>
      <c r="BT578" s="302"/>
      <c r="BW578" s="303"/>
      <c r="BX578" s="346"/>
      <c r="BY578" s="256"/>
      <c r="BZ578" s="302"/>
      <c r="CA578" s="302"/>
      <c r="CB578" s="302"/>
      <c r="CC578" s="325">
        <f>CC572+SUM(CC574:CC577)</f>
        <v>277.2</v>
      </c>
      <c r="CD578" s="742">
        <f>CD572+SUM(CD574:CD577)</f>
        <v>-365.9</v>
      </c>
      <c r="CE578" s="742">
        <f>CE572+SUM(CE574:CE577)</f>
        <v>142.60000000000002</v>
      </c>
      <c r="CF578" s="742">
        <f>CF572+SUM(CF574:CF577)</f>
        <v>374.19999999999993</v>
      </c>
      <c r="CG578" s="942"/>
      <c r="CH578" s="942"/>
      <c r="CI578" s="302"/>
      <c r="CJ578" s="302"/>
      <c r="CK578" s="302"/>
      <c r="CL578" s="302"/>
      <c r="CM578" s="302"/>
      <c r="CN578" s="302"/>
      <c r="CO578" s="302"/>
      <c r="CP578" s="303"/>
    </row>
    <row r="579" spans="2:94" ht="14.25" hidden="1" customHeight="1" outlineLevel="2">
      <c r="B579" s="288" t="s">
        <v>358</v>
      </c>
      <c r="G579" s="303"/>
      <c r="K579" s="303"/>
      <c r="O579" s="303"/>
      <c r="S579" s="303"/>
      <c r="W579" s="303"/>
      <c r="X579" s="289">
        <f t="shared" ref="X579:AI579" si="871">X572/X562</f>
        <v>0.18416686418582601</v>
      </c>
      <c r="Y579" s="338">
        <f t="shared" si="871"/>
        <v>0.12777679047449797</v>
      </c>
      <c r="Z579" s="289">
        <f t="shared" si="871"/>
        <v>0.1647463456577816</v>
      </c>
      <c r="AA579" s="290">
        <f t="shared" si="871"/>
        <v>0.12891344383057088</v>
      </c>
      <c r="AB579" s="289">
        <f t="shared" si="871"/>
        <v>5.935109469796887E-2</v>
      </c>
      <c r="AC579" s="338">
        <f t="shared" si="871"/>
        <v>9.5521676989042403E-2</v>
      </c>
      <c r="AD579" s="289">
        <f t="shared" si="871"/>
        <v>0.154789596109114</v>
      </c>
      <c r="AE579" s="290">
        <f t="shared" si="871"/>
        <v>0.18306175819754575</v>
      </c>
      <c r="AF579" s="289">
        <f t="shared" si="871"/>
        <v>0.20101781170483457</v>
      </c>
      <c r="AG579" s="338">
        <f t="shared" si="871"/>
        <v>0.21395508314760844</v>
      </c>
      <c r="AH579" s="289">
        <f t="shared" si="871"/>
        <v>0.22923256201098716</v>
      </c>
      <c r="AI579" s="289">
        <f t="shared" si="871"/>
        <v>0.21581491712707179</v>
      </c>
      <c r="AJ579" s="323">
        <f>AJ572/AJ562</f>
        <v>8.3161038364346435E-2</v>
      </c>
      <c r="AK579" s="338">
        <f>AK572/AK562</f>
        <v>9.1300507838374914E-2</v>
      </c>
      <c r="AL579" s="289">
        <f>AL572/AL562</f>
        <v>7.8396436525612484E-2</v>
      </c>
      <c r="AM579" s="303"/>
      <c r="AQ579" s="303"/>
      <c r="AU579" s="303"/>
      <c r="AY579" s="303"/>
      <c r="BC579" s="303"/>
      <c r="BG579" s="303"/>
      <c r="BK579" s="303"/>
      <c r="BO579" s="303"/>
      <c r="BS579" s="303"/>
      <c r="BW579" s="303"/>
      <c r="BX579" s="346"/>
      <c r="BY579" s="256"/>
      <c r="BZ579" s="302"/>
      <c r="CA579" s="302"/>
      <c r="CB579" s="302"/>
      <c r="CC579" s="338">
        <f>CC572/CC562</f>
        <v>0.20840250287319625</v>
      </c>
      <c r="CD579" s="338">
        <f>CD572/CD562</f>
        <v>0.1500875997664006</v>
      </c>
      <c r="CE579" s="338">
        <f>CE572/CE562</f>
        <v>0.12821527502967947</v>
      </c>
      <c r="CF579" s="289">
        <f>CF572/CF562</f>
        <v>0.21531079795971295</v>
      </c>
      <c r="CG579" s="302"/>
      <c r="CH579" s="302"/>
      <c r="CI579" s="302"/>
      <c r="CJ579" s="302"/>
      <c r="CK579" s="302"/>
      <c r="CL579" s="302"/>
      <c r="CM579" s="302"/>
      <c r="CN579" s="302"/>
      <c r="CO579" s="302"/>
      <c r="CP579" s="303"/>
    </row>
    <row r="580" spans="2:94" ht="14.25" hidden="1" customHeight="1" outlineLevel="2">
      <c r="B580" s="217" t="s">
        <v>297</v>
      </c>
      <c r="G580" s="303"/>
      <c r="K580" s="303"/>
      <c r="O580" s="303"/>
      <c r="S580" s="303"/>
      <c r="W580" s="303"/>
      <c r="X580" s="425"/>
      <c r="Y580" s="220">
        <f t="shared" ref="Y580:AI580" si="872">Y572/X572-1</f>
        <v>-7.4646074646074423E-2</v>
      </c>
      <c r="Z580" s="220">
        <f t="shared" si="872"/>
        <v>0.33240611961057009</v>
      </c>
      <c r="AA580" s="258">
        <f t="shared" si="872"/>
        <v>-0.34237995824634648</v>
      </c>
      <c r="AB580" s="220">
        <f t="shared" si="872"/>
        <v>-0.64285714285714279</v>
      </c>
      <c r="AC580" s="220">
        <f t="shared" si="872"/>
        <v>0.78222222222222193</v>
      </c>
      <c r="AD580" s="220">
        <f t="shared" si="872"/>
        <v>0.82543640897755655</v>
      </c>
      <c r="AE580" s="258">
        <f t="shared" si="872"/>
        <v>0.24316939890710376</v>
      </c>
      <c r="AF580" s="220">
        <f t="shared" si="872"/>
        <v>0.21538461538461529</v>
      </c>
      <c r="AG580" s="220">
        <f t="shared" si="872"/>
        <v>0.12839059674502717</v>
      </c>
      <c r="AH580" s="220">
        <f t="shared" si="872"/>
        <v>0.10336538461538458</v>
      </c>
      <c r="AI580" s="220">
        <f t="shared" si="872"/>
        <v>-9.2229484386347038E-2</v>
      </c>
      <c r="AJ580" s="219">
        <f>AJ572/AI572-1</f>
        <v>-0.42079999999999995</v>
      </c>
      <c r="AK580" s="220">
        <f>AK572/AJ572-1</f>
        <v>0.14226519337016552</v>
      </c>
      <c r="AL580" s="220">
        <f>AL572/AK572-1</f>
        <v>-0.14873035066505425</v>
      </c>
      <c r="AM580" s="303"/>
      <c r="AQ580" s="303"/>
      <c r="AU580" s="303"/>
      <c r="AY580" s="303"/>
      <c r="BC580" s="303"/>
      <c r="BG580" s="303"/>
      <c r="BK580" s="303"/>
      <c r="BO580" s="303"/>
      <c r="BS580" s="303"/>
      <c r="BW580" s="303"/>
      <c r="BX580" s="346"/>
      <c r="BY580" s="256"/>
      <c r="BZ580" s="302"/>
      <c r="CA580" s="302"/>
      <c r="CB580" s="302"/>
      <c r="CC580" s="220"/>
      <c r="CD580" s="15"/>
      <c r="CE580" s="15"/>
      <c r="CF580" s="220"/>
      <c r="CG580" s="302"/>
      <c r="CH580" s="302"/>
      <c r="CI580" s="302"/>
      <c r="CJ580" s="302"/>
      <c r="CK580" s="302"/>
      <c r="CL580" s="302"/>
      <c r="CM580" s="302"/>
      <c r="CN580" s="302"/>
      <c r="CO580" s="302"/>
      <c r="CP580" s="303"/>
    </row>
    <row r="581" spans="2:94" ht="14.25" hidden="1" customHeight="1" outlineLevel="2">
      <c r="B581" s="32" t="s">
        <v>298</v>
      </c>
      <c r="G581" s="303"/>
      <c r="K581" s="303"/>
      <c r="O581" s="303"/>
      <c r="S581" s="303"/>
      <c r="W581" s="303"/>
      <c r="X581" s="425"/>
      <c r="Y581" s="418"/>
      <c r="Z581" s="418"/>
      <c r="AA581" s="419"/>
      <c r="AB581" s="220">
        <f t="shared" ref="AB581:AI581" si="873">AB572/X572-1</f>
        <v>-0.71042471042471034</v>
      </c>
      <c r="AC581" s="220">
        <f t="shared" si="873"/>
        <v>-0.44228094575799737</v>
      </c>
      <c r="AD581" s="220">
        <f t="shared" si="873"/>
        <v>-0.23590814196242171</v>
      </c>
      <c r="AE581" s="258">
        <f t="shared" si="873"/>
        <v>0.44444444444444442</v>
      </c>
      <c r="AF581" s="220">
        <f t="shared" si="873"/>
        <v>3.9155555555555557</v>
      </c>
      <c r="AG581" s="220">
        <f t="shared" si="873"/>
        <v>2.1122194513715713</v>
      </c>
      <c r="AH581" s="220">
        <f t="shared" si="873"/>
        <v>0.88114754098360626</v>
      </c>
      <c r="AI581" s="220">
        <f t="shared" si="873"/>
        <v>0.37362637362637363</v>
      </c>
      <c r="AJ581" s="219">
        <f>AJ572/AF572-1</f>
        <v>-0.34538878842676302</v>
      </c>
      <c r="AK581" s="220">
        <f>AK572/AG572-1</f>
        <v>-0.33733974358974361</v>
      </c>
      <c r="AL581" s="220">
        <f>AL572/AH572-1</f>
        <v>-0.48874364560639061</v>
      </c>
      <c r="AM581" s="303"/>
      <c r="AQ581" s="303"/>
      <c r="AU581" s="303"/>
      <c r="AY581" s="303"/>
      <c r="BC581" s="303"/>
      <c r="BG581" s="303"/>
      <c r="BK581" s="303"/>
      <c r="BO581" s="303"/>
      <c r="BS581" s="303"/>
      <c r="BW581" s="303"/>
      <c r="BX581" s="346"/>
      <c r="BY581" s="256"/>
      <c r="BZ581" s="302"/>
      <c r="CA581" s="302"/>
      <c r="CB581" s="302"/>
      <c r="CC581" s="220"/>
      <c r="CD581" s="338">
        <f>CD572/CC572-1</f>
        <v>-5.5147058823529438E-2</v>
      </c>
      <c r="CE581" s="338">
        <f>CE572/CD572-1</f>
        <v>-0.2645914396887159</v>
      </c>
      <c r="CF581" s="338">
        <f>CF572/CE572-1</f>
        <v>1.1962081128747792</v>
      </c>
      <c r="CG581" s="302"/>
      <c r="CH581" s="302"/>
      <c r="CI581" s="302"/>
      <c r="CJ581" s="302"/>
      <c r="CK581" s="302"/>
      <c r="CL581" s="302"/>
      <c r="CM581" s="302"/>
      <c r="CN581" s="302"/>
      <c r="CO581" s="302"/>
      <c r="CP581" s="303"/>
    </row>
    <row r="582" spans="2:94" ht="14.25" hidden="1" customHeight="1" outlineLevel="2">
      <c r="B582" s="32"/>
      <c r="G582" s="303"/>
      <c r="K582" s="303"/>
      <c r="O582" s="303"/>
      <c r="S582" s="303"/>
      <c r="W582" s="303"/>
      <c r="AA582" s="303"/>
      <c r="AE582" s="303"/>
      <c r="AI582" s="302"/>
      <c r="AJ582" s="256"/>
      <c r="AM582" s="303"/>
      <c r="AQ582" s="303"/>
      <c r="AU582" s="303"/>
      <c r="AY582" s="303"/>
      <c r="BC582" s="303"/>
      <c r="BG582" s="303"/>
      <c r="BK582" s="303"/>
      <c r="BO582" s="303"/>
      <c r="BS582" s="303"/>
      <c r="BW582" s="303"/>
      <c r="BX582" s="346"/>
      <c r="BY582" s="256"/>
      <c r="BZ582" s="302"/>
      <c r="CA582" s="302"/>
      <c r="CB582" s="302"/>
      <c r="CC582" s="302"/>
      <c r="CD582" s="392"/>
      <c r="CE582" s="392"/>
      <c r="CF582" s="392"/>
      <c r="CG582" s="302"/>
      <c r="CH582" s="302"/>
      <c r="CI582" s="302"/>
      <c r="CJ582" s="302"/>
      <c r="CK582" s="302"/>
      <c r="CL582" s="302"/>
      <c r="CM582" s="302"/>
      <c r="CN582" s="302"/>
      <c r="CO582" s="302"/>
      <c r="CP582" s="303"/>
    </row>
    <row r="583" spans="2:94" ht="14.25" hidden="1" customHeight="1" outlineLevel="2">
      <c r="B583" s="235" t="s">
        <v>318</v>
      </c>
      <c r="G583" s="303"/>
      <c r="K583" s="303"/>
      <c r="O583" s="303"/>
      <c r="S583" s="303"/>
      <c r="W583" s="303"/>
      <c r="X583" s="331">
        <v>421.9</v>
      </c>
      <c r="Y583" s="329">
        <v>562.70000000000005</v>
      </c>
      <c r="Z583" s="329">
        <v>581.5</v>
      </c>
      <c r="AA583" s="330">
        <f>2054.8-SUM(X583:Z583)</f>
        <v>488.70000000000027</v>
      </c>
      <c r="AB583" s="331">
        <v>379.1</v>
      </c>
      <c r="AC583" s="329">
        <v>419.8</v>
      </c>
      <c r="AD583" s="329">
        <v>472.9</v>
      </c>
      <c r="AE583" s="330">
        <f>1768.9-SUM(AB583:AD583)</f>
        <v>497.09999999999991</v>
      </c>
      <c r="AF583" s="331">
        <v>550.20000000000005</v>
      </c>
      <c r="AG583" s="329">
        <v>583.29999999999995</v>
      </c>
      <c r="AH583" s="329">
        <v>600.70000000000005</v>
      </c>
      <c r="AI583" s="329">
        <f>2313.4-SUM(AF583:AH583)</f>
        <v>579.20000000000005</v>
      </c>
      <c r="AJ583" s="331">
        <v>870.6</v>
      </c>
      <c r="AK583" s="329">
        <v>905.8</v>
      </c>
      <c r="AL583" s="329">
        <v>898</v>
      </c>
      <c r="AM583" s="303"/>
      <c r="AQ583" s="303"/>
      <c r="AU583" s="303"/>
      <c r="AY583" s="303"/>
      <c r="BC583" s="303"/>
      <c r="BG583" s="303"/>
      <c r="BK583" s="303"/>
      <c r="BO583" s="303"/>
      <c r="BS583" s="303"/>
      <c r="BW583" s="303"/>
      <c r="BX583" s="346"/>
      <c r="BY583" s="256"/>
      <c r="BZ583" s="302"/>
      <c r="CA583" s="302"/>
      <c r="CB583" s="302"/>
      <c r="CC583" s="329">
        <v>1566.2</v>
      </c>
      <c r="CD583" s="329">
        <f>SUM(X583:AA583)</f>
        <v>2054.8000000000002</v>
      </c>
      <c r="CE583" s="329">
        <f>SUM(AB583:AE583)</f>
        <v>1768.9</v>
      </c>
      <c r="CF583" s="554">
        <f>SUM(AF583:AI583)</f>
        <v>2313.4</v>
      </c>
      <c r="CG583" s="302"/>
      <c r="CH583" s="302"/>
      <c r="CI583" s="302"/>
      <c r="CJ583" s="302"/>
      <c r="CK583" s="302"/>
      <c r="CL583" s="302"/>
      <c r="CM583" s="302"/>
      <c r="CN583" s="302"/>
      <c r="CO583" s="302"/>
      <c r="CP583" s="303"/>
    </row>
    <row r="584" spans="2:94" ht="14.25" hidden="1" customHeight="1" outlineLevel="2">
      <c r="B584" s="678" t="s">
        <v>166</v>
      </c>
      <c r="C584" s="737"/>
      <c r="D584" s="737"/>
      <c r="E584" s="737"/>
      <c r="F584" s="737"/>
      <c r="G584" s="738"/>
      <c r="H584" s="737"/>
      <c r="I584" s="737"/>
      <c r="J584" s="737"/>
      <c r="K584" s="738"/>
      <c r="L584" s="737"/>
      <c r="M584" s="737"/>
      <c r="N584" s="737"/>
      <c r="O584" s="738"/>
      <c r="P584" s="737"/>
      <c r="Q584" s="737"/>
      <c r="R584" s="737"/>
      <c r="S584" s="738"/>
      <c r="T584" s="737"/>
      <c r="U584" s="737"/>
      <c r="V584" s="737"/>
      <c r="W584" s="738"/>
      <c r="X584" s="761">
        <f t="shared" ref="X584:AI584" si="874">X583-X562</f>
        <v>0</v>
      </c>
      <c r="Y584" s="752">
        <f t="shared" si="874"/>
        <v>0</v>
      </c>
      <c r="Z584" s="752">
        <f t="shared" si="874"/>
        <v>0</v>
      </c>
      <c r="AA584" s="753">
        <f t="shared" si="874"/>
        <v>0</v>
      </c>
      <c r="AB584" s="761">
        <f t="shared" si="874"/>
        <v>0</v>
      </c>
      <c r="AC584" s="752">
        <f t="shared" si="874"/>
        <v>0</v>
      </c>
      <c r="AD584" s="752">
        <f t="shared" si="874"/>
        <v>0</v>
      </c>
      <c r="AE584" s="753">
        <f t="shared" si="874"/>
        <v>0</v>
      </c>
      <c r="AF584" s="761">
        <f t="shared" si="874"/>
        <v>0</v>
      </c>
      <c r="AG584" s="752">
        <f t="shared" si="874"/>
        <v>0</v>
      </c>
      <c r="AH584" s="752">
        <f t="shared" si="874"/>
        <v>0</v>
      </c>
      <c r="AI584" s="752">
        <f t="shared" si="874"/>
        <v>0</v>
      </c>
      <c r="AJ584" s="761">
        <f>AJ583-AJ562</f>
        <v>0</v>
      </c>
      <c r="AK584" s="752">
        <f>AK583-AK562</f>
        <v>0</v>
      </c>
      <c r="AL584" s="752">
        <f>AL583-AL562</f>
        <v>0</v>
      </c>
      <c r="AM584" s="738"/>
      <c r="AN584" s="737"/>
      <c r="AO584" s="737"/>
      <c r="AP584" s="737"/>
      <c r="AQ584" s="738"/>
      <c r="AR584" s="737"/>
      <c r="AS584" s="737"/>
      <c r="AT584" s="737"/>
      <c r="AU584" s="738"/>
      <c r="AV584" s="737"/>
      <c r="AW584" s="737"/>
      <c r="AX584" s="737"/>
      <c r="AY584" s="738"/>
      <c r="AZ584" s="737"/>
      <c r="BA584" s="737"/>
      <c r="BB584" s="737"/>
      <c r="BC584" s="738"/>
      <c r="BD584" s="737"/>
      <c r="BE584" s="737"/>
      <c r="BF584" s="737"/>
      <c r="BG584" s="738"/>
      <c r="BH584" s="737"/>
      <c r="BI584" s="737"/>
      <c r="BJ584" s="737"/>
      <c r="BK584" s="738"/>
      <c r="BL584" s="737"/>
      <c r="BM584" s="737"/>
      <c r="BN584" s="737"/>
      <c r="BO584" s="738"/>
      <c r="BP584" s="737"/>
      <c r="BQ584" s="737"/>
      <c r="BR584" s="737"/>
      <c r="BS584" s="738"/>
      <c r="BT584" s="737"/>
      <c r="BU584" s="737"/>
      <c r="BV584" s="737"/>
      <c r="BW584" s="738"/>
      <c r="BX584" s="775"/>
      <c r="BY584" s="740"/>
      <c r="BZ584" s="741"/>
      <c r="CA584" s="741"/>
      <c r="CB584" s="741"/>
      <c r="CC584" s="752">
        <f>CC583-CC562</f>
        <v>0</v>
      </c>
      <c r="CD584" s="752">
        <f>CD583-CD562</f>
        <v>0</v>
      </c>
      <c r="CE584" s="752">
        <f>CE583-CE562</f>
        <v>0</v>
      </c>
      <c r="CF584" s="752">
        <f>CF583-CF562</f>
        <v>0</v>
      </c>
      <c r="CG584" s="741"/>
      <c r="CH584" s="741"/>
      <c r="CI584" s="741"/>
      <c r="CJ584" s="741"/>
      <c r="CK584" s="741"/>
      <c r="CL584" s="741"/>
      <c r="CM584" s="741"/>
      <c r="CN584" s="741"/>
      <c r="CO584" s="741"/>
      <c r="CP584" s="738"/>
    </row>
    <row r="585" spans="2:94" ht="14.25" hidden="1" customHeight="1" outlineLevel="2">
      <c r="B585" s="235"/>
      <c r="G585" s="303"/>
      <c r="K585" s="303"/>
      <c r="O585" s="303"/>
      <c r="S585" s="303"/>
      <c r="W585" s="303"/>
      <c r="X585" s="329"/>
      <c r="Y585" s="329"/>
      <c r="Z585" s="329"/>
      <c r="AA585" s="330"/>
      <c r="AB585" s="329"/>
      <c r="AC585" s="329"/>
      <c r="AD585" s="329"/>
      <c r="AE585" s="330"/>
      <c r="AF585" s="329"/>
      <c r="AG585" s="329"/>
      <c r="AH585" s="554"/>
      <c r="AI585" s="329"/>
      <c r="AJ585" s="331"/>
      <c r="AK585" s="329"/>
      <c r="AL585" s="554"/>
      <c r="AM585" s="303"/>
      <c r="AQ585" s="303"/>
      <c r="AU585" s="303"/>
      <c r="AY585" s="303"/>
      <c r="BC585" s="303"/>
      <c r="BG585" s="303"/>
      <c r="BK585" s="303"/>
      <c r="BO585" s="303"/>
      <c r="BS585" s="303"/>
      <c r="BW585" s="303"/>
      <c r="BX585" s="346"/>
      <c r="BY585" s="256"/>
      <c r="BZ585" s="302"/>
      <c r="CA585" s="302"/>
      <c r="CB585" s="302"/>
      <c r="CC585" s="329"/>
      <c r="CD585" s="329"/>
      <c r="CE585" s="329"/>
      <c r="CF585" s="554"/>
      <c r="CG585" s="302"/>
      <c r="CH585" s="302"/>
      <c r="CI585" s="302"/>
      <c r="CJ585" s="302"/>
      <c r="CK585" s="302"/>
      <c r="CL585" s="302"/>
      <c r="CM585" s="302"/>
      <c r="CN585" s="302"/>
      <c r="CO585" s="302"/>
      <c r="CP585" s="303"/>
    </row>
    <row r="586" spans="2:94" ht="14.25" hidden="1" customHeight="1" outlineLevel="2">
      <c r="B586" s="235" t="s">
        <v>211</v>
      </c>
      <c r="G586" s="303"/>
      <c r="K586" s="303"/>
      <c r="O586" s="303"/>
      <c r="S586" s="303"/>
      <c r="W586" s="303"/>
      <c r="X586" s="329">
        <v>146.6</v>
      </c>
      <c r="Y586" s="329">
        <v>191.6</v>
      </c>
      <c r="Z586" s="329">
        <v>221.6</v>
      </c>
      <c r="AA586" s="330">
        <f>745.5-SUM(X586:Z586)</f>
        <v>185.70000000000005</v>
      </c>
      <c r="AB586" s="329">
        <v>112.1</v>
      </c>
      <c r="AC586" s="329">
        <v>138.19999999999999</v>
      </c>
      <c r="AD586" s="329">
        <v>175.8</v>
      </c>
      <c r="AE586" s="330">
        <f>620.7-SUM(AB586:AD586)</f>
        <v>194.60000000000002</v>
      </c>
      <c r="AF586" s="329">
        <v>228.1</v>
      </c>
      <c r="AG586" s="329">
        <v>243.8</v>
      </c>
      <c r="AH586" s="554">
        <v>246.5</v>
      </c>
      <c r="AI586" s="329">
        <f>956-SUM(AF586:AH586)</f>
        <v>237.60000000000002</v>
      </c>
      <c r="AJ586" s="331">
        <v>242.4</v>
      </c>
      <c r="AK586" s="329">
        <v>266.10000000000002</v>
      </c>
      <c r="AL586" s="554">
        <v>261.10000000000002</v>
      </c>
      <c r="AM586" s="303"/>
      <c r="AQ586" s="303"/>
      <c r="AU586" s="303"/>
      <c r="AY586" s="303"/>
      <c r="BC586" s="303"/>
      <c r="BG586" s="303"/>
      <c r="BK586" s="303"/>
      <c r="BO586" s="303"/>
      <c r="BS586" s="303"/>
      <c r="BW586" s="303"/>
      <c r="BX586" s="346"/>
      <c r="BY586" s="256"/>
      <c r="BZ586" s="302"/>
      <c r="CA586" s="302"/>
      <c r="CB586" s="302"/>
      <c r="CC586" s="329">
        <v>590.5</v>
      </c>
      <c r="CD586" s="329">
        <f>SUM(X586:AA586)</f>
        <v>745.5</v>
      </c>
      <c r="CE586" s="329">
        <f>SUM(AB586:AE586)</f>
        <v>620.70000000000005</v>
      </c>
      <c r="CF586" s="554">
        <f>SUM(AF586:AI586)</f>
        <v>956</v>
      </c>
      <c r="CG586" s="302"/>
      <c r="CH586" s="302"/>
      <c r="CI586" s="302"/>
      <c r="CJ586" s="302"/>
      <c r="CK586" s="302"/>
      <c r="CL586" s="302"/>
      <c r="CM586" s="302"/>
      <c r="CN586" s="302"/>
      <c r="CO586" s="302"/>
      <c r="CP586" s="303"/>
    </row>
    <row r="587" spans="2:94" ht="14.25" hidden="1" customHeight="1" outlineLevel="2">
      <c r="B587" s="678" t="s">
        <v>166</v>
      </c>
      <c r="C587" s="737"/>
      <c r="D587" s="737"/>
      <c r="E587" s="737"/>
      <c r="F587" s="737"/>
      <c r="G587" s="738"/>
      <c r="H587" s="737"/>
      <c r="I587" s="737"/>
      <c r="J587" s="737"/>
      <c r="K587" s="738"/>
      <c r="L587" s="737"/>
      <c r="M587" s="737"/>
      <c r="N587" s="737"/>
      <c r="O587" s="738"/>
      <c r="P587" s="737"/>
      <c r="Q587" s="737"/>
      <c r="R587" s="737"/>
      <c r="S587" s="738"/>
      <c r="T587" s="737"/>
      <c r="U587" s="737"/>
      <c r="V587" s="737"/>
      <c r="W587" s="738"/>
      <c r="X587" s="752">
        <f t="shared" ref="X587:AI587" si="875">X586-X569</f>
        <v>0</v>
      </c>
      <c r="Y587" s="752">
        <f t="shared" si="875"/>
        <v>0</v>
      </c>
      <c r="Z587" s="752">
        <f t="shared" si="875"/>
        <v>0</v>
      </c>
      <c r="AA587" s="753">
        <f t="shared" si="875"/>
        <v>0</v>
      </c>
      <c r="AB587" s="752">
        <f t="shared" si="875"/>
        <v>0</v>
      </c>
      <c r="AC587" s="752">
        <f t="shared" si="875"/>
        <v>0</v>
      </c>
      <c r="AD587" s="752">
        <f t="shared" si="875"/>
        <v>0</v>
      </c>
      <c r="AE587" s="753">
        <f t="shared" si="875"/>
        <v>0</v>
      </c>
      <c r="AF587" s="752">
        <f t="shared" si="875"/>
        <v>0</v>
      </c>
      <c r="AG587" s="752">
        <f t="shared" si="875"/>
        <v>0</v>
      </c>
      <c r="AH587" s="752">
        <f t="shared" si="875"/>
        <v>0</v>
      </c>
      <c r="AI587" s="752">
        <f t="shared" si="875"/>
        <v>0</v>
      </c>
      <c r="AJ587" s="761">
        <f>AJ586-AJ569</f>
        <v>0</v>
      </c>
      <c r="AK587" s="752">
        <f>AK586-AK569</f>
        <v>0</v>
      </c>
      <c r="AL587" s="752">
        <f>AL586-AL569</f>
        <v>0</v>
      </c>
      <c r="AM587" s="738"/>
      <c r="AN587" s="737"/>
      <c r="AO587" s="737"/>
      <c r="AP587" s="737"/>
      <c r="AQ587" s="738"/>
      <c r="AR587" s="737"/>
      <c r="AS587" s="737"/>
      <c r="AT587" s="737"/>
      <c r="AU587" s="738"/>
      <c r="AV587" s="737"/>
      <c r="AW587" s="737"/>
      <c r="AX587" s="737"/>
      <c r="AY587" s="738"/>
      <c r="AZ587" s="737"/>
      <c r="BA587" s="737"/>
      <c r="BB587" s="737"/>
      <c r="BC587" s="738"/>
      <c r="BD587" s="737"/>
      <c r="BE587" s="737"/>
      <c r="BF587" s="737"/>
      <c r="BG587" s="738"/>
      <c r="BH587" s="737"/>
      <c r="BI587" s="737"/>
      <c r="BJ587" s="737"/>
      <c r="BK587" s="738"/>
      <c r="BL587" s="737"/>
      <c r="BM587" s="737"/>
      <c r="BN587" s="737"/>
      <c r="BO587" s="738"/>
      <c r="BP587" s="737"/>
      <c r="BQ587" s="737"/>
      <c r="BR587" s="737"/>
      <c r="BS587" s="738"/>
      <c r="BT587" s="737"/>
      <c r="BU587" s="737"/>
      <c r="BV587" s="737"/>
      <c r="BW587" s="738"/>
      <c r="BX587" s="775"/>
      <c r="BY587" s="740"/>
      <c r="BZ587" s="741"/>
      <c r="CA587" s="741"/>
      <c r="CB587" s="741"/>
      <c r="CC587" s="752">
        <f>CC586-CC569</f>
        <v>0</v>
      </c>
      <c r="CD587" s="752">
        <f>CD586-CD569</f>
        <v>0</v>
      </c>
      <c r="CE587" s="752">
        <f>CE586-CE569</f>
        <v>0</v>
      </c>
      <c r="CF587" s="752">
        <f>CF586-CF569</f>
        <v>0</v>
      </c>
      <c r="CG587" s="741"/>
      <c r="CH587" s="741"/>
      <c r="CI587" s="741"/>
      <c r="CJ587" s="741"/>
      <c r="CK587" s="741"/>
      <c r="CL587" s="741"/>
      <c r="CM587" s="741"/>
      <c r="CN587" s="741"/>
      <c r="CO587" s="741"/>
      <c r="CP587" s="738"/>
    </row>
    <row r="588" spans="2:94" ht="14.25" hidden="1" customHeight="1" outlineLevel="2">
      <c r="B588" s="235"/>
      <c r="G588" s="303"/>
      <c r="K588" s="303"/>
      <c r="O588" s="303"/>
      <c r="S588" s="303"/>
      <c r="W588" s="303"/>
      <c r="X588" s="329"/>
      <c r="Y588" s="329"/>
      <c r="Z588" s="329"/>
      <c r="AA588" s="330"/>
      <c r="AB588" s="329"/>
      <c r="AC588" s="329"/>
      <c r="AD588" s="329"/>
      <c r="AE588" s="330"/>
      <c r="AF588" s="329"/>
      <c r="AG588" s="329"/>
      <c r="AH588" s="554"/>
      <c r="AI588" s="329"/>
      <c r="AJ588" s="331"/>
      <c r="AK588" s="329"/>
      <c r="AL588" s="554"/>
      <c r="AM588" s="303"/>
      <c r="AQ588" s="303"/>
      <c r="AU588" s="303"/>
      <c r="AY588" s="303"/>
      <c r="BC588" s="303"/>
      <c r="BG588" s="303"/>
      <c r="BK588" s="303"/>
      <c r="BO588" s="303"/>
      <c r="BS588" s="303"/>
      <c r="BW588" s="303"/>
      <c r="BX588" s="346"/>
      <c r="BY588" s="256"/>
      <c r="BZ588" s="302"/>
      <c r="CA588" s="302"/>
      <c r="CB588" s="302"/>
      <c r="CC588" s="329"/>
      <c r="CD588" s="329"/>
      <c r="CE588" s="329"/>
      <c r="CF588" s="554"/>
      <c r="CG588" s="302"/>
      <c r="CH588" s="302"/>
      <c r="CI588" s="302"/>
      <c r="CJ588" s="302"/>
      <c r="CK588" s="302"/>
      <c r="CL588" s="302"/>
      <c r="CM588" s="302"/>
      <c r="CN588" s="302"/>
      <c r="CO588" s="302"/>
      <c r="CP588" s="303"/>
    </row>
    <row r="589" spans="2:94" ht="14.25" hidden="1" customHeight="1" outlineLevel="2">
      <c r="B589" s="235" t="s">
        <v>212</v>
      </c>
      <c r="G589" s="303"/>
      <c r="K589" s="303"/>
      <c r="O589" s="303"/>
      <c r="S589" s="303"/>
      <c r="W589" s="303"/>
      <c r="X589" s="329">
        <v>30.8</v>
      </c>
      <c r="Y589" s="329">
        <v>33.4</v>
      </c>
      <c r="Z589" s="329">
        <v>73.599999999999994</v>
      </c>
      <c r="AA589" s="330">
        <f>-365.9-SUM(X589:Z589)</f>
        <v>-503.7</v>
      </c>
      <c r="AB589" s="329">
        <v>-4.5999999999999996</v>
      </c>
      <c r="AC589" s="329">
        <v>13.7</v>
      </c>
      <c r="AD589" s="329">
        <v>49.7</v>
      </c>
      <c r="AE589" s="330">
        <f>142.6-SUM(AB589:AD589)</f>
        <v>83.799999999999983</v>
      </c>
      <c r="AF589" s="329">
        <v>84.2</v>
      </c>
      <c r="AG589" s="329">
        <v>101.5</v>
      </c>
      <c r="AH589" s="554">
        <v>107.7</v>
      </c>
      <c r="AI589" s="329">
        <f>374.2-SUM(AF589:AH589)</f>
        <v>80.800000000000011</v>
      </c>
      <c r="AJ589" s="331">
        <v>32.700000000000003</v>
      </c>
      <c r="AK589" s="329">
        <v>56.9</v>
      </c>
      <c r="AL589" s="554">
        <v>-6.7</v>
      </c>
      <c r="AM589" s="303"/>
      <c r="AQ589" s="303"/>
      <c r="AU589" s="303"/>
      <c r="AY589" s="303"/>
      <c r="BC589" s="303"/>
      <c r="BG589" s="303"/>
      <c r="BK589" s="303"/>
      <c r="BO589" s="303"/>
      <c r="BS589" s="303"/>
      <c r="BW589" s="303"/>
      <c r="BX589" s="346"/>
      <c r="BY589" s="256"/>
      <c r="BZ589" s="302"/>
      <c r="CA589" s="302"/>
      <c r="CB589" s="302"/>
      <c r="CC589" s="329">
        <v>277.2</v>
      </c>
      <c r="CD589" s="329">
        <f>SUM(X589:AA589)</f>
        <v>-365.9</v>
      </c>
      <c r="CE589" s="329">
        <f>SUM(AB589:AE589)</f>
        <v>142.6</v>
      </c>
      <c r="CF589" s="554">
        <f>SUM(AF589:AI589)</f>
        <v>374.2</v>
      </c>
      <c r="CG589" s="302"/>
      <c r="CH589" s="302"/>
      <c r="CI589" s="302"/>
      <c r="CJ589" s="302"/>
      <c r="CK589" s="302"/>
      <c r="CL589" s="302"/>
      <c r="CM589" s="302"/>
      <c r="CN589" s="302"/>
      <c r="CO589" s="302"/>
      <c r="CP589" s="303"/>
    </row>
    <row r="590" spans="2:94" ht="14.25" hidden="1" customHeight="1" outlineLevel="2">
      <c r="B590" s="678" t="s">
        <v>166</v>
      </c>
      <c r="C590" s="737"/>
      <c r="D590" s="737"/>
      <c r="E590" s="737"/>
      <c r="F590" s="737"/>
      <c r="G590" s="738"/>
      <c r="H590" s="737"/>
      <c r="I590" s="737"/>
      <c r="J590" s="737"/>
      <c r="K590" s="738"/>
      <c r="L590" s="737"/>
      <c r="M590" s="737"/>
      <c r="N590" s="737"/>
      <c r="O590" s="738"/>
      <c r="P590" s="737"/>
      <c r="Q590" s="737"/>
      <c r="R590" s="737"/>
      <c r="S590" s="738"/>
      <c r="T590" s="737"/>
      <c r="U590" s="737"/>
      <c r="V590" s="737"/>
      <c r="W590" s="738"/>
      <c r="X590" s="757">
        <f t="shared" ref="X590:AI590" si="876">X589-X578</f>
        <v>0</v>
      </c>
      <c r="Y590" s="757">
        <f t="shared" si="876"/>
        <v>0</v>
      </c>
      <c r="Z590" s="757">
        <f t="shared" si="876"/>
        <v>0</v>
      </c>
      <c r="AA590" s="758">
        <f t="shared" si="876"/>
        <v>0</v>
      </c>
      <c r="AB590" s="757">
        <f t="shared" si="876"/>
        <v>0</v>
      </c>
      <c r="AC590" s="757">
        <f t="shared" si="876"/>
        <v>0</v>
      </c>
      <c r="AD590" s="802">
        <f t="shared" si="876"/>
        <v>0</v>
      </c>
      <c r="AE590" s="758">
        <f t="shared" si="876"/>
        <v>0</v>
      </c>
      <c r="AF590" s="757">
        <f t="shared" si="876"/>
        <v>0</v>
      </c>
      <c r="AG590" s="757">
        <f t="shared" si="876"/>
        <v>0</v>
      </c>
      <c r="AH590" s="757">
        <f t="shared" si="876"/>
        <v>0</v>
      </c>
      <c r="AI590" s="757">
        <f t="shared" si="876"/>
        <v>0</v>
      </c>
      <c r="AJ590" s="788">
        <f>AJ589-AJ578</f>
        <v>0</v>
      </c>
      <c r="AK590" s="757">
        <f>AK589-AK578</f>
        <v>0</v>
      </c>
      <c r="AL590" s="757">
        <f>AL589-AL578</f>
        <v>0</v>
      </c>
      <c r="AM590" s="738"/>
      <c r="AN590" s="737"/>
      <c r="AO590" s="737"/>
      <c r="AP590" s="737"/>
      <c r="AQ590" s="738"/>
      <c r="AR590" s="737"/>
      <c r="AS590" s="737"/>
      <c r="AT590" s="737"/>
      <c r="AU590" s="738"/>
      <c r="AV590" s="737"/>
      <c r="AW590" s="737"/>
      <c r="AX590" s="737"/>
      <c r="AY590" s="738"/>
      <c r="AZ590" s="737"/>
      <c r="BA590" s="737"/>
      <c r="BB590" s="737"/>
      <c r="BC590" s="738"/>
      <c r="BD590" s="737"/>
      <c r="BE590" s="737"/>
      <c r="BF590" s="737"/>
      <c r="BG590" s="738"/>
      <c r="BH590" s="737"/>
      <c r="BI590" s="737"/>
      <c r="BJ590" s="737"/>
      <c r="BK590" s="738"/>
      <c r="BL590" s="737"/>
      <c r="BM590" s="737"/>
      <c r="BN590" s="737"/>
      <c r="BO590" s="738"/>
      <c r="BP590" s="737"/>
      <c r="BQ590" s="737"/>
      <c r="BR590" s="737"/>
      <c r="BS590" s="738"/>
      <c r="BT590" s="737"/>
      <c r="BU590" s="737"/>
      <c r="BV590" s="737"/>
      <c r="BW590" s="738"/>
      <c r="BX590" s="775"/>
      <c r="BY590" s="740"/>
      <c r="BZ590" s="741"/>
      <c r="CA590" s="741"/>
      <c r="CB590" s="741"/>
      <c r="CC590" s="757">
        <f>CC589-CC578</f>
        <v>0</v>
      </c>
      <c r="CD590" s="752">
        <f>CD589-CD578</f>
        <v>0</v>
      </c>
      <c r="CE590" s="752">
        <f>CE589-CE578</f>
        <v>0</v>
      </c>
      <c r="CF590" s="752">
        <f>CF589-CF578</f>
        <v>0</v>
      </c>
      <c r="CG590" s="741"/>
      <c r="CH590" s="741"/>
      <c r="CI590" s="741"/>
      <c r="CJ590" s="741"/>
      <c r="CK590" s="741"/>
      <c r="CL590" s="741"/>
      <c r="CM590" s="741"/>
      <c r="CN590" s="741"/>
      <c r="CO590" s="741"/>
      <c r="CP590" s="738"/>
    </row>
    <row r="591" spans="2:94" ht="14.25" hidden="1" customHeight="1" outlineLevel="2">
      <c r="B591" s="235"/>
      <c r="G591" s="303"/>
      <c r="K591" s="303"/>
      <c r="O591" s="303"/>
      <c r="S591" s="303"/>
      <c r="W591" s="303"/>
      <c r="AA591" s="303"/>
      <c r="AE591" s="303"/>
      <c r="AI591" s="302"/>
      <c r="AJ591" s="256"/>
      <c r="AM591" s="303"/>
      <c r="AQ591" s="303"/>
      <c r="AU591" s="303"/>
      <c r="AY591" s="303"/>
      <c r="BC591" s="303"/>
      <c r="BG591" s="303"/>
      <c r="BK591" s="303"/>
      <c r="BO591" s="303"/>
      <c r="BS591" s="303"/>
      <c r="BW591" s="303"/>
      <c r="BX591" s="346"/>
      <c r="BY591" s="256"/>
      <c r="BZ591" s="302"/>
      <c r="CA591" s="302"/>
      <c r="CB591" s="302"/>
      <c r="CC591" s="302"/>
      <c r="CD591" s="392"/>
      <c r="CE591" s="392"/>
      <c r="CF591" s="392"/>
      <c r="CG591" s="302"/>
      <c r="CH591" s="302"/>
      <c r="CI591" s="302"/>
      <c r="CJ591" s="302"/>
      <c r="CK591" s="302"/>
      <c r="CL591" s="302"/>
      <c r="CM591" s="302"/>
      <c r="CN591" s="302"/>
      <c r="CO591" s="302"/>
      <c r="CP591" s="303"/>
    </row>
    <row r="592" spans="2:94" ht="14.25" hidden="1" customHeight="1" outlineLevel="2">
      <c r="B592" s="217" t="s">
        <v>297</v>
      </c>
      <c r="G592" s="303"/>
      <c r="K592" s="303"/>
      <c r="O592" s="303"/>
      <c r="S592" s="303"/>
      <c r="W592" s="303"/>
      <c r="X592" s="220"/>
      <c r="Y592" s="220">
        <f t="shared" ref="Y592:AI592" si="877">Y583/X583-1</f>
        <v>0.33372837165205049</v>
      </c>
      <c r="Z592" s="220">
        <f t="shared" si="877"/>
        <v>3.3410342989159236E-2</v>
      </c>
      <c r="AA592" s="258">
        <f t="shared" si="877"/>
        <v>-0.15958727429062725</v>
      </c>
      <c r="AB592" s="220">
        <f t="shared" si="877"/>
        <v>-0.22426846736239037</v>
      </c>
      <c r="AC592" s="220">
        <f t="shared" si="877"/>
        <v>0.10735953574254808</v>
      </c>
      <c r="AD592" s="220">
        <f t="shared" si="877"/>
        <v>0.12648880419247255</v>
      </c>
      <c r="AE592" s="258">
        <f t="shared" si="877"/>
        <v>5.1173609642630513E-2</v>
      </c>
      <c r="AF592" s="220">
        <f t="shared" si="877"/>
        <v>0.10681955340977689</v>
      </c>
      <c r="AG592" s="220">
        <f t="shared" si="877"/>
        <v>6.0159941839331044E-2</v>
      </c>
      <c r="AH592" s="220">
        <f t="shared" si="877"/>
        <v>2.9830276015772483E-2</v>
      </c>
      <c r="AI592" s="220">
        <f t="shared" si="877"/>
        <v>-3.579157649409026E-2</v>
      </c>
      <c r="AJ592" s="219">
        <f>AJ583/AI583-1</f>
        <v>0.50310773480662974</v>
      </c>
      <c r="AK592" s="220">
        <f>AK583/AJ583-1</f>
        <v>4.0431886055593669E-2</v>
      </c>
      <c r="AL592" s="220">
        <f>AL583/AK583-1</f>
        <v>-8.6111724442481385E-3</v>
      </c>
      <c r="AM592" s="303"/>
      <c r="AQ592" s="303"/>
      <c r="AU592" s="303"/>
      <c r="AY592" s="303"/>
      <c r="BC592" s="303"/>
      <c r="BG592" s="303"/>
      <c r="BK592" s="303"/>
      <c r="BO592" s="303"/>
      <c r="BS592" s="303"/>
      <c r="BW592" s="303"/>
      <c r="BX592" s="346"/>
      <c r="BY592" s="256"/>
      <c r="BZ592" s="302"/>
      <c r="CA592" s="302"/>
      <c r="CB592" s="302"/>
      <c r="CC592" s="220"/>
      <c r="CD592" s="392"/>
      <c r="CE592" s="392"/>
      <c r="CF592" s="392"/>
      <c r="CG592" s="302"/>
      <c r="CH592" s="302"/>
      <c r="CI592" s="302"/>
      <c r="CJ592" s="302"/>
      <c r="CK592" s="302"/>
      <c r="CL592" s="302"/>
      <c r="CM592" s="302"/>
      <c r="CN592" s="302"/>
      <c r="CO592" s="302"/>
      <c r="CP592" s="303"/>
    </row>
    <row r="593" spans="2:94" ht="14.25" hidden="1" customHeight="1" outlineLevel="2">
      <c r="B593" s="32" t="s">
        <v>298</v>
      </c>
      <c r="G593" s="303"/>
      <c r="K593" s="303"/>
      <c r="O593" s="303"/>
      <c r="S593" s="303"/>
      <c r="W593" s="303"/>
      <c r="X593" s="220"/>
      <c r="Y593" s="220"/>
      <c r="Z593" s="220"/>
      <c r="AA593" s="258"/>
      <c r="AB593" s="220">
        <f t="shared" ref="AB593:AI593" si="878">AB583/X583-1</f>
        <v>-0.10144584024650383</v>
      </c>
      <c r="AC593" s="220">
        <f t="shared" si="878"/>
        <v>-0.25395414963568508</v>
      </c>
      <c r="AD593" s="220">
        <f t="shared" si="878"/>
        <v>-0.18675838349097162</v>
      </c>
      <c r="AE593" s="258">
        <f t="shared" si="878"/>
        <v>1.7188459177408744E-2</v>
      </c>
      <c r="AF593" s="220">
        <f t="shared" si="878"/>
        <v>0.45133210234766552</v>
      </c>
      <c r="AG593" s="220">
        <f t="shared" si="878"/>
        <v>0.38947117675083365</v>
      </c>
      <c r="AH593" s="220">
        <f t="shared" si="878"/>
        <v>0.27024740960033844</v>
      </c>
      <c r="AI593" s="220">
        <f t="shared" si="878"/>
        <v>0.16515791591229156</v>
      </c>
      <c r="AJ593" s="219">
        <f>AJ583/AF583-1</f>
        <v>0.58233369683751346</v>
      </c>
      <c r="AK593" s="220">
        <f>AK583/AG583-1</f>
        <v>0.55288873649922854</v>
      </c>
      <c r="AL593" s="220">
        <f>AL583/AH583-1</f>
        <v>0.49492259031130326</v>
      </c>
      <c r="AM593" s="303"/>
      <c r="AQ593" s="303"/>
      <c r="AU593" s="303"/>
      <c r="AY593" s="303"/>
      <c r="BC593" s="303"/>
      <c r="BG593" s="303"/>
      <c r="BK593" s="303"/>
      <c r="BO593" s="303"/>
      <c r="BS593" s="303"/>
      <c r="BW593" s="303"/>
      <c r="BX593" s="346"/>
      <c r="BY593" s="256"/>
      <c r="BZ593" s="302"/>
      <c r="CA593" s="302"/>
      <c r="CB593" s="302"/>
      <c r="CC593" s="220"/>
      <c r="CD593" s="338">
        <f>CD583/CC583-1</f>
        <v>0.31196526624952114</v>
      </c>
      <c r="CE593" s="338">
        <f>CE583/CD583-1</f>
        <v>-0.13913762896632276</v>
      </c>
      <c r="CF593" s="338">
        <f>CF583/CE583-1</f>
        <v>0.30781841822601619</v>
      </c>
      <c r="CG593" s="302"/>
      <c r="CH593" s="302"/>
      <c r="CI593" s="302"/>
      <c r="CJ593" s="302"/>
      <c r="CK593" s="302"/>
      <c r="CL593" s="302"/>
      <c r="CM593" s="302"/>
      <c r="CN593" s="302"/>
      <c r="CO593" s="302"/>
      <c r="CP593" s="303"/>
    </row>
    <row r="594" spans="2:94" ht="14.25" hidden="1" customHeight="1" outlineLevel="2">
      <c r="B594" s="226"/>
      <c r="C594" s="304"/>
      <c r="D594" s="304"/>
      <c r="E594" s="304"/>
      <c r="F594" s="304"/>
      <c r="G594" s="305"/>
      <c r="H594" s="304"/>
      <c r="I594" s="304"/>
      <c r="J594" s="304"/>
      <c r="K594" s="305"/>
      <c r="L594" s="304"/>
      <c r="M594" s="304"/>
      <c r="N594" s="304"/>
      <c r="O594" s="305"/>
      <c r="P594" s="304"/>
      <c r="Q594" s="304"/>
      <c r="R594" s="304"/>
      <c r="S594" s="305"/>
      <c r="T594" s="304"/>
      <c r="U594" s="304"/>
      <c r="V594" s="304"/>
      <c r="W594" s="305"/>
      <c r="X594" s="304"/>
      <c r="Y594" s="304"/>
      <c r="Z594" s="304"/>
      <c r="AA594" s="304"/>
      <c r="AB594" s="731"/>
      <c r="AC594" s="304"/>
      <c r="AD594" s="304"/>
      <c r="AE594" s="305"/>
      <c r="AF594" s="304"/>
      <c r="AG594" s="304"/>
      <c r="AH594" s="304"/>
      <c r="AI594" s="304"/>
      <c r="AJ594" s="731"/>
      <c r="AK594" s="304"/>
      <c r="AL594" s="304"/>
      <c r="AM594" s="304"/>
      <c r="AN594" s="731"/>
      <c r="AO594" s="304"/>
      <c r="AP594" s="304"/>
      <c r="AQ594" s="305"/>
      <c r="AR594" s="731"/>
      <c r="AS594" s="304"/>
      <c r="AT594" s="304"/>
      <c r="AU594" s="305"/>
      <c r="AV594" s="731"/>
      <c r="AW594" s="304"/>
      <c r="AX594" s="304"/>
      <c r="AY594" s="305"/>
      <c r="AZ594" s="731"/>
      <c r="BA594" s="304"/>
      <c r="BB594" s="304"/>
      <c r="BC594" s="305"/>
      <c r="BD594" s="731"/>
      <c r="BE594" s="304"/>
      <c r="BF594" s="304"/>
      <c r="BG594" s="305"/>
      <c r="BH594" s="731"/>
      <c r="BI594" s="304"/>
      <c r="BJ594" s="304"/>
      <c r="BK594" s="305"/>
      <c r="BL594" s="731"/>
      <c r="BM594" s="304"/>
      <c r="BN594" s="304"/>
      <c r="BO594" s="305"/>
      <c r="BP594" s="731"/>
      <c r="BQ594" s="304"/>
      <c r="BR594" s="304"/>
      <c r="BS594" s="305"/>
      <c r="BT594" s="731"/>
      <c r="BU594" s="304"/>
      <c r="BV594" s="304"/>
      <c r="BW594" s="305"/>
      <c r="BX594" s="346"/>
      <c r="BY594" s="731"/>
      <c r="BZ594" s="304"/>
      <c r="CA594" s="304"/>
      <c r="CB594" s="304"/>
      <c r="CC594" s="304"/>
      <c r="CD594" s="249"/>
      <c r="CE594" s="249"/>
      <c r="CF594" s="249"/>
      <c r="CG594" s="304"/>
      <c r="CH594" s="304"/>
      <c r="CI594" s="304"/>
      <c r="CJ594" s="304"/>
      <c r="CK594" s="304"/>
      <c r="CL594" s="304"/>
      <c r="CM594" s="304"/>
      <c r="CN594" s="304"/>
      <c r="CO594" s="304"/>
      <c r="CP594" s="305"/>
    </row>
    <row r="595" spans="2:94" ht="14.25" hidden="1" customHeight="1" outlineLevel="1">
      <c r="B595" s="251"/>
      <c r="D595" s="302"/>
      <c r="E595" s="302"/>
      <c r="F595" s="302"/>
      <c r="G595" s="302"/>
      <c r="H595" s="302"/>
      <c r="I595" s="302"/>
      <c r="J595" s="302"/>
      <c r="K595" s="302"/>
      <c r="L595" s="302"/>
      <c r="M595" s="302"/>
      <c r="N595" s="302"/>
      <c r="O595" s="302"/>
      <c r="P595" s="302"/>
      <c r="Q595" s="302"/>
      <c r="R595" s="302"/>
      <c r="S595" s="302"/>
      <c r="T595" s="302"/>
      <c r="U595" s="302"/>
      <c r="V595" s="302"/>
      <c r="W595" s="302"/>
      <c r="X595" s="302"/>
      <c r="Y595" s="302"/>
      <c r="Z595" s="302"/>
      <c r="AA595" s="302"/>
      <c r="AB595" s="302"/>
      <c r="AC595" s="302"/>
      <c r="AD595" s="302"/>
      <c r="AE595" s="302"/>
      <c r="AF595" s="302"/>
      <c r="AG595" s="302"/>
      <c r="AH595" s="302"/>
      <c r="AI595" s="302"/>
      <c r="AJ595" s="302"/>
      <c r="AK595" s="302"/>
      <c r="AL595" s="302"/>
      <c r="AM595" s="302"/>
      <c r="AN595" s="302"/>
      <c r="AO595" s="302"/>
      <c r="AP595" s="302"/>
      <c r="AQ595" s="302"/>
      <c r="AR595" s="302"/>
      <c r="AS595" s="302"/>
      <c r="AT595" s="302"/>
      <c r="AU595" s="302"/>
      <c r="AV595" s="302"/>
      <c r="AW595" s="302"/>
      <c r="AX595" s="302"/>
      <c r="AY595" s="302"/>
      <c r="AZ595" s="302"/>
      <c r="BA595" s="302"/>
      <c r="BB595" s="302"/>
      <c r="BC595" s="302"/>
      <c r="BD595" s="302"/>
      <c r="BE595" s="302"/>
      <c r="BF595" s="302"/>
      <c r="BG595" s="302"/>
      <c r="BH595" s="302"/>
      <c r="BI595" s="302"/>
      <c r="BJ595" s="302"/>
      <c r="BK595" s="302"/>
      <c r="BL595" s="302"/>
      <c r="BM595" s="302"/>
      <c r="BN595" s="302"/>
      <c r="BO595" s="302"/>
      <c r="BP595" s="302"/>
      <c r="BQ595" s="302"/>
      <c r="BR595" s="302"/>
      <c r="BS595" s="302"/>
      <c r="BT595" s="302"/>
      <c r="BU595" s="302"/>
      <c r="BV595" s="302"/>
      <c r="BW595" s="302"/>
      <c r="BX595" s="302"/>
      <c r="BY595" s="302"/>
      <c r="BZ595" s="302"/>
      <c r="CA595" s="302"/>
      <c r="CB595" s="302"/>
      <c r="CC595" s="302"/>
      <c r="CD595" s="392"/>
      <c r="CE595" s="392"/>
      <c r="CF595" s="392"/>
      <c r="CG595" s="302"/>
      <c r="CH595" s="302"/>
      <c r="CI595" s="302"/>
      <c r="CJ595" s="302"/>
      <c r="CK595" s="302"/>
      <c r="CL595" s="302"/>
      <c r="CM595" s="302"/>
      <c r="CN595" s="302"/>
      <c r="CO595" s="302"/>
      <c r="CP595" s="302"/>
    </row>
    <row r="596" spans="2:94" ht="14.25" hidden="1" customHeight="1" outlineLevel="1">
      <c r="B596" s="91" t="s">
        <v>505</v>
      </c>
      <c r="AJ596" s="302"/>
      <c r="BY596" s="302"/>
      <c r="BZ596" s="302"/>
      <c r="CJ596" s="302"/>
      <c r="CK596" s="302"/>
      <c r="CL596" s="302"/>
      <c r="CM596" s="302"/>
      <c r="CN596" s="302"/>
      <c r="CO596" s="302"/>
      <c r="CP596" s="302"/>
    </row>
    <row r="597" spans="2:94" ht="14.25" hidden="1" customHeight="1" outlineLevel="1">
      <c r="B597" s="302"/>
      <c r="C597" s="302"/>
      <c r="D597" s="302"/>
      <c r="E597" s="302"/>
      <c r="F597" s="302"/>
      <c r="G597" s="302"/>
      <c r="H597" s="302"/>
      <c r="I597" s="302"/>
      <c r="J597" s="302"/>
      <c r="K597" s="302"/>
      <c r="L597" s="302"/>
      <c r="M597" s="302"/>
      <c r="N597" s="302"/>
      <c r="O597" s="302"/>
      <c r="P597" s="302"/>
      <c r="Q597" s="302"/>
      <c r="R597" s="302"/>
      <c r="S597" s="302"/>
      <c r="T597" s="302"/>
      <c r="U597" s="302"/>
      <c r="V597" s="302"/>
      <c r="W597" s="302"/>
      <c r="X597" s="302"/>
      <c r="Y597" s="302"/>
      <c r="Z597" s="302"/>
      <c r="AA597" s="302"/>
      <c r="AB597" s="302"/>
      <c r="AC597" s="302"/>
      <c r="AD597" s="302"/>
      <c r="AE597" s="302"/>
      <c r="AF597" s="302"/>
      <c r="AG597" s="302"/>
      <c r="AH597" s="302"/>
      <c r="AI597" s="302"/>
      <c r="AJ597" s="302"/>
      <c r="AK597" s="302"/>
      <c r="AL597" s="302"/>
      <c r="AM597" s="302"/>
      <c r="AN597" s="302"/>
      <c r="AO597" s="302"/>
      <c r="AP597" s="302"/>
      <c r="AQ597" s="302"/>
      <c r="AR597" s="302"/>
      <c r="AS597" s="302"/>
      <c r="AT597" s="302"/>
      <c r="AU597" s="302"/>
      <c r="AV597" s="302"/>
      <c r="AW597" s="302"/>
      <c r="AX597" s="302"/>
      <c r="AY597" s="302"/>
      <c r="AZ597" s="302"/>
      <c r="BA597" s="302"/>
      <c r="BB597" s="302"/>
      <c r="BC597" s="302"/>
      <c r="BD597" s="302"/>
      <c r="BE597" s="302"/>
      <c r="BF597" s="302"/>
      <c r="BG597" s="302"/>
      <c r="BH597" s="302"/>
      <c r="BI597" s="302"/>
      <c r="BJ597" s="302"/>
      <c r="BK597" s="302"/>
      <c r="BL597" s="302"/>
      <c r="BM597" s="302"/>
      <c r="BN597" s="302"/>
      <c r="BO597" s="302"/>
      <c r="BP597" s="302"/>
      <c r="BQ597" s="302"/>
      <c r="BR597" s="302"/>
      <c r="BS597" s="302"/>
      <c r="BT597" s="302"/>
      <c r="BU597" s="302"/>
      <c r="BV597" s="302"/>
      <c r="BW597" s="302"/>
      <c r="BY597" s="302"/>
      <c r="BZ597" s="302"/>
      <c r="CA597" s="302"/>
      <c r="CB597" s="302"/>
      <c r="CC597" s="302"/>
      <c r="CD597" s="302"/>
      <c r="CE597" s="302"/>
      <c r="CF597" s="302"/>
      <c r="CG597" s="302"/>
      <c r="CH597" s="302"/>
      <c r="CI597" s="302"/>
      <c r="CJ597" s="302"/>
      <c r="CK597" s="302"/>
      <c r="CL597" s="302"/>
      <c r="CM597" s="302"/>
      <c r="CN597" s="302"/>
      <c r="CO597" s="302"/>
      <c r="CP597" s="302"/>
    </row>
    <row r="598" spans="2:94" ht="14.25" hidden="1" customHeight="1" outlineLevel="2">
      <c r="B598" s="10" t="s">
        <v>231</v>
      </c>
      <c r="C598" s="713"/>
      <c r="D598" s="713"/>
      <c r="E598" s="713"/>
      <c r="F598" s="713"/>
      <c r="G598" s="345"/>
      <c r="H598" s="713"/>
      <c r="I598" s="713"/>
      <c r="J598" s="713"/>
      <c r="K598" s="713"/>
      <c r="L598" s="762">
        <v>91.8</v>
      </c>
      <c r="M598" s="784">
        <v>89.4</v>
      </c>
      <c r="N598" s="784">
        <v>94.5</v>
      </c>
      <c r="O598" s="756">
        <v>100.7</v>
      </c>
      <c r="P598" s="762">
        <v>98.7</v>
      </c>
      <c r="Q598" s="784">
        <v>107.9</v>
      </c>
      <c r="R598" s="784">
        <v>107.8</v>
      </c>
      <c r="S598" s="756">
        <v>103.8</v>
      </c>
      <c r="T598" s="762">
        <v>106</v>
      </c>
      <c r="U598" s="784">
        <v>103.9</v>
      </c>
      <c r="V598" s="784">
        <v>113.1</v>
      </c>
      <c r="W598" s="756">
        <v>113.9</v>
      </c>
      <c r="X598" s="762">
        <v>106.1</v>
      </c>
      <c r="Y598" s="784">
        <v>114</v>
      </c>
      <c r="Z598" s="784">
        <v>113.8</v>
      </c>
      <c r="AA598" s="395"/>
      <c r="AB598" s="393"/>
      <c r="AC598" s="394"/>
      <c r="AD598" s="394"/>
      <c r="AE598" s="395"/>
      <c r="AF598" s="393"/>
      <c r="AG598" s="394"/>
      <c r="AH598" s="394"/>
      <c r="AI598" s="783"/>
      <c r="AJ598" s="729"/>
      <c r="AK598" s="713"/>
      <c r="AL598" s="713"/>
      <c r="AM598" s="713"/>
      <c r="AN598" s="729"/>
      <c r="AO598" s="713"/>
      <c r="AP598" s="713"/>
      <c r="AQ598" s="345"/>
      <c r="AR598" s="729"/>
      <c r="AS598" s="713"/>
      <c r="AT598" s="713"/>
      <c r="AU598" s="345"/>
      <c r="AV598" s="729"/>
      <c r="AW598" s="713"/>
      <c r="AX598" s="713"/>
      <c r="AY598" s="345"/>
      <c r="AZ598" s="729"/>
      <c r="BA598" s="713"/>
      <c r="BB598" s="713"/>
      <c r="BC598" s="345"/>
      <c r="BD598" s="729"/>
      <c r="BE598" s="713"/>
      <c r="BF598" s="713"/>
      <c r="BG598" s="345"/>
      <c r="BH598" s="729"/>
      <c r="BI598" s="713"/>
      <c r="BJ598" s="713"/>
      <c r="BK598" s="345"/>
      <c r="BL598" s="729"/>
      <c r="BM598" s="713"/>
      <c r="BN598" s="713"/>
      <c r="BO598" s="345"/>
      <c r="BP598" s="729"/>
      <c r="BQ598" s="713"/>
      <c r="BR598" s="713"/>
      <c r="BS598" s="345"/>
      <c r="BT598" s="729"/>
      <c r="BU598" s="713"/>
      <c r="BV598" s="713"/>
      <c r="BW598" s="345"/>
      <c r="BX598" s="346"/>
      <c r="BY598" s="729"/>
      <c r="BZ598" s="713"/>
      <c r="CA598" s="387">
        <f>SUM(L598:O598)</f>
        <v>376.4</v>
      </c>
      <c r="CB598" s="387">
        <f>SUM(P598:S598)</f>
        <v>418.20000000000005</v>
      </c>
      <c r="CC598" s="387">
        <f>SUM(T598:W598)</f>
        <v>436.9</v>
      </c>
      <c r="CD598" s="387"/>
      <c r="CE598" s="813"/>
      <c r="CF598" s="813"/>
      <c r="CG598" s="713"/>
      <c r="CH598" s="713"/>
      <c r="CI598" s="713"/>
      <c r="CJ598" s="713"/>
      <c r="CK598" s="713"/>
      <c r="CL598" s="713"/>
      <c r="CM598" s="713"/>
      <c r="CN598" s="713"/>
      <c r="CO598" s="713"/>
      <c r="CP598" s="345"/>
    </row>
    <row r="599" spans="2:94" ht="14.25" hidden="1" customHeight="1" outlineLevel="2">
      <c r="B599" s="217" t="s">
        <v>297</v>
      </c>
      <c r="G599" s="303"/>
      <c r="L599" s="425"/>
      <c r="M599" s="370">
        <f t="shared" ref="M599:W599" si="879">M598/L598-1</f>
        <v>-2.614379084967311E-2</v>
      </c>
      <c r="N599" s="370">
        <f t="shared" si="879"/>
        <v>5.7046979865771785E-2</v>
      </c>
      <c r="O599" s="335">
        <f t="shared" si="879"/>
        <v>6.5608465608465671E-2</v>
      </c>
      <c r="P599" s="377">
        <f t="shared" si="879"/>
        <v>-1.9860973187686204E-2</v>
      </c>
      <c r="Q599" s="370">
        <f t="shared" si="879"/>
        <v>9.3211752786220847E-2</v>
      </c>
      <c r="R599" s="370">
        <f t="shared" si="879"/>
        <v>-9.2678405931423402E-4</v>
      </c>
      <c r="S599" s="335">
        <f t="shared" si="879"/>
        <v>-3.7105751391465658E-2</v>
      </c>
      <c r="T599" s="377">
        <f t="shared" si="879"/>
        <v>2.1194605009633882E-2</v>
      </c>
      <c r="U599" s="370">
        <f t="shared" si="879"/>
        <v>-1.9811320754716921E-2</v>
      </c>
      <c r="V599" s="370">
        <f t="shared" si="879"/>
        <v>8.8546679499518666E-2</v>
      </c>
      <c r="W599" s="335">
        <f t="shared" si="879"/>
        <v>7.0733863837313393E-3</v>
      </c>
      <c r="X599" s="377">
        <f>X598/W598-1</f>
        <v>-6.8481123792800802E-2</v>
      </c>
      <c r="Y599" s="370">
        <f>Y598/X598-1</f>
        <v>7.4458058435438401E-2</v>
      </c>
      <c r="Z599" s="370">
        <f>Z598/Y598-1</f>
        <v>-1.7543859649122862E-3</v>
      </c>
      <c r="AA599" s="335"/>
      <c r="AB599" s="377"/>
      <c r="AC599" s="370"/>
      <c r="AD599" s="370"/>
      <c r="AE599" s="335"/>
      <c r="AF599" s="377"/>
      <c r="AG599" s="370"/>
      <c r="AH599" s="370"/>
      <c r="AI599" s="370"/>
      <c r="AJ599" s="256"/>
      <c r="AN599" s="256"/>
      <c r="AQ599" s="303"/>
      <c r="AR599" s="256"/>
      <c r="AU599" s="303"/>
      <c r="AV599" s="256"/>
      <c r="AY599" s="303"/>
      <c r="AZ599" s="256"/>
      <c r="BC599" s="303"/>
      <c r="BD599" s="256"/>
      <c r="BG599" s="303"/>
      <c r="BH599" s="256"/>
      <c r="BK599" s="303"/>
      <c r="BL599" s="256"/>
      <c r="BO599" s="303"/>
      <c r="BP599" s="256"/>
      <c r="BS599" s="303"/>
      <c r="BT599" s="256"/>
      <c r="BW599" s="303"/>
      <c r="BX599" s="346"/>
      <c r="BY599" s="256"/>
      <c r="BZ599" s="302"/>
      <c r="CA599" s="302"/>
      <c r="CB599" s="302"/>
      <c r="CC599" s="302"/>
      <c r="CD599" s="392"/>
      <c r="CE599" s="284"/>
      <c r="CF599" s="730"/>
      <c r="CG599" s="302"/>
      <c r="CH599" s="302"/>
      <c r="CI599" s="302"/>
      <c r="CJ599" s="302"/>
      <c r="CK599" s="302"/>
      <c r="CL599" s="302"/>
      <c r="CM599" s="302"/>
      <c r="CN599" s="302"/>
      <c r="CO599" s="302"/>
      <c r="CP599" s="303"/>
    </row>
    <row r="600" spans="2:94" ht="14.25" hidden="1" customHeight="1" outlineLevel="2">
      <c r="B600" s="32" t="s">
        <v>298</v>
      </c>
      <c r="G600" s="303"/>
      <c r="L600" s="425"/>
      <c r="M600" s="418"/>
      <c r="N600" s="418"/>
      <c r="O600" s="419"/>
      <c r="P600" s="377">
        <f t="shared" ref="P600:W600" si="880">P598/L598-1</f>
        <v>7.5163398692810413E-2</v>
      </c>
      <c r="Q600" s="370">
        <f>Q598/M598-1</f>
        <v>0.20693512304250561</v>
      </c>
      <c r="R600" s="370">
        <f t="shared" si="880"/>
        <v>0.14074074074074061</v>
      </c>
      <c r="S600" s="335">
        <f t="shared" si="880"/>
        <v>3.0784508440913516E-2</v>
      </c>
      <c r="T600" s="377">
        <f t="shared" si="880"/>
        <v>7.3961499493414351E-2</v>
      </c>
      <c r="U600" s="370">
        <f t="shared" si="880"/>
        <v>-3.707136237256714E-2</v>
      </c>
      <c r="V600" s="370">
        <f t="shared" si="880"/>
        <v>4.9165120593692047E-2</v>
      </c>
      <c r="W600" s="335">
        <f t="shared" si="880"/>
        <v>9.7302504816955793E-2</v>
      </c>
      <c r="X600" s="377">
        <f>X598/T598-1</f>
        <v>9.4339622641514964E-4</v>
      </c>
      <c r="Y600" s="370">
        <f>Y598/U598-1</f>
        <v>9.7208854667949929E-2</v>
      </c>
      <c r="Z600" s="370">
        <f>Z598/V598-1</f>
        <v>6.1892130857648109E-3</v>
      </c>
      <c r="AA600" s="335"/>
      <c r="AB600" s="377"/>
      <c r="AC600" s="370"/>
      <c r="AD600" s="370"/>
      <c r="AE600" s="335"/>
      <c r="AF600" s="377"/>
      <c r="AG600" s="370"/>
      <c r="AH600" s="370"/>
      <c r="AI600" s="370"/>
      <c r="AJ600" s="256"/>
      <c r="AN600" s="256"/>
      <c r="AQ600" s="303"/>
      <c r="AR600" s="256"/>
      <c r="AU600" s="303"/>
      <c r="AV600" s="256"/>
      <c r="AY600" s="303"/>
      <c r="AZ600" s="256"/>
      <c r="BC600" s="303"/>
      <c r="BD600" s="256"/>
      <c r="BG600" s="303"/>
      <c r="BH600" s="256"/>
      <c r="BK600" s="303"/>
      <c r="BL600" s="256"/>
      <c r="BO600" s="303"/>
      <c r="BP600" s="256"/>
      <c r="BS600" s="303"/>
      <c r="BT600" s="256"/>
      <c r="BW600" s="303"/>
      <c r="BX600" s="346"/>
      <c r="BY600" s="256"/>
      <c r="BZ600" s="302"/>
      <c r="CA600" s="418"/>
      <c r="CB600" s="370">
        <f>CB598/CA598-1</f>
        <v>0.11105207226354952</v>
      </c>
      <c r="CC600" s="370">
        <f>CC598/CB598-1</f>
        <v>4.4715447154471288E-2</v>
      </c>
      <c r="CD600" s="392"/>
      <c r="CE600" s="284"/>
      <c r="CF600" s="730"/>
      <c r="CG600" s="302"/>
      <c r="CH600" s="302"/>
      <c r="CI600" s="302"/>
      <c r="CJ600" s="302"/>
      <c r="CK600" s="302"/>
      <c r="CL600" s="302"/>
      <c r="CM600" s="302"/>
      <c r="CN600" s="302"/>
      <c r="CO600" s="302"/>
      <c r="CP600" s="303"/>
    </row>
    <row r="601" spans="2:94" ht="14.25" hidden="1" customHeight="1" outlineLevel="2">
      <c r="B601" s="217" t="s">
        <v>299</v>
      </c>
      <c r="G601" s="303"/>
      <c r="L601" s="359">
        <f t="shared" ref="L601:W601" si="881">L598/L663</f>
        <v>0.3035714285714286</v>
      </c>
      <c r="M601" s="370">
        <f t="shared" si="881"/>
        <v>0.2952443857331572</v>
      </c>
      <c r="N601" s="370">
        <f t="shared" si="881"/>
        <v>0.30133928571428575</v>
      </c>
      <c r="O601" s="337">
        <f t="shared" si="881"/>
        <v>0.29461673493270918</v>
      </c>
      <c r="P601" s="359">
        <f t="shared" si="881"/>
        <v>0.29550898203592812</v>
      </c>
      <c r="Q601" s="370">
        <f t="shared" si="881"/>
        <v>0.2875033306687983</v>
      </c>
      <c r="R601" s="370">
        <f t="shared" si="881"/>
        <v>0.25611784271798527</v>
      </c>
      <c r="S601" s="337">
        <f t="shared" si="881"/>
        <v>0.25846613545816732</v>
      </c>
      <c r="T601" s="359">
        <f t="shared" si="881"/>
        <v>0.28327097808658475</v>
      </c>
      <c r="U601" s="370">
        <f t="shared" si="881"/>
        <v>0.27256033578174188</v>
      </c>
      <c r="V601" s="370">
        <f t="shared" si="881"/>
        <v>0.28071481757259864</v>
      </c>
      <c r="W601" s="337">
        <f t="shared" si="881"/>
        <v>0.27923510664378526</v>
      </c>
      <c r="X601" s="359">
        <f>X598/X663</f>
        <v>0.2514813936951884</v>
      </c>
      <c r="Y601" s="370">
        <f>Y598/Y663</f>
        <v>0.20259463301937086</v>
      </c>
      <c r="Z601" s="370">
        <f>Z598/Z663</f>
        <v>0.19570077386070506</v>
      </c>
      <c r="AA601" s="337"/>
      <c r="AB601" s="359"/>
      <c r="AC601" s="370"/>
      <c r="AD601" s="370"/>
      <c r="AE601" s="337"/>
      <c r="AF601" s="359"/>
      <c r="AG601" s="370"/>
      <c r="AH601" s="370"/>
      <c r="AI601" s="338"/>
      <c r="AJ601" s="256"/>
      <c r="AN601" s="256"/>
      <c r="AQ601" s="303"/>
      <c r="AR601" s="256"/>
      <c r="AU601" s="303"/>
      <c r="AV601" s="256"/>
      <c r="AY601" s="303"/>
      <c r="AZ601" s="256"/>
      <c r="BC601" s="303"/>
      <c r="BD601" s="256"/>
      <c r="BG601" s="303"/>
      <c r="BH601" s="256"/>
      <c r="BK601" s="303"/>
      <c r="BL601" s="256"/>
      <c r="BO601" s="303"/>
      <c r="BP601" s="256"/>
      <c r="BS601" s="303"/>
      <c r="BT601" s="256"/>
      <c r="BW601" s="303"/>
      <c r="BX601" s="346"/>
      <c r="BY601" s="256"/>
      <c r="BZ601" s="302"/>
      <c r="CA601" s="370">
        <f>CA598/CA663</f>
        <v>0.29858797398064413</v>
      </c>
      <c r="CB601" s="370">
        <f>CB598/CB663</f>
        <v>0.27301214257735995</v>
      </c>
      <c r="CC601" s="370">
        <f>CC598/CC663</f>
        <v>0.27895543353339292</v>
      </c>
      <c r="CD601" s="392"/>
      <c r="CE601" s="284"/>
      <c r="CF601" s="730"/>
      <c r="CG601" s="302"/>
      <c r="CH601" s="302"/>
      <c r="CI601" s="302"/>
      <c r="CJ601" s="302"/>
      <c r="CK601" s="302"/>
      <c r="CL601" s="302"/>
      <c r="CM601" s="302"/>
      <c r="CN601" s="302"/>
      <c r="CO601" s="302"/>
      <c r="CP601" s="303"/>
    </row>
    <row r="602" spans="2:94" ht="14.25" hidden="1" customHeight="1" outlineLevel="2">
      <c r="B602" s="217"/>
      <c r="G602" s="303"/>
      <c r="L602" s="82"/>
      <c r="M602" s="80"/>
      <c r="N602" s="80"/>
      <c r="O602" s="262"/>
      <c r="P602" s="82"/>
      <c r="Q602" s="80"/>
      <c r="R602" s="80"/>
      <c r="S602" s="262"/>
      <c r="T602" s="82"/>
      <c r="U602" s="80"/>
      <c r="V602" s="80"/>
      <c r="W602" s="262"/>
      <c r="X602" s="82"/>
      <c r="Y602" s="80"/>
      <c r="Z602" s="80"/>
      <c r="AA602" s="262"/>
      <c r="AB602" s="82"/>
      <c r="AC602" s="80"/>
      <c r="AD602" s="80"/>
      <c r="AE602" s="262"/>
      <c r="AF602" s="82"/>
      <c r="AG602" s="80"/>
      <c r="AH602" s="80"/>
      <c r="AI602" s="261"/>
      <c r="AJ602" s="256"/>
      <c r="AN602" s="256"/>
      <c r="AQ602" s="303"/>
      <c r="AR602" s="256"/>
      <c r="AU602" s="303"/>
      <c r="AV602" s="256"/>
      <c r="AY602" s="303"/>
      <c r="AZ602" s="256"/>
      <c r="BC602" s="303"/>
      <c r="BD602" s="256"/>
      <c r="BG602" s="303"/>
      <c r="BH602" s="256"/>
      <c r="BK602" s="303"/>
      <c r="BL602" s="256"/>
      <c r="BO602" s="303"/>
      <c r="BP602" s="256"/>
      <c r="BS602" s="303"/>
      <c r="BT602" s="256"/>
      <c r="BW602" s="303"/>
      <c r="BX602" s="346"/>
      <c r="BY602" s="256"/>
      <c r="BZ602" s="302"/>
      <c r="CA602" s="302"/>
      <c r="CB602" s="302"/>
      <c r="CC602" s="302"/>
      <c r="CD602" s="392"/>
      <c r="CE602" s="284"/>
      <c r="CF602" s="730"/>
      <c r="CG602" s="302"/>
      <c r="CH602" s="302"/>
      <c r="CI602" s="302"/>
      <c r="CJ602" s="302"/>
      <c r="CK602" s="302"/>
      <c r="CL602" s="302"/>
      <c r="CM602" s="302"/>
      <c r="CN602" s="302"/>
      <c r="CO602" s="302"/>
      <c r="CP602" s="303"/>
    </row>
    <row r="603" spans="2:94" ht="14.25" hidden="1" customHeight="1" outlineLevel="2">
      <c r="B603" s="235" t="s">
        <v>232</v>
      </c>
      <c r="G603" s="303"/>
      <c r="L603" s="422">
        <v>32.299999999999997</v>
      </c>
      <c r="M603" s="423">
        <v>33.5</v>
      </c>
      <c r="N603" s="423">
        <v>31.5</v>
      </c>
      <c r="O603" s="401">
        <v>37.700000000000003</v>
      </c>
      <c r="P603" s="422">
        <v>39</v>
      </c>
      <c r="Q603" s="423">
        <v>47.6</v>
      </c>
      <c r="R603" s="423">
        <v>46.5</v>
      </c>
      <c r="S603" s="401">
        <v>43.7</v>
      </c>
      <c r="T603" s="422">
        <v>42</v>
      </c>
      <c r="U603" s="423">
        <v>39.799999999999997</v>
      </c>
      <c r="V603" s="423">
        <v>45.1</v>
      </c>
      <c r="W603" s="401">
        <v>43.5</v>
      </c>
      <c r="X603" s="422">
        <v>41.6</v>
      </c>
      <c r="Y603" s="423">
        <v>44.5</v>
      </c>
      <c r="Z603" s="423">
        <v>40.6</v>
      </c>
      <c r="AA603" s="369"/>
      <c r="AB603" s="375"/>
      <c r="AC603" s="343"/>
      <c r="AD603" s="343"/>
      <c r="AE603" s="369"/>
      <c r="AF603" s="375"/>
      <c r="AG603" s="343"/>
      <c r="AH603" s="343"/>
      <c r="AI603" s="503"/>
      <c r="AJ603" s="256"/>
      <c r="AN603" s="256"/>
      <c r="AQ603" s="303"/>
      <c r="AR603" s="256"/>
      <c r="AU603" s="303"/>
      <c r="AV603" s="256"/>
      <c r="AY603" s="303"/>
      <c r="AZ603" s="256"/>
      <c r="BC603" s="303"/>
      <c r="BD603" s="256"/>
      <c r="BG603" s="303"/>
      <c r="BH603" s="256"/>
      <c r="BK603" s="303"/>
      <c r="BL603" s="256"/>
      <c r="BO603" s="303"/>
      <c r="BP603" s="256"/>
      <c r="BS603" s="303"/>
      <c r="BT603" s="256"/>
      <c r="BW603" s="303"/>
      <c r="BX603" s="346"/>
      <c r="BY603" s="256"/>
      <c r="BZ603" s="302"/>
      <c r="CA603" s="325">
        <f>SUM(L603:O603)</f>
        <v>135</v>
      </c>
      <c r="CB603" s="325">
        <f>SUM(P603:S603)</f>
        <v>176.8</v>
      </c>
      <c r="CC603" s="325">
        <f>SUM(T603:W603)</f>
        <v>170.4</v>
      </c>
      <c r="CD603" s="325"/>
      <c r="CE603" s="730"/>
      <c r="CF603" s="730"/>
      <c r="CG603" s="302"/>
      <c r="CH603" s="302"/>
      <c r="CI603" s="302"/>
      <c r="CJ603" s="302"/>
      <c r="CK603" s="302"/>
      <c r="CL603" s="302"/>
      <c r="CM603" s="302"/>
      <c r="CN603" s="302"/>
      <c r="CO603" s="302"/>
      <c r="CP603" s="303"/>
    </row>
    <row r="604" spans="2:94" ht="14.25" hidden="1" customHeight="1" outlineLevel="2">
      <c r="B604" s="217" t="s">
        <v>193</v>
      </c>
      <c r="G604" s="303"/>
      <c r="L604" s="377">
        <f t="shared" ref="L604:W604" si="882">L603/L598</f>
        <v>0.3518518518518518</v>
      </c>
      <c r="M604" s="370">
        <f t="shared" si="882"/>
        <v>0.37472035794183445</v>
      </c>
      <c r="N604" s="370">
        <f t="shared" si="882"/>
        <v>0.33333333333333331</v>
      </c>
      <c r="O604" s="370">
        <f t="shared" si="882"/>
        <v>0.3743793445878848</v>
      </c>
      <c r="P604" s="377">
        <f t="shared" si="882"/>
        <v>0.39513677811550152</v>
      </c>
      <c r="Q604" s="370">
        <f t="shared" si="882"/>
        <v>0.44114921223354958</v>
      </c>
      <c r="R604" s="370">
        <f t="shared" si="882"/>
        <v>0.43135435992578852</v>
      </c>
      <c r="S604" s="370">
        <f t="shared" si="882"/>
        <v>0.42100192678227366</v>
      </c>
      <c r="T604" s="377">
        <f t="shared" si="882"/>
        <v>0.39622641509433965</v>
      </c>
      <c r="U604" s="370">
        <f t="shared" si="882"/>
        <v>0.38306063522617895</v>
      </c>
      <c r="V604" s="370">
        <f t="shared" si="882"/>
        <v>0.39876215738284709</v>
      </c>
      <c r="W604" s="335">
        <f t="shared" si="882"/>
        <v>0.38191395961369623</v>
      </c>
      <c r="X604" s="377">
        <f>X603/X598</f>
        <v>0.39208294062205468</v>
      </c>
      <c r="Y604" s="370">
        <f>Y603/Y598</f>
        <v>0.39035087719298245</v>
      </c>
      <c r="Z604" s="370">
        <f>Z603/Z598</f>
        <v>0.3567662565905097</v>
      </c>
      <c r="AA604" s="335"/>
      <c r="AB604" s="377"/>
      <c r="AC604" s="370"/>
      <c r="AD604" s="370"/>
      <c r="AE604" s="335"/>
      <c r="AF604" s="377"/>
      <c r="AG604" s="370"/>
      <c r="AH604" s="370"/>
      <c r="AI604" s="370"/>
      <c r="AJ604" s="256"/>
      <c r="AN604" s="256"/>
      <c r="AQ604" s="303"/>
      <c r="AR604" s="256"/>
      <c r="AU604" s="303"/>
      <c r="AV604" s="256"/>
      <c r="AY604" s="303"/>
      <c r="AZ604" s="256"/>
      <c r="BC604" s="303"/>
      <c r="BD604" s="256"/>
      <c r="BG604" s="303"/>
      <c r="BH604" s="256"/>
      <c r="BK604" s="303"/>
      <c r="BL604" s="256"/>
      <c r="BO604" s="303"/>
      <c r="BP604" s="256"/>
      <c r="BS604" s="303"/>
      <c r="BT604" s="256"/>
      <c r="BW604" s="303"/>
      <c r="BX604" s="346"/>
      <c r="BY604" s="256"/>
      <c r="BZ604" s="302"/>
      <c r="CA604" s="370">
        <f>CA603/CA598</f>
        <v>0.35866099893730075</v>
      </c>
      <c r="CB604" s="370">
        <f>CB603/CB598</f>
        <v>0.42276422764227639</v>
      </c>
      <c r="CC604" s="370">
        <f>CC603/CC598</f>
        <v>0.3900205996795606</v>
      </c>
      <c r="CD604" s="392"/>
      <c r="CE604" s="730"/>
      <c r="CF604" s="730"/>
      <c r="CG604" s="302"/>
      <c r="CH604" s="302"/>
      <c r="CI604" s="302"/>
      <c r="CJ604" s="302"/>
      <c r="CK604" s="302"/>
      <c r="CL604" s="302"/>
      <c r="CM604" s="302"/>
      <c r="CN604" s="302"/>
      <c r="CO604" s="302"/>
      <c r="CP604" s="303"/>
    </row>
    <row r="605" spans="2:94" ht="14.25" hidden="1" customHeight="1" outlineLevel="2">
      <c r="B605" s="217"/>
      <c r="G605" s="303"/>
      <c r="L605" s="82"/>
      <c r="M605" s="80"/>
      <c r="N605" s="80"/>
      <c r="O605" s="369"/>
      <c r="P605" s="82"/>
      <c r="Q605" s="80"/>
      <c r="R605" s="80"/>
      <c r="S605" s="262"/>
      <c r="T605" s="82"/>
      <c r="U605" s="80"/>
      <c r="V605" s="80"/>
      <c r="W605" s="262"/>
      <c r="X605" s="82"/>
      <c r="Y605" s="80"/>
      <c r="Z605" s="80"/>
      <c r="AA605" s="262"/>
      <c r="AB605" s="82"/>
      <c r="AC605" s="80"/>
      <c r="AD605" s="80"/>
      <c r="AE605" s="262"/>
      <c r="AF605" s="82"/>
      <c r="AG605" s="80"/>
      <c r="AH605" s="80"/>
      <c r="AI605" s="261"/>
      <c r="AJ605" s="256"/>
      <c r="AN605" s="256"/>
      <c r="AQ605" s="303"/>
      <c r="AR605" s="256"/>
      <c r="AU605" s="303"/>
      <c r="AV605" s="256"/>
      <c r="AY605" s="303"/>
      <c r="AZ605" s="256"/>
      <c r="BC605" s="303"/>
      <c r="BD605" s="256"/>
      <c r="BG605" s="303"/>
      <c r="BH605" s="256"/>
      <c r="BK605" s="303"/>
      <c r="BL605" s="256"/>
      <c r="BO605" s="303"/>
      <c r="BP605" s="256"/>
      <c r="BS605" s="303"/>
      <c r="BT605" s="256"/>
      <c r="BW605" s="303"/>
      <c r="BX605" s="346"/>
      <c r="BY605" s="256"/>
      <c r="BZ605" s="302"/>
      <c r="CA605" s="325"/>
      <c r="CB605" s="325"/>
      <c r="CC605" s="325"/>
      <c r="CD605" s="392"/>
      <c r="CE605" s="730"/>
      <c r="CF605" s="730"/>
      <c r="CG605" s="302"/>
      <c r="CH605" s="302"/>
      <c r="CI605" s="302"/>
      <c r="CJ605" s="302"/>
      <c r="CK605" s="302"/>
      <c r="CL605" s="302"/>
      <c r="CM605" s="302"/>
      <c r="CN605" s="302"/>
      <c r="CO605" s="302"/>
      <c r="CP605" s="303"/>
    </row>
    <row r="606" spans="2:94" ht="14.25" hidden="1" customHeight="1" outlineLevel="2">
      <c r="B606" s="235" t="s">
        <v>233</v>
      </c>
      <c r="G606" s="303"/>
      <c r="L606" s="422">
        <v>13.8</v>
      </c>
      <c r="M606" s="423">
        <v>14.7</v>
      </c>
      <c r="N606" s="423">
        <v>14</v>
      </c>
      <c r="O606" s="401">
        <v>18.600000000000001</v>
      </c>
      <c r="P606" s="422">
        <v>19</v>
      </c>
      <c r="Q606" s="423">
        <v>26.4</v>
      </c>
      <c r="R606" s="423">
        <v>24.5</v>
      </c>
      <c r="S606" s="401">
        <v>21.2</v>
      </c>
      <c r="T606" s="422">
        <v>19.399999999999999</v>
      </c>
      <c r="U606" s="423">
        <v>17.5</v>
      </c>
      <c r="V606" s="423">
        <v>22.2</v>
      </c>
      <c r="W606" s="401">
        <v>19.7</v>
      </c>
      <c r="X606" s="422">
        <v>19.600000000000001</v>
      </c>
      <c r="Y606" s="423">
        <v>21.2</v>
      </c>
      <c r="Z606" s="423">
        <v>16.8</v>
      </c>
      <c r="AA606" s="369"/>
      <c r="AB606" s="375"/>
      <c r="AC606" s="343"/>
      <c r="AD606" s="343"/>
      <c r="AE606" s="369"/>
      <c r="AF606" s="375"/>
      <c r="AG606" s="343"/>
      <c r="AH606" s="343"/>
      <c r="AI606" s="503"/>
      <c r="AJ606" s="256"/>
      <c r="AN606" s="256"/>
      <c r="AQ606" s="303"/>
      <c r="AR606" s="256"/>
      <c r="AU606" s="303"/>
      <c r="AV606" s="256"/>
      <c r="AY606" s="303"/>
      <c r="AZ606" s="256"/>
      <c r="BC606" s="303"/>
      <c r="BD606" s="256"/>
      <c r="BG606" s="303"/>
      <c r="BH606" s="256"/>
      <c r="BK606" s="303"/>
      <c r="BL606" s="256"/>
      <c r="BO606" s="303"/>
      <c r="BP606" s="256"/>
      <c r="BS606" s="303"/>
      <c r="BT606" s="256"/>
      <c r="BW606" s="303"/>
      <c r="BX606" s="346"/>
      <c r="BY606" s="256"/>
      <c r="BZ606" s="302"/>
      <c r="CA606" s="325">
        <f>SUM(L606:O606)</f>
        <v>61.1</v>
      </c>
      <c r="CB606" s="325">
        <f>SUM(P606:S606)</f>
        <v>91.100000000000009</v>
      </c>
      <c r="CC606" s="325">
        <f>SUM(T606:W606)</f>
        <v>78.8</v>
      </c>
      <c r="CD606" s="325"/>
      <c r="CE606" s="730"/>
      <c r="CF606" s="730"/>
      <c r="CG606" s="302"/>
      <c r="CH606" s="302"/>
      <c r="CI606" s="302"/>
      <c r="CJ606" s="302"/>
      <c r="CK606" s="302"/>
      <c r="CL606" s="302"/>
      <c r="CM606" s="302"/>
      <c r="CN606" s="302"/>
      <c r="CO606" s="302"/>
      <c r="CP606" s="303"/>
    </row>
    <row r="607" spans="2:94" ht="14.25" hidden="1" customHeight="1" outlineLevel="2">
      <c r="B607" s="217" t="s">
        <v>297</v>
      </c>
      <c r="G607" s="303"/>
      <c r="L607" s="425"/>
      <c r="M607" s="370">
        <f t="shared" ref="M607:W607" si="883">M606/L606-1</f>
        <v>6.5217391304347672E-2</v>
      </c>
      <c r="N607" s="370">
        <f t="shared" si="883"/>
        <v>-4.7619047619047561E-2</v>
      </c>
      <c r="O607" s="335">
        <f t="shared" si="883"/>
        <v>0.32857142857142874</v>
      </c>
      <c r="P607" s="377">
        <f t="shared" si="883"/>
        <v>2.1505376344086002E-2</v>
      </c>
      <c r="Q607" s="370">
        <f t="shared" si="883"/>
        <v>0.38947368421052619</v>
      </c>
      <c r="R607" s="370">
        <f t="shared" si="883"/>
        <v>-7.1969696969696906E-2</v>
      </c>
      <c r="S607" s="335">
        <f t="shared" si="883"/>
        <v>-0.13469387755102047</v>
      </c>
      <c r="T607" s="377">
        <f t="shared" si="883"/>
        <v>-8.4905660377358472E-2</v>
      </c>
      <c r="U607" s="370">
        <f t="shared" si="883"/>
        <v>-9.7938144329896892E-2</v>
      </c>
      <c r="V607" s="370">
        <f t="shared" si="883"/>
        <v>0.26857142857142846</v>
      </c>
      <c r="W607" s="335">
        <f t="shared" si="883"/>
        <v>-0.11261261261261257</v>
      </c>
      <c r="X607" s="377">
        <f>X606/W606-1</f>
        <v>-5.0761421319795996E-3</v>
      </c>
      <c r="Y607" s="370">
        <f>Y606/X606-1</f>
        <v>8.1632653061224358E-2</v>
      </c>
      <c r="Z607" s="370">
        <f>Z606/Y606-1</f>
        <v>-0.20754716981132071</v>
      </c>
      <c r="AA607" s="335"/>
      <c r="AB607" s="377"/>
      <c r="AC607" s="370"/>
      <c r="AD607" s="370"/>
      <c r="AE607" s="335"/>
      <c r="AF607" s="377"/>
      <c r="AG607" s="370"/>
      <c r="AH607" s="370"/>
      <c r="AI607" s="370"/>
      <c r="AJ607" s="256"/>
      <c r="AN607" s="256"/>
      <c r="AQ607" s="303"/>
      <c r="AR607" s="256"/>
      <c r="AU607" s="303"/>
      <c r="AV607" s="256"/>
      <c r="AY607" s="303"/>
      <c r="AZ607" s="256"/>
      <c r="BC607" s="303"/>
      <c r="BD607" s="256"/>
      <c r="BG607" s="303"/>
      <c r="BH607" s="256"/>
      <c r="BK607" s="303"/>
      <c r="BL607" s="256"/>
      <c r="BO607" s="303"/>
      <c r="BP607" s="256"/>
      <c r="BS607" s="303"/>
      <c r="BT607" s="256"/>
      <c r="BW607" s="303"/>
      <c r="BX607" s="346"/>
      <c r="BY607" s="256"/>
      <c r="BZ607" s="302"/>
      <c r="CA607" s="302"/>
      <c r="CB607" s="302"/>
      <c r="CC607" s="302"/>
      <c r="CD607" s="392"/>
      <c r="CE607" s="392"/>
      <c r="CF607" s="392"/>
      <c r="CG607" s="302"/>
      <c r="CH607" s="302"/>
      <c r="CI607" s="302"/>
      <c r="CJ607" s="302"/>
      <c r="CK607" s="302"/>
      <c r="CL607" s="302"/>
      <c r="CM607" s="302"/>
      <c r="CN607" s="302"/>
      <c r="CO607" s="302"/>
      <c r="CP607" s="303"/>
    </row>
    <row r="608" spans="2:94" ht="14.25" hidden="1" customHeight="1" outlineLevel="2">
      <c r="B608" s="32" t="s">
        <v>298</v>
      </c>
      <c r="G608" s="303"/>
      <c r="L608" s="425"/>
      <c r="M608" s="418"/>
      <c r="N608" s="418"/>
      <c r="O608" s="419"/>
      <c r="P608" s="377">
        <f t="shared" ref="P608:W608" si="884">P606/L606-1</f>
        <v>0.37681159420289845</v>
      </c>
      <c r="Q608" s="370">
        <f t="shared" si="884"/>
        <v>0.79591836734693877</v>
      </c>
      <c r="R608" s="370">
        <f t="shared" si="884"/>
        <v>0.75</v>
      </c>
      <c r="S608" s="335">
        <f t="shared" si="884"/>
        <v>0.13978494623655902</v>
      </c>
      <c r="T608" s="377">
        <f t="shared" si="884"/>
        <v>2.1052631578947212E-2</v>
      </c>
      <c r="U608" s="370">
        <f t="shared" si="884"/>
        <v>-0.33712121212121204</v>
      </c>
      <c r="V608" s="370">
        <f t="shared" si="884"/>
        <v>-9.3877551020408179E-2</v>
      </c>
      <c r="W608" s="335">
        <f t="shared" si="884"/>
        <v>-7.0754716981132115E-2</v>
      </c>
      <c r="X608" s="377">
        <f>X606/T606-1</f>
        <v>1.0309278350515649E-2</v>
      </c>
      <c r="Y608" s="370">
        <f>Y606/U606-1</f>
        <v>0.2114285714285713</v>
      </c>
      <c r="Z608" s="370">
        <f>Z606/V606-1</f>
        <v>-0.2432432432432432</v>
      </c>
      <c r="AA608" s="335"/>
      <c r="AB608" s="377"/>
      <c r="AC608" s="370"/>
      <c r="AD608" s="370"/>
      <c r="AE608" s="335"/>
      <c r="AF608" s="377"/>
      <c r="AG608" s="370"/>
      <c r="AH608" s="370"/>
      <c r="AI608" s="370"/>
      <c r="AJ608" s="256"/>
      <c r="AN608" s="256"/>
      <c r="AQ608" s="303"/>
      <c r="AR608" s="256"/>
      <c r="AU608" s="303"/>
      <c r="AV608" s="256"/>
      <c r="AY608" s="303"/>
      <c r="AZ608" s="256"/>
      <c r="BC608" s="303"/>
      <c r="BD608" s="256"/>
      <c r="BG608" s="303"/>
      <c r="BH608" s="256"/>
      <c r="BK608" s="303"/>
      <c r="BL608" s="256"/>
      <c r="BO608" s="303"/>
      <c r="BP608" s="256"/>
      <c r="BS608" s="303"/>
      <c r="BT608" s="256"/>
      <c r="BW608" s="303"/>
      <c r="BX608" s="346"/>
      <c r="BY608" s="256"/>
      <c r="BZ608" s="302"/>
      <c r="CA608" s="418"/>
      <c r="CB608" s="370">
        <f>CB606/CA606-1</f>
        <v>0.49099836333878888</v>
      </c>
      <c r="CC608" s="370">
        <f>CC606/CB606-1</f>
        <v>-0.13501646542261259</v>
      </c>
      <c r="CD608" s="392"/>
      <c r="CE608" s="392"/>
      <c r="CF608" s="392"/>
      <c r="CG608" s="302"/>
      <c r="CH608" s="302"/>
      <c r="CI608" s="302"/>
      <c r="CJ608" s="302"/>
      <c r="CK608" s="302"/>
      <c r="CL608" s="302"/>
      <c r="CM608" s="302"/>
      <c r="CN608" s="302"/>
      <c r="CO608" s="302"/>
      <c r="CP608" s="303"/>
    </row>
    <row r="609" spans="2:94" ht="14.25" hidden="1" customHeight="1" outlineLevel="2">
      <c r="B609" s="217" t="s">
        <v>374</v>
      </c>
      <c r="G609" s="303"/>
      <c r="L609" s="377">
        <f t="shared" ref="L609:W609" si="885">L606/L598</f>
        <v>0.15032679738562094</v>
      </c>
      <c r="M609" s="370">
        <f t="shared" si="885"/>
        <v>0.16442953020134227</v>
      </c>
      <c r="N609" s="370">
        <f t="shared" si="885"/>
        <v>0.14814814814814814</v>
      </c>
      <c r="O609" s="335">
        <f t="shared" si="885"/>
        <v>0.18470705064548162</v>
      </c>
      <c r="P609" s="377">
        <f t="shared" si="885"/>
        <v>0.19250253292806485</v>
      </c>
      <c r="Q609" s="370">
        <f t="shared" si="885"/>
        <v>0.24467099165894343</v>
      </c>
      <c r="R609" s="370">
        <f t="shared" si="885"/>
        <v>0.22727272727272727</v>
      </c>
      <c r="S609" s="335">
        <f t="shared" si="885"/>
        <v>0.20423892100192678</v>
      </c>
      <c r="T609" s="377">
        <f t="shared" si="885"/>
        <v>0.18301886792452829</v>
      </c>
      <c r="U609" s="370">
        <f t="shared" si="885"/>
        <v>0.16843118383060635</v>
      </c>
      <c r="V609" s="370">
        <f t="shared" si="885"/>
        <v>0.19628647214854111</v>
      </c>
      <c r="W609" s="335">
        <f t="shared" si="885"/>
        <v>0.17295873573309919</v>
      </c>
      <c r="X609" s="377">
        <f>X606/X598</f>
        <v>0.18473138548539117</v>
      </c>
      <c r="Y609" s="370">
        <f>Y606/Y598</f>
        <v>0.18596491228070175</v>
      </c>
      <c r="Z609" s="370">
        <f>Z606/Z598</f>
        <v>0.14762741652021091</v>
      </c>
      <c r="AA609" s="335"/>
      <c r="AB609" s="377"/>
      <c r="AC609" s="370"/>
      <c r="AD609" s="370"/>
      <c r="AE609" s="335"/>
      <c r="AF609" s="377"/>
      <c r="AG609" s="370"/>
      <c r="AH609" s="370"/>
      <c r="AI609" s="370"/>
      <c r="AJ609" s="256"/>
      <c r="AN609" s="256"/>
      <c r="AQ609" s="303"/>
      <c r="AR609" s="256"/>
      <c r="AU609" s="303"/>
      <c r="AV609" s="256"/>
      <c r="AY609" s="303"/>
      <c r="AZ609" s="256"/>
      <c r="BC609" s="303"/>
      <c r="BD609" s="256"/>
      <c r="BG609" s="303"/>
      <c r="BH609" s="256"/>
      <c r="BK609" s="303"/>
      <c r="BL609" s="256"/>
      <c r="BO609" s="303"/>
      <c r="BP609" s="256"/>
      <c r="BS609" s="303"/>
      <c r="BT609" s="256"/>
      <c r="BW609" s="303"/>
      <c r="BX609" s="346"/>
      <c r="BY609" s="256"/>
      <c r="BZ609" s="302"/>
      <c r="CA609" s="370">
        <f>CA606/CA598</f>
        <v>0.16232731137088205</v>
      </c>
      <c r="CB609" s="370">
        <f>CB606/CB598</f>
        <v>0.21783835485413677</v>
      </c>
      <c r="CC609" s="370">
        <f>CC606/CC598</f>
        <v>0.1803616388189517</v>
      </c>
      <c r="CD609" s="392"/>
      <c r="CE609" s="392"/>
      <c r="CF609" s="392"/>
      <c r="CG609" s="302"/>
      <c r="CH609" s="302"/>
      <c r="CI609" s="302"/>
      <c r="CJ609" s="302"/>
      <c r="CK609" s="302"/>
      <c r="CL609" s="302"/>
      <c r="CM609" s="302"/>
      <c r="CN609" s="302"/>
      <c r="CO609" s="302"/>
      <c r="CP609" s="303"/>
    </row>
    <row r="610" spans="2:94" ht="14.25" hidden="1" customHeight="1" outlineLevel="2">
      <c r="B610" s="236"/>
      <c r="D610" s="304"/>
      <c r="E610" s="304"/>
      <c r="F610" s="304"/>
      <c r="G610" s="305"/>
      <c r="H610" s="304"/>
      <c r="I610" s="304"/>
      <c r="J610" s="304"/>
      <c r="K610" s="305"/>
      <c r="L610" s="285"/>
      <c r="M610" s="1"/>
      <c r="N610" s="279"/>
      <c r="O610" s="280"/>
      <c r="P610" s="285"/>
      <c r="Q610" s="1"/>
      <c r="R610" s="279"/>
      <c r="S610" s="280"/>
      <c r="T610" s="285"/>
      <c r="U610" s="1"/>
      <c r="V610" s="279"/>
      <c r="W610" s="280"/>
      <c r="X610" s="285"/>
      <c r="Y610" s="1"/>
      <c r="Z610" s="279"/>
      <c r="AA610" s="280"/>
      <c r="AB610" s="285"/>
      <c r="AC610" s="1"/>
      <c r="AD610" s="279"/>
      <c r="AE610" s="280"/>
      <c r="AF610" s="285"/>
      <c r="AG610" s="1"/>
      <c r="AH610" s="279"/>
      <c r="AI610" s="279"/>
      <c r="AJ610" s="731"/>
      <c r="AK610" s="304"/>
      <c r="AL610" s="304"/>
      <c r="AM610" s="304"/>
      <c r="AN610" s="731"/>
      <c r="AO610" s="304"/>
      <c r="AP610" s="304"/>
      <c r="AQ610" s="305"/>
      <c r="AR610" s="731"/>
      <c r="AS610" s="304"/>
      <c r="AT610" s="304"/>
      <c r="AU610" s="305"/>
      <c r="AV610" s="731"/>
      <c r="AW610" s="304"/>
      <c r="AX610" s="304"/>
      <c r="AY610" s="305"/>
      <c r="AZ610" s="731"/>
      <c r="BA610" s="304"/>
      <c r="BB610" s="304"/>
      <c r="BC610" s="305"/>
      <c r="BD610" s="731"/>
      <c r="BE610" s="304"/>
      <c r="BF610" s="304"/>
      <c r="BG610" s="305"/>
      <c r="BH610" s="731"/>
      <c r="BI610" s="304"/>
      <c r="BJ610" s="304"/>
      <c r="BK610" s="305"/>
      <c r="BL610" s="731"/>
      <c r="BM610" s="304"/>
      <c r="BN610" s="304"/>
      <c r="BO610" s="305"/>
      <c r="BP610" s="731"/>
      <c r="BQ610" s="304"/>
      <c r="BR610" s="304"/>
      <c r="BS610" s="305"/>
      <c r="BT610" s="731"/>
      <c r="BU610" s="304"/>
      <c r="BV610" s="304"/>
      <c r="BW610" s="305"/>
      <c r="BX610" s="346"/>
      <c r="BY610" s="731"/>
      <c r="BZ610" s="304"/>
      <c r="CA610" s="304"/>
      <c r="CB610" s="304"/>
      <c r="CC610" s="304"/>
      <c r="CD610" s="249"/>
      <c r="CE610" s="249"/>
      <c r="CF610" s="249"/>
      <c r="CG610" s="304"/>
      <c r="CH610" s="304"/>
      <c r="CI610" s="304"/>
      <c r="CJ610" s="304"/>
      <c r="CK610" s="304"/>
      <c r="CL610" s="304"/>
      <c r="CM610" s="304"/>
      <c r="CN610" s="304"/>
      <c r="CO610" s="304"/>
      <c r="CP610" s="305"/>
    </row>
    <row r="611" spans="2:94" ht="14.25" hidden="1" customHeight="1" outlineLevel="2">
      <c r="B611" s="235" t="s">
        <v>234</v>
      </c>
      <c r="G611" s="303"/>
      <c r="L611" s="762">
        <v>62.1</v>
      </c>
      <c r="M611" s="423">
        <v>67.8</v>
      </c>
      <c r="N611" s="423">
        <v>63.7</v>
      </c>
      <c r="O611" s="401">
        <v>74.5</v>
      </c>
      <c r="P611" s="762">
        <v>76.8</v>
      </c>
      <c r="Q611" s="423">
        <v>84.2</v>
      </c>
      <c r="R611" s="423">
        <v>93</v>
      </c>
      <c r="S611" s="401">
        <v>93.3</v>
      </c>
      <c r="T611" s="762">
        <v>80.2</v>
      </c>
      <c r="U611" s="423">
        <v>81.3</v>
      </c>
      <c r="V611" s="423">
        <v>93.8</v>
      </c>
      <c r="W611" s="401">
        <v>101.2</v>
      </c>
      <c r="X611" s="762">
        <v>108</v>
      </c>
      <c r="Y611" s="423">
        <v>107.4</v>
      </c>
      <c r="Z611" s="423">
        <v>119.5</v>
      </c>
      <c r="AA611" s="369"/>
      <c r="AB611" s="393"/>
      <c r="AC611" s="343"/>
      <c r="AD611" s="343"/>
      <c r="AE611" s="369"/>
      <c r="AF611" s="393"/>
      <c r="AG611" s="343"/>
      <c r="AH611" s="343"/>
      <c r="AI611" s="503"/>
      <c r="AJ611" s="256"/>
      <c r="AN611" s="256"/>
      <c r="AQ611" s="303"/>
      <c r="AR611" s="256"/>
      <c r="AU611" s="303"/>
      <c r="AV611" s="256"/>
      <c r="AY611" s="303"/>
      <c r="AZ611" s="256"/>
      <c r="BC611" s="303"/>
      <c r="BD611" s="256"/>
      <c r="BG611" s="303"/>
      <c r="BH611" s="256"/>
      <c r="BK611" s="303"/>
      <c r="BL611" s="256"/>
      <c r="BO611" s="303"/>
      <c r="BP611" s="256"/>
      <c r="BS611" s="303"/>
      <c r="BT611" s="256"/>
      <c r="BW611" s="303"/>
      <c r="BX611" s="346"/>
      <c r="BY611" s="729"/>
      <c r="BZ611" s="713"/>
      <c r="CA611" s="325">
        <f>SUM(L611:O611)</f>
        <v>268.10000000000002</v>
      </c>
      <c r="CB611" s="325">
        <f>SUM(P611:S611)</f>
        <v>347.3</v>
      </c>
      <c r="CC611" s="325">
        <f>SUM(T611:W611)</f>
        <v>356.5</v>
      </c>
      <c r="CD611" s="325"/>
      <c r="CE611" s="730"/>
      <c r="CF611" s="730"/>
      <c r="CG611" s="302"/>
      <c r="CH611" s="302"/>
      <c r="CI611" s="302"/>
      <c r="CJ611" s="302"/>
      <c r="CK611" s="302"/>
      <c r="CL611" s="302"/>
      <c r="CM611" s="302"/>
      <c r="CN611" s="302"/>
      <c r="CO611" s="302"/>
      <c r="CP611" s="303"/>
    </row>
    <row r="612" spans="2:94" ht="14.25" hidden="1" customHeight="1" outlineLevel="2">
      <c r="B612" s="217" t="s">
        <v>297</v>
      </c>
      <c r="G612" s="303"/>
      <c r="L612" s="425"/>
      <c r="M612" s="370">
        <f t="shared" ref="M612:W612" si="886">M611/L611-1</f>
        <v>9.1787439613526534E-2</v>
      </c>
      <c r="N612" s="370">
        <f t="shared" si="886"/>
        <v>-6.047197640117985E-2</v>
      </c>
      <c r="O612" s="370">
        <f t="shared" si="886"/>
        <v>0.1695447409733124</v>
      </c>
      <c r="P612" s="377">
        <f t="shared" si="886"/>
        <v>3.0872483221476399E-2</v>
      </c>
      <c r="Q612" s="370">
        <f t="shared" si="886"/>
        <v>9.6354166666666741E-2</v>
      </c>
      <c r="R612" s="370">
        <f t="shared" si="886"/>
        <v>0.10451306413301653</v>
      </c>
      <c r="S612" s="370">
        <f t="shared" si="886"/>
        <v>3.225806451612856E-3</v>
      </c>
      <c r="T612" s="377">
        <f t="shared" si="886"/>
        <v>-0.14040728831725613</v>
      </c>
      <c r="U612" s="370">
        <f t="shared" si="886"/>
        <v>1.3715710723191998E-2</v>
      </c>
      <c r="V612" s="370">
        <f t="shared" si="886"/>
        <v>0.15375153751537507</v>
      </c>
      <c r="W612" s="335">
        <f t="shared" si="886"/>
        <v>7.8891257995735709E-2</v>
      </c>
      <c r="X612" s="377">
        <f>X611/W611-1</f>
        <v>6.7193675889328119E-2</v>
      </c>
      <c r="Y612" s="370">
        <f>Y611/X611-1</f>
        <v>-5.5555555555555358E-3</v>
      </c>
      <c r="Z612" s="370">
        <f>Z611/Y611-1</f>
        <v>0.11266294227188078</v>
      </c>
      <c r="AA612" s="335"/>
      <c r="AB612" s="377"/>
      <c r="AC612" s="370"/>
      <c r="AD612" s="370"/>
      <c r="AE612" s="335"/>
      <c r="AF612" s="377"/>
      <c r="AG612" s="370"/>
      <c r="AH612" s="370"/>
      <c r="AI612" s="370"/>
      <c r="AJ612" s="256"/>
      <c r="AN612" s="256"/>
      <c r="AQ612" s="303"/>
      <c r="AR612" s="256"/>
      <c r="AU612" s="303"/>
      <c r="AV612" s="256"/>
      <c r="AY612" s="303"/>
      <c r="AZ612" s="256"/>
      <c r="BC612" s="303"/>
      <c r="BD612" s="256"/>
      <c r="BG612" s="303"/>
      <c r="BH612" s="256"/>
      <c r="BK612" s="303"/>
      <c r="BL612" s="256"/>
      <c r="BO612" s="303"/>
      <c r="BP612" s="256"/>
      <c r="BS612" s="303"/>
      <c r="BT612" s="256"/>
      <c r="BW612" s="303"/>
      <c r="BX612" s="346"/>
      <c r="BY612" s="256"/>
      <c r="BZ612" s="302"/>
      <c r="CA612" s="302"/>
      <c r="CB612" s="302"/>
      <c r="CC612" s="302"/>
      <c r="CD612" s="392"/>
      <c r="CE612" s="730"/>
      <c r="CF612" s="730"/>
      <c r="CG612" s="302"/>
      <c r="CH612" s="302"/>
      <c r="CI612" s="302"/>
      <c r="CJ612" s="302"/>
      <c r="CK612" s="302"/>
      <c r="CL612" s="302"/>
      <c r="CM612" s="302"/>
      <c r="CN612" s="302"/>
      <c r="CO612" s="302"/>
      <c r="CP612" s="303"/>
    </row>
    <row r="613" spans="2:94" ht="14.25" hidden="1" customHeight="1" outlineLevel="2">
      <c r="B613" s="32" t="s">
        <v>298</v>
      </c>
      <c r="G613" s="303"/>
      <c r="L613" s="425"/>
      <c r="M613" s="418"/>
      <c r="N613" s="418"/>
      <c r="O613" s="419"/>
      <c r="P613" s="377">
        <f t="shared" ref="P613:W613" si="887">P611/L611-1</f>
        <v>0.23671497584541057</v>
      </c>
      <c r="Q613" s="370">
        <f t="shared" si="887"/>
        <v>0.24188790560471984</v>
      </c>
      <c r="R613" s="370">
        <f t="shared" si="887"/>
        <v>0.4599686028257457</v>
      </c>
      <c r="S613" s="370">
        <f t="shared" si="887"/>
        <v>0.25234899328859051</v>
      </c>
      <c r="T613" s="377">
        <f t="shared" si="887"/>
        <v>4.4270833333333481E-2</v>
      </c>
      <c r="U613" s="370">
        <f t="shared" si="887"/>
        <v>-3.4441805225653321E-2</v>
      </c>
      <c r="V613" s="370">
        <f t="shared" si="887"/>
        <v>8.6021505376343566E-3</v>
      </c>
      <c r="W613" s="335">
        <f t="shared" si="887"/>
        <v>8.4673097534833985E-2</v>
      </c>
      <c r="X613" s="377">
        <f>X611/T611-1</f>
        <v>0.34663341645885293</v>
      </c>
      <c r="Y613" s="370">
        <f>Y611/U611-1</f>
        <v>0.32103321033210341</v>
      </c>
      <c r="Z613" s="370">
        <f>Z611/V611-1</f>
        <v>0.2739872068230278</v>
      </c>
      <c r="AA613" s="335"/>
      <c r="AB613" s="377"/>
      <c r="AC613" s="370"/>
      <c r="AD613" s="370"/>
      <c r="AE613" s="335"/>
      <c r="AF613" s="377"/>
      <c r="AG613" s="370"/>
      <c r="AH613" s="370"/>
      <c r="AI613" s="370"/>
      <c r="AJ613" s="256"/>
      <c r="AN613" s="256"/>
      <c r="AQ613" s="303"/>
      <c r="AR613" s="256"/>
      <c r="AU613" s="303"/>
      <c r="AV613" s="256"/>
      <c r="AY613" s="303"/>
      <c r="AZ613" s="256"/>
      <c r="BC613" s="303"/>
      <c r="BD613" s="256"/>
      <c r="BG613" s="303"/>
      <c r="BH613" s="256"/>
      <c r="BK613" s="303"/>
      <c r="BL613" s="256"/>
      <c r="BO613" s="303"/>
      <c r="BP613" s="256"/>
      <c r="BS613" s="303"/>
      <c r="BT613" s="256"/>
      <c r="BW613" s="303"/>
      <c r="BX613" s="346"/>
      <c r="BY613" s="256"/>
      <c r="BZ613" s="302"/>
      <c r="CA613" s="418"/>
      <c r="CB613" s="370">
        <f>CB611/CA611-1</f>
        <v>0.29541215964192458</v>
      </c>
      <c r="CC613" s="370">
        <f>CC611/CB611-1</f>
        <v>2.6490066225165476E-2</v>
      </c>
      <c r="CD613" s="392"/>
      <c r="CE613" s="730"/>
      <c r="CF613" s="730"/>
      <c r="CG613" s="302"/>
      <c r="CH613" s="302"/>
      <c r="CI613" s="302"/>
      <c r="CJ613" s="302"/>
      <c r="CK613" s="302"/>
      <c r="CL613" s="302"/>
      <c r="CM613" s="302"/>
      <c r="CN613" s="302"/>
      <c r="CO613" s="302"/>
      <c r="CP613" s="303"/>
    </row>
    <row r="614" spans="2:94" ht="14.25" hidden="1" customHeight="1" outlineLevel="2">
      <c r="B614" s="217" t="s">
        <v>299</v>
      </c>
      <c r="G614" s="303"/>
      <c r="L614" s="359">
        <f t="shared" ref="L614:W614" si="888">L611/L663</f>
        <v>0.20535714285714288</v>
      </c>
      <c r="M614" s="370">
        <f t="shared" si="888"/>
        <v>0.22391017173051517</v>
      </c>
      <c r="N614" s="370">
        <f t="shared" si="888"/>
        <v>0.20312500000000003</v>
      </c>
      <c r="O614" s="370">
        <f t="shared" si="888"/>
        <v>0.21796372147454651</v>
      </c>
      <c r="P614" s="359">
        <f t="shared" si="888"/>
        <v>0.22994011976047904</v>
      </c>
      <c r="Q614" s="370">
        <f t="shared" si="888"/>
        <v>0.22435385025313084</v>
      </c>
      <c r="R614" s="370">
        <f t="shared" si="888"/>
        <v>0.2209550962223806</v>
      </c>
      <c r="S614" s="370">
        <f t="shared" si="888"/>
        <v>0.23232071713147409</v>
      </c>
      <c r="T614" s="359">
        <f t="shared" si="888"/>
        <v>0.21432389096739712</v>
      </c>
      <c r="U614" s="370">
        <f t="shared" si="888"/>
        <v>0.21327387198321091</v>
      </c>
      <c r="V614" s="370">
        <f t="shared" si="888"/>
        <v>0.2328121121866468</v>
      </c>
      <c r="W614" s="337">
        <f t="shared" si="888"/>
        <v>0.24810002451581267</v>
      </c>
      <c r="X614" s="359">
        <f>X611/X663</f>
        <v>0.25598483052856125</v>
      </c>
      <c r="Y614" s="370">
        <f>Y611/Y663</f>
        <v>0.19086547005509152</v>
      </c>
      <c r="Z614" s="370">
        <f>Z611/Z663</f>
        <v>0.2055030094582975</v>
      </c>
      <c r="AA614" s="337"/>
      <c r="AB614" s="359"/>
      <c r="AC614" s="370"/>
      <c r="AD614" s="370"/>
      <c r="AE614" s="337"/>
      <c r="AF614" s="359"/>
      <c r="AG614" s="370"/>
      <c r="AH614" s="370"/>
      <c r="AI614" s="338"/>
      <c r="AJ614" s="256"/>
      <c r="AN614" s="256"/>
      <c r="AQ614" s="303"/>
      <c r="AR614" s="256"/>
      <c r="AU614" s="303"/>
      <c r="AV614" s="256"/>
      <c r="AY614" s="303"/>
      <c r="AZ614" s="256"/>
      <c r="BC614" s="303"/>
      <c r="BD614" s="256"/>
      <c r="BG614" s="303"/>
      <c r="BH614" s="256"/>
      <c r="BK614" s="303"/>
      <c r="BL614" s="256"/>
      <c r="BO614" s="303"/>
      <c r="BP614" s="256"/>
      <c r="BS614" s="303"/>
      <c r="BT614" s="256"/>
      <c r="BW614" s="303"/>
      <c r="BX614" s="346"/>
      <c r="BY614" s="256"/>
      <c r="BZ614" s="302"/>
      <c r="CA614" s="370">
        <f>CA611/CA663</f>
        <v>0.21267650325241952</v>
      </c>
      <c r="CB614" s="370">
        <f>CB611/CB663</f>
        <v>0.2267267267267267</v>
      </c>
      <c r="CC614" s="370">
        <f>CC611/CC663</f>
        <v>0.22762099348742179</v>
      </c>
      <c r="CD614" s="392"/>
      <c r="CE614" s="730"/>
      <c r="CF614" s="730"/>
      <c r="CG614" s="302"/>
      <c r="CH614" s="302"/>
      <c r="CI614" s="302"/>
      <c r="CJ614" s="302"/>
      <c r="CK614" s="302"/>
      <c r="CL614" s="302"/>
      <c r="CM614" s="302"/>
      <c r="CN614" s="302"/>
      <c r="CO614" s="302"/>
      <c r="CP614" s="303"/>
    </row>
    <row r="615" spans="2:94" ht="14.25" hidden="1" customHeight="1" outlineLevel="2">
      <c r="B615" s="217"/>
      <c r="G615" s="303"/>
      <c r="L615" s="260"/>
      <c r="M615" s="80"/>
      <c r="N615" s="80"/>
      <c r="O615" s="369"/>
      <c r="P615" s="260"/>
      <c r="Q615" s="80"/>
      <c r="R615" s="80"/>
      <c r="S615" s="262"/>
      <c r="T615" s="260"/>
      <c r="U615" s="80"/>
      <c r="V615" s="80"/>
      <c r="W615" s="262"/>
      <c r="X615" s="260"/>
      <c r="Y615" s="80"/>
      <c r="Z615" s="80"/>
      <c r="AA615" s="262"/>
      <c r="AB615" s="260"/>
      <c r="AC615" s="80"/>
      <c r="AD615" s="80"/>
      <c r="AE615" s="262"/>
      <c r="AF615" s="260"/>
      <c r="AG615" s="80"/>
      <c r="AH615" s="80"/>
      <c r="AI615" s="261"/>
      <c r="AJ615" s="256"/>
      <c r="AN615" s="256"/>
      <c r="AQ615" s="303"/>
      <c r="AR615" s="256"/>
      <c r="AU615" s="303"/>
      <c r="AV615" s="256"/>
      <c r="AY615" s="303"/>
      <c r="AZ615" s="256"/>
      <c r="BC615" s="303"/>
      <c r="BD615" s="256"/>
      <c r="BG615" s="303"/>
      <c r="BH615" s="256"/>
      <c r="BK615" s="303"/>
      <c r="BL615" s="256"/>
      <c r="BO615" s="303"/>
      <c r="BP615" s="256"/>
      <c r="BS615" s="303"/>
      <c r="BT615" s="256"/>
      <c r="BW615" s="303"/>
      <c r="BX615" s="346"/>
      <c r="BY615" s="256"/>
      <c r="BZ615" s="302"/>
      <c r="CA615" s="302"/>
      <c r="CB615" s="302"/>
      <c r="CC615" s="302"/>
      <c r="CD615" s="392"/>
      <c r="CE615" s="730"/>
      <c r="CF615" s="730"/>
      <c r="CG615" s="302"/>
      <c r="CH615" s="302"/>
      <c r="CI615" s="302"/>
      <c r="CJ615" s="302"/>
      <c r="CK615" s="302"/>
      <c r="CL615" s="302"/>
      <c r="CM615" s="302"/>
      <c r="CN615" s="302"/>
      <c r="CO615" s="302"/>
      <c r="CP615" s="303"/>
    </row>
    <row r="616" spans="2:94" ht="14.25" hidden="1" customHeight="1" outlineLevel="2">
      <c r="B616" s="235" t="s">
        <v>235</v>
      </c>
      <c r="G616" s="303"/>
      <c r="L616" s="422">
        <v>16.399999999999999</v>
      </c>
      <c r="M616" s="423">
        <v>23.2</v>
      </c>
      <c r="N616" s="423">
        <v>22.4</v>
      </c>
      <c r="O616" s="401">
        <v>24.4</v>
      </c>
      <c r="P616" s="422">
        <v>25.6</v>
      </c>
      <c r="Q616" s="423">
        <v>30.5</v>
      </c>
      <c r="R616" s="423">
        <v>33.9</v>
      </c>
      <c r="S616" s="401">
        <v>38.4</v>
      </c>
      <c r="T616" s="422">
        <v>29.9</v>
      </c>
      <c r="U616" s="423">
        <v>30.9</v>
      </c>
      <c r="V616" s="423">
        <v>32.4</v>
      </c>
      <c r="W616" s="401">
        <v>40.799999999999997</v>
      </c>
      <c r="X616" s="422">
        <v>39.4</v>
      </c>
      <c r="Y616" s="423">
        <v>43.4</v>
      </c>
      <c r="Z616" s="423">
        <v>45.3</v>
      </c>
      <c r="AA616" s="369"/>
      <c r="AB616" s="375"/>
      <c r="AC616" s="343"/>
      <c r="AD616" s="343"/>
      <c r="AE616" s="369"/>
      <c r="AF616" s="375"/>
      <c r="AG616" s="343"/>
      <c r="AH616" s="343"/>
      <c r="AI616" s="503"/>
      <c r="AJ616" s="256"/>
      <c r="AN616" s="256"/>
      <c r="AQ616" s="303"/>
      <c r="AR616" s="256"/>
      <c r="AU616" s="303"/>
      <c r="AV616" s="256"/>
      <c r="AY616" s="303"/>
      <c r="AZ616" s="256"/>
      <c r="BC616" s="303"/>
      <c r="BD616" s="256"/>
      <c r="BG616" s="303"/>
      <c r="BH616" s="256"/>
      <c r="BK616" s="303"/>
      <c r="BL616" s="256"/>
      <c r="BO616" s="303"/>
      <c r="BP616" s="256"/>
      <c r="BS616" s="303"/>
      <c r="BT616" s="256"/>
      <c r="BW616" s="303"/>
      <c r="BX616" s="346"/>
      <c r="BY616" s="256"/>
      <c r="BZ616" s="302"/>
      <c r="CA616" s="325">
        <f>SUM(L616:O616)</f>
        <v>86.399999999999991</v>
      </c>
      <c r="CB616" s="325">
        <f>SUM(P616:S616)</f>
        <v>128.4</v>
      </c>
      <c r="CC616" s="325">
        <f>SUM(T616:W616)</f>
        <v>134</v>
      </c>
      <c r="CD616" s="325"/>
      <c r="CE616" s="730"/>
      <c r="CF616" s="730"/>
      <c r="CG616" s="302"/>
      <c r="CH616" s="302"/>
      <c r="CI616" s="302"/>
      <c r="CJ616" s="302"/>
      <c r="CK616" s="302"/>
      <c r="CL616" s="302"/>
      <c r="CM616" s="302"/>
      <c r="CN616" s="302"/>
      <c r="CO616" s="302"/>
      <c r="CP616" s="303"/>
    </row>
    <row r="617" spans="2:94" ht="14.25" hidden="1" customHeight="1" outlineLevel="2">
      <c r="B617" s="217" t="s">
        <v>193</v>
      </c>
      <c r="G617" s="303"/>
      <c r="L617" s="377">
        <f t="shared" ref="L617:W617" si="889">L616/L611</f>
        <v>0.26409017713365535</v>
      </c>
      <c r="M617" s="370">
        <f t="shared" si="889"/>
        <v>0.34218289085545722</v>
      </c>
      <c r="N617" s="370">
        <f t="shared" si="889"/>
        <v>0.35164835164835162</v>
      </c>
      <c r="O617" s="370">
        <f t="shared" si="889"/>
        <v>0.32751677852348993</v>
      </c>
      <c r="P617" s="377">
        <f>P616/P611</f>
        <v>0.33333333333333337</v>
      </c>
      <c r="Q617" s="370">
        <f t="shared" si="889"/>
        <v>0.36223277909738716</v>
      </c>
      <c r="R617" s="370">
        <f t="shared" si="889"/>
        <v>0.36451612903225805</v>
      </c>
      <c r="S617" s="370">
        <f t="shared" si="889"/>
        <v>0.41157556270096463</v>
      </c>
      <c r="T617" s="377">
        <f t="shared" si="889"/>
        <v>0.37281795511221943</v>
      </c>
      <c r="U617" s="370">
        <f t="shared" si="889"/>
        <v>0.38007380073800739</v>
      </c>
      <c r="V617" s="370">
        <f t="shared" si="889"/>
        <v>0.34541577825159914</v>
      </c>
      <c r="W617" s="335">
        <f t="shared" si="889"/>
        <v>0.40316205533596833</v>
      </c>
      <c r="X617" s="377">
        <f>X616/X611</f>
        <v>0.36481481481481481</v>
      </c>
      <c r="Y617" s="370">
        <f>Y616/Y611</f>
        <v>0.40409683426443199</v>
      </c>
      <c r="Z617" s="370">
        <f>Z616/Z611</f>
        <v>0.37907949790794976</v>
      </c>
      <c r="AA617" s="335"/>
      <c r="AB617" s="377"/>
      <c r="AC617" s="370"/>
      <c r="AD617" s="370"/>
      <c r="AE617" s="335"/>
      <c r="AF617" s="377"/>
      <c r="AG617" s="370"/>
      <c r="AH617" s="370"/>
      <c r="AI617" s="370"/>
      <c r="AJ617" s="256"/>
      <c r="AN617" s="256"/>
      <c r="AQ617" s="303"/>
      <c r="AR617" s="256"/>
      <c r="AU617" s="303"/>
      <c r="AV617" s="256"/>
      <c r="AY617" s="303"/>
      <c r="AZ617" s="256"/>
      <c r="BC617" s="303"/>
      <c r="BD617" s="256"/>
      <c r="BG617" s="303"/>
      <c r="BH617" s="256"/>
      <c r="BK617" s="303"/>
      <c r="BL617" s="256"/>
      <c r="BO617" s="303"/>
      <c r="BP617" s="256"/>
      <c r="BS617" s="303"/>
      <c r="BT617" s="256"/>
      <c r="BW617" s="303"/>
      <c r="BX617" s="346"/>
      <c r="BY617" s="256"/>
      <c r="BZ617" s="302"/>
      <c r="CA617" s="370">
        <f>CA616/CA611</f>
        <v>0.3222678105184632</v>
      </c>
      <c r="CB617" s="370">
        <f>CB616/CB611</f>
        <v>0.3697091851425281</v>
      </c>
      <c r="CC617" s="370">
        <f>CC616/CC611</f>
        <v>0.37587657784011219</v>
      </c>
      <c r="CD617" s="392"/>
      <c r="CE617" s="730"/>
      <c r="CF617" s="730"/>
      <c r="CG617" s="302"/>
      <c r="CH617" s="302"/>
      <c r="CI617" s="302"/>
      <c r="CJ617" s="302"/>
      <c r="CK617" s="302"/>
      <c r="CL617" s="302"/>
      <c r="CM617" s="302"/>
      <c r="CN617" s="302"/>
      <c r="CO617" s="302"/>
      <c r="CP617" s="303"/>
    </row>
    <row r="618" spans="2:94" ht="14.25" hidden="1" customHeight="1" outlineLevel="2">
      <c r="B618" s="217"/>
      <c r="G618" s="303"/>
      <c r="L618" s="82"/>
      <c r="M618" s="80"/>
      <c r="N618" s="80"/>
      <c r="O618" s="369"/>
      <c r="P618" s="82"/>
      <c r="Q618" s="80"/>
      <c r="R618" s="80"/>
      <c r="S618" s="262"/>
      <c r="T618" s="82"/>
      <c r="U618" s="80"/>
      <c r="V618" s="80"/>
      <c r="W618" s="262"/>
      <c r="X618" s="82"/>
      <c r="Y618" s="80"/>
      <c r="Z618" s="80"/>
      <c r="AA618" s="262"/>
      <c r="AB618" s="82"/>
      <c r="AC618" s="80"/>
      <c r="AD618" s="80"/>
      <c r="AE618" s="262"/>
      <c r="AF618" s="82"/>
      <c r="AG618" s="80"/>
      <c r="AH618" s="80"/>
      <c r="AI618" s="261"/>
      <c r="AJ618" s="256"/>
      <c r="AN618" s="256"/>
      <c r="AQ618" s="303"/>
      <c r="AR618" s="256"/>
      <c r="AU618" s="303"/>
      <c r="AV618" s="256"/>
      <c r="AY618" s="303"/>
      <c r="AZ618" s="256"/>
      <c r="BC618" s="303"/>
      <c r="BD618" s="256"/>
      <c r="BG618" s="303"/>
      <c r="BH618" s="256"/>
      <c r="BK618" s="303"/>
      <c r="BL618" s="256"/>
      <c r="BO618" s="303"/>
      <c r="BP618" s="256"/>
      <c r="BS618" s="303"/>
      <c r="BT618" s="256"/>
      <c r="BW618" s="303"/>
      <c r="BX618" s="346"/>
      <c r="BY618" s="256"/>
      <c r="BZ618" s="302"/>
      <c r="CA618" s="325"/>
      <c r="CB618" s="325"/>
      <c r="CC618" s="325"/>
      <c r="CD618" s="392"/>
      <c r="CE618" s="730"/>
      <c r="CF618" s="730"/>
      <c r="CG618" s="302"/>
      <c r="CH618" s="302"/>
      <c r="CI618" s="302"/>
      <c r="CJ618" s="302"/>
      <c r="CK618" s="302"/>
      <c r="CL618" s="302"/>
      <c r="CM618" s="302"/>
      <c r="CN618" s="302"/>
      <c r="CO618" s="302"/>
      <c r="CP618" s="303"/>
    </row>
    <row r="619" spans="2:94" ht="14.25" hidden="1" customHeight="1" outlineLevel="2">
      <c r="B619" s="235" t="s">
        <v>236</v>
      </c>
      <c r="G619" s="303"/>
      <c r="L619" s="422">
        <v>2.8</v>
      </c>
      <c r="M619" s="423">
        <v>10.6</v>
      </c>
      <c r="N619" s="423">
        <v>8.9</v>
      </c>
      <c r="O619" s="401">
        <v>11.1</v>
      </c>
      <c r="P619" s="422">
        <v>11.7</v>
      </c>
      <c r="Q619" s="423">
        <v>15.9</v>
      </c>
      <c r="R619" s="423">
        <v>18</v>
      </c>
      <c r="S619" s="401">
        <v>20.8</v>
      </c>
      <c r="T619" s="422">
        <v>12.9</v>
      </c>
      <c r="U619" s="423">
        <v>14.1</v>
      </c>
      <c r="V619" s="423">
        <v>14.2</v>
      </c>
      <c r="W619" s="401">
        <v>21.6</v>
      </c>
      <c r="X619" s="422">
        <v>18</v>
      </c>
      <c r="Y619" s="423">
        <v>18.3</v>
      </c>
      <c r="Z619" s="423">
        <v>19</v>
      </c>
      <c r="AA619" s="369"/>
      <c r="AB619" s="375"/>
      <c r="AC619" s="343"/>
      <c r="AD619" s="343"/>
      <c r="AE619" s="369"/>
      <c r="AF619" s="375"/>
      <c r="AG619" s="343"/>
      <c r="AH619" s="343"/>
      <c r="AI619" s="503"/>
      <c r="AJ619" s="256"/>
      <c r="AN619" s="256"/>
      <c r="AQ619" s="303"/>
      <c r="AR619" s="256"/>
      <c r="AU619" s="303"/>
      <c r="AV619" s="256"/>
      <c r="AY619" s="303"/>
      <c r="AZ619" s="256"/>
      <c r="BC619" s="303"/>
      <c r="BD619" s="256"/>
      <c r="BG619" s="303"/>
      <c r="BH619" s="256"/>
      <c r="BK619" s="303"/>
      <c r="BL619" s="256"/>
      <c r="BO619" s="303"/>
      <c r="BP619" s="256"/>
      <c r="BS619" s="303"/>
      <c r="BT619" s="256"/>
      <c r="BW619" s="303"/>
      <c r="BX619" s="346"/>
      <c r="BY619" s="256"/>
      <c r="BZ619" s="302"/>
      <c r="CA619" s="325">
        <f>SUM(L619:O619)</f>
        <v>33.4</v>
      </c>
      <c r="CB619" s="325">
        <f>SUM(P619:S619)</f>
        <v>66.400000000000006</v>
      </c>
      <c r="CC619" s="325">
        <f>SUM(T619:W619)</f>
        <v>62.800000000000004</v>
      </c>
      <c r="CD619" s="325"/>
      <c r="CE619" s="730"/>
      <c r="CF619" s="730"/>
      <c r="CG619" s="302"/>
      <c r="CH619" s="302"/>
      <c r="CI619" s="302"/>
      <c r="CJ619" s="302"/>
      <c r="CK619" s="302"/>
      <c r="CL619" s="302"/>
      <c r="CM619" s="302"/>
      <c r="CN619" s="302"/>
      <c r="CO619" s="302"/>
      <c r="CP619" s="303"/>
    </row>
    <row r="620" spans="2:94" ht="14.25" hidden="1" customHeight="1" outlineLevel="2">
      <c r="B620" s="217" t="s">
        <v>297</v>
      </c>
      <c r="G620" s="303"/>
      <c r="L620" s="425"/>
      <c r="M620" s="370">
        <f t="shared" ref="M620:W620" si="890">M619/L619-1</f>
        <v>2.785714285714286</v>
      </c>
      <c r="N620" s="370">
        <f t="shared" si="890"/>
        <v>-0.160377358490566</v>
      </c>
      <c r="O620" s="335">
        <f t="shared" si="890"/>
        <v>0.24719101123595499</v>
      </c>
      <c r="P620" s="377">
        <f t="shared" si="890"/>
        <v>5.4054054054053946E-2</v>
      </c>
      <c r="Q620" s="370">
        <f t="shared" si="890"/>
        <v>0.35897435897435903</v>
      </c>
      <c r="R620" s="370">
        <f t="shared" si="890"/>
        <v>0.13207547169811318</v>
      </c>
      <c r="S620" s="335">
        <f t="shared" si="890"/>
        <v>0.15555555555555567</v>
      </c>
      <c r="T620" s="377">
        <f t="shared" si="890"/>
        <v>-0.37980769230769229</v>
      </c>
      <c r="U620" s="370">
        <f t="shared" si="890"/>
        <v>9.3023255813953432E-2</v>
      </c>
      <c r="V620" s="370">
        <f t="shared" si="890"/>
        <v>7.0921985815601829E-3</v>
      </c>
      <c r="W620" s="335">
        <f t="shared" si="890"/>
        <v>0.52112676056338048</v>
      </c>
      <c r="X620" s="377">
        <f>X619/W619-1</f>
        <v>-0.16666666666666674</v>
      </c>
      <c r="Y620" s="370">
        <f>Y619/X619-1</f>
        <v>1.6666666666666607E-2</v>
      </c>
      <c r="Z620" s="370">
        <f>Z619/Y619-1</f>
        <v>3.8251366120218622E-2</v>
      </c>
      <c r="AA620" s="335"/>
      <c r="AB620" s="377"/>
      <c r="AC620" s="370"/>
      <c r="AD620" s="370"/>
      <c r="AE620" s="335"/>
      <c r="AF620" s="377"/>
      <c r="AG620" s="370"/>
      <c r="AH620" s="370"/>
      <c r="AI620" s="370"/>
      <c r="AJ620" s="256"/>
      <c r="AN620" s="256"/>
      <c r="AQ620" s="303"/>
      <c r="AR620" s="256"/>
      <c r="AU620" s="303"/>
      <c r="AV620" s="256"/>
      <c r="AY620" s="303"/>
      <c r="AZ620" s="256"/>
      <c r="BC620" s="303"/>
      <c r="BD620" s="256"/>
      <c r="BG620" s="303"/>
      <c r="BH620" s="256"/>
      <c r="BK620" s="303"/>
      <c r="BL620" s="256"/>
      <c r="BO620" s="303"/>
      <c r="BP620" s="256"/>
      <c r="BS620" s="303"/>
      <c r="BT620" s="256"/>
      <c r="BW620" s="303"/>
      <c r="BX620" s="346"/>
      <c r="BY620" s="256"/>
      <c r="BZ620" s="302"/>
      <c r="CA620" s="302"/>
      <c r="CB620" s="302"/>
      <c r="CC620" s="302"/>
      <c r="CD620" s="392"/>
      <c r="CE620" s="392"/>
      <c r="CF620" s="392"/>
      <c r="CG620" s="302"/>
      <c r="CH620" s="302"/>
      <c r="CI620" s="302"/>
      <c r="CJ620" s="302"/>
      <c r="CK620" s="302"/>
      <c r="CL620" s="302"/>
      <c r="CM620" s="302"/>
      <c r="CN620" s="302"/>
      <c r="CO620" s="302"/>
      <c r="CP620" s="303"/>
    </row>
    <row r="621" spans="2:94" ht="14.25" hidden="1" customHeight="1" outlineLevel="2">
      <c r="B621" s="32" t="s">
        <v>298</v>
      </c>
      <c r="G621" s="303"/>
      <c r="L621" s="425"/>
      <c r="M621" s="418"/>
      <c r="N621" s="418"/>
      <c r="O621" s="419"/>
      <c r="P621" s="377">
        <f t="shared" ref="P621:W621" si="891">P619/L619-1</f>
        <v>3.1785714285714288</v>
      </c>
      <c r="Q621" s="370">
        <f t="shared" si="891"/>
        <v>0.5</v>
      </c>
      <c r="R621" s="370">
        <f t="shared" si="891"/>
        <v>1.0224719101123596</v>
      </c>
      <c r="S621" s="335">
        <f t="shared" si="891"/>
        <v>0.87387387387387405</v>
      </c>
      <c r="T621" s="377">
        <f t="shared" si="891"/>
        <v>0.10256410256410264</v>
      </c>
      <c r="U621" s="370">
        <f t="shared" si="891"/>
        <v>-0.11320754716981141</v>
      </c>
      <c r="V621" s="370">
        <f t="shared" si="891"/>
        <v>-0.21111111111111114</v>
      </c>
      <c r="W621" s="335">
        <f t="shared" si="891"/>
        <v>3.8461538461538547E-2</v>
      </c>
      <c r="X621" s="377">
        <f>X619/T619-1</f>
        <v>0.39534883720930236</v>
      </c>
      <c r="Y621" s="370">
        <f>Y619/U619-1</f>
        <v>0.2978723404255319</v>
      </c>
      <c r="Z621" s="370">
        <f>Z619/V619-1</f>
        <v>0.3380281690140845</v>
      </c>
      <c r="AA621" s="335"/>
      <c r="AB621" s="377"/>
      <c r="AC621" s="370"/>
      <c r="AD621" s="370"/>
      <c r="AE621" s="335"/>
      <c r="AF621" s="377"/>
      <c r="AG621" s="370"/>
      <c r="AH621" s="370"/>
      <c r="AI621" s="370"/>
      <c r="AJ621" s="256"/>
      <c r="AN621" s="256"/>
      <c r="AQ621" s="303"/>
      <c r="AR621" s="256"/>
      <c r="AU621" s="303"/>
      <c r="AV621" s="256"/>
      <c r="AY621" s="303"/>
      <c r="AZ621" s="256"/>
      <c r="BC621" s="303"/>
      <c r="BD621" s="256"/>
      <c r="BG621" s="303"/>
      <c r="BH621" s="256"/>
      <c r="BK621" s="303"/>
      <c r="BL621" s="256"/>
      <c r="BO621" s="303"/>
      <c r="BP621" s="256"/>
      <c r="BS621" s="303"/>
      <c r="BT621" s="256"/>
      <c r="BW621" s="303"/>
      <c r="BX621" s="346"/>
      <c r="BY621" s="256"/>
      <c r="BZ621" s="302"/>
      <c r="CA621" s="418"/>
      <c r="CB621" s="370">
        <f>CB619/CA619-1</f>
        <v>0.98802395209580873</v>
      </c>
      <c r="CC621" s="370">
        <f>CC619/CB619-1</f>
        <v>-5.4216867469879526E-2</v>
      </c>
      <c r="CD621" s="392"/>
      <c r="CE621" s="392"/>
      <c r="CF621" s="392"/>
      <c r="CG621" s="302"/>
      <c r="CH621" s="302"/>
      <c r="CI621" s="302"/>
      <c r="CJ621" s="302"/>
      <c r="CK621" s="302"/>
      <c r="CL621" s="302"/>
      <c r="CM621" s="302"/>
      <c r="CN621" s="302"/>
      <c r="CO621" s="302"/>
      <c r="CP621" s="303"/>
    </row>
    <row r="622" spans="2:94" ht="14.25" hidden="1" customHeight="1" outlineLevel="2">
      <c r="B622" s="217" t="s">
        <v>374</v>
      </c>
      <c r="G622" s="303"/>
      <c r="L622" s="377">
        <f t="shared" ref="L622:W622" si="892">L619/L611</f>
        <v>4.5088566827697261E-2</v>
      </c>
      <c r="M622" s="370">
        <f t="shared" si="892"/>
        <v>0.15634218289085547</v>
      </c>
      <c r="N622" s="370">
        <f t="shared" si="892"/>
        <v>0.13971742543171115</v>
      </c>
      <c r="O622" s="335">
        <f t="shared" si="892"/>
        <v>0.14899328859060401</v>
      </c>
      <c r="P622" s="377">
        <f t="shared" si="892"/>
        <v>0.15234375</v>
      </c>
      <c r="Q622" s="370">
        <f t="shared" si="892"/>
        <v>0.18883610451306412</v>
      </c>
      <c r="R622" s="370">
        <f t="shared" si="892"/>
        <v>0.19354838709677419</v>
      </c>
      <c r="S622" s="335">
        <f t="shared" si="892"/>
        <v>0.22293676312968919</v>
      </c>
      <c r="T622" s="377">
        <f t="shared" si="892"/>
        <v>0.16084788029925187</v>
      </c>
      <c r="U622" s="370">
        <f t="shared" si="892"/>
        <v>0.17343173431734318</v>
      </c>
      <c r="V622" s="370">
        <f t="shared" si="892"/>
        <v>0.15138592750533048</v>
      </c>
      <c r="W622" s="335">
        <f t="shared" si="892"/>
        <v>0.21343873517786563</v>
      </c>
      <c r="X622" s="377">
        <f>X619/X611</f>
        <v>0.16666666666666666</v>
      </c>
      <c r="Y622" s="370">
        <f>Y619/Y611</f>
        <v>0.17039106145251395</v>
      </c>
      <c r="Z622" s="370">
        <f>Z619/Z611</f>
        <v>0.15899581589958159</v>
      </c>
      <c r="AA622" s="335"/>
      <c r="AB622" s="377"/>
      <c r="AC622" s="370"/>
      <c r="AD622" s="370"/>
      <c r="AE622" s="335"/>
      <c r="AF622" s="377"/>
      <c r="AG622" s="370"/>
      <c r="AH622" s="370"/>
      <c r="AI622" s="370"/>
      <c r="AJ622" s="256"/>
      <c r="AN622" s="256"/>
      <c r="AQ622" s="303"/>
      <c r="AR622" s="256"/>
      <c r="AU622" s="303"/>
      <c r="AV622" s="256"/>
      <c r="AY622" s="303"/>
      <c r="AZ622" s="256"/>
      <c r="BC622" s="303"/>
      <c r="BD622" s="256"/>
      <c r="BG622" s="303"/>
      <c r="BH622" s="256"/>
      <c r="BK622" s="303"/>
      <c r="BL622" s="256"/>
      <c r="BO622" s="303"/>
      <c r="BP622" s="256"/>
      <c r="BS622" s="303"/>
      <c r="BT622" s="256"/>
      <c r="BW622" s="303"/>
      <c r="BX622" s="346"/>
      <c r="BY622" s="256"/>
      <c r="BZ622" s="302"/>
      <c r="CA622" s="370">
        <f>CA619/CA611</f>
        <v>0.12458038045505407</v>
      </c>
      <c r="CB622" s="370">
        <f>CB619/CB611</f>
        <v>0.19118917362510798</v>
      </c>
      <c r="CC622" s="370">
        <f>CC619/CC611</f>
        <v>0.17615708274894812</v>
      </c>
      <c r="CD622" s="392"/>
      <c r="CE622" s="392"/>
      <c r="CF622" s="392"/>
      <c r="CG622" s="302"/>
      <c r="CH622" s="302"/>
      <c r="CI622" s="302"/>
      <c r="CJ622" s="302"/>
      <c r="CK622" s="302"/>
      <c r="CL622" s="302"/>
      <c r="CM622" s="302"/>
      <c r="CN622" s="302"/>
      <c r="CO622" s="302"/>
      <c r="CP622" s="303"/>
    </row>
    <row r="623" spans="2:94" ht="14.25" hidden="1" customHeight="1" outlineLevel="2">
      <c r="B623" s="236"/>
      <c r="D623" s="304"/>
      <c r="E623" s="304"/>
      <c r="F623" s="304"/>
      <c r="G623" s="305"/>
      <c r="H623" s="304"/>
      <c r="I623" s="304"/>
      <c r="J623" s="304"/>
      <c r="K623" s="305"/>
      <c r="L623" s="285"/>
      <c r="M623" s="279"/>
      <c r="N623" s="279"/>
      <c r="O623" s="280"/>
      <c r="P623" s="285"/>
      <c r="Q623" s="279"/>
      <c r="R623" s="279"/>
      <c r="S623" s="280"/>
      <c r="T623" s="285"/>
      <c r="U623" s="279"/>
      <c r="V623" s="279"/>
      <c r="W623" s="280"/>
      <c r="X623" s="285"/>
      <c r="Y623" s="279"/>
      <c r="Z623" s="279"/>
      <c r="AA623" s="280"/>
      <c r="AB623" s="285"/>
      <c r="AC623" s="279"/>
      <c r="AD623" s="279"/>
      <c r="AE623" s="280"/>
      <c r="AF623" s="285"/>
      <c r="AG623" s="279"/>
      <c r="AH623" s="279"/>
      <c r="AI623" s="279"/>
      <c r="AJ623" s="731"/>
      <c r="AK623" s="304"/>
      <c r="AL623" s="304"/>
      <c r="AM623" s="304"/>
      <c r="AN623" s="731"/>
      <c r="AO623" s="304"/>
      <c r="AP623" s="304"/>
      <c r="AQ623" s="305"/>
      <c r="AR623" s="731"/>
      <c r="AS623" s="304"/>
      <c r="AT623" s="304"/>
      <c r="AU623" s="305"/>
      <c r="AV623" s="731"/>
      <c r="AW623" s="304"/>
      <c r="AX623" s="304"/>
      <c r="AY623" s="305"/>
      <c r="AZ623" s="731"/>
      <c r="BA623" s="304"/>
      <c r="BB623" s="304"/>
      <c r="BC623" s="305"/>
      <c r="BD623" s="731"/>
      <c r="BE623" s="304"/>
      <c r="BF623" s="304"/>
      <c r="BG623" s="305"/>
      <c r="BH623" s="731"/>
      <c r="BI623" s="304"/>
      <c r="BJ623" s="304"/>
      <c r="BK623" s="305"/>
      <c r="BL623" s="731"/>
      <c r="BM623" s="304"/>
      <c r="BN623" s="304"/>
      <c r="BO623" s="305"/>
      <c r="BP623" s="731"/>
      <c r="BQ623" s="304"/>
      <c r="BR623" s="304"/>
      <c r="BS623" s="305"/>
      <c r="BT623" s="731"/>
      <c r="BU623" s="304"/>
      <c r="BV623" s="304"/>
      <c r="BW623" s="305"/>
      <c r="BX623" s="346"/>
      <c r="BY623" s="731"/>
      <c r="BZ623" s="304"/>
      <c r="CA623" s="304"/>
      <c r="CB623" s="304"/>
      <c r="CC623" s="304"/>
      <c r="CD623" s="249"/>
      <c r="CE623" s="249"/>
      <c r="CF623" s="249"/>
      <c r="CG623" s="304"/>
      <c r="CH623" s="304"/>
      <c r="CI623" s="304"/>
      <c r="CJ623" s="304"/>
      <c r="CK623" s="304"/>
      <c r="CL623" s="304"/>
      <c r="CM623" s="304"/>
      <c r="CN623" s="304"/>
      <c r="CO623" s="304"/>
      <c r="CP623" s="305"/>
    </row>
    <row r="624" spans="2:94" ht="14.25" hidden="1" customHeight="1" outlineLevel="2">
      <c r="B624" s="286" t="s">
        <v>237</v>
      </c>
      <c r="G624" s="303"/>
      <c r="L624" s="422">
        <v>31.5</v>
      </c>
      <c r="M624" s="423">
        <v>32</v>
      </c>
      <c r="N624" s="423">
        <v>32.200000000000003</v>
      </c>
      <c r="O624" s="401">
        <v>35.6</v>
      </c>
      <c r="P624" s="422">
        <v>37.5</v>
      </c>
      <c r="Q624" s="423">
        <v>38.799999999999997</v>
      </c>
      <c r="R624" s="423">
        <v>42</v>
      </c>
      <c r="S624" s="401">
        <v>42.2</v>
      </c>
      <c r="T624" s="422">
        <v>42.2</v>
      </c>
      <c r="U624" s="423">
        <v>42.9</v>
      </c>
      <c r="V624" s="423">
        <v>46.2</v>
      </c>
      <c r="W624" s="401">
        <v>47.2</v>
      </c>
      <c r="X624" s="422">
        <v>42</v>
      </c>
      <c r="Y624" s="423">
        <v>43.7</v>
      </c>
      <c r="Z624" s="423">
        <v>54.4</v>
      </c>
      <c r="AA624" s="369"/>
      <c r="AB624" s="375"/>
      <c r="AC624" s="343"/>
      <c r="AD624" s="343"/>
      <c r="AE624" s="369"/>
      <c r="AF624" s="375"/>
      <c r="AG624" s="343"/>
      <c r="AH624" s="343"/>
      <c r="AI624" s="503"/>
      <c r="AJ624" s="256"/>
      <c r="AN624" s="256"/>
      <c r="AQ624" s="303"/>
      <c r="AR624" s="256"/>
      <c r="AU624" s="303"/>
      <c r="AV624" s="256"/>
      <c r="AY624" s="303"/>
      <c r="AZ624" s="256"/>
      <c r="BC624" s="303"/>
      <c r="BD624" s="256"/>
      <c r="BG624" s="303"/>
      <c r="BH624" s="256"/>
      <c r="BK624" s="303"/>
      <c r="BL624" s="256"/>
      <c r="BO624" s="303"/>
      <c r="BP624" s="256"/>
      <c r="BS624" s="303"/>
      <c r="BT624" s="256"/>
      <c r="BW624" s="303"/>
      <c r="BX624" s="346"/>
      <c r="BY624" s="729"/>
      <c r="BZ624" s="713"/>
      <c r="CA624" s="325">
        <f>SUM(L624:O624)</f>
        <v>131.30000000000001</v>
      </c>
      <c r="CB624" s="325">
        <f>SUM(P624:S624)</f>
        <v>160.5</v>
      </c>
      <c r="CC624" s="325">
        <f>SUM(T624:W624)</f>
        <v>178.5</v>
      </c>
      <c r="CD624" s="325"/>
      <c r="CE624" s="730"/>
      <c r="CF624" s="730"/>
      <c r="CG624" s="302"/>
      <c r="CH624" s="302"/>
      <c r="CI624" s="302"/>
      <c r="CJ624" s="302"/>
      <c r="CK624" s="302"/>
      <c r="CL624" s="302"/>
      <c r="CM624" s="302"/>
      <c r="CN624" s="302"/>
      <c r="CO624" s="302"/>
      <c r="CP624" s="303"/>
    </row>
    <row r="625" spans="2:94" ht="14.25" hidden="1" customHeight="1" outlineLevel="2">
      <c r="B625" s="217" t="s">
        <v>297</v>
      </c>
      <c r="G625" s="303"/>
      <c r="L625" s="425"/>
      <c r="M625" s="370">
        <f t="shared" ref="M625:W625" si="893">M624/L624-1</f>
        <v>1.5873015873015817E-2</v>
      </c>
      <c r="N625" s="370">
        <f t="shared" si="893"/>
        <v>6.2500000000000888E-3</v>
      </c>
      <c r="O625" s="370">
        <f t="shared" si="893"/>
        <v>0.10559006211180111</v>
      </c>
      <c r="P625" s="377">
        <f t="shared" si="893"/>
        <v>5.3370786516853785E-2</v>
      </c>
      <c r="Q625" s="370">
        <f t="shared" si="893"/>
        <v>3.4666666666666623E-2</v>
      </c>
      <c r="R625" s="370">
        <f t="shared" si="893"/>
        <v>8.2474226804123862E-2</v>
      </c>
      <c r="S625" s="370">
        <f t="shared" si="893"/>
        <v>4.761904761904745E-3</v>
      </c>
      <c r="T625" s="377">
        <f t="shared" si="893"/>
        <v>0</v>
      </c>
      <c r="U625" s="370">
        <f t="shared" si="893"/>
        <v>1.6587677725118377E-2</v>
      </c>
      <c r="V625" s="370">
        <f t="shared" si="893"/>
        <v>7.6923076923077094E-2</v>
      </c>
      <c r="W625" s="335">
        <f t="shared" si="893"/>
        <v>2.1645021645021689E-2</v>
      </c>
      <c r="X625" s="377">
        <f>X624/W624-1</f>
        <v>-0.11016949152542377</v>
      </c>
      <c r="Y625" s="370">
        <f>Y624/X624-1</f>
        <v>4.0476190476190554E-2</v>
      </c>
      <c r="Z625" s="370">
        <f>Z624/Y624-1</f>
        <v>0.24485125858123569</v>
      </c>
      <c r="AA625" s="335"/>
      <c r="AB625" s="377"/>
      <c r="AC625" s="370"/>
      <c r="AD625" s="370"/>
      <c r="AE625" s="335"/>
      <c r="AF625" s="377"/>
      <c r="AG625" s="370"/>
      <c r="AH625" s="370"/>
      <c r="AI625" s="370"/>
      <c r="AJ625" s="256"/>
      <c r="AN625" s="256"/>
      <c r="AQ625" s="303"/>
      <c r="AR625" s="256"/>
      <c r="AU625" s="303"/>
      <c r="AV625" s="256"/>
      <c r="AY625" s="303"/>
      <c r="AZ625" s="256"/>
      <c r="BC625" s="303"/>
      <c r="BD625" s="256"/>
      <c r="BG625" s="303"/>
      <c r="BH625" s="256"/>
      <c r="BK625" s="303"/>
      <c r="BL625" s="256"/>
      <c r="BO625" s="303"/>
      <c r="BP625" s="256"/>
      <c r="BS625" s="303"/>
      <c r="BT625" s="256"/>
      <c r="BW625" s="303"/>
      <c r="BX625" s="346"/>
      <c r="BY625" s="256"/>
      <c r="BZ625" s="302"/>
      <c r="CA625" s="302"/>
      <c r="CB625" s="302"/>
      <c r="CC625" s="302"/>
      <c r="CD625" s="392"/>
      <c r="CE625" s="730"/>
      <c r="CF625" s="730"/>
      <c r="CG625" s="302"/>
      <c r="CH625" s="302"/>
      <c r="CI625" s="302"/>
      <c r="CJ625" s="302"/>
      <c r="CK625" s="302"/>
      <c r="CL625" s="302"/>
      <c r="CM625" s="302"/>
      <c r="CN625" s="302"/>
      <c r="CO625" s="302"/>
      <c r="CP625" s="303"/>
    </row>
    <row r="626" spans="2:94" ht="14.25" hidden="1" customHeight="1" outlineLevel="2">
      <c r="B626" s="32" t="s">
        <v>298</v>
      </c>
      <c r="G626" s="303"/>
      <c r="L626" s="425"/>
      <c r="M626" s="418"/>
      <c r="N626" s="418"/>
      <c r="O626" s="419"/>
      <c r="P626" s="377">
        <f t="shared" ref="P626:W626" si="894">P624/L624-1</f>
        <v>0.19047619047619047</v>
      </c>
      <c r="Q626" s="370">
        <f t="shared" si="894"/>
        <v>0.21249999999999991</v>
      </c>
      <c r="R626" s="370">
        <f t="shared" si="894"/>
        <v>0.30434782608695632</v>
      </c>
      <c r="S626" s="370">
        <f t="shared" si="894"/>
        <v>0.18539325842696641</v>
      </c>
      <c r="T626" s="377">
        <f t="shared" si="894"/>
        <v>0.12533333333333352</v>
      </c>
      <c r="U626" s="370">
        <f t="shared" si="894"/>
        <v>0.10567010309278357</v>
      </c>
      <c r="V626" s="370">
        <f t="shared" si="894"/>
        <v>0.10000000000000009</v>
      </c>
      <c r="W626" s="335">
        <f t="shared" si="894"/>
        <v>0.11848341232227488</v>
      </c>
      <c r="X626" s="377">
        <f>X624/T624-1</f>
        <v>-4.7393364928910442E-3</v>
      </c>
      <c r="Y626" s="370">
        <f>Y624/U624-1</f>
        <v>1.8648018648018683E-2</v>
      </c>
      <c r="Z626" s="370">
        <f>Z624/V624-1</f>
        <v>0.17748917748917736</v>
      </c>
      <c r="AA626" s="335"/>
      <c r="AB626" s="377"/>
      <c r="AC626" s="370"/>
      <c r="AD626" s="370"/>
      <c r="AE626" s="335"/>
      <c r="AF626" s="377"/>
      <c r="AG626" s="370"/>
      <c r="AH626" s="370"/>
      <c r="AI626" s="370"/>
      <c r="AJ626" s="256"/>
      <c r="AN626" s="256"/>
      <c r="AQ626" s="303"/>
      <c r="AR626" s="256"/>
      <c r="AU626" s="303"/>
      <c r="AV626" s="256"/>
      <c r="AY626" s="303"/>
      <c r="AZ626" s="256"/>
      <c r="BC626" s="303"/>
      <c r="BD626" s="256"/>
      <c r="BG626" s="303"/>
      <c r="BH626" s="256"/>
      <c r="BK626" s="303"/>
      <c r="BL626" s="256"/>
      <c r="BO626" s="303"/>
      <c r="BP626" s="256"/>
      <c r="BS626" s="303"/>
      <c r="BT626" s="256"/>
      <c r="BW626" s="303"/>
      <c r="BX626" s="346"/>
      <c r="BY626" s="256"/>
      <c r="BZ626" s="302"/>
      <c r="CA626" s="418"/>
      <c r="CB626" s="370">
        <f>CB624/CA624-1</f>
        <v>0.22239146991622238</v>
      </c>
      <c r="CC626" s="370">
        <f>CC624/CB624-1</f>
        <v>0.11214953271028039</v>
      </c>
      <c r="CD626" s="392"/>
      <c r="CE626" s="730"/>
      <c r="CF626" s="730"/>
      <c r="CG626" s="302"/>
      <c r="CH626" s="302"/>
      <c r="CI626" s="302"/>
      <c r="CJ626" s="302"/>
      <c r="CK626" s="302"/>
      <c r="CL626" s="302"/>
      <c r="CM626" s="302"/>
      <c r="CN626" s="302"/>
      <c r="CO626" s="302"/>
      <c r="CP626" s="303"/>
    </row>
    <row r="627" spans="2:94" ht="14.25" hidden="1" customHeight="1" outlineLevel="2">
      <c r="B627" s="217" t="s">
        <v>299</v>
      </c>
      <c r="G627" s="303"/>
      <c r="L627" s="359">
        <f t="shared" ref="L627:W627" si="895">L624/L663</f>
        <v>0.10416666666666667</v>
      </c>
      <c r="M627" s="370">
        <f t="shared" si="895"/>
        <v>0.10568031704095111</v>
      </c>
      <c r="N627" s="370">
        <f t="shared" si="895"/>
        <v>0.10267857142857145</v>
      </c>
      <c r="O627" s="370">
        <f t="shared" si="895"/>
        <v>0.10415447630193095</v>
      </c>
      <c r="P627" s="359">
        <f t="shared" si="895"/>
        <v>0.1122754491017964</v>
      </c>
      <c r="Q627" s="370">
        <f t="shared" si="895"/>
        <v>0.1033839594990674</v>
      </c>
      <c r="R627" s="370">
        <f t="shared" si="895"/>
        <v>9.978617248752672E-2</v>
      </c>
      <c r="S627" s="370">
        <f t="shared" si="895"/>
        <v>0.1050796812749004</v>
      </c>
      <c r="T627" s="359">
        <f t="shared" si="895"/>
        <v>0.1127739176910743</v>
      </c>
      <c r="U627" s="370">
        <f t="shared" si="895"/>
        <v>0.11253934942287513</v>
      </c>
      <c r="V627" s="370">
        <f t="shared" si="895"/>
        <v>0.114668652271035</v>
      </c>
      <c r="W627" s="337">
        <f t="shared" si="895"/>
        <v>0.11571463594018142</v>
      </c>
      <c r="X627" s="359">
        <f>X624/X663</f>
        <v>9.954965631666271E-2</v>
      </c>
      <c r="Y627" s="370">
        <f>Y624/Y663</f>
        <v>7.7661275990758838E-2</v>
      </c>
      <c r="Z627" s="370">
        <f>Z624/Z663</f>
        <v>9.3551160791057603E-2</v>
      </c>
      <c r="AA627" s="337"/>
      <c r="AB627" s="359"/>
      <c r="AC627" s="370"/>
      <c r="AD627" s="370"/>
      <c r="AE627" s="337"/>
      <c r="AF627" s="359"/>
      <c r="AG627" s="370"/>
      <c r="AH627" s="370"/>
      <c r="AI627" s="338"/>
      <c r="AJ627" s="256"/>
      <c r="AN627" s="256"/>
      <c r="AQ627" s="303"/>
      <c r="AR627" s="256"/>
      <c r="AU627" s="303"/>
      <c r="AV627" s="256"/>
      <c r="AY627" s="303"/>
      <c r="AZ627" s="256"/>
      <c r="BC627" s="303"/>
      <c r="BD627" s="256"/>
      <c r="BG627" s="303"/>
      <c r="BH627" s="256"/>
      <c r="BK627" s="303"/>
      <c r="BL627" s="256"/>
      <c r="BO627" s="303"/>
      <c r="BP627" s="256"/>
      <c r="BS627" s="303"/>
      <c r="BT627" s="256"/>
      <c r="BW627" s="303"/>
      <c r="BX627" s="346"/>
      <c r="BY627" s="256"/>
      <c r="BZ627" s="302"/>
      <c r="CA627" s="370">
        <f>CA624/CA663</f>
        <v>0.1041567507536094</v>
      </c>
      <c r="CB627" s="370">
        <f>CB624/CB663</f>
        <v>0.10477869173521347</v>
      </c>
      <c r="CC627" s="370">
        <f>CC624/CC663</f>
        <v>0.1139701187587792</v>
      </c>
      <c r="CD627" s="392"/>
      <c r="CE627" s="730"/>
      <c r="CF627" s="730"/>
      <c r="CG627" s="302"/>
      <c r="CH627" s="302"/>
      <c r="CI627" s="302"/>
      <c r="CJ627" s="302"/>
      <c r="CK627" s="302"/>
      <c r="CL627" s="302"/>
      <c r="CM627" s="302"/>
      <c r="CN627" s="302"/>
      <c r="CO627" s="302"/>
      <c r="CP627" s="303"/>
    </row>
    <row r="628" spans="2:94" ht="14.25" hidden="1" customHeight="1" outlineLevel="2">
      <c r="B628" s="217"/>
      <c r="G628" s="303"/>
      <c r="L628" s="260"/>
      <c r="M628" s="80"/>
      <c r="N628" s="80"/>
      <c r="O628" s="369"/>
      <c r="P628" s="260"/>
      <c r="Q628" s="80"/>
      <c r="R628" s="80"/>
      <c r="S628" s="262"/>
      <c r="T628" s="260"/>
      <c r="U628" s="80"/>
      <c r="V628" s="80"/>
      <c r="W628" s="262"/>
      <c r="X628" s="260"/>
      <c r="Y628" s="80"/>
      <c r="Z628" s="80"/>
      <c r="AA628" s="262"/>
      <c r="AB628" s="260"/>
      <c r="AC628" s="80"/>
      <c r="AD628" s="80"/>
      <c r="AE628" s="262"/>
      <c r="AF628" s="260"/>
      <c r="AG628" s="80"/>
      <c r="AH628" s="80"/>
      <c r="AI628" s="261"/>
      <c r="AJ628" s="256"/>
      <c r="AN628" s="256"/>
      <c r="AQ628" s="303"/>
      <c r="AR628" s="256"/>
      <c r="AU628" s="303"/>
      <c r="AV628" s="256"/>
      <c r="AY628" s="303"/>
      <c r="AZ628" s="256"/>
      <c r="BC628" s="303"/>
      <c r="BD628" s="256"/>
      <c r="BG628" s="303"/>
      <c r="BH628" s="256"/>
      <c r="BK628" s="303"/>
      <c r="BL628" s="256"/>
      <c r="BO628" s="303"/>
      <c r="BP628" s="256"/>
      <c r="BS628" s="303"/>
      <c r="BT628" s="256"/>
      <c r="BW628" s="303"/>
      <c r="BX628" s="346"/>
      <c r="BY628" s="256"/>
      <c r="BZ628" s="302"/>
      <c r="CA628" s="302"/>
      <c r="CB628" s="302"/>
      <c r="CC628" s="302"/>
      <c r="CD628" s="392"/>
      <c r="CE628" s="730"/>
      <c r="CF628" s="730"/>
      <c r="CG628" s="302"/>
      <c r="CH628" s="302"/>
      <c r="CI628" s="302"/>
      <c r="CJ628" s="302"/>
      <c r="CK628" s="302"/>
      <c r="CL628" s="302"/>
      <c r="CM628" s="302"/>
      <c r="CN628" s="302"/>
      <c r="CO628" s="302"/>
      <c r="CP628" s="303"/>
    </row>
    <row r="629" spans="2:94" ht="14.25" hidden="1" customHeight="1" outlineLevel="2">
      <c r="B629" s="235" t="s">
        <v>238</v>
      </c>
      <c r="G629" s="303"/>
      <c r="L629" s="422">
        <v>16.7</v>
      </c>
      <c r="M629" s="423">
        <v>14.3</v>
      </c>
      <c r="N629" s="423">
        <v>14.1</v>
      </c>
      <c r="O629" s="401">
        <v>16.399999999999999</v>
      </c>
      <c r="P629" s="422">
        <v>18.399999999999999</v>
      </c>
      <c r="Q629" s="423">
        <v>21.8</v>
      </c>
      <c r="R629" s="423">
        <v>21.4</v>
      </c>
      <c r="S629" s="401">
        <v>21.6</v>
      </c>
      <c r="T629" s="422">
        <v>21.4</v>
      </c>
      <c r="U629" s="423">
        <v>23.2</v>
      </c>
      <c r="V629" s="423">
        <v>25.8</v>
      </c>
      <c r="W629" s="401">
        <v>27.1</v>
      </c>
      <c r="X629" s="422">
        <v>23.1</v>
      </c>
      <c r="Y629" s="423">
        <v>24.4</v>
      </c>
      <c r="Z629" s="423">
        <v>27.8</v>
      </c>
      <c r="AA629" s="369"/>
      <c r="AB629" s="375"/>
      <c r="AC629" s="343"/>
      <c r="AD629" s="343"/>
      <c r="AE629" s="369"/>
      <c r="AF629" s="375"/>
      <c r="AG629" s="343"/>
      <c r="AH629" s="343"/>
      <c r="AI629" s="503"/>
      <c r="AJ629" s="256"/>
      <c r="AN629" s="256"/>
      <c r="AQ629" s="303"/>
      <c r="AR629" s="256"/>
      <c r="AU629" s="303"/>
      <c r="AV629" s="256"/>
      <c r="AY629" s="303"/>
      <c r="AZ629" s="256"/>
      <c r="BC629" s="303"/>
      <c r="BD629" s="256"/>
      <c r="BG629" s="303"/>
      <c r="BH629" s="256"/>
      <c r="BK629" s="303"/>
      <c r="BL629" s="256"/>
      <c r="BO629" s="303"/>
      <c r="BP629" s="256"/>
      <c r="BS629" s="303"/>
      <c r="BT629" s="256"/>
      <c r="BW629" s="303"/>
      <c r="BX629" s="346"/>
      <c r="BY629" s="256"/>
      <c r="BZ629" s="302"/>
      <c r="CA629" s="325">
        <f>SUM(L629:O629)</f>
        <v>61.5</v>
      </c>
      <c r="CB629" s="325">
        <f>SUM(P629:S629)</f>
        <v>83.2</v>
      </c>
      <c r="CC629" s="325">
        <f>SUM(T629:W629)</f>
        <v>97.5</v>
      </c>
      <c r="CD629" s="325"/>
      <c r="CE629" s="730"/>
      <c r="CF629" s="730"/>
      <c r="CG629" s="302"/>
      <c r="CH629" s="302"/>
      <c r="CI629" s="302"/>
      <c r="CJ629" s="302"/>
      <c r="CK629" s="302"/>
      <c r="CL629" s="302"/>
      <c r="CM629" s="302"/>
      <c r="CN629" s="302"/>
      <c r="CO629" s="302"/>
      <c r="CP629" s="303"/>
    </row>
    <row r="630" spans="2:94" ht="14.25" hidden="1" customHeight="1" outlineLevel="2">
      <c r="B630" s="217" t="s">
        <v>193</v>
      </c>
      <c r="G630" s="303"/>
      <c r="L630" s="377">
        <f t="shared" ref="L630:W630" si="896">L629/L624</f>
        <v>0.53015873015873016</v>
      </c>
      <c r="M630" s="370">
        <f t="shared" si="896"/>
        <v>0.44687500000000002</v>
      </c>
      <c r="N630" s="370">
        <f t="shared" si="896"/>
        <v>0.43788819875776391</v>
      </c>
      <c r="O630" s="370">
        <f t="shared" si="896"/>
        <v>0.46067415730337075</v>
      </c>
      <c r="P630" s="377">
        <f t="shared" si="896"/>
        <v>0.49066666666666664</v>
      </c>
      <c r="Q630" s="370">
        <f t="shared" si="896"/>
        <v>0.5618556701030929</v>
      </c>
      <c r="R630" s="370">
        <f t="shared" si="896"/>
        <v>0.50952380952380949</v>
      </c>
      <c r="S630" s="370">
        <f t="shared" si="896"/>
        <v>0.51184834123222744</v>
      </c>
      <c r="T630" s="377">
        <f t="shared" si="896"/>
        <v>0.5071090047393364</v>
      </c>
      <c r="U630" s="370">
        <f t="shared" si="896"/>
        <v>0.5407925407925408</v>
      </c>
      <c r="V630" s="370">
        <f t="shared" si="896"/>
        <v>0.55844155844155841</v>
      </c>
      <c r="W630" s="335">
        <f t="shared" si="896"/>
        <v>0.57415254237288138</v>
      </c>
      <c r="X630" s="377">
        <f>X629/X624</f>
        <v>0.55000000000000004</v>
      </c>
      <c r="Y630" s="370">
        <f>Y629/Y624</f>
        <v>0.5583524027459954</v>
      </c>
      <c r="Z630" s="370">
        <f>Z629/Z624</f>
        <v>0.51102941176470595</v>
      </c>
      <c r="AA630" s="335"/>
      <c r="AB630" s="377"/>
      <c r="AC630" s="370"/>
      <c r="AD630" s="370"/>
      <c r="AE630" s="335"/>
      <c r="AF630" s="377"/>
      <c r="AG630" s="370"/>
      <c r="AH630" s="370"/>
      <c r="AI630" s="370"/>
      <c r="AJ630" s="256"/>
      <c r="AN630" s="256"/>
      <c r="AQ630" s="303"/>
      <c r="AR630" s="256"/>
      <c r="AU630" s="303"/>
      <c r="AV630" s="256"/>
      <c r="AY630" s="303"/>
      <c r="AZ630" s="256"/>
      <c r="BC630" s="303"/>
      <c r="BD630" s="256"/>
      <c r="BG630" s="303"/>
      <c r="BH630" s="256"/>
      <c r="BK630" s="303"/>
      <c r="BL630" s="256"/>
      <c r="BO630" s="303"/>
      <c r="BP630" s="256"/>
      <c r="BS630" s="303"/>
      <c r="BT630" s="256"/>
      <c r="BW630" s="303"/>
      <c r="BX630" s="346"/>
      <c r="BY630" s="256"/>
      <c r="BZ630" s="302"/>
      <c r="CA630" s="370">
        <f>CA629/CA624</f>
        <v>0.46839299314546834</v>
      </c>
      <c r="CB630" s="370">
        <f>CB629/CB624</f>
        <v>0.51838006230529599</v>
      </c>
      <c r="CC630" s="370">
        <f>CC629/CC624</f>
        <v>0.54621848739495793</v>
      </c>
      <c r="CD630" s="392"/>
      <c r="CE630" s="730"/>
      <c r="CF630" s="730"/>
      <c r="CG630" s="302"/>
      <c r="CH630" s="302"/>
      <c r="CI630" s="302"/>
      <c r="CJ630" s="302"/>
      <c r="CK630" s="302"/>
      <c r="CL630" s="302"/>
      <c r="CM630" s="302"/>
      <c r="CN630" s="302"/>
      <c r="CO630" s="302"/>
      <c r="CP630" s="303"/>
    </row>
    <row r="631" spans="2:94" ht="14.25" hidden="1" customHeight="1" outlineLevel="2">
      <c r="B631" s="217"/>
      <c r="G631" s="303"/>
      <c r="L631" s="82"/>
      <c r="M631" s="80"/>
      <c r="N631" s="80"/>
      <c r="O631" s="369"/>
      <c r="P631" s="82"/>
      <c r="Q631" s="80"/>
      <c r="R631" s="80"/>
      <c r="S631" s="262"/>
      <c r="T631" s="82"/>
      <c r="U631" s="80"/>
      <c r="V631" s="80"/>
      <c r="W631" s="262"/>
      <c r="X631" s="82"/>
      <c r="Y631" s="80"/>
      <c r="Z631" s="80"/>
      <c r="AA631" s="262"/>
      <c r="AB631" s="82"/>
      <c r="AC631" s="80"/>
      <c r="AD631" s="80"/>
      <c r="AE631" s="262"/>
      <c r="AF631" s="82"/>
      <c r="AG631" s="80"/>
      <c r="AH631" s="80"/>
      <c r="AI631" s="261"/>
      <c r="AJ631" s="256"/>
      <c r="AN631" s="256"/>
      <c r="AQ631" s="303"/>
      <c r="AR631" s="256"/>
      <c r="AU631" s="303"/>
      <c r="AV631" s="256"/>
      <c r="AY631" s="303"/>
      <c r="AZ631" s="256"/>
      <c r="BC631" s="303"/>
      <c r="BD631" s="256"/>
      <c r="BG631" s="303"/>
      <c r="BH631" s="256"/>
      <c r="BK631" s="303"/>
      <c r="BL631" s="256"/>
      <c r="BO631" s="303"/>
      <c r="BP631" s="256"/>
      <c r="BS631" s="303"/>
      <c r="BT631" s="256"/>
      <c r="BW631" s="303"/>
      <c r="BX631" s="346"/>
      <c r="BY631" s="256"/>
      <c r="BZ631" s="302"/>
      <c r="CA631" s="325"/>
      <c r="CB631" s="325"/>
      <c r="CC631" s="325"/>
      <c r="CD631" s="392"/>
      <c r="CE631" s="730"/>
      <c r="CF631" s="730"/>
      <c r="CG631" s="302"/>
      <c r="CH631" s="302"/>
      <c r="CI631" s="302"/>
      <c r="CJ631" s="302"/>
      <c r="CK631" s="302"/>
      <c r="CL631" s="302"/>
      <c r="CM631" s="302"/>
      <c r="CN631" s="302"/>
      <c r="CO631" s="302"/>
      <c r="CP631" s="303"/>
    </row>
    <row r="632" spans="2:94" ht="14.25" hidden="1" customHeight="1" outlineLevel="2">
      <c r="B632" s="235" t="s">
        <v>239</v>
      </c>
      <c r="G632" s="303"/>
      <c r="L632" s="422">
        <v>7.4</v>
      </c>
      <c r="M632" s="423">
        <v>4.7</v>
      </c>
      <c r="N632" s="423">
        <v>4.5999999999999996</v>
      </c>
      <c r="O632" s="401">
        <v>7.4</v>
      </c>
      <c r="P632" s="422">
        <v>7.7</v>
      </c>
      <c r="Q632" s="423">
        <v>11</v>
      </c>
      <c r="R632" s="423">
        <v>9.4</v>
      </c>
      <c r="S632" s="401">
        <v>9.6</v>
      </c>
      <c r="T632" s="422">
        <v>10.4</v>
      </c>
      <c r="U632" s="423">
        <v>12</v>
      </c>
      <c r="V632" s="423">
        <v>14.7</v>
      </c>
      <c r="W632" s="401">
        <v>15.1</v>
      </c>
      <c r="X632" s="422">
        <v>11.7</v>
      </c>
      <c r="Y632" s="423">
        <v>12</v>
      </c>
      <c r="Z632" s="423">
        <v>16</v>
      </c>
      <c r="AA632" s="369"/>
      <c r="AB632" s="375"/>
      <c r="AC632" s="343"/>
      <c r="AD632" s="343"/>
      <c r="AE632" s="369"/>
      <c r="AF632" s="375"/>
      <c r="AG632" s="343"/>
      <c r="AH632" s="343"/>
      <c r="AI632" s="503"/>
      <c r="AJ632" s="256"/>
      <c r="AN632" s="256"/>
      <c r="AQ632" s="303"/>
      <c r="AR632" s="256"/>
      <c r="AU632" s="303"/>
      <c r="AV632" s="256"/>
      <c r="AY632" s="303"/>
      <c r="AZ632" s="256"/>
      <c r="BC632" s="303"/>
      <c r="BD632" s="256"/>
      <c r="BG632" s="303"/>
      <c r="BH632" s="256"/>
      <c r="BK632" s="303"/>
      <c r="BL632" s="256"/>
      <c r="BO632" s="303"/>
      <c r="BP632" s="256"/>
      <c r="BS632" s="303"/>
      <c r="BT632" s="256"/>
      <c r="BW632" s="303"/>
      <c r="BX632" s="346"/>
      <c r="BY632" s="256"/>
      <c r="BZ632" s="302"/>
      <c r="CA632" s="325">
        <f>SUM(L632:O632)</f>
        <v>24.1</v>
      </c>
      <c r="CB632" s="325">
        <f>SUM(P632:S632)</f>
        <v>37.700000000000003</v>
      </c>
      <c r="CC632" s="325">
        <f>SUM(T632:W632)</f>
        <v>52.199999999999996</v>
      </c>
      <c r="CD632" s="325"/>
      <c r="CE632" s="730"/>
      <c r="CF632" s="730"/>
      <c r="CG632" s="302"/>
      <c r="CH632" s="302"/>
      <c r="CI632" s="302"/>
      <c r="CJ632" s="302"/>
      <c r="CK632" s="302"/>
      <c r="CL632" s="302"/>
      <c r="CM632" s="302"/>
      <c r="CN632" s="302"/>
      <c r="CO632" s="302"/>
      <c r="CP632" s="303"/>
    </row>
    <row r="633" spans="2:94" ht="14.25" hidden="1" customHeight="1" outlineLevel="2">
      <c r="B633" s="217" t="s">
        <v>297</v>
      </c>
      <c r="G633" s="303"/>
      <c r="L633" s="425"/>
      <c r="M633" s="370">
        <f t="shared" ref="M633:W633" si="897">M632/L632-1</f>
        <v>-0.36486486486486491</v>
      </c>
      <c r="N633" s="370">
        <f t="shared" si="897"/>
        <v>-2.1276595744680993E-2</v>
      </c>
      <c r="O633" s="370">
        <f t="shared" si="897"/>
        <v>0.6086956521739133</v>
      </c>
      <c r="P633" s="377">
        <f t="shared" si="897"/>
        <v>4.0540540540540571E-2</v>
      </c>
      <c r="Q633" s="370">
        <f t="shared" si="897"/>
        <v>0.4285714285714286</v>
      </c>
      <c r="R633" s="370">
        <f t="shared" si="897"/>
        <v>-0.14545454545454539</v>
      </c>
      <c r="S633" s="335">
        <f t="shared" si="897"/>
        <v>2.1276595744680771E-2</v>
      </c>
      <c r="T633" s="377">
        <f t="shared" si="897"/>
        <v>8.3333333333333481E-2</v>
      </c>
      <c r="U633" s="370">
        <f t="shared" si="897"/>
        <v>0.15384615384615374</v>
      </c>
      <c r="V633" s="370">
        <f t="shared" si="897"/>
        <v>0.22499999999999987</v>
      </c>
      <c r="W633" s="335">
        <f t="shared" si="897"/>
        <v>2.7210884353741527E-2</v>
      </c>
      <c r="X633" s="377">
        <f>X632/W632-1</f>
        <v>-0.22516556291390732</v>
      </c>
      <c r="Y633" s="370">
        <f>Y632/X632-1</f>
        <v>2.5641025641025772E-2</v>
      </c>
      <c r="Z633" s="370">
        <f>Z632/Y632-1</f>
        <v>0.33333333333333326</v>
      </c>
      <c r="AA633" s="335"/>
      <c r="AB633" s="377"/>
      <c r="AC633" s="370"/>
      <c r="AD633" s="370"/>
      <c r="AE633" s="335"/>
      <c r="AF633" s="377"/>
      <c r="AG633" s="370"/>
      <c r="AH633" s="370"/>
      <c r="AI633" s="370"/>
      <c r="AJ633" s="256"/>
      <c r="AN633" s="256"/>
      <c r="AQ633" s="303"/>
      <c r="AR633" s="256"/>
      <c r="AU633" s="303"/>
      <c r="AV633" s="256"/>
      <c r="AY633" s="303"/>
      <c r="AZ633" s="256"/>
      <c r="BC633" s="303"/>
      <c r="BD633" s="256"/>
      <c r="BG633" s="303"/>
      <c r="BH633" s="256"/>
      <c r="BK633" s="303"/>
      <c r="BL633" s="256"/>
      <c r="BO633" s="303"/>
      <c r="BP633" s="256"/>
      <c r="BS633" s="303"/>
      <c r="BT633" s="256"/>
      <c r="BW633" s="303"/>
      <c r="BX633" s="346"/>
      <c r="BY633" s="256"/>
      <c r="BZ633" s="302"/>
      <c r="CA633" s="302"/>
      <c r="CB633" s="302"/>
      <c r="CC633" s="302"/>
      <c r="CD633" s="392"/>
      <c r="CE633" s="392"/>
      <c r="CF633" s="392"/>
      <c r="CG633" s="302"/>
      <c r="CH633" s="302"/>
      <c r="CI633" s="302"/>
      <c r="CJ633" s="302"/>
      <c r="CK633" s="302"/>
      <c r="CL633" s="302"/>
      <c r="CM633" s="302"/>
      <c r="CN633" s="302"/>
      <c r="CO633" s="302"/>
      <c r="CP633" s="303"/>
    </row>
    <row r="634" spans="2:94" ht="14.25" hidden="1" customHeight="1" outlineLevel="2">
      <c r="B634" s="32" t="s">
        <v>298</v>
      </c>
      <c r="G634" s="303"/>
      <c r="L634" s="425"/>
      <c r="M634" s="418"/>
      <c r="N634" s="418"/>
      <c r="O634" s="419"/>
      <c r="P634" s="377">
        <f t="shared" ref="P634:W634" si="898">P632/L632-1</f>
        <v>4.0540540540540571E-2</v>
      </c>
      <c r="Q634" s="370">
        <f t="shared" si="898"/>
        <v>1.3404255319148937</v>
      </c>
      <c r="R634" s="370">
        <f t="shared" si="898"/>
        <v>1.0434782608695654</v>
      </c>
      <c r="S634" s="335">
        <f t="shared" si="898"/>
        <v>0.29729729729729715</v>
      </c>
      <c r="T634" s="377">
        <f t="shared" si="898"/>
        <v>0.35064935064935066</v>
      </c>
      <c r="U634" s="370">
        <f t="shared" si="898"/>
        <v>9.0909090909090828E-2</v>
      </c>
      <c r="V634" s="370">
        <f t="shared" si="898"/>
        <v>0.56382978723404231</v>
      </c>
      <c r="W634" s="335">
        <f t="shared" si="898"/>
        <v>0.57291666666666674</v>
      </c>
      <c r="X634" s="377">
        <f>X632/T632-1</f>
        <v>0.125</v>
      </c>
      <c r="Y634" s="370">
        <f>Y632/U632-1</f>
        <v>0</v>
      </c>
      <c r="Z634" s="370">
        <f>Z632/V632-1</f>
        <v>8.8435374149659962E-2</v>
      </c>
      <c r="AA634" s="335"/>
      <c r="AB634" s="377"/>
      <c r="AC634" s="370"/>
      <c r="AD634" s="370"/>
      <c r="AE634" s="335"/>
      <c r="AF634" s="377"/>
      <c r="AG634" s="370"/>
      <c r="AH634" s="370"/>
      <c r="AI634" s="370"/>
      <c r="AJ634" s="256"/>
      <c r="AN634" s="256"/>
      <c r="AQ634" s="303"/>
      <c r="AR634" s="256"/>
      <c r="AU634" s="303"/>
      <c r="AV634" s="256"/>
      <c r="AY634" s="303"/>
      <c r="AZ634" s="256"/>
      <c r="BC634" s="303"/>
      <c r="BD634" s="256"/>
      <c r="BG634" s="303"/>
      <c r="BH634" s="256"/>
      <c r="BK634" s="303"/>
      <c r="BL634" s="256"/>
      <c r="BO634" s="303"/>
      <c r="BP634" s="256"/>
      <c r="BS634" s="303"/>
      <c r="BT634" s="256"/>
      <c r="BW634" s="303"/>
      <c r="BX634" s="346"/>
      <c r="BY634" s="256"/>
      <c r="BZ634" s="302"/>
      <c r="CA634" s="418"/>
      <c r="CB634" s="370">
        <f>CB632/CA632-1</f>
        <v>0.56431535269709543</v>
      </c>
      <c r="CC634" s="370">
        <f>CC632/CB632-1</f>
        <v>0.38461538461538436</v>
      </c>
      <c r="CD634" s="392"/>
      <c r="CE634" s="392"/>
      <c r="CF634" s="392"/>
      <c r="CG634" s="302"/>
      <c r="CH634" s="302"/>
      <c r="CI634" s="302"/>
      <c r="CJ634" s="302"/>
      <c r="CK634" s="302"/>
      <c r="CL634" s="302"/>
      <c r="CM634" s="302"/>
      <c r="CN634" s="302"/>
      <c r="CO634" s="302"/>
      <c r="CP634" s="303"/>
    </row>
    <row r="635" spans="2:94" ht="14.25" hidden="1" customHeight="1" outlineLevel="2">
      <c r="B635" s="217" t="s">
        <v>374</v>
      </c>
      <c r="G635" s="303"/>
      <c r="L635" s="377">
        <f t="shared" ref="L635:W635" si="899">L632/L624</f>
        <v>0.23492063492063492</v>
      </c>
      <c r="M635" s="370">
        <f t="shared" si="899"/>
        <v>0.14687500000000001</v>
      </c>
      <c r="N635" s="370">
        <f t="shared" si="899"/>
        <v>0.14285714285714282</v>
      </c>
      <c r="O635" s="370">
        <f t="shared" si="899"/>
        <v>0.20786516853932585</v>
      </c>
      <c r="P635" s="377">
        <f t="shared" si="899"/>
        <v>0.20533333333333334</v>
      </c>
      <c r="Q635" s="370">
        <f t="shared" si="899"/>
        <v>0.28350515463917531</v>
      </c>
      <c r="R635" s="370">
        <f t="shared" si="899"/>
        <v>0.22380952380952382</v>
      </c>
      <c r="S635" s="335">
        <f t="shared" si="899"/>
        <v>0.22748815165876776</v>
      </c>
      <c r="T635" s="377">
        <f t="shared" si="899"/>
        <v>0.24644549763033174</v>
      </c>
      <c r="U635" s="370">
        <f t="shared" si="899"/>
        <v>0.27972027972027974</v>
      </c>
      <c r="V635" s="370">
        <f t="shared" si="899"/>
        <v>0.31818181818181812</v>
      </c>
      <c r="W635" s="335">
        <f t="shared" si="899"/>
        <v>0.31991525423728812</v>
      </c>
      <c r="X635" s="377">
        <f>X632/X624</f>
        <v>0.27857142857142858</v>
      </c>
      <c r="Y635" s="370">
        <f>Y632/Y624</f>
        <v>0.27459954233409611</v>
      </c>
      <c r="Z635" s="370">
        <f>Z632/Z624</f>
        <v>0.29411764705882354</v>
      </c>
      <c r="AA635" s="335"/>
      <c r="AB635" s="377"/>
      <c r="AC635" s="370"/>
      <c r="AD635" s="370"/>
      <c r="AE635" s="335"/>
      <c r="AF635" s="377"/>
      <c r="AG635" s="370"/>
      <c r="AH635" s="370"/>
      <c r="AI635" s="370"/>
      <c r="AJ635" s="256"/>
      <c r="AN635" s="256"/>
      <c r="AQ635" s="303"/>
      <c r="AR635" s="256"/>
      <c r="AU635" s="303"/>
      <c r="AV635" s="256"/>
      <c r="AY635" s="303"/>
      <c r="AZ635" s="256"/>
      <c r="BC635" s="303"/>
      <c r="BD635" s="256"/>
      <c r="BG635" s="303"/>
      <c r="BH635" s="256"/>
      <c r="BK635" s="303"/>
      <c r="BL635" s="256"/>
      <c r="BO635" s="303"/>
      <c r="BP635" s="256"/>
      <c r="BS635" s="303"/>
      <c r="BT635" s="256"/>
      <c r="BW635" s="303"/>
      <c r="BX635" s="346"/>
      <c r="BY635" s="256"/>
      <c r="BZ635" s="302"/>
      <c r="CA635" s="370">
        <f>CA632/CA624</f>
        <v>0.18354912414318356</v>
      </c>
      <c r="CB635" s="370">
        <f>CB632/CB624</f>
        <v>0.23489096573208723</v>
      </c>
      <c r="CC635" s="370">
        <f>CC632/CC624</f>
        <v>0.29243697478991593</v>
      </c>
      <c r="CD635" s="392"/>
      <c r="CE635" s="392"/>
      <c r="CF635" s="392"/>
      <c r="CG635" s="302"/>
      <c r="CH635" s="302"/>
      <c r="CI635" s="302"/>
      <c r="CJ635" s="302"/>
      <c r="CK635" s="302"/>
      <c r="CL635" s="302"/>
      <c r="CM635" s="302"/>
      <c r="CN635" s="302"/>
      <c r="CO635" s="302"/>
      <c r="CP635" s="303"/>
    </row>
    <row r="636" spans="2:94" ht="14.25" hidden="1" customHeight="1" outlineLevel="2">
      <c r="B636" s="236"/>
      <c r="D636" s="304"/>
      <c r="E636" s="304"/>
      <c r="F636" s="304"/>
      <c r="G636" s="305"/>
      <c r="H636" s="304"/>
      <c r="I636" s="304"/>
      <c r="J636" s="304"/>
      <c r="K636" s="305"/>
      <c r="L636" s="285"/>
      <c r="M636" s="279"/>
      <c r="N636" s="279"/>
      <c r="O636" s="280"/>
      <c r="P636" s="285"/>
      <c r="Q636" s="279"/>
      <c r="R636" s="279"/>
      <c r="S636" s="280"/>
      <c r="T636" s="285"/>
      <c r="U636" s="279"/>
      <c r="V636" s="279"/>
      <c r="W636" s="280"/>
      <c r="X636" s="285"/>
      <c r="Y636" s="279"/>
      <c r="Z636" s="279"/>
      <c r="AA636" s="280"/>
      <c r="AB636" s="285"/>
      <c r="AC636" s="279"/>
      <c r="AD636" s="279"/>
      <c r="AE636" s="280"/>
      <c r="AF636" s="285"/>
      <c r="AG636" s="279"/>
      <c r="AH636" s="279"/>
      <c r="AI636" s="279"/>
      <c r="AJ636" s="731"/>
      <c r="AK636" s="304"/>
      <c r="AL636" s="304"/>
      <c r="AM636" s="304"/>
      <c r="AN636" s="731"/>
      <c r="AO636" s="304"/>
      <c r="AP636" s="304"/>
      <c r="AQ636" s="305"/>
      <c r="AR636" s="731"/>
      <c r="AS636" s="304"/>
      <c r="AT636" s="304"/>
      <c r="AU636" s="305"/>
      <c r="AV636" s="731"/>
      <c r="AW636" s="304"/>
      <c r="AX636" s="304"/>
      <c r="AY636" s="305"/>
      <c r="AZ636" s="731"/>
      <c r="BA636" s="304"/>
      <c r="BB636" s="304"/>
      <c r="BC636" s="305"/>
      <c r="BD636" s="731"/>
      <c r="BE636" s="304"/>
      <c r="BF636" s="304"/>
      <c r="BG636" s="305"/>
      <c r="BH636" s="731"/>
      <c r="BI636" s="304"/>
      <c r="BJ636" s="304"/>
      <c r="BK636" s="305"/>
      <c r="BL636" s="731"/>
      <c r="BM636" s="304"/>
      <c r="BN636" s="304"/>
      <c r="BO636" s="305"/>
      <c r="BP636" s="731"/>
      <c r="BQ636" s="304"/>
      <c r="BR636" s="304"/>
      <c r="BS636" s="305"/>
      <c r="BT636" s="731"/>
      <c r="BU636" s="304"/>
      <c r="BV636" s="304"/>
      <c r="BW636" s="305"/>
      <c r="BX636" s="346"/>
      <c r="BY636" s="731"/>
      <c r="BZ636" s="304"/>
      <c r="CA636" s="304"/>
      <c r="CB636" s="304"/>
      <c r="CC636" s="304"/>
      <c r="CD636" s="249"/>
      <c r="CE636" s="249"/>
      <c r="CF636" s="249"/>
      <c r="CG636" s="304"/>
      <c r="CH636" s="304"/>
      <c r="CI636" s="304"/>
      <c r="CJ636" s="304"/>
      <c r="CK636" s="304"/>
      <c r="CL636" s="304"/>
      <c r="CM636" s="304"/>
      <c r="CN636" s="304"/>
      <c r="CO636" s="304"/>
      <c r="CP636" s="305"/>
    </row>
    <row r="637" spans="2:94" ht="14.25" hidden="1" customHeight="1" outlineLevel="2">
      <c r="B637" s="235" t="s">
        <v>195</v>
      </c>
      <c r="G637" s="303"/>
      <c r="L637" s="422">
        <v>116.3</v>
      </c>
      <c r="M637" s="423">
        <v>112.8</v>
      </c>
      <c r="N637" s="423">
        <v>122</v>
      </c>
      <c r="O637" s="401">
        <v>129.5</v>
      </c>
      <c r="P637" s="422">
        <v>120</v>
      </c>
      <c r="Q637" s="423">
        <v>130.6</v>
      </c>
      <c r="R637" s="423">
        <v>129.4</v>
      </c>
      <c r="S637" s="401">
        <v>125.2</v>
      </c>
      <c r="T637" s="422">
        <v>119.4</v>
      </c>
      <c r="U637" s="423">
        <v>127.7</v>
      </c>
      <c r="V637" s="423">
        <v>128</v>
      </c>
      <c r="W637" s="401">
        <v>122.8</v>
      </c>
      <c r="X637" s="422">
        <v>118.5</v>
      </c>
      <c r="Y637" s="423">
        <v>128.6</v>
      </c>
      <c r="Z637" s="423">
        <v>128.1</v>
      </c>
      <c r="AA637" s="369"/>
      <c r="AB637" s="375"/>
      <c r="AC637" s="343"/>
      <c r="AD637" s="343"/>
      <c r="AE637" s="369"/>
      <c r="AF637" s="375"/>
      <c r="AG637" s="343"/>
      <c r="AH637" s="343"/>
      <c r="AI637" s="503"/>
      <c r="AJ637" s="256"/>
      <c r="AN637" s="256"/>
      <c r="AQ637" s="303"/>
      <c r="AR637" s="256"/>
      <c r="AU637" s="303"/>
      <c r="AV637" s="256"/>
      <c r="AY637" s="303"/>
      <c r="AZ637" s="256"/>
      <c r="BC637" s="303"/>
      <c r="BD637" s="256"/>
      <c r="BG637" s="303"/>
      <c r="BH637" s="256"/>
      <c r="BK637" s="303"/>
      <c r="BL637" s="256"/>
      <c r="BO637" s="303"/>
      <c r="BP637" s="256"/>
      <c r="BS637" s="303"/>
      <c r="BT637" s="256"/>
      <c r="BW637" s="303"/>
      <c r="BX637" s="346"/>
      <c r="BY637" s="729"/>
      <c r="BZ637" s="713"/>
      <c r="CA637" s="325">
        <f>SUM(L637:O637)</f>
        <v>480.6</v>
      </c>
      <c r="CB637" s="325">
        <f>SUM(P637:S637)</f>
        <v>505.2</v>
      </c>
      <c r="CC637" s="325">
        <f>SUM(T637:W637)</f>
        <v>497.90000000000003</v>
      </c>
      <c r="CD637" s="325"/>
      <c r="CE637" s="730"/>
      <c r="CF637" s="730"/>
      <c r="CG637" s="302"/>
      <c r="CH637" s="302"/>
      <c r="CI637" s="302"/>
      <c r="CJ637" s="302"/>
      <c r="CK637" s="302"/>
      <c r="CL637" s="302"/>
      <c r="CM637" s="302"/>
      <c r="CN637" s="302"/>
      <c r="CO637" s="302"/>
      <c r="CP637" s="303"/>
    </row>
    <row r="638" spans="2:94" ht="14.25" hidden="1" customHeight="1" outlineLevel="2">
      <c r="B638" s="217" t="s">
        <v>297</v>
      </c>
      <c r="G638" s="303"/>
      <c r="L638" s="425"/>
      <c r="M638" s="370">
        <f t="shared" ref="M638:W638" si="900">M637/L637-1</f>
        <v>-3.009458297506451E-2</v>
      </c>
      <c r="N638" s="370">
        <f t="shared" si="900"/>
        <v>8.1560283687943214E-2</v>
      </c>
      <c r="O638" s="370">
        <f t="shared" si="900"/>
        <v>6.1475409836065475E-2</v>
      </c>
      <c r="P638" s="377">
        <f t="shared" si="900"/>
        <v>-7.3359073359073323E-2</v>
      </c>
      <c r="Q638" s="370">
        <f t="shared" si="900"/>
        <v>8.8333333333333375E-2</v>
      </c>
      <c r="R638" s="370">
        <f t="shared" si="900"/>
        <v>-9.1883614088820176E-3</v>
      </c>
      <c r="S638" s="370">
        <f t="shared" si="900"/>
        <v>-3.2457496136012343E-2</v>
      </c>
      <c r="T638" s="377">
        <f t="shared" si="900"/>
        <v>-4.6325878594249192E-2</v>
      </c>
      <c r="U638" s="370">
        <f t="shared" si="900"/>
        <v>6.9514237855946348E-2</v>
      </c>
      <c r="V638" s="370">
        <f t="shared" si="900"/>
        <v>2.3492560689115649E-3</v>
      </c>
      <c r="W638" s="335">
        <f t="shared" si="900"/>
        <v>-4.0625000000000022E-2</v>
      </c>
      <c r="X638" s="377">
        <f>X637/W637-1</f>
        <v>-3.5016286644951156E-2</v>
      </c>
      <c r="Y638" s="370">
        <f>Y637/X637-1</f>
        <v>8.5232067510548459E-2</v>
      </c>
      <c r="Z638" s="370">
        <f>Z637/Y637-1</f>
        <v>-3.8880248833592645E-3</v>
      </c>
      <c r="AA638" s="335"/>
      <c r="AB638" s="377"/>
      <c r="AC638" s="370"/>
      <c r="AD638" s="370"/>
      <c r="AE638" s="335"/>
      <c r="AF638" s="377"/>
      <c r="AG638" s="370"/>
      <c r="AH638" s="370"/>
      <c r="AI638" s="370"/>
      <c r="AJ638" s="256"/>
      <c r="AN638" s="256"/>
      <c r="AQ638" s="303"/>
      <c r="AR638" s="256"/>
      <c r="AU638" s="303"/>
      <c r="AV638" s="256"/>
      <c r="AY638" s="303"/>
      <c r="AZ638" s="256"/>
      <c r="BC638" s="303"/>
      <c r="BD638" s="256"/>
      <c r="BG638" s="303"/>
      <c r="BH638" s="256"/>
      <c r="BK638" s="303"/>
      <c r="BL638" s="256"/>
      <c r="BO638" s="303"/>
      <c r="BP638" s="256"/>
      <c r="BS638" s="303"/>
      <c r="BT638" s="256"/>
      <c r="BW638" s="303"/>
      <c r="BX638" s="346"/>
      <c r="BY638" s="256"/>
      <c r="BZ638" s="302"/>
      <c r="CA638" s="302"/>
      <c r="CB638" s="302"/>
      <c r="CC638" s="302"/>
      <c r="CD638" s="392"/>
      <c r="CE638" s="730"/>
      <c r="CF638" s="730"/>
      <c r="CG638" s="302"/>
      <c r="CH638" s="302"/>
      <c r="CI638" s="302"/>
      <c r="CJ638" s="302"/>
      <c r="CK638" s="302"/>
      <c r="CL638" s="302"/>
      <c r="CM638" s="302"/>
      <c r="CN638" s="302"/>
      <c r="CO638" s="302"/>
      <c r="CP638" s="303"/>
    </row>
    <row r="639" spans="2:94" ht="14.25" hidden="1" customHeight="1" outlineLevel="2">
      <c r="B639" s="32" t="s">
        <v>298</v>
      </c>
      <c r="G639" s="303"/>
      <c r="L639" s="425"/>
      <c r="M639" s="418"/>
      <c r="N639" s="418"/>
      <c r="O639" s="419"/>
      <c r="P639" s="377">
        <f t="shared" ref="P639:W639" si="901">P637/L637-1</f>
        <v>3.1814273430782469E-2</v>
      </c>
      <c r="Q639" s="370">
        <f t="shared" si="901"/>
        <v>0.15780141843971629</v>
      </c>
      <c r="R639" s="370">
        <f t="shared" si="901"/>
        <v>6.0655737704918167E-2</v>
      </c>
      <c r="S639" s="370">
        <f t="shared" si="901"/>
        <v>-3.3204633204633183E-2</v>
      </c>
      <c r="T639" s="377">
        <f t="shared" si="901"/>
        <v>-5.0000000000000044E-3</v>
      </c>
      <c r="U639" s="370">
        <f t="shared" si="901"/>
        <v>-2.2205206738131644E-2</v>
      </c>
      <c r="V639" s="370">
        <f t="shared" si="901"/>
        <v>-1.0819165378670781E-2</v>
      </c>
      <c r="W639" s="335">
        <f t="shared" si="901"/>
        <v>-1.9169329073482455E-2</v>
      </c>
      <c r="X639" s="377">
        <f>X637/T637-1</f>
        <v>-7.5376884422111434E-3</v>
      </c>
      <c r="Y639" s="370">
        <f>Y637/U637-1</f>
        <v>7.0477682067344727E-3</v>
      </c>
      <c r="Z639" s="370">
        <f>Z637/V637-1</f>
        <v>7.8124999999995559E-4</v>
      </c>
      <c r="AA639" s="335"/>
      <c r="AB639" s="377"/>
      <c r="AC639" s="370"/>
      <c r="AD639" s="370"/>
      <c r="AE639" s="335"/>
      <c r="AF639" s="377"/>
      <c r="AG639" s="370"/>
      <c r="AH639" s="370"/>
      <c r="AI639" s="370"/>
      <c r="AJ639" s="256"/>
      <c r="AN639" s="256"/>
      <c r="AQ639" s="303"/>
      <c r="AR639" s="256"/>
      <c r="AU639" s="303"/>
      <c r="AV639" s="256"/>
      <c r="AY639" s="303"/>
      <c r="AZ639" s="256"/>
      <c r="BC639" s="303"/>
      <c r="BD639" s="256"/>
      <c r="BG639" s="303"/>
      <c r="BH639" s="256"/>
      <c r="BK639" s="303"/>
      <c r="BL639" s="256"/>
      <c r="BO639" s="303"/>
      <c r="BP639" s="256"/>
      <c r="BS639" s="303"/>
      <c r="BT639" s="256"/>
      <c r="BW639" s="303"/>
      <c r="BX639" s="346"/>
      <c r="BY639" s="256"/>
      <c r="BZ639" s="302"/>
      <c r="CA639" s="418"/>
      <c r="CB639" s="370">
        <f>CB637/CA637-1</f>
        <v>5.1186017478152213E-2</v>
      </c>
      <c r="CC639" s="370">
        <f>CC637/CB637-1</f>
        <v>-1.4449722882026839E-2</v>
      </c>
      <c r="CD639" s="392"/>
      <c r="CE639" s="730"/>
      <c r="CF639" s="730"/>
      <c r="CG639" s="302"/>
      <c r="CH639" s="302"/>
      <c r="CI639" s="302"/>
      <c r="CJ639" s="302"/>
      <c r="CK639" s="302"/>
      <c r="CL639" s="302"/>
      <c r="CM639" s="302"/>
      <c r="CN639" s="302"/>
      <c r="CO639" s="302"/>
      <c r="CP639" s="303"/>
    </row>
    <row r="640" spans="2:94" ht="14.25" hidden="1" customHeight="1" outlineLevel="2">
      <c r="B640" s="217" t="s">
        <v>299</v>
      </c>
      <c r="G640" s="303"/>
      <c r="L640" s="359">
        <f t="shared" ref="L640:W640" si="902">L637/L663</f>
        <v>0.38458994708994709</v>
      </c>
      <c r="M640" s="370">
        <f t="shared" si="902"/>
        <v>0.37252311756935269</v>
      </c>
      <c r="N640" s="370">
        <f t="shared" si="902"/>
        <v>0.38903061224489799</v>
      </c>
      <c r="O640" s="370">
        <f t="shared" si="902"/>
        <v>0.37887653598595666</v>
      </c>
      <c r="P640" s="359">
        <f t="shared" si="902"/>
        <v>0.3592814371257485</v>
      </c>
      <c r="Q640" s="370">
        <f t="shared" si="902"/>
        <v>0.34798827604582999</v>
      </c>
      <c r="R640" s="370">
        <f t="shared" si="902"/>
        <v>0.30743644571157042</v>
      </c>
      <c r="S640" s="370">
        <f t="shared" si="902"/>
        <v>0.31175298804780877</v>
      </c>
      <c r="T640" s="359">
        <f t="shared" si="902"/>
        <v>0.3190807055050775</v>
      </c>
      <c r="U640" s="370">
        <f t="shared" si="902"/>
        <v>0.33499475341028334</v>
      </c>
      <c r="V640" s="370">
        <f t="shared" si="902"/>
        <v>0.31769669893273761</v>
      </c>
      <c r="W640" s="337">
        <f t="shared" si="902"/>
        <v>0.3010541799460652</v>
      </c>
      <c r="X640" s="359">
        <f>X637/X663</f>
        <v>0.28087224460772692</v>
      </c>
      <c r="Y640" s="370">
        <f>Y637/Y663</f>
        <v>0.22854096321307976</v>
      </c>
      <c r="Z640" s="370">
        <f>Z637/Z663</f>
        <v>0.22029234737747205</v>
      </c>
      <c r="AA640" s="337"/>
      <c r="AB640" s="359"/>
      <c r="AC640" s="370"/>
      <c r="AD640" s="370"/>
      <c r="AE640" s="337"/>
      <c r="AF640" s="359"/>
      <c r="AG640" s="370"/>
      <c r="AH640" s="370"/>
      <c r="AI640" s="338"/>
      <c r="AJ640" s="256"/>
      <c r="AN640" s="256"/>
      <c r="AQ640" s="303"/>
      <c r="AR640" s="256"/>
      <c r="AU640" s="303"/>
      <c r="AV640" s="256"/>
      <c r="AY640" s="303"/>
      <c r="AZ640" s="256"/>
      <c r="BC640" s="303"/>
      <c r="BD640" s="256"/>
      <c r="BG640" s="303"/>
      <c r="BH640" s="256"/>
      <c r="BK640" s="303"/>
      <c r="BL640" s="256"/>
      <c r="BO640" s="303"/>
      <c r="BP640" s="256"/>
      <c r="BS640" s="303"/>
      <c r="BT640" s="256"/>
      <c r="BW640" s="303"/>
      <c r="BX640" s="346"/>
      <c r="BY640" s="256"/>
      <c r="BZ640" s="302"/>
      <c r="CA640" s="370">
        <f>CA637/CA663</f>
        <v>0.38124702522608284</v>
      </c>
      <c r="CB640" s="370">
        <f>CB637/CB663</f>
        <v>0.32980806893850367</v>
      </c>
      <c r="CC640" s="370">
        <f>CC637/CC663</f>
        <v>0.3179032052100626</v>
      </c>
      <c r="CD640" s="392"/>
      <c r="CE640" s="730"/>
      <c r="CF640" s="730"/>
      <c r="CG640" s="302"/>
      <c r="CH640" s="302"/>
      <c r="CI640" s="302"/>
      <c r="CJ640" s="302"/>
      <c r="CK640" s="302"/>
      <c r="CL640" s="302"/>
      <c r="CM640" s="302"/>
      <c r="CN640" s="302"/>
      <c r="CO640" s="302"/>
      <c r="CP640" s="303"/>
    </row>
    <row r="641" spans="2:94" ht="14.25" hidden="1" customHeight="1" outlineLevel="2">
      <c r="B641" s="217"/>
      <c r="G641" s="303"/>
      <c r="L641" s="260"/>
      <c r="M641" s="80"/>
      <c r="N641" s="80"/>
      <c r="O641" s="369"/>
      <c r="P641" s="260"/>
      <c r="Q641" s="80"/>
      <c r="R641" s="80"/>
      <c r="S641" s="262"/>
      <c r="T641" s="260"/>
      <c r="U641" s="80"/>
      <c r="V641" s="80"/>
      <c r="W641" s="262"/>
      <c r="X641" s="260"/>
      <c r="Y641" s="80"/>
      <c r="Z641" s="80"/>
      <c r="AA641" s="262"/>
      <c r="AB641" s="260"/>
      <c r="AC641" s="80"/>
      <c r="AD641" s="80"/>
      <c r="AE641" s="262"/>
      <c r="AF641" s="260"/>
      <c r="AG641" s="80"/>
      <c r="AH641" s="80"/>
      <c r="AI641" s="261"/>
      <c r="AJ641" s="256"/>
      <c r="AN641" s="256"/>
      <c r="AQ641" s="303"/>
      <c r="AR641" s="256"/>
      <c r="AU641" s="303"/>
      <c r="AV641" s="256"/>
      <c r="AY641" s="303"/>
      <c r="AZ641" s="256"/>
      <c r="BC641" s="303"/>
      <c r="BD641" s="256"/>
      <c r="BG641" s="303"/>
      <c r="BH641" s="256"/>
      <c r="BK641" s="303"/>
      <c r="BL641" s="256"/>
      <c r="BO641" s="303"/>
      <c r="BP641" s="256"/>
      <c r="BS641" s="303"/>
      <c r="BT641" s="256"/>
      <c r="BW641" s="303"/>
      <c r="BX641" s="346"/>
      <c r="BY641" s="256"/>
      <c r="BZ641" s="302"/>
      <c r="CA641" s="302"/>
      <c r="CB641" s="302"/>
      <c r="CC641" s="302"/>
      <c r="CD641" s="392"/>
      <c r="CE641" s="730"/>
      <c r="CF641" s="730"/>
      <c r="CG641" s="302"/>
      <c r="CH641" s="302"/>
      <c r="CI641" s="302"/>
      <c r="CJ641" s="302"/>
      <c r="CK641" s="302"/>
      <c r="CL641" s="302"/>
      <c r="CM641" s="302"/>
      <c r="CN641" s="302"/>
      <c r="CO641" s="302"/>
      <c r="CP641" s="303"/>
    </row>
    <row r="642" spans="2:94" ht="14.25" hidden="1" customHeight="1" outlineLevel="2">
      <c r="B642" s="235" t="s">
        <v>230</v>
      </c>
      <c r="G642" s="303"/>
      <c r="L642" s="422">
        <v>40.299999999999997</v>
      </c>
      <c r="M642" s="423">
        <v>42.4</v>
      </c>
      <c r="N642" s="423">
        <v>48.2</v>
      </c>
      <c r="O642" s="401">
        <v>54.5</v>
      </c>
      <c r="P642" s="422">
        <v>47.1</v>
      </c>
      <c r="Q642" s="423">
        <v>58.1</v>
      </c>
      <c r="R642" s="423">
        <v>54.4</v>
      </c>
      <c r="S642" s="401">
        <v>53.3</v>
      </c>
      <c r="T642" s="422">
        <v>49.7</v>
      </c>
      <c r="U642" s="423">
        <v>58.1</v>
      </c>
      <c r="V642" s="423">
        <v>55.6</v>
      </c>
      <c r="W642" s="401">
        <v>48.9</v>
      </c>
      <c r="X642" s="422">
        <v>50.9</v>
      </c>
      <c r="Y642" s="423">
        <v>52.2</v>
      </c>
      <c r="Z642" s="423">
        <v>50.9</v>
      </c>
      <c r="AA642" s="369"/>
      <c r="AB642" s="375"/>
      <c r="AC642" s="343"/>
      <c r="AD642" s="343"/>
      <c r="AE642" s="369"/>
      <c r="AF642" s="375"/>
      <c r="AG642" s="343"/>
      <c r="AH642" s="343"/>
      <c r="AI642" s="503"/>
      <c r="AJ642" s="256"/>
      <c r="AN642" s="256"/>
      <c r="AQ642" s="303"/>
      <c r="AR642" s="256"/>
      <c r="AU642" s="303"/>
      <c r="AV642" s="256"/>
      <c r="AY642" s="303"/>
      <c r="AZ642" s="256"/>
      <c r="BC642" s="303"/>
      <c r="BD642" s="256"/>
      <c r="BG642" s="303"/>
      <c r="BH642" s="256"/>
      <c r="BK642" s="303"/>
      <c r="BL642" s="256"/>
      <c r="BO642" s="303"/>
      <c r="BP642" s="256"/>
      <c r="BS642" s="303"/>
      <c r="BT642" s="256"/>
      <c r="BW642" s="303"/>
      <c r="BX642" s="346"/>
      <c r="BY642" s="256"/>
      <c r="BZ642" s="302"/>
      <c r="CA642" s="325">
        <f>SUM(L642:O642)</f>
        <v>185.39999999999998</v>
      </c>
      <c r="CB642" s="325">
        <f>SUM(P642:S642)</f>
        <v>212.89999999999998</v>
      </c>
      <c r="CC642" s="325">
        <f>SUM(T642:W642)</f>
        <v>212.3</v>
      </c>
      <c r="CD642" s="325"/>
      <c r="CE642" s="730"/>
      <c r="CF642" s="730"/>
      <c r="CG642" s="302"/>
      <c r="CH642" s="302"/>
      <c r="CI642" s="302"/>
      <c r="CJ642" s="302"/>
      <c r="CK642" s="302"/>
      <c r="CL642" s="302"/>
      <c r="CM642" s="302"/>
      <c r="CN642" s="302"/>
      <c r="CO642" s="302"/>
      <c r="CP642" s="303"/>
    </row>
    <row r="643" spans="2:94" ht="14.25" hidden="1" customHeight="1" outlineLevel="2">
      <c r="B643" s="217" t="s">
        <v>373</v>
      </c>
      <c r="G643" s="303"/>
      <c r="L643" s="377">
        <f t="shared" ref="L643:W643" si="903">L642/L637</f>
        <v>0.34651762682717108</v>
      </c>
      <c r="M643" s="370">
        <f t="shared" si="903"/>
        <v>0.37588652482269502</v>
      </c>
      <c r="N643" s="370">
        <f t="shared" si="903"/>
        <v>0.39508196721311478</v>
      </c>
      <c r="O643" s="370">
        <f t="shared" si="903"/>
        <v>0.42084942084942084</v>
      </c>
      <c r="P643" s="377">
        <f t="shared" si="903"/>
        <v>0.39250000000000002</v>
      </c>
      <c r="Q643" s="370">
        <f t="shared" si="903"/>
        <v>0.44486983154670756</v>
      </c>
      <c r="R643" s="370">
        <f t="shared" si="903"/>
        <v>0.42040185471406488</v>
      </c>
      <c r="S643" s="370">
        <f t="shared" si="903"/>
        <v>0.42571884984025554</v>
      </c>
      <c r="T643" s="377">
        <f t="shared" si="903"/>
        <v>0.41624790619765495</v>
      </c>
      <c r="U643" s="370">
        <f t="shared" si="903"/>
        <v>0.45497259201252938</v>
      </c>
      <c r="V643" s="370">
        <f t="shared" si="903"/>
        <v>0.43437500000000001</v>
      </c>
      <c r="W643" s="335">
        <f t="shared" si="903"/>
        <v>0.3982084690553746</v>
      </c>
      <c r="X643" s="377">
        <f>X642/X637</f>
        <v>0.42953586497890295</v>
      </c>
      <c r="Y643" s="370">
        <f>Y642/Y637</f>
        <v>0.40590979782270609</v>
      </c>
      <c r="Z643" s="370">
        <f>Z642/Z637</f>
        <v>0.39734582357533177</v>
      </c>
      <c r="AA643" s="335"/>
      <c r="AB643" s="377"/>
      <c r="AC643" s="370"/>
      <c r="AD643" s="370"/>
      <c r="AE643" s="335"/>
      <c r="AF643" s="377"/>
      <c r="AG643" s="370"/>
      <c r="AH643" s="370"/>
      <c r="AI643" s="370"/>
      <c r="AJ643" s="256"/>
      <c r="AN643" s="256"/>
      <c r="AQ643" s="303"/>
      <c r="AR643" s="256"/>
      <c r="AU643" s="303"/>
      <c r="AV643" s="256"/>
      <c r="AY643" s="303"/>
      <c r="AZ643" s="256"/>
      <c r="BC643" s="303"/>
      <c r="BD643" s="256"/>
      <c r="BG643" s="303"/>
      <c r="BH643" s="256"/>
      <c r="BK643" s="303"/>
      <c r="BL643" s="256"/>
      <c r="BO643" s="303"/>
      <c r="BP643" s="256"/>
      <c r="BS643" s="303"/>
      <c r="BT643" s="256"/>
      <c r="BW643" s="303"/>
      <c r="BX643" s="346"/>
      <c r="BY643" s="256"/>
      <c r="BZ643" s="302"/>
      <c r="CA643" s="370">
        <f>CA642/CA637</f>
        <v>0.38576779026217223</v>
      </c>
      <c r="CB643" s="370">
        <f>CB642/CB637</f>
        <v>0.42141726049089467</v>
      </c>
      <c r="CC643" s="370">
        <f>CC642/CC637</f>
        <v>0.42639084153444468</v>
      </c>
      <c r="CD643" s="392"/>
      <c r="CE643" s="730"/>
      <c r="CF643" s="730"/>
      <c r="CG643" s="302"/>
      <c r="CH643" s="302"/>
      <c r="CI643" s="302"/>
      <c r="CJ643" s="302"/>
      <c r="CK643" s="302"/>
      <c r="CL643" s="302"/>
      <c r="CM643" s="302"/>
      <c r="CN643" s="302"/>
      <c r="CO643" s="302"/>
      <c r="CP643" s="303"/>
    </row>
    <row r="644" spans="2:94" ht="14.25" hidden="1" customHeight="1" outlineLevel="2">
      <c r="B644" s="217"/>
      <c r="G644" s="303"/>
      <c r="L644" s="82"/>
      <c r="M644" s="80"/>
      <c r="N644" s="80"/>
      <c r="O644" s="369"/>
      <c r="P644" s="82"/>
      <c r="Q644" s="80"/>
      <c r="R644" s="80"/>
      <c r="S644" s="262"/>
      <c r="T644" s="82"/>
      <c r="U644" s="80"/>
      <c r="V644" s="80"/>
      <c r="W644" s="262"/>
      <c r="X644" s="82"/>
      <c r="Y644" s="80"/>
      <c r="Z644" s="80"/>
      <c r="AA644" s="262"/>
      <c r="AB644" s="82"/>
      <c r="AC644" s="80"/>
      <c r="AD644" s="80"/>
      <c r="AE644" s="262"/>
      <c r="AF644" s="82"/>
      <c r="AG644" s="80"/>
      <c r="AH644" s="80"/>
      <c r="AI644" s="261"/>
      <c r="AJ644" s="256"/>
      <c r="AN644" s="256"/>
      <c r="AQ644" s="303"/>
      <c r="AR644" s="256"/>
      <c r="AU644" s="303"/>
      <c r="AV644" s="256"/>
      <c r="AY644" s="303"/>
      <c r="AZ644" s="256"/>
      <c r="BC644" s="303"/>
      <c r="BD644" s="256"/>
      <c r="BG644" s="303"/>
      <c r="BH644" s="256"/>
      <c r="BK644" s="303"/>
      <c r="BL644" s="256"/>
      <c r="BO644" s="303"/>
      <c r="BP644" s="256"/>
      <c r="BS644" s="303"/>
      <c r="BT644" s="256"/>
      <c r="BW644" s="303"/>
      <c r="BX644" s="346"/>
      <c r="BY644" s="256"/>
      <c r="BZ644" s="302"/>
      <c r="CA644" s="325"/>
      <c r="CB644" s="325"/>
      <c r="CC644" s="325"/>
      <c r="CD644" s="392"/>
      <c r="CE644" s="730"/>
      <c r="CF644" s="730"/>
      <c r="CG644" s="302"/>
      <c r="CH644" s="302"/>
      <c r="CI644" s="302"/>
      <c r="CJ644" s="302"/>
      <c r="CK644" s="302"/>
      <c r="CL644" s="302"/>
      <c r="CM644" s="302"/>
      <c r="CN644" s="302"/>
      <c r="CO644" s="302"/>
      <c r="CP644" s="303"/>
    </row>
    <row r="645" spans="2:94" ht="14.25" hidden="1" customHeight="1" outlineLevel="2">
      <c r="B645" s="235" t="s">
        <v>197</v>
      </c>
      <c r="G645" s="303"/>
      <c r="L645" s="422">
        <v>20.9</v>
      </c>
      <c r="M645" s="423">
        <v>26.1</v>
      </c>
      <c r="N645" s="423">
        <v>28.8</v>
      </c>
      <c r="O645" s="401">
        <v>35</v>
      </c>
      <c r="P645" s="422">
        <v>27.2</v>
      </c>
      <c r="Q645" s="423">
        <v>37.700000000000003</v>
      </c>
      <c r="R645" s="423">
        <v>35.4</v>
      </c>
      <c r="S645" s="401">
        <v>35.200000000000003</v>
      </c>
      <c r="T645" s="422">
        <v>31.8</v>
      </c>
      <c r="U645" s="423">
        <v>40.4</v>
      </c>
      <c r="V645" s="423">
        <v>37</v>
      </c>
      <c r="W645" s="401">
        <v>28.8</v>
      </c>
      <c r="X645" s="422">
        <v>33</v>
      </c>
      <c r="Y645" s="423">
        <v>33.299999999999997</v>
      </c>
      <c r="Z645" s="423">
        <v>32.299999999999997</v>
      </c>
      <c r="AA645" s="369"/>
      <c r="AB645" s="375"/>
      <c r="AC645" s="343"/>
      <c r="AD645" s="343"/>
      <c r="AE645" s="369"/>
      <c r="AF645" s="375"/>
      <c r="AG645" s="343"/>
      <c r="AH645" s="343"/>
      <c r="AI645" s="503"/>
      <c r="AJ645" s="256"/>
      <c r="AN645" s="256"/>
      <c r="AQ645" s="303"/>
      <c r="AR645" s="256"/>
      <c r="AU645" s="303"/>
      <c r="AV645" s="256"/>
      <c r="AY645" s="303"/>
      <c r="AZ645" s="256"/>
      <c r="BC645" s="303"/>
      <c r="BD645" s="256"/>
      <c r="BG645" s="303"/>
      <c r="BH645" s="256"/>
      <c r="BK645" s="303"/>
      <c r="BL645" s="256"/>
      <c r="BO645" s="303"/>
      <c r="BP645" s="256"/>
      <c r="BS645" s="303"/>
      <c r="BT645" s="256"/>
      <c r="BW645" s="303"/>
      <c r="BX645" s="346"/>
      <c r="BY645" s="256"/>
      <c r="BZ645" s="302"/>
      <c r="CA645" s="325">
        <f>SUM(L645:O645)</f>
        <v>110.8</v>
      </c>
      <c r="CB645" s="325">
        <f>SUM(P645:S645)</f>
        <v>135.5</v>
      </c>
      <c r="CC645" s="325">
        <f>SUM(T645:W645)</f>
        <v>138</v>
      </c>
      <c r="CD645" s="325"/>
      <c r="CE645" s="730"/>
      <c r="CF645" s="730"/>
      <c r="CG645" s="302"/>
      <c r="CH645" s="302"/>
      <c r="CI645" s="302"/>
      <c r="CJ645" s="302"/>
      <c r="CK645" s="302"/>
      <c r="CL645" s="302"/>
      <c r="CM645" s="302"/>
      <c r="CN645" s="302"/>
      <c r="CO645" s="302"/>
      <c r="CP645" s="303"/>
    </row>
    <row r="646" spans="2:94" ht="14.25" hidden="1" customHeight="1" outlineLevel="2">
      <c r="B646" s="217" t="s">
        <v>297</v>
      </c>
      <c r="G646" s="303"/>
      <c r="L646" s="425"/>
      <c r="M646" s="370">
        <f t="shared" ref="M646:W646" si="904">M645/L645-1</f>
        <v>0.24880382775119636</v>
      </c>
      <c r="N646" s="370">
        <f t="shared" si="904"/>
        <v>0.10344827586206895</v>
      </c>
      <c r="O646" s="335">
        <f t="shared" si="904"/>
        <v>0.21527777777777768</v>
      </c>
      <c r="P646" s="377">
        <f t="shared" si="904"/>
        <v>-0.22285714285714286</v>
      </c>
      <c r="Q646" s="370">
        <f t="shared" si="904"/>
        <v>0.38602941176470607</v>
      </c>
      <c r="R646" s="370">
        <f t="shared" si="904"/>
        <v>-6.1007957559681802E-2</v>
      </c>
      <c r="S646" s="335">
        <f t="shared" si="904"/>
        <v>-5.6497175141241307E-3</v>
      </c>
      <c r="T646" s="377">
        <f t="shared" si="904"/>
        <v>-9.6590909090909172E-2</v>
      </c>
      <c r="U646" s="370">
        <f t="shared" si="904"/>
        <v>0.27044025157232698</v>
      </c>
      <c r="V646" s="370">
        <f t="shared" si="904"/>
        <v>-8.4158415841584122E-2</v>
      </c>
      <c r="W646" s="335">
        <f t="shared" si="904"/>
        <v>-0.22162162162162158</v>
      </c>
      <c r="X646" s="377">
        <f>X645/W645-1</f>
        <v>0.14583333333333326</v>
      </c>
      <c r="Y646" s="370">
        <f>Y645/X645-1</f>
        <v>9.0909090909090384E-3</v>
      </c>
      <c r="Z646" s="370">
        <f>Z645/Y645-1</f>
        <v>-3.0030030030030019E-2</v>
      </c>
      <c r="AA646" s="335"/>
      <c r="AB646" s="377"/>
      <c r="AC646" s="370"/>
      <c r="AD646" s="370"/>
      <c r="AE646" s="335"/>
      <c r="AF646" s="377"/>
      <c r="AG646" s="370"/>
      <c r="AH646" s="370"/>
      <c r="AI646" s="370"/>
      <c r="AJ646" s="256"/>
      <c r="AN646" s="256"/>
      <c r="AQ646" s="303"/>
      <c r="AR646" s="256"/>
      <c r="AU646" s="303"/>
      <c r="AV646" s="256"/>
      <c r="AY646" s="303"/>
      <c r="AZ646" s="256"/>
      <c r="BC646" s="303"/>
      <c r="BD646" s="256"/>
      <c r="BG646" s="303"/>
      <c r="BH646" s="256"/>
      <c r="BK646" s="303"/>
      <c r="BL646" s="256"/>
      <c r="BO646" s="303"/>
      <c r="BP646" s="256"/>
      <c r="BS646" s="303"/>
      <c r="BT646" s="256"/>
      <c r="BW646" s="303"/>
      <c r="BX646" s="346"/>
      <c r="BY646" s="256"/>
      <c r="BZ646" s="302"/>
      <c r="CA646" s="302"/>
      <c r="CB646" s="302"/>
      <c r="CC646" s="302"/>
      <c r="CD646" s="392"/>
      <c r="CE646" s="392"/>
      <c r="CF646" s="392"/>
      <c r="CG646" s="302"/>
      <c r="CH646" s="302"/>
      <c r="CI646" s="302"/>
      <c r="CJ646" s="302"/>
      <c r="CK646" s="302"/>
      <c r="CL646" s="302"/>
      <c r="CM646" s="302"/>
      <c r="CN646" s="302"/>
      <c r="CO646" s="302"/>
      <c r="CP646" s="303"/>
    </row>
    <row r="647" spans="2:94" ht="14.25" hidden="1" customHeight="1" outlineLevel="2">
      <c r="B647" s="32" t="s">
        <v>298</v>
      </c>
      <c r="G647" s="303"/>
      <c r="L647" s="425"/>
      <c r="M647" s="418"/>
      <c r="N647" s="418"/>
      <c r="O647" s="419"/>
      <c r="P647" s="377">
        <f t="shared" ref="P647:W647" si="905">P645/L645-1</f>
        <v>0.30143540669856472</v>
      </c>
      <c r="Q647" s="370">
        <f t="shared" si="905"/>
        <v>0.44444444444444442</v>
      </c>
      <c r="R647" s="370">
        <f t="shared" si="905"/>
        <v>0.22916666666666652</v>
      </c>
      <c r="S647" s="335">
        <f t="shared" si="905"/>
        <v>5.7142857142857828E-3</v>
      </c>
      <c r="T647" s="377">
        <f t="shared" si="905"/>
        <v>0.16911764705882359</v>
      </c>
      <c r="U647" s="370">
        <f t="shared" si="905"/>
        <v>7.1618037135278367E-2</v>
      </c>
      <c r="V647" s="370">
        <f t="shared" si="905"/>
        <v>4.5197740112994378E-2</v>
      </c>
      <c r="W647" s="335">
        <f t="shared" si="905"/>
        <v>-0.18181818181818188</v>
      </c>
      <c r="X647" s="377">
        <f>X645/T645-1</f>
        <v>3.7735849056603765E-2</v>
      </c>
      <c r="Y647" s="370">
        <f>Y645/U645-1</f>
        <v>-0.17574257425742579</v>
      </c>
      <c r="Z647" s="370">
        <f>Z645/V645-1</f>
        <v>-0.12702702702702706</v>
      </c>
      <c r="AA647" s="335"/>
      <c r="AB647" s="377"/>
      <c r="AC647" s="370"/>
      <c r="AD647" s="370"/>
      <c r="AE647" s="335"/>
      <c r="AF647" s="377"/>
      <c r="AG647" s="370"/>
      <c r="AH647" s="370"/>
      <c r="AI647" s="370"/>
      <c r="AJ647" s="256"/>
      <c r="AN647" s="256"/>
      <c r="AQ647" s="303"/>
      <c r="AR647" s="256"/>
      <c r="AU647" s="303"/>
      <c r="AV647" s="256"/>
      <c r="AY647" s="303"/>
      <c r="AZ647" s="256"/>
      <c r="BC647" s="303"/>
      <c r="BD647" s="256"/>
      <c r="BG647" s="303"/>
      <c r="BH647" s="256"/>
      <c r="BK647" s="303"/>
      <c r="BL647" s="256"/>
      <c r="BO647" s="303"/>
      <c r="BP647" s="256"/>
      <c r="BS647" s="303"/>
      <c r="BT647" s="256"/>
      <c r="BW647" s="303"/>
      <c r="BX647" s="346"/>
      <c r="BY647" s="256"/>
      <c r="BZ647" s="302"/>
      <c r="CA647" s="418"/>
      <c r="CB647" s="370">
        <f>CB645/CA645-1</f>
        <v>0.22292418772563183</v>
      </c>
      <c r="CC647" s="370">
        <f>CC645/CB645-1</f>
        <v>1.8450184501844991E-2</v>
      </c>
      <c r="CD647" s="392"/>
      <c r="CE647" s="392"/>
      <c r="CF647" s="392"/>
      <c r="CG647" s="302"/>
      <c r="CH647" s="302"/>
      <c r="CI647" s="302"/>
      <c r="CJ647" s="302"/>
      <c r="CK647" s="302"/>
      <c r="CL647" s="302"/>
      <c r="CM647" s="302"/>
      <c r="CN647" s="302"/>
      <c r="CO647" s="302"/>
      <c r="CP647" s="303"/>
    </row>
    <row r="648" spans="2:94" ht="14.25" hidden="1" customHeight="1" outlineLevel="2">
      <c r="B648" s="217" t="s">
        <v>374</v>
      </c>
      <c r="G648" s="303"/>
      <c r="L648" s="377">
        <f t="shared" ref="L648:W648" si="906">L645/L637</f>
        <v>0.17970765262252794</v>
      </c>
      <c r="M648" s="370">
        <f t="shared" si="906"/>
        <v>0.23138297872340427</v>
      </c>
      <c r="N648" s="370">
        <f t="shared" si="906"/>
        <v>0.23606557377049181</v>
      </c>
      <c r="O648" s="335">
        <f t="shared" si="906"/>
        <v>0.27027027027027029</v>
      </c>
      <c r="P648" s="377">
        <f t="shared" si="906"/>
        <v>0.22666666666666666</v>
      </c>
      <c r="Q648" s="370">
        <f t="shared" si="906"/>
        <v>0.28866768759571215</v>
      </c>
      <c r="R648" s="370">
        <f t="shared" si="906"/>
        <v>0.27357032457496133</v>
      </c>
      <c r="S648" s="335">
        <f t="shared" si="906"/>
        <v>0.28115015974440899</v>
      </c>
      <c r="T648" s="377">
        <f t="shared" si="906"/>
        <v>0.26633165829145727</v>
      </c>
      <c r="U648" s="370">
        <f t="shared" si="906"/>
        <v>0.31636648394675015</v>
      </c>
      <c r="V648" s="370">
        <f t="shared" si="906"/>
        <v>0.2890625</v>
      </c>
      <c r="W648" s="335">
        <f t="shared" si="906"/>
        <v>0.23452768729641696</v>
      </c>
      <c r="X648" s="377">
        <f>X645/X637</f>
        <v>0.27848101265822783</v>
      </c>
      <c r="Y648" s="370">
        <f>Y645/Y637</f>
        <v>0.25894245723172626</v>
      </c>
      <c r="Z648" s="370">
        <f>Z645/Z637</f>
        <v>0.25214676034348166</v>
      </c>
      <c r="AA648" s="335"/>
      <c r="AB648" s="377"/>
      <c r="AC648" s="370"/>
      <c r="AD648" s="370"/>
      <c r="AE648" s="335"/>
      <c r="AF648" s="377"/>
      <c r="AG648" s="370"/>
      <c r="AH648" s="370"/>
      <c r="AI648" s="370"/>
      <c r="AJ648" s="256"/>
      <c r="AN648" s="256"/>
      <c r="AQ648" s="303"/>
      <c r="AR648" s="256"/>
      <c r="AU648" s="303"/>
      <c r="AV648" s="256"/>
      <c r="AY648" s="303"/>
      <c r="AZ648" s="256"/>
      <c r="BC648" s="303"/>
      <c r="BD648" s="256"/>
      <c r="BG648" s="303"/>
      <c r="BH648" s="256"/>
      <c r="BK648" s="303"/>
      <c r="BL648" s="256"/>
      <c r="BO648" s="303"/>
      <c r="BP648" s="256"/>
      <c r="BS648" s="303"/>
      <c r="BT648" s="256"/>
      <c r="BW648" s="303"/>
      <c r="BX648" s="346"/>
      <c r="BY648" s="256"/>
      <c r="BZ648" s="302"/>
      <c r="CA648" s="370">
        <f>CA645/CA637</f>
        <v>0.23054515189346647</v>
      </c>
      <c r="CB648" s="370">
        <f>CB645/CB637</f>
        <v>0.2682106096595408</v>
      </c>
      <c r="CC648" s="370">
        <f>CC645/CC637</f>
        <v>0.277164089174533</v>
      </c>
      <c r="CD648" s="392"/>
      <c r="CE648" s="392"/>
      <c r="CF648" s="392"/>
      <c r="CG648" s="302"/>
      <c r="CH648" s="302"/>
      <c r="CI648" s="302"/>
      <c r="CJ648" s="302"/>
      <c r="CK648" s="302"/>
      <c r="CL648" s="302"/>
      <c r="CM648" s="302"/>
      <c r="CN648" s="302"/>
      <c r="CO648" s="302"/>
      <c r="CP648" s="303"/>
    </row>
    <row r="649" spans="2:94" ht="14.25" hidden="1" customHeight="1" outlineLevel="2">
      <c r="B649" s="236"/>
      <c r="D649" s="304"/>
      <c r="E649" s="304"/>
      <c r="F649" s="304"/>
      <c r="G649" s="305"/>
      <c r="H649" s="304"/>
      <c r="I649" s="304"/>
      <c r="J649" s="304"/>
      <c r="K649" s="305"/>
      <c r="L649" s="285"/>
      <c r="M649" s="279"/>
      <c r="N649" s="279"/>
      <c r="O649" s="280"/>
      <c r="P649" s="285"/>
      <c r="Q649" s="279"/>
      <c r="R649" s="279"/>
      <c r="S649" s="280"/>
      <c r="T649" s="285"/>
      <c r="U649" s="279"/>
      <c r="V649" s="279"/>
      <c r="W649" s="280"/>
      <c r="X649" s="285"/>
      <c r="Y649" s="279"/>
      <c r="Z649" s="279"/>
      <c r="AA649" s="280"/>
      <c r="AB649" s="285"/>
      <c r="AC649" s="279"/>
      <c r="AD649" s="279"/>
      <c r="AE649" s="280"/>
      <c r="AF649" s="285"/>
      <c r="AG649" s="279"/>
      <c r="AH649" s="279"/>
      <c r="AI649" s="279"/>
      <c r="AJ649" s="731"/>
      <c r="AK649" s="304"/>
      <c r="AL649" s="304"/>
      <c r="AM649" s="304"/>
      <c r="AN649" s="731"/>
      <c r="AO649" s="304"/>
      <c r="AP649" s="304"/>
      <c r="AQ649" s="305"/>
      <c r="AR649" s="731"/>
      <c r="AS649" s="304"/>
      <c r="AT649" s="304"/>
      <c r="AU649" s="305"/>
      <c r="AV649" s="731"/>
      <c r="AW649" s="304"/>
      <c r="AX649" s="304"/>
      <c r="AY649" s="305"/>
      <c r="AZ649" s="731"/>
      <c r="BA649" s="304"/>
      <c r="BB649" s="304"/>
      <c r="BC649" s="305"/>
      <c r="BD649" s="731"/>
      <c r="BE649" s="304"/>
      <c r="BF649" s="304"/>
      <c r="BG649" s="305"/>
      <c r="BH649" s="731"/>
      <c r="BI649" s="304"/>
      <c r="BJ649" s="304"/>
      <c r="BK649" s="305"/>
      <c r="BL649" s="731"/>
      <c r="BM649" s="304"/>
      <c r="BN649" s="304"/>
      <c r="BO649" s="305"/>
      <c r="BP649" s="731"/>
      <c r="BQ649" s="304"/>
      <c r="BR649" s="304"/>
      <c r="BS649" s="305"/>
      <c r="BT649" s="731"/>
      <c r="BU649" s="304"/>
      <c r="BV649" s="304"/>
      <c r="BW649" s="305"/>
      <c r="BX649" s="346"/>
      <c r="BY649" s="731"/>
      <c r="BZ649" s="304"/>
      <c r="CA649" s="304"/>
      <c r="CB649" s="304"/>
      <c r="CC649" s="304"/>
      <c r="CD649" s="249"/>
      <c r="CE649" s="249"/>
      <c r="CF649" s="249"/>
      <c r="CG649" s="304"/>
      <c r="CH649" s="304"/>
      <c r="CI649" s="304"/>
      <c r="CJ649" s="304"/>
      <c r="CK649" s="304"/>
      <c r="CL649" s="304"/>
      <c r="CM649" s="304"/>
      <c r="CN649" s="304"/>
      <c r="CO649" s="304"/>
      <c r="CP649" s="305"/>
    </row>
    <row r="650" spans="2:94" ht="14.25" hidden="1" customHeight="1" outlineLevel="2">
      <c r="B650" s="235" t="s">
        <v>240</v>
      </c>
      <c r="G650" s="303"/>
      <c r="L650" s="422">
        <v>0.7</v>
      </c>
      <c r="M650" s="423">
        <v>0.8</v>
      </c>
      <c r="N650" s="423">
        <v>1.2</v>
      </c>
      <c r="O650" s="401">
        <v>1.5</v>
      </c>
      <c r="P650" s="422">
        <v>1</v>
      </c>
      <c r="Q650" s="423">
        <v>13.8</v>
      </c>
      <c r="R650" s="423">
        <v>48.7</v>
      </c>
      <c r="S650" s="401">
        <v>37.1</v>
      </c>
      <c r="T650" s="422">
        <v>26.4</v>
      </c>
      <c r="U650" s="423">
        <v>25.4</v>
      </c>
      <c r="V650" s="423">
        <v>21.8</v>
      </c>
      <c r="W650" s="401">
        <v>22.8</v>
      </c>
      <c r="X650" s="422">
        <v>47.3</v>
      </c>
      <c r="Y650" s="423">
        <v>169</v>
      </c>
      <c r="Z650" s="423">
        <v>165.7</v>
      </c>
      <c r="AA650" s="340"/>
      <c r="AB650" s="376"/>
      <c r="AC650" s="339"/>
      <c r="AD650" s="339"/>
      <c r="AE650" s="340"/>
      <c r="AF650" s="376"/>
      <c r="AG650" s="339"/>
      <c r="AH650" s="339"/>
      <c r="AI650" s="339"/>
      <c r="AJ650" s="256"/>
      <c r="AN650" s="256"/>
      <c r="AQ650" s="303"/>
      <c r="AR650" s="256"/>
      <c r="AU650" s="303"/>
      <c r="AV650" s="256"/>
      <c r="AY650" s="303"/>
      <c r="AZ650" s="256"/>
      <c r="BC650" s="303"/>
      <c r="BD650" s="256"/>
      <c r="BG650" s="303"/>
      <c r="BH650" s="256"/>
      <c r="BK650" s="303"/>
      <c r="BL650" s="256"/>
      <c r="BO650" s="303"/>
      <c r="BP650" s="256"/>
      <c r="BS650" s="303"/>
      <c r="BT650" s="256"/>
      <c r="BW650" s="303"/>
      <c r="BX650" s="346"/>
      <c r="BY650" s="729"/>
      <c r="BZ650" s="713"/>
      <c r="CA650" s="325">
        <f>SUM(L650:O650)</f>
        <v>4.2</v>
      </c>
      <c r="CB650" s="325">
        <f>SUM(P650:S650)</f>
        <v>100.6</v>
      </c>
      <c r="CC650" s="325">
        <f>SUM(T650:W650)</f>
        <v>96.399999999999991</v>
      </c>
      <c r="CD650" s="392"/>
      <c r="CE650" s="392"/>
      <c r="CF650" s="392"/>
      <c r="CG650" s="302"/>
      <c r="CH650" s="302"/>
      <c r="CI650" s="302"/>
      <c r="CJ650" s="302"/>
      <c r="CK650" s="302"/>
      <c r="CL650" s="302"/>
      <c r="CM650" s="302"/>
      <c r="CN650" s="302"/>
      <c r="CO650" s="302"/>
      <c r="CP650" s="303"/>
    </row>
    <row r="651" spans="2:94" ht="14.25" hidden="1" customHeight="1" outlineLevel="2">
      <c r="B651" s="217" t="s">
        <v>297</v>
      </c>
      <c r="G651" s="303"/>
      <c r="L651" s="425"/>
      <c r="M651" s="370">
        <f t="shared" ref="M651:R651" si="907">M650/L650-1</f>
        <v>0.14285714285714302</v>
      </c>
      <c r="N651" s="370">
        <f t="shared" si="907"/>
        <v>0.49999999999999978</v>
      </c>
      <c r="O651" s="335">
        <f t="shared" si="907"/>
        <v>0.25</v>
      </c>
      <c r="P651" s="377">
        <f t="shared" si="907"/>
        <v>-0.33333333333333337</v>
      </c>
      <c r="Q651" s="370">
        <f t="shared" si="907"/>
        <v>12.8</v>
      </c>
      <c r="R651" s="370">
        <f t="shared" si="907"/>
        <v>2.5289855072463769</v>
      </c>
      <c r="S651" s="335">
        <f>91.1-SUM(P651:R651)</f>
        <v>76.104347826086951</v>
      </c>
      <c r="T651" s="377">
        <f t="shared" ref="T651:Z651" si="908">T650/S650-1</f>
        <v>-0.28840970350404316</v>
      </c>
      <c r="U651" s="370">
        <f t="shared" si="908"/>
        <v>-3.7878787878787845E-2</v>
      </c>
      <c r="V651" s="370">
        <f t="shared" si="908"/>
        <v>-0.1417322834645669</v>
      </c>
      <c r="W651" s="335">
        <f t="shared" si="908"/>
        <v>4.587155963302747E-2</v>
      </c>
      <c r="X651" s="377">
        <f t="shared" si="908"/>
        <v>1.0745614035087718</v>
      </c>
      <c r="Y651" s="370">
        <f t="shared" si="908"/>
        <v>2.572938689217759</v>
      </c>
      <c r="Z651" s="370">
        <f t="shared" si="908"/>
        <v>-1.9526627218934944E-2</v>
      </c>
      <c r="AA651" s="335"/>
      <c r="AB651" s="377"/>
      <c r="AC651" s="370"/>
      <c r="AD651" s="370"/>
      <c r="AE651" s="335"/>
      <c r="AF651" s="377"/>
      <c r="AG651" s="370"/>
      <c r="AH651" s="370"/>
      <c r="AI651" s="370"/>
      <c r="AJ651" s="256"/>
      <c r="AN651" s="256"/>
      <c r="AQ651" s="303"/>
      <c r="AR651" s="256"/>
      <c r="AU651" s="303"/>
      <c r="AV651" s="256"/>
      <c r="AY651" s="303"/>
      <c r="AZ651" s="256"/>
      <c r="BC651" s="303"/>
      <c r="BD651" s="256"/>
      <c r="BG651" s="303"/>
      <c r="BH651" s="256"/>
      <c r="BK651" s="303"/>
      <c r="BL651" s="256"/>
      <c r="BO651" s="303"/>
      <c r="BP651" s="256"/>
      <c r="BS651" s="303"/>
      <c r="BT651" s="256"/>
      <c r="BW651" s="303"/>
      <c r="BX651" s="346"/>
      <c r="BY651" s="256"/>
      <c r="BZ651" s="302"/>
      <c r="CA651" s="302"/>
      <c r="CB651" s="302"/>
      <c r="CC651" s="302"/>
      <c r="CD651" s="392"/>
      <c r="CE651" s="392"/>
      <c r="CF651" s="392"/>
      <c r="CG651" s="302"/>
      <c r="CH651" s="302"/>
      <c r="CI651" s="302"/>
      <c r="CJ651" s="302"/>
      <c r="CK651" s="302"/>
      <c r="CL651" s="302"/>
      <c r="CM651" s="302"/>
      <c r="CN651" s="302"/>
      <c r="CO651" s="302"/>
      <c r="CP651" s="303"/>
    </row>
    <row r="652" spans="2:94" ht="14.25" hidden="1" customHeight="1" outlineLevel="2">
      <c r="B652" s="32" t="s">
        <v>298</v>
      </c>
      <c r="G652" s="303"/>
      <c r="L652" s="425"/>
      <c r="M652" s="418"/>
      <c r="N652" s="418"/>
      <c r="O652" s="419"/>
      <c r="P652" s="377">
        <f t="shared" ref="P652:W652" si="909">P650/L650-1</f>
        <v>0.4285714285714286</v>
      </c>
      <c r="Q652" s="370">
        <f t="shared" si="909"/>
        <v>16.25</v>
      </c>
      <c r="R652" s="370">
        <f t="shared" si="909"/>
        <v>39.583333333333336</v>
      </c>
      <c r="S652" s="370">
        <f t="shared" si="909"/>
        <v>23.733333333333334</v>
      </c>
      <c r="T652" s="377">
        <f t="shared" si="909"/>
        <v>25.4</v>
      </c>
      <c r="U652" s="370">
        <f t="shared" si="909"/>
        <v>0.84057971014492727</v>
      </c>
      <c r="V652" s="370">
        <f t="shared" si="909"/>
        <v>-0.55236139630390146</v>
      </c>
      <c r="W652" s="335">
        <f t="shared" si="909"/>
        <v>-0.38544474393531003</v>
      </c>
      <c r="X652" s="377">
        <f>X650/T650-1</f>
        <v>0.79166666666666674</v>
      </c>
      <c r="Y652" s="370">
        <f>Y650/U650-1</f>
        <v>5.6535433070866148</v>
      </c>
      <c r="Z652" s="370">
        <f>Z650/V650-1</f>
        <v>6.6009174311926602</v>
      </c>
      <c r="AA652" s="335"/>
      <c r="AB652" s="377"/>
      <c r="AC652" s="370"/>
      <c r="AD652" s="370"/>
      <c r="AE652" s="335"/>
      <c r="AF652" s="377"/>
      <c r="AG652" s="370"/>
      <c r="AH652" s="370"/>
      <c r="AI652" s="370"/>
      <c r="AJ652" s="256"/>
      <c r="AN652" s="256"/>
      <c r="AQ652" s="303"/>
      <c r="AR652" s="256"/>
      <c r="AU652" s="303"/>
      <c r="AV652" s="256"/>
      <c r="AY652" s="303"/>
      <c r="AZ652" s="256"/>
      <c r="BC652" s="303"/>
      <c r="BD652" s="256"/>
      <c r="BG652" s="303"/>
      <c r="BH652" s="256"/>
      <c r="BK652" s="303"/>
      <c r="BL652" s="256"/>
      <c r="BO652" s="303"/>
      <c r="BP652" s="256"/>
      <c r="BS652" s="303"/>
      <c r="BT652" s="256"/>
      <c r="BW652" s="303"/>
      <c r="BX652" s="346"/>
      <c r="BY652" s="256"/>
      <c r="BZ652" s="302"/>
      <c r="CA652" s="418"/>
      <c r="CB652" s="370">
        <f>CB650/CA650-1</f>
        <v>22.952380952380949</v>
      </c>
      <c r="CC652" s="370">
        <f>CC650/CB650-1</f>
        <v>-4.1749502982107334E-2</v>
      </c>
      <c r="CD652" s="392"/>
      <c r="CE652" s="392"/>
      <c r="CF652" s="392"/>
      <c r="CG652" s="302"/>
      <c r="CH652" s="302"/>
      <c r="CI652" s="302"/>
      <c r="CJ652" s="302"/>
      <c r="CK652" s="302"/>
      <c r="CL652" s="302"/>
      <c r="CM652" s="302"/>
      <c r="CN652" s="302"/>
      <c r="CO652" s="302"/>
      <c r="CP652" s="303"/>
    </row>
    <row r="653" spans="2:94" ht="14.25" hidden="1" customHeight="1" outlineLevel="2">
      <c r="B653" s="217" t="s">
        <v>299</v>
      </c>
      <c r="G653" s="303"/>
      <c r="L653" s="359">
        <f t="shared" ref="L653:W653" si="910">L650/L663</f>
        <v>2.3148148148148147E-3</v>
      </c>
      <c r="M653" s="370">
        <f t="shared" si="910"/>
        <v>2.6420079260237781E-3</v>
      </c>
      <c r="N653" s="370">
        <f t="shared" si="910"/>
        <v>3.8265306122448983E-3</v>
      </c>
      <c r="O653" s="337">
        <f t="shared" si="910"/>
        <v>4.388531304856641E-3</v>
      </c>
      <c r="P653" s="359">
        <f t="shared" si="910"/>
        <v>2.9940119760479044E-3</v>
      </c>
      <c r="Q653" s="370">
        <f t="shared" si="910"/>
        <v>3.6770583533173459E-2</v>
      </c>
      <c r="R653" s="370">
        <f t="shared" si="910"/>
        <v>0.11570444286053694</v>
      </c>
      <c r="S653" s="337">
        <f t="shared" si="910"/>
        <v>9.2380478087649404E-2</v>
      </c>
      <c r="T653" s="359">
        <f t="shared" si="910"/>
        <v>7.0550507749866376E-2</v>
      </c>
      <c r="U653" s="370">
        <f t="shared" si="910"/>
        <v>6.6631689401888766E-2</v>
      </c>
      <c r="V653" s="370">
        <f t="shared" si="910"/>
        <v>5.4107719036981881E-2</v>
      </c>
      <c r="W653" s="337">
        <f t="shared" si="910"/>
        <v>5.589605295415543E-2</v>
      </c>
      <c r="X653" s="359">
        <f>X650/X663</f>
        <v>0.11211187485186061</v>
      </c>
      <c r="Y653" s="370">
        <f>Y650/Y663</f>
        <v>0.3003376577216989</v>
      </c>
      <c r="Z653" s="370">
        <f>Z650/Z663</f>
        <v>0.28495270851246773</v>
      </c>
      <c r="AA653" s="337"/>
      <c r="AB653" s="359"/>
      <c r="AC653" s="370"/>
      <c r="AD653" s="370"/>
      <c r="AE653" s="337"/>
      <c r="AF653" s="359"/>
      <c r="AG653" s="370"/>
      <c r="AH653" s="370"/>
      <c r="AI653" s="338"/>
      <c r="AJ653" s="256"/>
      <c r="AN653" s="256"/>
      <c r="AQ653" s="303"/>
      <c r="AR653" s="256"/>
      <c r="AU653" s="303"/>
      <c r="AV653" s="256"/>
      <c r="AY653" s="303"/>
      <c r="AZ653" s="256"/>
      <c r="BC653" s="303"/>
      <c r="BD653" s="256"/>
      <c r="BG653" s="303"/>
      <c r="BH653" s="256"/>
      <c r="BK653" s="303"/>
      <c r="BL653" s="256"/>
      <c r="BO653" s="303"/>
      <c r="BP653" s="256"/>
      <c r="BS653" s="303"/>
      <c r="BT653" s="256"/>
      <c r="BW653" s="303"/>
      <c r="BX653" s="346"/>
      <c r="BY653" s="256"/>
      <c r="BZ653" s="302"/>
      <c r="CA653" s="370">
        <f>CA650/CA663</f>
        <v>3.33174678724417E-3</v>
      </c>
      <c r="CB653" s="370">
        <f>CB650/CB663</f>
        <v>6.5674370022196102E-2</v>
      </c>
      <c r="CC653" s="370">
        <f>CC650/CC663</f>
        <v>6.1550249010343498E-2</v>
      </c>
      <c r="CD653" s="392"/>
      <c r="CE653" s="392"/>
      <c r="CF653" s="392"/>
      <c r="CG653" s="302"/>
      <c r="CH653" s="302"/>
      <c r="CI653" s="302"/>
      <c r="CJ653" s="302"/>
      <c r="CK653" s="302"/>
      <c r="CL653" s="302"/>
      <c r="CM653" s="302"/>
      <c r="CN653" s="302"/>
      <c r="CO653" s="302"/>
      <c r="CP653" s="303"/>
    </row>
    <row r="654" spans="2:94" ht="14.25" hidden="1" customHeight="1" outlineLevel="2">
      <c r="B654" s="217"/>
      <c r="G654" s="303"/>
      <c r="L654" s="260"/>
      <c r="M654" s="80"/>
      <c r="N654" s="80"/>
      <c r="O654" s="262"/>
      <c r="P654" s="260"/>
      <c r="Q654" s="80"/>
      <c r="R654" s="80"/>
      <c r="S654" s="262"/>
      <c r="T654" s="260"/>
      <c r="U654" s="80"/>
      <c r="V654" s="80"/>
      <c r="W654" s="262"/>
      <c r="X654" s="260"/>
      <c r="Y654" s="80"/>
      <c r="Z654" s="80"/>
      <c r="AA654" s="262"/>
      <c r="AB654" s="82"/>
      <c r="AC654" s="80"/>
      <c r="AD654" s="80"/>
      <c r="AE654" s="262"/>
      <c r="AF654" s="82"/>
      <c r="AG654" s="80"/>
      <c r="AH654" s="80"/>
      <c r="AI654" s="261"/>
      <c r="AJ654" s="256"/>
      <c r="AN654" s="256"/>
      <c r="AQ654" s="303"/>
      <c r="AR654" s="256"/>
      <c r="AU654" s="303"/>
      <c r="AV654" s="256"/>
      <c r="AY654" s="303"/>
      <c r="AZ654" s="256"/>
      <c r="BC654" s="303"/>
      <c r="BD654" s="256"/>
      <c r="BG654" s="303"/>
      <c r="BH654" s="256"/>
      <c r="BK654" s="303"/>
      <c r="BL654" s="256"/>
      <c r="BO654" s="303"/>
      <c r="BP654" s="256"/>
      <c r="BS654" s="303"/>
      <c r="BT654" s="256"/>
      <c r="BW654" s="303"/>
      <c r="BX654" s="346"/>
      <c r="BY654" s="256"/>
      <c r="BZ654" s="302"/>
      <c r="CA654" s="302"/>
      <c r="CB654" s="302"/>
      <c r="CC654" s="302"/>
      <c r="CD654" s="392"/>
      <c r="CE654" s="392"/>
      <c r="CF654" s="392"/>
      <c r="CG654" s="302"/>
      <c r="CH654" s="302"/>
      <c r="CI654" s="302"/>
      <c r="CJ654" s="302"/>
      <c r="CK654" s="302"/>
      <c r="CL654" s="302"/>
      <c r="CM654" s="302"/>
      <c r="CN654" s="302"/>
      <c r="CO654" s="302"/>
      <c r="CP654" s="303"/>
    </row>
    <row r="655" spans="2:94" ht="14.25" hidden="1" customHeight="1" outlineLevel="2">
      <c r="B655" s="235" t="s">
        <v>241</v>
      </c>
      <c r="G655" s="303"/>
      <c r="L655" s="422">
        <v>0.3</v>
      </c>
      <c r="M655" s="423">
        <v>0.5</v>
      </c>
      <c r="N655" s="423">
        <v>0.7</v>
      </c>
      <c r="O655" s="401">
        <v>0.5</v>
      </c>
      <c r="P655" s="422">
        <v>0.3</v>
      </c>
      <c r="Q655" s="423">
        <v>2.8</v>
      </c>
      <c r="R655" s="423">
        <v>11.6</v>
      </c>
      <c r="S655" s="401">
        <v>4.2</v>
      </c>
      <c r="T655" s="422">
        <v>-2.2000000000000002</v>
      </c>
      <c r="U655" s="423">
        <v>-1.7</v>
      </c>
      <c r="V655" s="423">
        <v>0.5</v>
      </c>
      <c r="W655" s="401">
        <v>0.6</v>
      </c>
      <c r="X655" s="422">
        <v>1.9</v>
      </c>
      <c r="Y655" s="423">
        <v>41</v>
      </c>
      <c r="Z655" s="423">
        <v>65.7</v>
      </c>
      <c r="AA655" s="340"/>
      <c r="AB655" s="376"/>
      <c r="AC655" s="339"/>
      <c r="AD655" s="339"/>
      <c r="AE655" s="340"/>
      <c r="AF655" s="376"/>
      <c r="AG655" s="339"/>
      <c r="AH655" s="339"/>
      <c r="AI655" s="339"/>
      <c r="AJ655" s="256"/>
      <c r="AN655" s="256"/>
      <c r="AQ655" s="303"/>
      <c r="AR655" s="256"/>
      <c r="AU655" s="303"/>
      <c r="AV655" s="256"/>
      <c r="AY655" s="303"/>
      <c r="AZ655" s="256"/>
      <c r="BC655" s="303"/>
      <c r="BD655" s="256"/>
      <c r="BG655" s="303"/>
      <c r="BH655" s="256"/>
      <c r="BK655" s="303"/>
      <c r="BL655" s="256"/>
      <c r="BO655" s="303"/>
      <c r="BP655" s="256"/>
      <c r="BS655" s="303"/>
      <c r="BT655" s="256"/>
      <c r="BW655" s="303"/>
      <c r="BX655" s="346"/>
      <c r="BY655" s="256"/>
      <c r="BZ655" s="302"/>
      <c r="CA655" s="325">
        <f>SUM(L655:O655)</f>
        <v>2</v>
      </c>
      <c r="CB655" s="325">
        <f>SUM(P655:S655)</f>
        <v>18.899999999999999</v>
      </c>
      <c r="CC655" s="325">
        <f>SUM(T655:W655)</f>
        <v>-2.8000000000000003</v>
      </c>
      <c r="CD655" s="392"/>
      <c r="CE655" s="392"/>
      <c r="CF655" s="392"/>
      <c r="CG655" s="302"/>
      <c r="CH655" s="302"/>
      <c r="CI655" s="302"/>
      <c r="CJ655" s="302"/>
      <c r="CK655" s="302"/>
      <c r="CL655" s="302"/>
      <c r="CM655" s="302"/>
      <c r="CN655" s="302"/>
      <c r="CO655" s="302"/>
      <c r="CP655" s="303"/>
    </row>
    <row r="656" spans="2:94" ht="14.25" hidden="1" customHeight="1" outlineLevel="2">
      <c r="B656" s="217" t="s">
        <v>373</v>
      </c>
      <c r="G656" s="303"/>
      <c r="L656" s="377">
        <f t="shared" ref="L656:W656" si="911">L655/L650</f>
        <v>0.4285714285714286</v>
      </c>
      <c r="M656" s="370">
        <f t="shared" si="911"/>
        <v>0.625</v>
      </c>
      <c r="N656" s="370">
        <f t="shared" si="911"/>
        <v>0.58333333333333337</v>
      </c>
      <c r="O656" s="335">
        <f t="shared" si="911"/>
        <v>0.33333333333333331</v>
      </c>
      <c r="P656" s="377">
        <f t="shared" si="911"/>
        <v>0.3</v>
      </c>
      <c r="Q656" s="370">
        <f t="shared" si="911"/>
        <v>0.20289855072463767</v>
      </c>
      <c r="R656" s="370">
        <f t="shared" si="911"/>
        <v>0.23819301848049279</v>
      </c>
      <c r="S656" s="370">
        <f t="shared" si="911"/>
        <v>0.11320754716981132</v>
      </c>
      <c r="T656" s="377">
        <f t="shared" si="911"/>
        <v>-8.3333333333333343E-2</v>
      </c>
      <c r="U656" s="370">
        <f t="shared" si="911"/>
        <v>-6.6929133858267723E-2</v>
      </c>
      <c r="V656" s="370">
        <f t="shared" si="911"/>
        <v>2.2935779816513759E-2</v>
      </c>
      <c r="W656" s="335">
        <f t="shared" si="911"/>
        <v>2.6315789473684209E-2</v>
      </c>
      <c r="X656" s="377">
        <f>X655/X650</f>
        <v>4.016913319238901E-2</v>
      </c>
      <c r="Y656" s="370">
        <f>Y655/Y650</f>
        <v>0.24260355029585798</v>
      </c>
      <c r="Z656" s="370">
        <f>Z655/Z650</f>
        <v>0.39649969824984915</v>
      </c>
      <c r="AA656" s="335"/>
      <c r="AB656" s="377"/>
      <c r="AC656" s="370"/>
      <c r="AD656" s="370"/>
      <c r="AE656" s="335"/>
      <c r="AF656" s="377"/>
      <c r="AG656" s="370"/>
      <c r="AH656" s="370"/>
      <c r="AI656" s="370"/>
      <c r="AJ656" s="256"/>
      <c r="AN656" s="256"/>
      <c r="AQ656" s="303"/>
      <c r="AR656" s="256"/>
      <c r="AU656" s="303"/>
      <c r="AV656" s="256"/>
      <c r="AY656" s="303"/>
      <c r="AZ656" s="256"/>
      <c r="BC656" s="303"/>
      <c r="BD656" s="256"/>
      <c r="BG656" s="303"/>
      <c r="BH656" s="256"/>
      <c r="BK656" s="303"/>
      <c r="BL656" s="256"/>
      <c r="BO656" s="303"/>
      <c r="BP656" s="256"/>
      <c r="BS656" s="303"/>
      <c r="BT656" s="256"/>
      <c r="BW656" s="303"/>
      <c r="BX656" s="346"/>
      <c r="BY656" s="256"/>
      <c r="BZ656" s="302"/>
      <c r="CA656" s="370">
        <f>CA655/CA650</f>
        <v>0.47619047619047616</v>
      </c>
      <c r="CB656" s="370">
        <f>CB655/CB650</f>
        <v>0.18787276341948309</v>
      </c>
      <c r="CC656" s="370">
        <f>CC655/CC650</f>
        <v>-2.9045643153526975E-2</v>
      </c>
      <c r="CD656" s="392"/>
      <c r="CE656" s="392"/>
      <c r="CF656" s="392"/>
      <c r="CG656" s="302"/>
      <c r="CH656" s="302"/>
      <c r="CI656" s="302"/>
      <c r="CJ656" s="302"/>
      <c r="CK656" s="302"/>
      <c r="CL656" s="302"/>
      <c r="CM656" s="302"/>
      <c r="CN656" s="302"/>
      <c r="CO656" s="302"/>
      <c r="CP656" s="303"/>
    </row>
    <row r="657" spans="2:94" ht="14.25" hidden="1" customHeight="1" outlineLevel="2">
      <c r="B657" s="217"/>
      <c r="G657" s="303"/>
      <c r="L657" s="82"/>
      <c r="M657" s="80"/>
      <c r="N657" s="80"/>
      <c r="O657" s="262"/>
      <c r="P657" s="82"/>
      <c r="Q657" s="80"/>
      <c r="R657" s="80"/>
      <c r="S657" s="262"/>
      <c r="T657" s="82"/>
      <c r="U657" s="80"/>
      <c r="V657" s="80"/>
      <c r="W657" s="262"/>
      <c r="X657" s="82"/>
      <c r="Y657" s="80"/>
      <c r="Z657" s="80"/>
      <c r="AA657" s="262"/>
      <c r="AB657" s="82"/>
      <c r="AC657" s="80"/>
      <c r="AD657" s="80"/>
      <c r="AE657" s="262"/>
      <c r="AF657" s="82"/>
      <c r="AG657" s="80"/>
      <c r="AH657" s="80"/>
      <c r="AI657" s="261"/>
      <c r="AJ657" s="256"/>
      <c r="AN657" s="256"/>
      <c r="AQ657" s="303"/>
      <c r="AR657" s="256"/>
      <c r="AU657" s="303"/>
      <c r="AV657" s="256"/>
      <c r="AY657" s="303"/>
      <c r="AZ657" s="256"/>
      <c r="BC657" s="303"/>
      <c r="BD657" s="256"/>
      <c r="BG657" s="303"/>
      <c r="BH657" s="256"/>
      <c r="BK657" s="303"/>
      <c r="BL657" s="256"/>
      <c r="BO657" s="303"/>
      <c r="BP657" s="256"/>
      <c r="BS657" s="303"/>
      <c r="BT657" s="256"/>
      <c r="BW657" s="303"/>
      <c r="BX657" s="346"/>
      <c r="BY657" s="256"/>
      <c r="BZ657" s="302"/>
      <c r="CA657" s="325"/>
      <c r="CB657" s="325"/>
      <c r="CC657" s="325"/>
      <c r="CD657" s="392"/>
      <c r="CE657" s="392"/>
      <c r="CF657" s="392"/>
      <c r="CG657" s="302"/>
      <c r="CH657" s="302"/>
      <c r="CI657" s="302"/>
      <c r="CJ657" s="302"/>
      <c r="CK657" s="302"/>
      <c r="CL657" s="302"/>
      <c r="CM657" s="302"/>
      <c r="CN657" s="302"/>
      <c r="CO657" s="302"/>
      <c r="CP657" s="303"/>
    </row>
    <row r="658" spans="2:94" ht="14.25" hidden="1" customHeight="1" outlineLevel="2">
      <c r="B658" s="235" t="s">
        <v>242</v>
      </c>
      <c r="G658" s="303"/>
      <c r="L658" s="422">
        <v>0.3</v>
      </c>
      <c r="M658" s="423">
        <v>0.5</v>
      </c>
      <c r="N658" s="423">
        <v>0.7</v>
      </c>
      <c r="O658" s="401">
        <v>0.5</v>
      </c>
      <c r="P658" s="422">
        <v>0.2</v>
      </c>
      <c r="Q658" s="423">
        <v>2.5</v>
      </c>
      <c r="R658" s="423">
        <v>10.9</v>
      </c>
      <c r="S658" s="401">
        <v>3.7</v>
      </c>
      <c r="T658" s="422">
        <v>-3.1</v>
      </c>
      <c r="U658" s="423">
        <v>-2.6</v>
      </c>
      <c r="V658" s="423">
        <v>0.2</v>
      </c>
      <c r="W658" s="401">
        <v>0.1</v>
      </c>
      <c r="X658" s="422">
        <v>-4.5999999999999996</v>
      </c>
      <c r="Y658" s="423">
        <v>-17</v>
      </c>
      <c r="Z658" s="423">
        <v>11.7</v>
      </c>
      <c r="AA658" s="340"/>
      <c r="AB658" s="376"/>
      <c r="AC658" s="339"/>
      <c r="AD658" s="339"/>
      <c r="AE658" s="340"/>
      <c r="AF658" s="376"/>
      <c r="AG658" s="339"/>
      <c r="AH658" s="339"/>
      <c r="AI658" s="339"/>
      <c r="AJ658" s="256"/>
      <c r="AN658" s="256"/>
      <c r="AQ658" s="303"/>
      <c r="AR658" s="256"/>
      <c r="AU658" s="303"/>
      <c r="AV658" s="256"/>
      <c r="AY658" s="303"/>
      <c r="AZ658" s="256"/>
      <c r="BC658" s="303"/>
      <c r="BD658" s="256"/>
      <c r="BG658" s="303"/>
      <c r="BH658" s="256"/>
      <c r="BK658" s="303"/>
      <c r="BL658" s="256"/>
      <c r="BO658" s="303"/>
      <c r="BP658" s="256"/>
      <c r="BS658" s="303"/>
      <c r="BT658" s="256"/>
      <c r="BW658" s="303"/>
      <c r="BX658" s="346"/>
      <c r="BY658" s="256"/>
      <c r="BZ658" s="302"/>
      <c r="CA658" s="325">
        <f>SUM(L658:O658)</f>
        <v>2</v>
      </c>
      <c r="CB658" s="325">
        <f>SUM(P658:S658)</f>
        <v>17.3</v>
      </c>
      <c r="CC658" s="325">
        <f>SUM(T658:W658)</f>
        <v>-5.4</v>
      </c>
      <c r="CD658" s="392"/>
      <c r="CE658" s="392"/>
      <c r="CF658" s="392"/>
      <c r="CG658" s="302"/>
      <c r="CH658" s="302"/>
      <c r="CI658" s="302"/>
      <c r="CJ658" s="302"/>
      <c r="CK658" s="302"/>
      <c r="CL658" s="302"/>
      <c r="CM658" s="302"/>
      <c r="CN658" s="302"/>
      <c r="CO658" s="302"/>
      <c r="CP658" s="303"/>
    </row>
    <row r="659" spans="2:94" ht="14.25" hidden="1" customHeight="1" outlineLevel="2">
      <c r="B659" s="217" t="s">
        <v>297</v>
      </c>
      <c r="G659" s="303"/>
      <c r="L659" s="425"/>
      <c r="M659" s="370">
        <f t="shared" ref="M659:W659" si="912">M658/L658-1</f>
        <v>0.66666666666666674</v>
      </c>
      <c r="N659" s="370">
        <f t="shared" si="912"/>
        <v>0.39999999999999991</v>
      </c>
      <c r="O659" s="370">
        <f t="shared" si="912"/>
        <v>-0.2857142857142857</v>
      </c>
      <c r="P659" s="377">
        <f t="shared" si="912"/>
        <v>-0.6</v>
      </c>
      <c r="Q659" s="370">
        <f t="shared" si="912"/>
        <v>11.5</v>
      </c>
      <c r="R659" s="370">
        <f t="shared" si="912"/>
        <v>3.3600000000000003</v>
      </c>
      <c r="S659" s="335">
        <f t="shared" si="912"/>
        <v>-0.66055045871559637</v>
      </c>
      <c r="T659" s="377">
        <f t="shared" si="912"/>
        <v>-1.8378378378378377</v>
      </c>
      <c r="U659" s="370">
        <f t="shared" si="912"/>
        <v>-0.16129032258064513</v>
      </c>
      <c r="V659" s="370">
        <f t="shared" si="912"/>
        <v>-1.0769230769230769</v>
      </c>
      <c r="W659" s="335">
        <f t="shared" si="912"/>
        <v>-0.5</v>
      </c>
      <c r="X659" s="377">
        <f>X658/W658-1</f>
        <v>-46.999999999999993</v>
      </c>
      <c r="Y659" s="370">
        <f>Y658/X658-1</f>
        <v>2.6956521739130439</v>
      </c>
      <c r="Z659" s="370">
        <f>Z658/Y658-1</f>
        <v>-1.6882352941176471</v>
      </c>
      <c r="AA659" s="340"/>
      <c r="AB659" s="376"/>
      <c r="AC659" s="339"/>
      <c r="AD659" s="339"/>
      <c r="AE659" s="340"/>
      <c r="AF659" s="376"/>
      <c r="AG659" s="339"/>
      <c r="AH659" s="339"/>
      <c r="AI659" s="339"/>
      <c r="AJ659" s="256"/>
      <c r="AN659" s="256"/>
      <c r="AQ659" s="303"/>
      <c r="AR659" s="256"/>
      <c r="AU659" s="303"/>
      <c r="AV659" s="256"/>
      <c r="AY659" s="303"/>
      <c r="AZ659" s="256"/>
      <c r="BC659" s="303"/>
      <c r="BD659" s="256"/>
      <c r="BG659" s="303"/>
      <c r="BH659" s="256"/>
      <c r="BK659" s="303"/>
      <c r="BL659" s="256"/>
      <c r="BO659" s="303"/>
      <c r="BP659" s="256"/>
      <c r="BS659" s="303"/>
      <c r="BT659" s="256"/>
      <c r="BW659" s="303"/>
      <c r="BX659" s="346"/>
      <c r="BY659" s="256"/>
      <c r="BZ659" s="302"/>
      <c r="CA659" s="302"/>
      <c r="CB659" s="302"/>
      <c r="CC659" s="302"/>
      <c r="CD659" s="392"/>
      <c r="CE659" s="392"/>
      <c r="CF659" s="392"/>
      <c r="CG659" s="302"/>
      <c r="CH659" s="302"/>
      <c r="CI659" s="302"/>
      <c r="CJ659" s="302"/>
      <c r="CK659" s="302"/>
      <c r="CL659" s="302"/>
      <c r="CM659" s="302"/>
      <c r="CN659" s="302"/>
      <c r="CO659" s="302"/>
      <c r="CP659" s="303"/>
    </row>
    <row r="660" spans="2:94" ht="14.25" hidden="1" customHeight="1" outlineLevel="2">
      <c r="B660" s="32" t="s">
        <v>298</v>
      </c>
      <c r="G660" s="303"/>
      <c r="L660" s="425"/>
      <c r="M660" s="418"/>
      <c r="N660" s="418"/>
      <c r="O660" s="419"/>
      <c r="P660" s="377">
        <f t="shared" ref="P660:W660" si="913">P658/L658-1</f>
        <v>-0.33333333333333326</v>
      </c>
      <c r="Q660" s="370">
        <f t="shared" si="913"/>
        <v>4</v>
      </c>
      <c r="R660" s="370">
        <f t="shared" si="913"/>
        <v>14.571428571428573</v>
      </c>
      <c r="S660" s="335">
        <f t="shared" si="913"/>
        <v>6.4</v>
      </c>
      <c r="T660" s="377">
        <f t="shared" si="913"/>
        <v>-16.5</v>
      </c>
      <c r="U660" s="370">
        <f t="shared" si="913"/>
        <v>-2.04</v>
      </c>
      <c r="V660" s="370">
        <f t="shared" si="913"/>
        <v>-0.98165137614678899</v>
      </c>
      <c r="W660" s="335">
        <f t="shared" si="913"/>
        <v>-0.97297297297297303</v>
      </c>
      <c r="X660" s="377">
        <f>X658/T658-1</f>
        <v>0.48387096774193528</v>
      </c>
      <c r="Y660" s="370">
        <f>Y658/U658-1</f>
        <v>5.5384615384615383</v>
      </c>
      <c r="Z660" s="370">
        <f>Z658/V658-1</f>
        <v>57.499999999999993</v>
      </c>
      <c r="AA660" s="340"/>
      <c r="AB660" s="376"/>
      <c r="AC660" s="339"/>
      <c r="AD660" s="339"/>
      <c r="AE660" s="340"/>
      <c r="AF660" s="376"/>
      <c r="AG660" s="339"/>
      <c r="AH660" s="339"/>
      <c r="AI660" s="339"/>
      <c r="AJ660" s="256"/>
      <c r="AN660" s="256"/>
      <c r="AQ660" s="303"/>
      <c r="AR660" s="256"/>
      <c r="AU660" s="303"/>
      <c r="AV660" s="256"/>
      <c r="AY660" s="303"/>
      <c r="AZ660" s="256"/>
      <c r="BC660" s="303"/>
      <c r="BD660" s="256"/>
      <c r="BG660" s="303"/>
      <c r="BH660" s="256"/>
      <c r="BK660" s="303"/>
      <c r="BL660" s="256"/>
      <c r="BO660" s="303"/>
      <c r="BP660" s="256"/>
      <c r="BS660" s="303"/>
      <c r="BT660" s="256"/>
      <c r="BW660" s="303"/>
      <c r="BX660" s="346"/>
      <c r="BY660" s="256"/>
      <c r="BZ660" s="302"/>
      <c r="CA660" s="418"/>
      <c r="CB660" s="370">
        <f>CB658/CA658-1</f>
        <v>7.65</v>
      </c>
      <c r="CC660" s="370">
        <f>CC658/CB658-1</f>
        <v>-1.3121387283236994</v>
      </c>
      <c r="CD660" s="392"/>
      <c r="CE660" s="392"/>
      <c r="CF660" s="392"/>
      <c r="CG660" s="302"/>
      <c r="CH660" s="302"/>
      <c r="CI660" s="302"/>
      <c r="CJ660" s="302"/>
      <c r="CK660" s="302"/>
      <c r="CL660" s="302"/>
      <c r="CM660" s="302"/>
      <c r="CN660" s="302"/>
      <c r="CO660" s="302"/>
      <c r="CP660" s="303"/>
    </row>
    <row r="661" spans="2:94" ht="14.25" hidden="1" customHeight="1" outlineLevel="2">
      <c r="B661" s="217" t="s">
        <v>374</v>
      </c>
      <c r="G661" s="303"/>
      <c r="L661" s="377">
        <f t="shared" ref="L661:W661" si="914">L658/L650</f>
        <v>0.4285714285714286</v>
      </c>
      <c r="M661" s="370">
        <f t="shared" si="914"/>
        <v>0.625</v>
      </c>
      <c r="N661" s="370">
        <f t="shared" si="914"/>
        <v>0.58333333333333337</v>
      </c>
      <c r="O661" s="370">
        <f t="shared" si="914"/>
        <v>0.33333333333333331</v>
      </c>
      <c r="P661" s="377">
        <f t="shared" si="914"/>
        <v>0.2</v>
      </c>
      <c r="Q661" s="370">
        <f t="shared" si="914"/>
        <v>0.18115942028985507</v>
      </c>
      <c r="R661" s="370">
        <f t="shared" si="914"/>
        <v>0.22381930184804927</v>
      </c>
      <c r="S661" s="335">
        <f t="shared" si="914"/>
        <v>9.9730458221024262E-2</v>
      </c>
      <c r="T661" s="377">
        <f t="shared" si="914"/>
        <v>-0.11742424242424243</v>
      </c>
      <c r="U661" s="370">
        <f t="shared" si="914"/>
        <v>-0.10236220472440946</v>
      </c>
      <c r="V661" s="370">
        <f t="shared" si="914"/>
        <v>9.1743119266055051E-3</v>
      </c>
      <c r="W661" s="335">
        <f t="shared" si="914"/>
        <v>4.3859649122807015E-3</v>
      </c>
      <c r="X661" s="377">
        <f>X658/X650</f>
        <v>-9.7251585623678652E-2</v>
      </c>
      <c r="Y661" s="370">
        <f>Y658/Y650</f>
        <v>-0.10059171597633136</v>
      </c>
      <c r="Z661" s="370">
        <f>Z658/Z650</f>
        <v>7.0609535304767657E-2</v>
      </c>
      <c r="AA661" s="340"/>
      <c r="AB661" s="376"/>
      <c r="AC661" s="339"/>
      <c r="AD661" s="339"/>
      <c r="AE661" s="340"/>
      <c r="AF661" s="376"/>
      <c r="AG661" s="339"/>
      <c r="AH661" s="339"/>
      <c r="AI661" s="339"/>
      <c r="AJ661" s="256"/>
      <c r="AN661" s="256"/>
      <c r="AQ661" s="303"/>
      <c r="AR661" s="256"/>
      <c r="AU661" s="303"/>
      <c r="AV661" s="256"/>
      <c r="AY661" s="303"/>
      <c r="AZ661" s="256"/>
      <c r="BC661" s="303"/>
      <c r="BD661" s="256"/>
      <c r="BG661" s="303"/>
      <c r="BH661" s="256"/>
      <c r="BK661" s="303"/>
      <c r="BL661" s="256"/>
      <c r="BO661" s="303"/>
      <c r="BP661" s="256"/>
      <c r="BS661" s="303"/>
      <c r="BT661" s="256"/>
      <c r="BW661" s="303"/>
      <c r="BX661" s="346"/>
      <c r="BY661" s="256"/>
      <c r="BZ661" s="302"/>
      <c r="CA661" s="370">
        <f>CA658/CA650</f>
        <v>0.47619047619047616</v>
      </c>
      <c r="CB661" s="370">
        <f>CB658/CB650</f>
        <v>0.17196819085487078</v>
      </c>
      <c r="CC661" s="370">
        <f>CC658/CC650</f>
        <v>-5.6016597510373453E-2</v>
      </c>
      <c r="CD661" s="392"/>
      <c r="CE661" s="392"/>
      <c r="CF661" s="392"/>
      <c r="CG661" s="302"/>
      <c r="CH661" s="302"/>
      <c r="CI661" s="302"/>
      <c r="CJ661" s="302"/>
      <c r="CK661" s="302"/>
      <c r="CL661" s="302"/>
      <c r="CM661" s="302"/>
      <c r="CN661" s="302"/>
      <c r="CO661" s="302"/>
      <c r="CP661" s="303"/>
    </row>
    <row r="662" spans="2:94" ht="14.25" hidden="1" customHeight="1" outlineLevel="2">
      <c r="B662" s="236"/>
      <c r="D662" s="304"/>
      <c r="E662" s="304"/>
      <c r="F662" s="304"/>
      <c r="G662" s="305"/>
      <c r="H662" s="304"/>
      <c r="I662" s="304"/>
      <c r="J662" s="304"/>
      <c r="K662" s="305"/>
      <c r="L662" s="285"/>
      <c r="M662" s="279"/>
      <c r="N662" s="279"/>
      <c r="O662" s="280"/>
      <c r="P662" s="285"/>
      <c r="Q662" s="279"/>
      <c r="R662" s="279"/>
      <c r="S662" s="280"/>
      <c r="T662" s="285"/>
      <c r="U662" s="279"/>
      <c r="V662" s="279"/>
      <c r="W662" s="280"/>
      <c r="X662" s="285"/>
      <c r="Y662" s="279"/>
      <c r="Z662" s="279"/>
      <c r="AA662" s="280"/>
      <c r="AB662" s="285"/>
      <c r="AC662" s="279"/>
      <c r="AD662" s="279"/>
      <c r="AE662" s="280"/>
      <c r="AF662" s="285"/>
      <c r="AG662" s="279"/>
      <c r="AH662" s="279"/>
      <c r="AI662" s="279"/>
      <c r="AJ662" s="731"/>
      <c r="AK662" s="304"/>
      <c r="AL662" s="304"/>
      <c r="AM662" s="304"/>
      <c r="AN662" s="731"/>
      <c r="AO662" s="304"/>
      <c r="AP662" s="304"/>
      <c r="AQ662" s="305"/>
      <c r="AR662" s="731"/>
      <c r="AS662" s="304"/>
      <c r="AT662" s="304"/>
      <c r="AU662" s="305"/>
      <c r="AV662" s="731"/>
      <c r="AW662" s="304"/>
      <c r="AX662" s="304"/>
      <c r="AY662" s="305"/>
      <c r="AZ662" s="731"/>
      <c r="BA662" s="304"/>
      <c r="BB662" s="304"/>
      <c r="BC662" s="305"/>
      <c r="BD662" s="731"/>
      <c r="BE662" s="304"/>
      <c r="BF662" s="304"/>
      <c r="BG662" s="305"/>
      <c r="BH662" s="731"/>
      <c r="BI662" s="304"/>
      <c r="BJ662" s="304"/>
      <c r="BK662" s="305"/>
      <c r="BL662" s="731"/>
      <c r="BM662" s="304"/>
      <c r="BN662" s="304"/>
      <c r="BO662" s="305"/>
      <c r="BP662" s="731"/>
      <c r="BQ662" s="304"/>
      <c r="BR662" s="304"/>
      <c r="BS662" s="305"/>
      <c r="BT662" s="731"/>
      <c r="BU662" s="304"/>
      <c r="BV662" s="304"/>
      <c r="BW662" s="305"/>
      <c r="BX662" s="346"/>
      <c r="BY662" s="731"/>
      <c r="BZ662" s="304"/>
      <c r="CA662" s="304"/>
      <c r="CB662" s="304"/>
      <c r="CC662" s="304"/>
      <c r="CD662" s="249"/>
      <c r="CE662" s="249"/>
      <c r="CF662" s="249"/>
      <c r="CG662" s="304"/>
      <c r="CH662" s="304"/>
      <c r="CI662" s="304"/>
      <c r="CJ662" s="304"/>
      <c r="CK662" s="304"/>
      <c r="CL662" s="304"/>
      <c r="CM662" s="304"/>
      <c r="CN662" s="304"/>
      <c r="CO662" s="304"/>
      <c r="CP662" s="305"/>
    </row>
    <row r="663" spans="2:94" ht="14.25" hidden="1" customHeight="1" outlineLevel="2">
      <c r="B663" s="286" t="s">
        <v>201</v>
      </c>
      <c r="C663" s="90"/>
      <c r="D663" s="90"/>
      <c r="E663" s="90"/>
      <c r="F663" s="90"/>
      <c r="G663" s="732"/>
      <c r="H663" s="90"/>
      <c r="I663" s="90"/>
      <c r="J663" s="90"/>
      <c r="K663" s="90"/>
      <c r="L663" s="334">
        <f t="shared" ref="L663:W663" si="915">L624+L611+L598+L637+L650</f>
        <v>302.39999999999998</v>
      </c>
      <c r="M663" s="325">
        <f t="shared" si="915"/>
        <v>302.8</v>
      </c>
      <c r="N663" s="325">
        <f t="shared" si="915"/>
        <v>313.59999999999997</v>
      </c>
      <c r="O663" s="326">
        <f t="shared" si="915"/>
        <v>341.8</v>
      </c>
      <c r="P663" s="334">
        <f t="shared" si="915"/>
        <v>334</v>
      </c>
      <c r="Q663" s="325">
        <f t="shared" si="915"/>
        <v>375.3</v>
      </c>
      <c r="R663" s="325">
        <f t="shared" si="915"/>
        <v>420.90000000000003</v>
      </c>
      <c r="S663" s="326">
        <f t="shared" si="915"/>
        <v>401.6</v>
      </c>
      <c r="T663" s="334">
        <f t="shared" si="915"/>
        <v>374.2</v>
      </c>
      <c r="U663" s="325">
        <f t="shared" si="915"/>
        <v>381.2</v>
      </c>
      <c r="V663" s="325">
        <f t="shared" si="915"/>
        <v>402.90000000000003</v>
      </c>
      <c r="W663" s="326">
        <f t="shared" si="915"/>
        <v>407.90000000000003</v>
      </c>
      <c r="X663" s="334">
        <f>X624+X611+X598+X637+X650</f>
        <v>421.90000000000003</v>
      </c>
      <c r="Y663" s="325">
        <f>Y624+Y611+Y598+Y637+Y650</f>
        <v>562.70000000000005</v>
      </c>
      <c r="Z663" s="325">
        <f>Z624+Z611+Z598+Z637+Z650</f>
        <v>581.5</v>
      </c>
      <c r="AA663" s="326"/>
      <c r="AB663" s="334"/>
      <c r="AC663" s="325"/>
      <c r="AD663" s="325"/>
      <c r="AE663" s="326"/>
      <c r="AF663" s="334"/>
      <c r="AG663" s="325"/>
      <c r="AH663" s="325"/>
      <c r="AI663" s="325"/>
      <c r="AJ663" s="733"/>
      <c r="AK663" s="90"/>
      <c r="AL663" s="90"/>
      <c r="AM663" s="90"/>
      <c r="AN663" s="733"/>
      <c r="AO663" s="90"/>
      <c r="AP663" s="90"/>
      <c r="AQ663" s="732"/>
      <c r="AR663" s="733"/>
      <c r="AS663" s="90"/>
      <c r="AT663" s="90"/>
      <c r="AU663" s="732"/>
      <c r="AV663" s="733"/>
      <c r="AW663" s="90"/>
      <c r="AX663" s="90"/>
      <c r="AY663" s="732"/>
      <c r="AZ663" s="733"/>
      <c r="BA663" s="90"/>
      <c r="BB663" s="90"/>
      <c r="BC663" s="732"/>
      <c r="BD663" s="733"/>
      <c r="BE663" s="90"/>
      <c r="BF663" s="90"/>
      <c r="BG663" s="732"/>
      <c r="BH663" s="733"/>
      <c r="BI663" s="90"/>
      <c r="BJ663" s="90"/>
      <c r="BK663" s="732"/>
      <c r="BL663" s="733"/>
      <c r="BM663" s="90"/>
      <c r="BN663" s="90"/>
      <c r="BO663" s="732"/>
      <c r="BP663" s="733"/>
      <c r="BQ663" s="90"/>
      <c r="BR663" s="90"/>
      <c r="BS663" s="732"/>
      <c r="BT663" s="733"/>
      <c r="BU663" s="90"/>
      <c r="BV663" s="90"/>
      <c r="BW663" s="732"/>
      <c r="BX663" s="349"/>
      <c r="BY663" s="734"/>
      <c r="BZ663" s="735"/>
      <c r="CA663" s="325">
        <f>SUM(L663:O663)</f>
        <v>1260.5999999999999</v>
      </c>
      <c r="CB663" s="325">
        <f>SUM(P663:S663)</f>
        <v>1531.8000000000002</v>
      </c>
      <c r="CC663" s="325">
        <f>SUM(T663:W663)</f>
        <v>1566.2</v>
      </c>
      <c r="CD663" s="325"/>
      <c r="CE663" s="730"/>
      <c r="CF663" s="730"/>
      <c r="CG663" s="736"/>
      <c r="CH663" s="302"/>
      <c r="CI663" s="302"/>
      <c r="CJ663" s="302"/>
      <c r="CK663" s="302"/>
      <c r="CL663" s="302"/>
      <c r="CM663" s="302"/>
      <c r="CN663" s="302"/>
      <c r="CO663" s="302"/>
      <c r="CP663" s="303"/>
    </row>
    <row r="664" spans="2:94" ht="14.25" hidden="1" customHeight="1" outlineLevel="2">
      <c r="B664" s="217" t="s">
        <v>297</v>
      </c>
      <c r="G664" s="303"/>
      <c r="L664" s="425"/>
      <c r="M664" s="220">
        <f t="shared" ref="M664:W664" si="916">M663/L663-1</f>
        <v>1.3227513227513921E-3</v>
      </c>
      <c r="N664" s="220">
        <f t="shared" si="916"/>
        <v>3.5667107001320808E-2</v>
      </c>
      <c r="O664" s="258">
        <f t="shared" si="916"/>
        <v>8.9923469387755306E-2</v>
      </c>
      <c r="P664" s="219">
        <f t="shared" si="916"/>
        <v>-2.2820362785254567E-2</v>
      </c>
      <c r="Q664" s="220">
        <f t="shared" si="916"/>
        <v>0.12365269461077855</v>
      </c>
      <c r="R664" s="220">
        <f t="shared" si="916"/>
        <v>0.12150279776179063</v>
      </c>
      <c r="S664" s="258">
        <f t="shared" si="916"/>
        <v>-4.5854122119268204E-2</v>
      </c>
      <c r="T664" s="219">
        <f t="shared" si="916"/>
        <v>-6.8227091633466186E-2</v>
      </c>
      <c r="U664" s="220">
        <f t="shared" si="916"/>
        <v>1.8706574024585754E-2</v>
      </c>
      <c r="V664" s="220">
        <f t="shared" si="916"/>
        <v>5.6925498426023236E-2</v>
      </c>
      <c r="W664" s="258">
        <f t="shared" si="916"/>
        <v>1.2410027302059978E-2</v>
      </c>
      <c r="X664" s="219">
        <f>X663/W663-1</f>
        <v>3.432213777886739E-2</v>
      </c>
      <c r="Y664" s="220">
        <f>Y663/X663-1</f>
        <v>0.33372837165205027</v>
      </c>
      <c r="Z664" s="220">
        <f>Z663/Y663-1</f>
        <v>3.3410342989159236E-2</v>
      </c>
      <c r="AA664" s="258"/>
      <c r="AB664" s="219"/>
      <c r="AC664" s="220"/>
      <c r="AD664" s="220"/>
      <c r="AE664" s="258"/>
      <c r="AF664" s="219"/>
      <c r="AG664" s="220"/>
      <c r="AH664" s="220"/>
      <c r="AI664" s="220"/>
      <c r="AJ664" s="256"/>
      <c r="AN664" s="256"/>
      <c r="AQ664" s="303"/>
      <c r="AR664" s="256"/>
      <c r="AU664" s="303"/>
      <c r="AV664" s="256"/>
      <c r="AY664" s="303"/>
      <c r="AZ664" s="256"/>
      <c r="BC664" s="303"/>
      <c r="BD664" s="256"/>
      <c r="BG664" s="303"/>
      <c r="BH664" s="256"/>
      <c r="BK664" s="303"/>
      <c r="BL664" s="256"/>
      <c r="BO664" s="303"/>
      <c r="BP664" s="256"/>
      <c r="BS664" s="303"/>
      <c r="BT664" s="256"/>
      <c r="BW664" s="303"/>
      <c r="BX664" s="346"/>
      <c r="BY664" s="256"/>
      <c r="BZ664" s="302"/>
      <c r="CA664" s="302"/>
      <c r="CB664" s="302"/>
      <c r="CC664" s="302"/>
      <c r="CD664" s="392"/>
      <c r="CE664" s="392"/>
      <c r="CF664" s="392"/>
      <c r="CG664" s="302"/>
      <c r="CH664" s="302"/>
      <c r="CI664" s="302"/>
      <c r="CJ664" s="302"/>
      <c r="CK664" s="302"/>
      <c r="CL664" s="302"/>
      <c r="CM664" s="302"/>
      <c r="CN664" s="302"/>
      <c r="CO664" s="302"/>
      <c r="CP664" s="303"/>
    </row>
    <row r="665" spans="2:94" ht="14.25" hidden="1" customHeight="1" outlineLevel="2">
      <c r="B665" s="32" t="s">
        <v>298</v>
      </c>
      <c r="G665" s="303"/>
      <c r="L665" s="425"/>
      <c r="M665" s="418"/>
      <c r="N665" s="418"/>
      <c r="O665" s="419"/>
      <c r="P665" s="219">
        <f t="shared" ref="P665:W665" si="917">P663/L663-1</f>
        <v>0.10449735449735464</v>
      </c>
      <c r="Q665" s="220">
        <f t="shared" si="917"/>
        <v>0.23943196829590496</v>
      </c>
      <c r="R665" s="220">
        <f t="shared" si="917"/>
        <v>0.34215561224489832</v>
      </c>
      <c r="S665" s="258">
        <f t="shared" si="917"/>
        <v>0.17495611468695138</v>
      </c>
      <c r="T665" s="219">
        <f t="shared" si="917"/>
        <v>0.12035928143712571</v>
      </c>
      <c r="U665" s="220">
        <f t="shared" si="917"/>
        <v>1.5720756727950924E-2</v>
      </c>
      <c r="V665" s="220">
        <f t="shared" si="917"/>
        <v>-4.2765502494654273E-2</v>
      </c>
      <c r="W665" s="258">
        <f t="shared" si="917"/>
        <v>1.5687250996015978E-2</v>
      </c>
      <c r="X665" s="219">
        <f>X663/T663-1</f>
        <v>0.12747194013896324</v>
      </c>
      <c r="Y665" s="220">
        <f>Y663/U663-1</f>
        <v>0.47612801678908734</v>
      </c>
      <c r="Z665" s="220">
        <f>Z663/V663-1</f>
        <v>0.44328617522958536</v>
      </c>
      <c r="AA665" s="258"/>
      <c r="AB665" s="219"/>
      <c r="AC665" s="220"/>
      <c r="AD665" s="220"/>
      <c r="AE665" s="258"/>
      <c r="AF665" s="219"/>
      <c r="AG665" s="220"/>
      <c r="AH665" s="220"/>
      <c r="AI665" s="220"/>
      <c r="AJ665" s="256"/>
      <c r="AN665" s="256"/>
      <c r="AQ665" s="303"/>
      <c r="AR665" s="256"/>
      <c r="AU665" s="303"/>
      <c r="AV665" s="256"/>
      <c r="AY665" s="303"/>
      <c r="AZ665" s="256"/>
      <c r="BC665" s="303"/>
      <c r="BD665" s="256"/>
      <c r="BG665" s="303"/>
      <c r="BH665" s="256"/>
      <c r="BK665" s="303"/>
      <c r="BL665" s="256"/>
      <c r="BO665" s="303"/>
      <c r="BP665" s="256"/>
      <c r="BS665" s="303"/>
      <c r="BT665" s="256"/>
      <c r="BW665" s="303"/>
      <c r="BX665" s="346"/>
      <c r="BY665" s="256"/>
      <c r="BZ665" s="302"/>
      <c r="CA665" s="418"/>
      <c r="CB665" s="370">
        <f>CB663/CA663-1</f>
        <v>0.21513564969062382</v>
      </c>
      <c r="CC665" s="370">
        <f>CC663/CB663-1</f>
        <v>2.2457239848544086E-2</v>
      </c>
      <c r="CD665" s="392"/>
      <c r="CE665" s="392"/>
      <c r="CF665" s="392"/>
      <c r="CG665" s="302"/>
      <c r="CH665" s="302"/>
      <c r="CI665" s="302"/>
      <c r="CJ665" s="302"/>
      <c r="CK665" s="302"/>
      <c r="CL665" s="302"/>
      <c r="CM665" s="302"/>
      <c r="CN665" s="302"/>
      <c r="CO665" s="302"/>
      <c r="CP665" s="303"/>
    </row>
    <row r="666" spans="2:94" ht="14.25" hidden="1" customHeight="1" outlineLevel="2">
      <c r="B666" s="22"/>
      <c r="G666" s="303"/>
      <c r="L666" s="219"/>
      <c r="M666" s="220"/>
      <c r="N666" s="220"/>
      <c r="O666" s="258"/>
      <c r="P666" s="219"/>
      <c r="Q666" s="220"/>
      <c r="R666" s="220"/>
      <c r="S666" s="258"/>
      <c r="T666" s="219"/>
      <c r="U666" s="220"/>
      <c r="V666" s="220"/>
      <c r="W666" s="258"/>
      <c r="X666" s="219"/>
      <c r="Y666" s="220"/>
      <c r="Z666" s="220"/>
      <c r="AA666" s="258"/>
      <c r="AB666" s="219"/>
      <c r="AC666" s="220"/>
      <c r="AD666" s="220"/>
      <c r="AE666" s="258"/>
      <c r="AF666" s="219"/>
      <c r="AG666" s="220"/>
      <c r="AH666" s="220"/>
      <c r="AI666" s="220"/>
      <c r="AJ666" s="256"/>
      <c r="AN666" s="256"/>
      <c r="AQ666" s="303"/>
      <c r="AR666" s="256"/>
      <c r="AU666" s="303"/>
      <c r="AV666" s="256"/>
      <c r="AY666" s="303"/>
      <c r="AZ666" s="256"/>
      <c r="BC666" s="303"/>
      <c r="BD666" s="256"/>
      <c r="BG666" s="303"/>
      <c r="BH666" s="256"/>
      <c r="BK666" s="303"/>
      <c r="BL666" s="256"/>
      <c r="BO666" s="303"/>
      <c r="BP666" s="256"/>
      <c r="BS666" s="303"/>
      <c r="BT666" s="256"/>
      <c r="BW666" s="303"/>
      <c r="BX666" s="346"/>
      <c r="BY666" s="256"/>
      <c r="BZ666" s="302"/>
      <c r="CA666" s="302"/>
      <c r="CB666" s="302"/>
      <c r="CC666" s="302"/>
      <c r="CD666" s="392"/>
      <c r="CE666" s="392"/>
      <c r="CF666" s="392"/>
      <c r="CG666" s="302"/>
      <c r="CH666" s="302"/>
      <c r="CI666" s="302"/>
      <c r="CJ666" s="302"/>
      <c r="CK666" s="302"/>
      <c r="CL666" s="302"/>
      <c r="CM666" s="302"/>
      <c r="CN666" s="302"/>
      <c r="CO666" s="302"/>
      <c r="CP666" s="303"/>
    </row>
    <row r="667" spans="2:94" ht="14.25" hidden="1" customHeight="1" outlineLevel="2">
      <c r="B667" s="288" t="s">
        <v>202</v>
      </c>
      <c r="G667" s="303"/>
      <c r="L667" s="383">
        <f t="shared" ref="L667:W667" si="918">L629+L616+L603+L642+L655</f>
        <v>105.99999999999999</v>
      </c>
      <c r="M667" s="384">
        <f t="shared" si="918"/>
        <v>113.9</v>
      </c>
      <c r="N667" s="384">
        <f t="shared" si="918"/>
        <v>116.9</v>
      </c>
      <c r="O667" s="385">
        <f t="shared" si="918"/>
        <v>133.5</v>
      </c>
      <c r="P667" s="383">
        <f t="shared" si="918"/>
        <v>130.4</v>
      </c>
      <c r="Q667" s="384">
        <f t="shared" si="918"/>
        <v>160.80000000000001</v>
      </c>
      <c r="R667" s="384">
        <f t="shared" si="918"/>
        <v>167.79999999999998</v>
      </c>
      <c r="S667" s="385">
        <f t="shared" si="918"/>
        <v>161.19999999999999</v>
      </c>
      <c r="T667" s="383">
        <f t="shared" si="918"/>
        <v>140.80000000000001</v>
      </c>
      <c r="U667" s="384">
        <f t="shared" si="918"/>
        <v>150.30000000000001</v>
      </c>
      <c r="V667" s="384">
        <f t="shared" si="918"/>
        <v>159.4</v>
      </c>
      <c r="W667" s="385">
        <f t="shared" si="918"/>
        <v>160.9</v>
      </c>
      <c r="X667" s="383">
        <f>X629+X616+X603+X642+X655</f>
        <v>156.9</v>
      </c>
      <c r="Y667" s="384">
        <f>Y629+Y616+Y603+Y642+Y655</f>
        <v>205.5</v>
      </c>
      <c r="Z667" s="384">
        <f>Z629+Z616+Z603+Z642+Z655</f>
        <v>230.3</v>
      </c>
      <c r="AA667" s="385"/>
      <c r="AB667" s="383"/>
      <c r="AC667" s="384"/>
      <c r="AD667" s="384"/>
      <c r="AE667" s="385"/>
      <c r="AF667" s="383"/>
      <c r="AG667" s="384"/>
      <c r="AH667" s="384"/>
      <c r="AI667" s="384"/>
      <c r="AJ667" s="256"/>
      <c r="AN667" s="256"/>
      <c r="AQ667" s="303"/>
      <c r="AR667" s="256"/>
      <c r="AU667" s="303"/>
      <c r="AV667" s="256"/>
      <c r="AY667" s="303"/>
      <c r="AZ667" s="256"/>
      <c r="BC667" s="303"/>
      <c r="BD667" s="256"/>
      <c r="BG667" s="303"/>
      <c r="BH667" s="256"/>
      <c r="BK667" s="303"/>
      <c r="BL667" s="256"/>
      <c r="BO667" s="303"/>
      <c r="BP667" s="256"/>
      <c r="BS667" s="303"/>
      <c r="BT667" s="256"/>
      <c r="BW667" s="303"/>
      <c r="BX667" s="346"/>
      <c r="BY667" s="256"/>
      <c r="BZ667" s="302"/>
      <c r="CA667" s="384">
        <f>SUM(L667:O667)</f>
        <v>470.29999999999995</v>
      </c>
      <c r="CB667" s="696">
        <f>SUM(P667:S667)</f>
        <v>620.20000000000005</v>
      </c>
      <c r="CC667" s="696">
        <f>SUM(T667:W667)</f>
        <v>611.4</v>
      </c>
      <c r="CD667" s="384"/>
      <c r="CE667" s="696"/>
      <c r="CF667" s="696"/>
      <c r="CG667" s="302"/>
      <c r="CH667" s="302"/>
      <c r="CI667" s="302"/>
      <c r="CJ667" s="302"/>
      <c r="CK667" s="302"/>
      <c r="CL667" s="302"/>
      <c r="CM667" s="302"/>
      <c r="CN667" s="302"/>
      <c r="CO667" s="302"/>
      <c r="CP667" s="303"/>
    </row>
    <row r="668" spans="2:94" ht="14.25" hidden="1" customHeight="1" outlineLevel="2">
      <c r="B668" s="301" t="s">
        <v>203</v>
      </c>
      <c r="G668" s="303"/>
      <c r="L668" s="673"/>
      <c r="M668" s="671"/>
      <c r="N668" s="671"/>
      <c r="O668" s="672"/>
      <c r="P668" s="673"/>
      <c r="Q668" s="671"/>
      <c r="R668" s="671"/>
      <c r="S668" s="672"/>
      <c r="T668" s="673"/>
      <c r="U668" s="671"/>
      <c r="V668" s="671"/>
      <c r="W668" s="672"/>
      <c r="X668" s="673"/>
      <c r="Y668" s="671"/>
      <c r="Z668" s="671"/>
      <c r="AA668" s="672"/>
      <c r="AB668" s="673"/>
      <c r="AC668" s="671"/>
      <c r="AD668" s="671"/>
      <c r="AE668" s="672"/>
      <c r="AF668" s="673"/>
      <c r="AG668" s="671"/>
      <c r="AH668" s="671"/>
      <c r="AI668" s="671"/>
      <c r="AJ668" s="256"/>
      <c r="AN668" s="256"/>
      <c r="AQ668" s="303"/>
      <c r="AR668" s="256"/>
      <c r="AU668" s="303"/>
      <c r="AV668" s="256"/>
      <c r="AY668" s="303"/>
      <c r="AZ668" s="256"/>
      <c r="BC668" s="303"/>
      <c r="BD668" s="256"/>
      <c r="BG668" s="303"/>
      <c r="BH668" s="256"/>
      <c r="BK668" s="303"/>
      <c r="BL668" s="256"/>
      <c r="BO668" s="303"/>
      <c r="BP668" s="256"/>
      <c r="BS668" s="303"/>
      <c r="BT668" s="256"/>
      <c r="BW668" s="303"/>
      <c r="BX668" s="346"/>
      <c r="BY668" s="256"/>
      <c r="BZ668" s="302"/>
      <c r="CA668" s="392"/>
      <c r="CB668" s="392"/>
      <c r="CC668" s="392"/>
      <c r="CD668" s="392"/>
      <c r="CE668" s="392"/>
      <c r="CF668" s="392"/>
      <c r="CG668" s="302"/>
      <c r="CH668" s="302"/>
      <c r="CI668" s="302"/>
      <c r="CJ668" s="302"/>
      <c r="CK668" s="302"/>
      <c r="CL668" s="302"/>
      <c r="CM668" s="302"/>
      <c r="CN668" s="302"/>
      <c r="CO668" s="302"/>
      <c r="CP668" s="303"/>
    </row>
    <row r="669" spans="2:94" ht="14.25" hidden="1" customHeight="1" outlineLevel="2">
      <c r="B669" s="288" t="s">
        <v>204</v>
      </c>
      <c r="G669" s="303"/>
      <c r="L669" s="789">
        <v>-9.8000000000000007</v>
      </c>
      <c r="M669" s="781">
        <v>-15.4</v>
      </c>
      <c r="N669" s="781">
        <v>-12.8</v>
      </c>
      <c r="O669" s="782">
        <f>-51.8-SUM(L669:N669)</f>
        <v>-13.799999999999997</v>
      </c>
      <c r="P669" s="789">
        <v>-12.7</v>
      </c>
      <c r="Q669" s="781">
        <v>-7.6</v>
      </c>
      <c r="R669" s="781">
        <v>-7.4</v>
      </c>
      <c r="S669" s="782">
        <f>-31.2-SUM(P669:R669)</f>
        <v>-3.5000000000000036</v>
      </c>
      <c r="T669" s="789">
        <v>-4.2</v>
      </c>
      <c r="U669" s="781">
        <v>-4.3</v>
      </c>
      <c r="V669" s="781">
        <v>-3.8</v>
      </c>
      <c r="W669" s="782">
        <f>-20.9-SUM(T669:V669)</f>
        <v>-8.5999999999999979</v>
      </c>
      <c r="X669" s="789">
        <v>-10.3</v>
      </c>
      <c r="Y669" s="781">
        <v>-13.9</v>
      </c>
      <c r="Z669" s="781">
        <v>-8.6999999999999993</v>
      </c>
      <c r="AA669" s="385"/>
      <c r="AB669" s="383"/>
      <c r="AC669" s="384"/>
      <c r="AD669" s="384"/>
      <c r="AE669" s="385"/>
      <c r="AF669" s="383"/>
      <c r="AG669" s="384"/>
      <c r="AH669" s="384"/>
      <c r="AI669" s="384"/>
      <c r="AJ669" s="256"/>
      <c r="AN669" s="256"/>
      <c r="AQ669" s="303"/>
      <c r="AR669" s="256"/>
      <c r="AU669" s="303"/>
      <c r="AV669" s="256"/>
      <c r="AY669" s="303"/>
      <c r="AZ669" s="256"/>
      <c r="BC669" s="303"/>
      <c r="BD669" s="256"/>
      <c r="BG669" s="303"/>
      <c r="BH669" s="256"/>
      <c r="BK669" s="303"/>
      <c r="BL669" s="256"/>
      <c r="BO669" s="303"/>
      <c r="BP669" s="256"/>
      <c r="BS669" s="303"/>
      <c r="BT669" s="256"/>
      <c r="BW669" s="303"/>
      <c r="BX669" s="346"/>
      <c r="BY669" s="256"/>
      <c r="BZ669" s="302"/>
      <c r="CA669" s="384">
        <f>SUM(L669:O669)</f>
        <v>-51.8</v>
      </c>
      <c r="CB669" s="696">
        <f>SUM(P669:S669)</f>
        <v>-31.2</v>
      </c>
      <c r="CC669" s="696">
        <f>SUM(T669:W669)</f>
        <v>-20.9</v>
      </c>
      <c r="CD669" s="384"/>
      <c r="CE669" s="696"/>
      <c r="CF669" s="696"/>
      <c r="CG669" s="302"/>
      <c r="CH669" s="302"/>
      <c r="CI669" s="302"/>
      <c r="CJ669" s="302"/>
      <c r="CK669" s="302"/>
      <c r="CL669" s="302"/>
      <c r="CM669" s="302"/>
      <c r="CN669" s="302"/>
      <c r="CO669" s="302"/>
      <c r="CP669" s="303"/>
    </row>
    <row r="670" spans="2:94" ht="14.25" hidden="1" customHeight="1" outlineLevel="2">
      <c r="B670" s="235" t="s">
        <v>304</v>
      </c>
      <c r="G670" s="303"/>
      <c r="L670" s="334">
        <f t="shared" ref="L670:W670" si="919">L667+L669</f>
        <v>96.199999999999989</v>
      </c>
      <c r="M670" s="325">
        <f t="shared" si="919"/>
        <v>98.5</v>
      </c>
      <c r="N670" s="325">
        <f t="shared" si="919"/>
        <v>104.10000000000001</v>
      </c>
      <c r="O670" s="326">
        <f t="shared" si="919"/>
        <v>119.7</v>
      </c>
      <c r="P670" s="334">
        <f t="shared" si="919"/>
        <v>117.7</v>
      </c>
      <c r="Q670" s="325">
        <f t="shared" si="919"/>
        <v>153.20000000000002</v>
      </c>
      <c r="R670" s="325">
        <f t="shared" si="919"/>
        <v>160.39999999999998</v>
      </c>
      <c r="S670" s="326">
        <f t="shared" si="919"/>
        <v>157.69999999999999</v>
      </c>
      <c r="T670" s="334">
        <f t="shared" si="919"/>
        <v>136.60000000000002</v>
      </c>
      <c r="U670" s="325">
        <f t="shared" si="919"/>
        <v>146</v>
      </c>
      <c r="V670" s="325">
        <f t="shared" si="919"/>
        <v>155.6</v>
      </c>
      <c r="W670" s="326">
        <f t="shared" si="919"/>
        <v>152.30000000000001</v>
      </c>
      <c r="X670" s="334">
        <f>X667+X669</f>
        <v>146.6</v>
      </c>
      <c r="Y670" s="325">
        <f>Y667+Y669</f>
        <v>191.6</v>
      </c>
      <c r="Z670" s="325">
        <f>Z667+Z669</f>
        <v>221.60000000000002</v>
      </c>
      <c r="AA670" s="326"/>
      <c r="AB670" s="334"/>
      <c r="AC670" s="325"/>
      <c r="AD670" s="325"/>
      <c r="AE670" s="326"/>
      <c r="AF670" s="334"/>
      <c r="AG670" s="325"/>
      <c r="AH670" s="325"/>
      <c r="AI670" s="325"/>
      <c r="AJ670" s="256"/>
      <c r="AN670" s="256"/>
      <c r="AQ670" s="303"/>
      <c r="AR670" s="256"/>
      <c r="AU670" s="303"/>
      <c r="AV670" s="256"/>
      <c r="AY670" s="303"/>
      <c r="AZ670" s="256"/>
      <c r="BC670" s="303"/>
      <c r="BD670" s="256"/>
      <c r="BG670" s="303"/>
      <c r="BH670" s="256"/>
      <c r="BK670" s="303"/>
      <c r="BL670" s="256"/>
      <c r="BO670" s="303"/>
      <c r="BP670" s="256"/>
      <c r="BS670" s="303"/>
      <c r="BT670" s="256"/>
      <c r="BW670" s="303"/>
      <c r="BX670" s="346"/>
      <c r="BY670" s="256"/>
      <c r="BZ670" s="302"/>
      <c r="CA670" s="325">
        <f>CA667+CA669</f>
        <v>418.49999999999994</v>
      </c>
      <c r="CB670" s="325">
        <f>CB667+CB669</f>
        <v>589</v>
      </c>
      <c r="CC670" s="325">
        <f>CC667+CC669</f>
        <v>590.5</v>
      </c>
      <c r="CD670" s="325"/>
      <c r="CE670" s="325"/>
      <c r="CF670" s="325"/>
      <c r="CG670" s="302"/>
      <c r="CH670" s="302"/>
      <c r="CI670" s="302"/>
      <c r="CJ670" s="302"/>
      <c r="CK670" s="302"/>
      <c r="CL670" s="302"/>
      <c r="CM670" s="302"/>
      <c r="CN670" s="302"/>
      <c r="CO670" s="302"/>
      <c r="CP670" s="303"/>
    </row>
    <row r="671" spans="2:94" ht="14.25" hidden="1" customHeight="1" outlineLevel="2">
      <c r="B671" s="288" t="s">
        <v>205</v>
      </c>
      <c r="G671" s="303"/>
      <c r="L671" s="323">
        <f t="shared" ref="L671:W671" si="920">L670/L663</f>
        <v>0.31812169312169308</v>
      </c>
      <c r="M671" s="338">
        <f t="shared" si="920"/>
        <v>0.32529722589167764</v>
      </c>
      <c r="N671" s="289">
        <f t="shared" si="920"/>
        <v>0.33195153061224497</v>
      </c>
      <c r="O671" s="290">
        <f t="shared" si="920"/>
        <v>0.35020479812755995</v>
      </c>
      <c r="P671" s="323">
        <f t="shared" si="920"/>
        <v>0.35239520958083831</v>
      </c>
      <c r="Q671" s="338">
        <f t="shared" si="920"/>
        <v>0.40820676791899818</v>
      </c>
      <c r="R671" s="289">
        <f t="shared" si="920"/>
        <v>0.38108814445236389</v>
      </c>
      <c r="S671" s="290">
        <f t="shared" si="920"/>
        <v>0.39267928286852583</v>
      </c>
      <c r="T671" s="323">
        <f t="shared" si="920"/>
        <v>0.36504543025120262</v>
      </c>
      <c r="U671" s="338">
        <f t="shared" si="920"/>
        <v>0.38300104931794332</v>
      </c>
      <c r="V671" s="289">
        <f t="shared" si="920"/>
        <v>0.38620004964010918</v>
      </c>
      <c r="W671" s="290">
        <f t="shared" si="920"/>
        <v>0.37337582740867858</v>
      </c>
      <c r="X671" s="323">
        <f>X670/X663</f>
        <v>0.34747570514339887</v>
      </c>
      <c r="Y671" s="338">
        <f>Y670/Y663</f>
        <v>0.34050115514483736</v>
      </c>
      <c r="Z671" s="289">
        <f>Z670/Z663</f>
        <v>0.38108340498710236</v>
      </c>
      <c r="AA671" s="290"/>
      <c r="AB671" s="323"/>
      <c r="AC671" s="338"/>
      <c r="AD671" s="289"/>
      <c r="AE671" s="290"/>
      <c r="AF671" s="323"/>
      <c r="AG671" s="338"/>
      <c r="AH671" s="289"/>
      <c r="AI671" s="289"/>
      <c r="AJ671" s="256"/>
      <c r="AN671" s="256"/>
      <c r="AQ671" s="303"/>
      <c r="AR671" s="256"/>
      <c r="AU671" s="303"/>
      <c r="AV671" s="256"/>
      <c r="AY671" s="303"/>
      <c r="AZ671" s="256"/>
      <c r="BC671" s="303"/>
      <c r="BD671" s="256"/>
      <c r="BG671" s="303"/>
      <c r="BH671" s="256"/>
      <c r="BK671" s="303"/>
      <c r="BL671" s="256"/>
      <c r="BO671" s="303"/>
      <c r="BP671" s="256"/>
      <c r="BS671" s="303"/>
      <c r="BT671" s="256"/>
      <c r="BW671" s="303"/>
      <c r="BX671" s="346"/>
      <c r="BY671" s="256"/>
      <c r="BZ671" s="302"/>
      <c r="CA671" s="338">
        <f>CA667/CA663</f>
        <v>0.37307631286688875</v>
      </c>
      <c r="CB671" s="338">
        <f>CB667/CB663</f>
        <v>0.40488314401357878</v>
      </c>
      <c r="CC671" s="289">
        <f>CC670/CC663</f>
        <v>0.37702719959136766</v>
      </c>
      <c r="CD671" s="392"/>
      <c r="CE671" s="392"/>
      <c r="CF671" s="392"/>
      <c r="CG671" s="302"/>
      <c r="CH671" s="302"/>
      <c r="CI671" s="302"/>
      <c r="CJ671" s="302"/>
      <c r="CK671" s="302"/>
      <c r="CL671" s="302"/>
      <c r="CM671" s="302"/>
      <c r="CN671" s="302"/>
      <c r="CO671" s="302"/>
      <c r="CP671" s="303"/>
    </row>
    <row r="672" spans="2:94" ht="14.25" hidden="1" customHeight="1" outlineLevel="2">
      <c r="B672" s="22"/>
      <c r="G672" s="303"/>
      <c r="L672" s="219"/>
      <c r="M672" s="220"/>
      <c r="N672" s="220"/>
      <c r="O672" s="258"/>
      <c r="P672" s="219"/>
      <c r="Q672" s="220"/>
      <c r="R672" s="220"/>
      <c r="S672" s="258"/>
      <c r="T672" s="219"/>
      <c r="U672" s="220"/>
      <c r="V672" s="220"/>
      <c r="W672" s="258"/>
      <c r="X672" s="219"/>
      <c r="Y672" s="220"/>
      <c r="Z672" s="220"/>
      <c r="AA672" s="258"/>
      <c r="AB672" s="219"/>
      <c r="AC672" s="220"/>
      <c r="AD672" s="220"/>
      <c r="AE672" s="258"/>
      <c r="AF672" s="219"/>
      <c r="AG672" s="220"/>
      <c r="AH672" s="220"/>
      <c r="AI672" s="220"/>
      <c r="AJ672" s="256"/>
      <c r="AN672" s="256"/>
      <c r="AQ672" s="303"/>
      <c r="AR672" s="256"/>
      <c r="AU672" s="303"/>
      <c r="AV672" s="256"/>
      <c r="AY672" s="303"/>
      <c r="AZ672" s="256"/>
      <c r="BC672" s="303"/>
      <c r="BD672" s="256"/>
      <c r="BG672" s="303"/>
      <c r="BH672" s="256"/>
      <c r="BK672" s="303"/>
      <c r="BL672" s="256"/>
      <c r="BO672" s="303"/>
      <c r="BP672" s="256"/>
      <c r="BS672" s="303"/>
      <c r="BT672" s="256"/>
      <c r="BW672" s="303"/>
      <c r="BX672" s="346"/>
      <c r="BY672" s="256"/>
      <c r="BZ672" s="302"/>
      <c r="CA672" s="302"/>
      <c r="CB672" s="302"/>
      <c r="CC672" s="302"/>
      <c r="CD672" s="392"/>
      <c r="CE672" s="392"/>
      <c r="CF672" s="392"/>
      <c r="CG672" s="302"/>
      <c r="CH672" s="302"/>
      <c r="CI672" s="302"/>
      <c r="CJ672" s="302"/>
      <c r="CK672" s="302"/>
      <c r="CL672" s="302"/>
      <c r="CM672" s="302"/>
      <c r="CN672" s="302"/>
      <c r="CO672" s="302"/>
      <c r="CP672" s="303"/>
    </row>
    <row r="673" spans="2:94" ht="14.25" hidden="1" customHeight="1" outlineLevel="2">
      <c r="B673" s="288" t="s">
        <v>206</v>
      </c>
      <c r="G673" s="303"/>
      <c r="L673" s="383">
        <f t="shared" ref="L673:W673" si="921">L632+L619+L606+L645+L658</f>
        <v>45.199999999999996</v>
      </c>
      <c r="M673" s="384">
        <f t="shared" si="921"/>
        <v>56.6</v>
      </c>
      <c r="N673" s="384">
        <f t="shared" si="921"/>
        <v>57</v>
      </c>
      <c r="O673" s="385">
        <f t="shared" si="921"/>
        <v>72.599999999999994</v>
      </c>
      <c r="P673" s="383">
        <f t="shared" si="921"/>
        <v>65.8</v>
      </c>
      <c r="Q673" s="384">
        <f t="shared" si="921"/>
        <v>93.5</v>
      </c>
      <c r="R673" s="384">
        <f t="shared" si="921"/>
        <v>98.2</v>
      </c>
      <c r="S673" s="385">
        <f t="shared" si="921"/>
        <v>90.5</v>
      </c>
      <c r="T673" s="383">
        <f t="shared" si="921"/>
        <v>71.400000000000006</v>
      </c>
      <c r="U673" s="384">
        <f t="shared" si="921"/>
        <v>81.400000000000006</v>
      </c>
      <c r="V673" s="384">
        <f t="shared" si="921"/>
        <v>88.3</v>
      </c>
      <c r="W673" s="385">
        <f t="shared" si="921"/>
        <v>85.3</v>
      </c>
      <c r="X673" s="383">
        <f>X632+X619+X606+X645+X658</f>
        <v>77.7</v>
      </c>
      <c r="Y673" s="384">
        <f>Y632+Y619+Y606+Y645+Y658</f>
        <v>67.8</v>
      </c>
      <c r="Z673" s="384">
        <f>Z632+Z619+Z606+Z645+Z658</f>
        <v>95.8</v>
      </c>
      <c r="AA673" s="385"/>
      <c r="AB673" s="383"/>
      <c r="AC673" s="384"/>
      <c r="AD673" s="384"/>
      <c r="AE673" s="385"/>
      <c r="AF673" s="383"/>
      <c r="AG673" s="384"/>
      <c r="AH673" s="384"/>
      <c r="AI673" s="384"/>
      <c r="AJ673" s="256"/>
      <c r="AN673" s="256"/>
      <c r="AQ673" s="303"/>
      <c r="AR673" s="256"/>
      <c r="AU673" s="303"/>
      <c r="AV673" s="256"/>
      <c r="AY673" s="303"/>
      <c r="AZ673" s="256"/>
      <c r="BC673" s="303"/>
      <c r="BD673" s="256"/>
      <c r="BG673" s="303"/>
      <c r="BH673" s="256"/>
      <c r="BK673" s="303"/>
      <c r="BL673" s="256"/>
      <c r="BO673" s="303"/>
      <c r="BP673" s="256"/>
      <c r="BS673" s="303"/>
      <c r="BT673" s="256"/>
      <c r="BW673" s="303"/>
      <c r="BX673" s="346"/>
      <c r="BY673" s="256"/>
      <c r="BZ673" s="302"/>
      <c r="CA673" s="384">
        <f>SUM(L673:O673)</f>
        <v>231.4</v>
      </c>
      <c r="CB673" s="696">
        <f>SUM(P673:S673)</f>
        <v>348</v>
      </c>
      <c r="CC673" s="696">
        <f>SUM(T673:W673)</f>
        <v>326.40000000000003</v>
      </c>
      <c r="CD673" s="384"/>
      <c r="CE673" s="696"/>
      <c r="CF673" s="696"/>
      <c r="CG673" s="302"/>
      <c r="CH673" s="302"/>
      <c r="CI673" s="302"/>
      <c r="CJ673" s="302"/>
      <c r="CK673" s="302"/>
      <c r="CL673" s="302"/>
      <c r="CM673" s="302"/>
      <c r="CN673" s="302"/>
      <c r="CO673" s="302"/>
      <c r="CP673" s="303"/>
    </row>
    <row r="674" spans="2:94" ht="14.25" hidden="1" customHeight="1" outlineLevel="2">
      <c r="B674" s="301" t="s">
        <v>203</v>
      </c>
      <c r="G674" s="303"/>
      <c r="L674" s="677"/>
      <c r="M674" s="675"/>
      <c r="N674" s="675"/>
      <c r="O674" s="676"/>
      <c r="P674" s="677"/>
      <c r="Q674" s="675"/>
      <c r="R674" s="675"/>
      <c r="S674" s="676"/>
      <c r="T674" s="677"/>
      <c r="U674" s="675"/>
      <c r="V674" s="675"/>
      <c r="W674" s="676"/>
      <c r="X674" s="677"/>
      <c r="Y674" s="675"/>
      <c r="Z674" s="675"/>
      <c r="AA674" s="676"/>
      <c r="AB674" s="677"/>
      <c r="AC674" s="675"/>
      <c r="AD674" s="675"/>
      <c r="AE674" s="676"/>
      <c r="AF674" s="677"/>
      <c r="AG674" s="675"/>
      <c r="AH674" s="675"/>
      <c r="AI674" s="675"/>
      <c r="AJ674" s="256"/>
      <c r="AN674" s="256"/>
      <c r="AQ674" s="303"/>
      <c r="AR674" s="256"/>
      <c r="AU674" s="303"/>
      <c r="AV674" s="256"/>
      <c r="AY674" s="303"/>
      <c r="AZ674" s="256"/>
      <c r="BC674" s="303"/>
      <c r="BD674" s="256"/>
      <c r="BG674" s="303"/>
      <c r="BH674" s="256"/>
      <c r="BK674" s="303"/>
      <c r="BL674" s="256"/>
      <c r="BO674" s="303"/>
      <c r="BP674" s="256"/>
      <c r="BS674" s="303"/>
      <c r="BT674" s="256"/>
      <c r="BW674" s="303"/>
      <c r="BX674" s="346"/>
      <c r="BY674" s="256"/>
      <c r="BZ674" s="302"/>
      <c r="CA674" s="392"/>
      <c r="CB674" s="392"/>
      <c r="CC674" s="392"/>
      <c r="CD674" s="392"/>
      <c r="CE674" s="392"/>
      <c r="CF674" s="392"/>
      <c r="CG674" s="302"/>
      <c r="CH674" s="302"/>
      <c r="CI674" s="302"/>
      <c r="CJ674" s="302"/>
      <c r="CK674" s="302"/>
      <c r="CL674" s="302"/>
      <c r="CM674" s="302"/>
      <c r="CN674" s="302"/>
      <c r="CO674" s="302"/>
      <c r="CP674" s="303"/>
    </row>
    <row r="675" spans="2:94" ht="14.25" hidden="1" customHeight="1" outlineLevel="2">
      <c r="B675" s="288" t="s">
        <v>207</v>
      </c>
      <c r="G675" s="303"/>
      <c r="L675" s="789">
        <v>-1.1000000000000001</v>
      </c>
      <c r="M675" s="781">
        <v>-2.8</v>
      </c>
      <c r="N675" s="781">
        <v>-0.2</v>
      </c>
      <c r="O675" s="782">
        <f>-3.3-SUM(L675:N675)</f>
        <v>0.79999999999999982</v>
      </c>
      <c r="P675" s="789">
        <v>0</v>
      </c>
      <c r="Q675" s="781">
        <v>-3.3</v>
      </c>
      <c r="R675" s="781">
        <v>0</v>
      </c>
      <c r="S675" s="782">
        <f>6.9-SUM(P675:R675)</f>
        <v>10.199999999999999</v>
      </c>
      <c r="T675" s="789">
        <v>0</v>
      </c>
      <c r="U675" s="781">
        <v>0</v>
      </c>
      <c r="V675" s="781">
        <v>-2</v>
      </c>
      <c r="W675" s="782">
        <f>-3-SUM(T675:V675)</f>
        <v>-1</v>
      </c>
      <c r="X675" s="789">
        <v>-5.7</v>
      </c>
      <c r="Y675" s="781">
        <v>-14.2</v>
      </c>
      <c r="Z675" s="781">
        <v>-2.5</v>
      </c>
      <c r="AA675" s="385"/>
      <c r="AB675" s="383"/>
      <c r="AC675" s="384"/>
      <c r="AD675" s="384"/>
      <c r="AE675" s="385"/>
      <c r="AF675" s="383"/>
      <c r="AG675" s="384"/>
      <c r="AH675" s="384"/>
      <c r="AI675" s="384"/>
      <c r="AJ675" s="256"/>
      <c r="AN675" s="256"/>
      <c r="AQ675" s="303"/>
      <c r="AR675" s="256"/>
      <c r="AU675" s="303"/>
      <c r="AV675" s="256"/>
      <c r="AY675" s="303"/>
      <c r="AZ675" s="256"/>
      <c r="BC675" s="303"/>
      <c r="BD675" s="256"/>
      <c r="BG675" s="303"/>
      <c r="BH675" s="256"/>
      <c r="BK675" s="303"/>
      <c r="BL675" s="256"/>
      <c r="BO675" s="303"/>
      <c r="BP675" s="256"/>
      <c r="BS675" s="303"/>
      <c r="BT675" s="256"/>
      <c r="BW675" s="303"/>
      <c r="BX675" s="346"/>
      <c r="BY675" s="256"/>
      <c r="BZ675" s="302"/>
      <c r="CA675" s="384">
        <f>SUM(L675:O675)</f>
        <v>-3.3</v>
      </c>
      <c r="CB675" s="696">
        <f>SUM(P675:S675)</f>
        <v>6.8999999999999995</v>
      </c>
      <c r="CC675" s="696">
        <f>SUM(T675:W675)</f>
        <v>-3</v>
      </c>
      <c r="CD675" s="384"/>
      <c r="CE675" s="696"/>
      <c r="CF675" s="696"/>
      <c r="CG675" s="302"/>
      <c r="CH675" s="302"/>
      <c r="CI675" s="302"/>
      <c r="CJ675" s="302"/>
      <c r="CK675" s="302"/>
      <c r="CL675" s="302"/>
      <c r="CM675" s="302"/>
      <c r="CN675" s="302"/>
      <c r="CO675" s="302"/>
      <c r="CP675" s="303"/>
    </row>
    <row r="676" spans="2:94" ht="14.25" hidden="1" customHeight="1" outlineLevel="2">
      <c r="B676" s="288" t="s">
        <v>208</v>
      </c>
      <c r="G676" s="303"/>
      <c r="L676" s="789">
        <v>0</v>
      </c>
      <c r="M676" s="781">
        <v>0</v>
      </c>
      <c r="N676" s="781">
        <v>0</v>
      </c>
      <c r="O676" s="782">
        <f>0-SUM(L676:N676)</f>
        <v>0</v>
      </c>
      <c r="P676" s="789">
        <v>0</v>
      </c>
      <c r="Q676" s="781">
        <v>0</v>
      </c>
      <c r="R676" s="781">
        <v>0</v>
      </c>
      <c r="S676" s="782">
        <f>0-SUM(P676:R676)</f>
        <v>0</v>
      </c>
      <c r="T676" s="789">
        <v>0</v>
      </c>
      <c r="U676" s="781">
        <v>0</v>
      </c>
      <c r="V676" s="781">
        <v>0</v>
      </c>
      <c r="W676" s="782">
        <f>0-SUM(T676:V676)</f>
        <v>0</v>
      </c>
      <c r="X676" s="789">
        <v>0</v>
      </c>
      <c r="Y676" s="781">
        <v>0</v>
      </c>
      <c r="Z676" s="781">
        <v>0</v>
      </c>
      <c r="AA676" s="385"/>
      <c r="AB676" s="383"/>
      <c r="AC676" s="384"/>
      <c r="AD676" s="384"/>
      <c r="AE676" s="385"/>
      <c r="AF676" s="383"/>
      <c r="AG676" s="384"/>
      <c r="AH676" s="384"/>
      <c r="AI676" s="384"/>
      <c r="AJ676" s="256"/>
      <c r="AN676" s="256"/>
      <c r="AQ676" s="303"/>
      <c r="AR676" s="256"/>
      <c r="AU676" s="303"/>
      <c r="AV676" s="256"/>
      <c r="AY676" s="303"/>
      <c r="AZ676" s="256"/>
      <c r="BC676" s="303"/>
      <c r="BD676" s="256"/>
      <c r="BG676" s="303"/>
      <c r="BH676" s="256"/>
      <c r="BK676" s="303"/>
      <c r="BL676" s="256"/>
      <c r="BO676" s="303"/>
      <c r="BP676" s="256"/>
      <c r="BS676" s="303"/>
      <c r="BT676" s="256"/>
      <c r="BW676" s="303"/>
      <c r="BX676" s="346"/>
      <c r="BY676" s="256"/>
      <c r="BZ676" s="302"/>
      <c r="CA676" s="384">
        <f>SUM(L676:O676)</f>
        <v>0</v>
      </c>
      <c r="CB676" s="696">
        <f>SUM(P676:S676)</f>
        <v>0</v>
      </c>
      <c r="CC676" s="696">
        <f>SUM(T676:W676)</f>
        <v>0</v>
      </c>
      <c r="CD676" s="384"/>
      <c r="CE676" s="696"/>
      <c r="CF676" s="696"/>
      <c r="CG676" s="302"/>
      <c r="CH676" s="302"/>
      <c r="CI676" s="302"/>
      <c r="CJ676" s="302"/>
      <c r="CK676" s="302"/>
      <c r="CL676" s="302"/>
      <c r="CM676" s="302"/>
      <c r="CN676" s="302"/>
      <c r="CO676" s="302"/>
      <c r="CP676" s="303"/>
    </row>
    <row r="677" spans="2:94" ht="14.25" hidden="1" customHeight="1" outlineLevel="2">
      <c r="B677" s="288" t="s">
        <v>204</v>
      </c>
      <c r="G677" s="303"/>
      <c r="L677" s="789">
        <v>-9.8000000000000007</v>
      </c>
      <c r="M677" s="781">
        <v>-15.4</v>
      </c>
      <c r="N677" s="781">
        <v>-12.8</v>
      </c>
      <c r="O677" s="782">
        <f>-51.8-SUM(L677:N677)</f>
        <v>-13.799999999999997</v>
      </c>
      <c r="P677" s="789">
        <v>-12.7</v>
      </c>
      <c r="Q677" s="781">
        <v>-7.6</v>
      </c>
      <c r="R677" s="781">
        <v>-7.4</v>
      </c>
      <c r="S677" s="782">
        <f>-31.2-SUM(P677:R677)</f>
        <v>-3.5000000000000036</v>
      </c>
      <c r="T677" s="789">
        <v>-4.2</v>
      </c>
      <c r="U677" s="781">
        <v>-4.3</v>
      </c>
      <c r="V677" s="781">
        <v>-3.8</v>
      </c>
      <c r="W677" s="782">
        <f>-20.9-SUM(T677:V677)</f>
        <v>-8.5999999999999979</v>
      </c>
      <c r="X677" s="789">
        <v>-10.3</v>
      </c>
      <c r="Y677" s="781">
        <v>-13.9</v>
      </c>
      <c r="Z677" s="781">
        <v>-8.6999999999999993</v>
      </c>
      <c r="AA677" s="385"/>
      <c r="AB677" s="383"/>
      <c r="AC677" s="384"/>
      <c r="AD677" s="384"/>
      <c r="AE677" s="385"/>
      <c r="AF677" s="383"/>
      <c r="AG677" s="384"/>
      <c r="AH677" s="384"/>
      <c r="AI677" s="384"/>
      <c r="AJ677" s="256"/>
      <c r="AN677" s="256"/>
      <c r="AQ677" s="303"/>
      <c r="AR677" s="256"/>
      <c r="AU677" s="303"/>
      <c r="AV677" s="256"/>
      <c r="AY677" s="303"/>
      <c r="AZ677" s="256"/>
      <c r="BC677" s="303"/>
      <c r="BD677" s="256"/>
      <c r="BG677" s="303"/>
      <c r="BH677" s="256"/>
      <c r="BK677" s="303"/>
      <c r="BL677" s="256"/>
      <c r="BO677" s="303"/>
      <c r="BP677" s="256"/>
      <c r="BS677" s="303"/>
      <c r="BT677" s="256"/>
      <c r="BW677" s="303"/>
      <c r="BX677" s="346"/>
      <c r="BY677" s="256"/>
      <c r="BZ677" s="302"/>
      <c r="CA677" s="384">
        <f>SUM(L677:O677)</f>
        <v>-51.8</v>
      </c>
      <c r="CB677" s="696">
        <f>SUM(P677:S677)</f>
        <v>-31.2</v>
      </c>
      <c r="CC677" s="696">
        <f>SUM(T677:W677)</f>
        <v>-20.9</v>
      </c>
      <c r="CD677" s="384"/>
      <c r="CE677" s="696"/>
      <c r="CF677" s="696"/>
      <c r="CG677" s="302"/>
      <c r="CH677" s="302"/>
      <c r="CI677" s="302"/>
      <c r="CJ677" s="302"/>
      <c r="CK677" s="302"/>
      <c r="CL677" s="302"/>
      <c r="CM677" s="302"/>
      <c r="CN677" s="302"/>
      <c r="CO677" s="302"/>
      <c r="CP677" s="303"/>
    </row>
    <row r="678" spans="2:94" ht="14.25" hidden="1" customHeight="1" outlineLevel="2">
      <c r="B678" s="288" t="s">
        <v>209</v>
      </c>
      <c r="G678" s="303"/>
      <c r="L678" s="789">
        <v>-2</v>
      </c>
      <c r="M678" s="781">
        <v>-2.1</v>
      </c>
      <c r="N678" s="781">
        <v>-1.8</v>
      </c>
      <c r="O678" s="782">
        <f>-8.7-SUM(L678:N678)</f>
        <v>-2.8</v>
      </c>
      <c r="P678" s="781">
        <v>-0.2</v>
      </c>
      <c r="Q678" s="781">
        <v>-1.9</v>
      </c>
      <c r="R678" s="781">
        <v>-2.6</v>
      </c>
      <c r="S678" s="782">
        <f>-6.7-SUM(P678:R678)</f>
        <v>-2</v>
      </c>
      <c r="T678" s="781">
        <v>-4.5</v>
      </c>
      <c r="U678" s="781">
        <v>-5.6</v>
      </c>
      <c r="V678" s="781">
        <v>-9.3000000000000007</v>
      </c>
      <c r="W678" s="782">
        <f>-25.3-SUM(T678:V678)</f>
        <v>-5.9000000000000021</v>
      </c>
      <c r="X678" s="781">
        <v>-30.9</v>
      </c>
      <c r="Y678" s="781">
        <v>-6.3</v>
      </c>
      <c r="Z678" s="781">
        <v>-11</v>
      </c>
      <c r="AA678" s="385"/>
      <c r="AB678" s="383"/>
      <c r="AC678" s="384"/>
      <c r="AD678" s="384"/>
      <c r="AE678" s="385"/>
      <c r="AF678" s="383"/>
      <c r="AG678" s="384"/>
      <c r="AH678" s="384"/>
      <c r="AI678" s="384"/>
      <c r="AJ678" s="256"/>
      <c r="AN678" s="256"/>
      <c r="AQ678" s="303"/>
      <c r="AR678" s="256"/>
      <c r="AU678" s="303"/>
      <c r="AV678" s="256"/>
      <c r="AY678" s="303"/>
      <c r="AZ678" s="256"/>
      <c r="BC678" s="303"/>
      <c r="BD678" s="256"/>
      <c r="BG678" s="303"/>
      <c r="BH678" s="256"/>
      <c r="BK678" s="303"/>
      <c r="BL678" s="256"/>
      <c r="BO678" s="303"/>
      <c r="BP678" s="256"/>
      <c r="BS678" s="303"/>
      <c r="BT678" s="256"/>
      <c r="BW678" s="303"/>
      <c r="BX678" s="346"/>
      <c r="BY678" s="256"/>
      <c r="BZ678" s="302"/>
      <c r="CA678" s="384">
        <f>SUM(L678:O678)</f>
        <v>-8.6999999999999993</v>
      </c>
      <c r="CB678" s="696">
        <f>SUM(P678:S678)</f>
        <v>-6.7</v>
      </c>
      <c r="CC678" s="696">
        <f>SUM(T678:W678)</f>
        <v>-25.3</v>
      </c>
      <c r="CD678" s="384"/>
      <c r="CE678" s="696"/>
      <c r="CF678" s="696"/>
      <c r="CG678" s="302"/>
      <c r="CH678" s="302"/>
      <c r="CI678" s="302"/>
      <c r="CJ678" s="302"/>
      <c r="CK678" s="302"/>
      <c r="CL678" s="302"/>
      <c r="CM678" s="302"/>
      <c r="CN678" s="302"/>
      <c r="CO678" s="302"/>
      <c r="CP678" s="303"/>
    </row>
    <row r="679" spans="2:94" ht="14.25" hidden="1" customHeight="1" outlineLevel="2">
      <c r="B679" s="286" t="s">
        <v>210</v>
      </c>
      <c r="G679" s="303"/>
      <c r="K679" s="303"/>
      <c r="L679" s="325">
        <f t="shared" ref="L679:W679" si="922">L673+SUM(L675:L678)</f>
        <v>32.299999999999997</v>
      </c>
      <c r="M679" s="325">
        <f t="shared" si="922"/>
        <v>36.299999999999997</v>
      </c>
      <c r="N679" s="325">
        <f t="shared" si="922"/>
        <v>42.2</v>
      </c>
      <c r="O679" s="326">
        <f t="shared" si="922"/>
        <v>56.8</v>
      </c>
      <c r="P679" s="325">
        <f t="shared" si="922"/>
        <v>52.9</v>
      </c>
      <c r="Q679" s="325">
        <f t="shared" si="922"/>
        <v>80.7</v>
      </c>
      <c r="R679" s="325">
        <f t="shared" si="922"/>
        <v>88.2</v>
      </c>
      <c r="S679" s="326">
        <f t="shared" si="922"/>
        <v>95.199999999999989</v>
      </c>
      <c r="T679" s="325">
        <f t="shared" si="922"/>
        <v>62.7</v>
      </c>
      <c r="U679" s="325">
        <f t="shared" si="922"/>
        <v>71.5</v>
      </c>
      <c r="V679" s="325">
        <f t="shared" si="922"/>
        <v>73.199999999999989</v>
      </c>
      <c r="W679" s="326">
        <f t="shared" si="922"/>
        <v>69.8</v>
      </c>
      <c r="X679" s="325">
        <f>X673+SUM(X675:X678)</f>
        <v>30.800000000000004</v>
      </c>
      <c r="Y679" s="325">
        <f>Y673+SUM(Y675:Y678)</f>
        <v>33.4</v>
      </c>
      <c r="Z679" s="325">
        <f>Z673+SUM(Z675:Z678)</f>
        <v>73.599999999999994</v>
      </c>
      <c r="AA679" s="326"/>
      <c r="AB679" s="334"/>
      <c r="AC679" s="325"/>
      <c r="AD679" s="325"/>
      <c r="AE679" s="326"/>
      <c r="AF679" s="334"/>
      <c r="AG679" s="325"/>
      <c r="AH679" s="325"/>
      <c r="AI679" s="325"/>
      <c r="AJ679" s="256"/>
      <c r="AM679" s="303"/>
      <c r="AN679" s="302"/>
      <c r="AQ679" s="303"/>
      <c r="AR679" s="302"/>
      <c r="AU679" s="303"/>
      <c r="AV679" s="302"/>
      <c r="AY679" s="303"/>
      <c r="AZ679" s="302"/>
      <c r="BC679" s="303"/>
      <c r="BD679" s="302"/>
      <c r="BG679" s="303"/>
      <c r="BH679" s="302"/>
      <c r="BK679" s="303"/>
      <c r="BL679" s="302"/>
      <c r="BO679" s="303"/>
      <c r="BP679" s="302"/>
      <c r="BS679" s="303"/>
      <c r="BT679" s="302"/>
      <c r="BW679" s="303"/>
      <c r="BX679" s="346"/>
      <c r="BY679" s="256"/>
      <c r="BZ679" s="302"/>
      <c r="CA679" s="742">
        <f>CA673+SUM(CA675:CA678)</f>
        <v>167.60000000000002</v>
      </c>
      <c r="CB679" s="742">
        <f>CB673+SUM(CB675:CB678)</f>
        <v>317</v>
      </c>
      <c r="CC679" s="742">
        <f>CC673+SUM(CC675:CC678)</f>
        <v>277.20000000000005</v>
      </c>
      <c r="CD679" s="742"/>
      <c r="CE679" s="742"/>
      <c r="CF679" s="742"/>
      <c r="CG679" s="942"/>
      <c r="CH679" s="302"/>
      <c r="CI679" s="302"/>
      <c r="CJ679" s="302"/>
      <c r="CK679" s="302"/>
      <c r="CL679" s="302"/>
      <c r="CM679" s="302"/>
      <c r="CN679" s="302"/>
      <c r="CO679" s="302"/>
      <c r="CP679" s="303"/>
    </row>
    <row r="680" spans="2:94" ht="14.25" hidden="1" customHeight="1" outlineLevel="2">
      <c r="B680" s="288" t="s">
        <v>358</v>
      </c>
      <c r="G680" s="303"/>
      <c r="K680" s="303"/>
      <c r="L680" s="289">
        <f t="shared" ref="L680:W680" si="923">L673/L663</f>
        <v>0.14947089947089948</v>
      </c>
      <c r="M680" s="338">
        <f t="shared" si="923"/>
        <v>0.18692206076618229</v>
      </c>
      <c r="N680" s="289">
        <f t="shared" si="923"/>
        <v>0.18176020408163268</v>
      </c>
      <c r="O680" s="290">
        <f t="shared" si="923"/>
        <v>0.21240491515506141</v>
      </c>
      <c r="P680" s="289">
        <f t="shared" si="923"/>
        <v>0.19700598802395208</v>
      </c>
      <c r="Q680" s="338">
        <f t="shared" si="923"/>
        <v>0.24913402611244337</v>
      </c>
      <c r="R680" s="289">
        <f t="shared" si="923"/>
        <v>0.2333095747208363</v>
      </c>
      <c r="S680" s="290">
        <f t="shared" si="923"/>
        <v>0.22534860557768924</v>
      </c>
      <c r="T680" s="289">
        <f t="shared" si="923"/>
        <v>0.190807055050775</v>
      </c>
      <c r="U680" s="338">
        <f t="shared" si="923"/>
        <v>0.21353620146904514</v>
      </c>
      <c r="V680" s="289">
        <f t="shared" si="923"/>
        <v>0.21916108215438071</v>
      </c>
      <c r="W680" s="290">
        <f t="shared" si="923"/>
        <v>0.20911988232409903</v>
      </c>
      <c r="X680" s="289">
        <f>X673/X663</f>
        <v>0.18416686418582601</v>
      </c>
      <c r="Y680" s="338">
        <f>Y673/Y663</f>
        <v>0.1204904922694153</v>
      </c>
      <c r="Z680" s="289">
        <f>Z673/Z663</f>
        <v>0.1647463456577816</v>
      </c>
      <c r="AA680" s="290"/>
      <c r="AB680" s="289"/>
      <c r="AC680" s="338"/>
      <c r="AD680" s="289"/>
      <c r="AE680" s="290"/>
      <c r="AF680" s="289"/>
      <c r="AG680" s="338"/>
      <c r="AH680" s="289"/>
      <c r="AI680" s="289"/>
      <c r="AJ680" s="256"/>
      <c r="AM680" s="303"/>
      <c r="AQ680" s="303"/>
      <c r="AU680" s="303"/>
      <c r="AY680" s="303"/>
      <c r="BC680" s="303"/>
      <c r="BG680" s="303"/>
      <c r="BK680" s="303"/>
      <c r="BO680" s="303"/>
      <c r="BS680" s="303"/>
      <c r="BW680" s="303"/>
      <c r="BX680" s="346"/>
      <c r="BY680" s="256"/>
      <c r="BZ680" s="302"/>
      <c r="CA680" s="338">
        <f>CA673/CA663</f>
        <v>0.18356338251626211</v>
      </c>
      <c r="CB680" s="338">
        <f>CB673/CB663</f>
        <v>0.22718370544457497</v>
      </c>
      <c r="CC680" s="289">
        <f>CC673/CC663</f>
        <v>0.20840250287319628</v>
      </c>
      <c r="CD680" s="392"/>
      <c r="CE680" s="392"/>
      <c r="CF680" s="392"/>
      <c r="CG680" s="302"/>
      <c r="CH680" s="302"/>
      <c r="CI680" s="302"/>
      <c r="CJ680" s="302"/>
      <c r="CK680" s="302"/>
      <c r="CL680" s="302"/>
      <c r="CM680" s="302"/>
      <c r="CN680" s="302"/>
      <c r="CO680" s="302"/>
      <c r="CP680" s="303"/>
    </row>
    <row r="681" spans="2:94" ht="14.25" hidden="1" customHeight="1" outlineLevel="2">
      <c r="B681" s="217" t="s">
        <v>297</v>
      </c>
      <c r="G681" s="303"/>
      <c r="K681" s="303"/>
      <c r="L681" s="425"/>
      <c r="M681" s="220">
        <f t="shared" ref="M681:W681" si="924">M673/L673-1</f>
        <v>0.25221238938053103</v>
      </c>
      <c r="N681" s="220">
        <f t="shared" si="924"/>
        <v>7.0671378091873294E-3</v>
      </c>
      <c r="O681" s="258">
        <f t="shared" si="924"/>
        <v>0.27368421052631575</v>
      </c>
      <c r="P681" s="220">
        <f t="shared" si="924"/>
        <v>-9.3663911845729975E-2</v>
      </c>
      <c r="Q681" s="220">
        <f t="shared" si="924"/>
        <v>0.42097264437689974</v>
      </c>
      <c r="R681" s="220">
        <f t="shared" si="924"/>
        <v>5.0267379679144408E-2</v>
      </c>
      <c r="S681" s="258">
        <f t="shared" si="924"/>
        <v>-7.8411405295315761E-2</v>
      </c>
      <c r="T681" s="220">
        <f t="shared" si="924"/>
        <v>-0.211049723756906</v>
      </c>
      <c r="U681" s="220">
        <f t="shared" si="924"/>
        <v>0.14005602240896353</v>
      </c>
      <c r="V681" s="220">
        <f t="shared" si="924"/>
        <v>8.4766584766584607E-2</v>
      </c>
      <c r="W681" s="258">
        <f t="shared" si="924"/>
        <v>-3.3975084937712396E-2</v>
      </c>
      <c r="X681" s="220">
        <f>X673/W673-1</f>
        <v>-8.9097303634232072E-2</v>
      </c>
      <c r="Y681" s="220">
        <f>Y673/X673-1</f>
        <v>-0.12741312741312749</v>
      </c>
      <c r="Z681" s="220">
        <f>Z673/Y673-1</f>
        <v>0.41297935103244843</v>
      </c>
      <c r="AA681" s="258"/>
      <c r="AB681" s="220"/>
      <c r="AC681" s="220"/>
      <c r="AD681" s="220"/>
      <c r="AE681" s="258"/>
      <c r="AF681" s="220"/>
      <c r="AG681" s="220"/>
      <c r="AH681" s="220"/>
      <c r="AI681" s="220"/>
      <c r="AJ681" s="256"/>
      <c r="AM681" s="303"/>
      <c r="AQ681" s="303"/>
      <c r="AU681" s="303"/>
      <c r="AY681" s="303"/>
      <c r="BC681" s="303"/>
      <c r="BG681" s="303"/>
      <c r="BK681" s="303"/>
      <c r="BO681" s="303"/>
      <c r="BS681" s="303"/>
      <c r="BW681" s="303"/>
      <c r="BX681" s="346"/>
      <c r="BY681" s="256"/>
      <c r="BZ681" s="302"/>
      <c r="CA681" s="15"/>
      <c r="CB681" s="15"/>
      <c r="CC681" s="220"/>
      <c r="CD681" s="392"/>
      <c r="CE681" s="392"/>
      <c r="CF681" s="392"/>
      <c r="CG681" s="302"/>
      <c r="CH681" s="302"/>
      <c r="CI681" s="302"/>
      <c r="CJ681" s="302"/>
      <c r="CK681" s="302"/>
      <c r="CL681" s="302"/>
      <c r="CM681" s="302"/>
      <c r="CN681" s="302"/>
      <c r="CO681" s="302"/>
      <c r="CP681" s="303"/>
    </row>
    <row r="682" spans="2:94" ht="14.25" hidden="1" customHeight="1" outlineLevel="2">
      <c r="B682" s="32" t="s">
        <v>298</v>
      </c>
      <c r="G682" s="303"/>
      <c r="K682" s="303"/>
      <c r="L682" s="425"/>
      <c r="M682" s="418"/>
      <c r="N682" s="418"/>
      <c r="O682" s="419"/>
      <c r="P682" s="220">
        <f t="shared" ref="P682:W682" si="925">P673/L673-1</f>
        <v>0.45575221238938068</v>
      </c>
      <c r="Q682" s="220">
        <f t="shared" si="925"/>
        <v>0.65194346289752647</v>
      </c>
      <c r="R682" s="220">
        <f t="shared" si="925"/>
        <v>0.72280701754385968</v>
      </c>
      <c r="S682" s="258">
        <f t="shared" si="925"/>
        <v>0.24655647382920121</v>
      </c>
      <c r="T682" s="220">
        <f t="shared" si="925"/>
        <v>8.5106382978723527E-2</v>
      </c>
      <c r="U682" s="220">
        <f t="shared" si="925"/>
        <v>-0.12941176470588234</v>
      </c>
      <c r="V682" s="220">
        <f t="shared" si="925"/>
        <v>-0.10081466395112026</v>
      </c>
      <c r="W682" s="258">
        <f t="shared" si="925"/>
        <v>-5.7458563535911611E-2</v>
      </c>
      <c r="X682" s="220">
        <f>X673/T673-1</f>
        <v>8.8235294117646967E-2</v>
      </c>
      <c r="Y682" s="220">
        <f>Y673/U673-1</f>
        <v>-0.16707616707616713</v>
      </c>
      <c r="Z682" s="220">
        <f>Z673/V673-1</f>
        <v>8.4937712344280936E-2</v>
      </c>
      <c r="AA682" s="258"/>
      <c r="AB682" s="220"/>
      <c r="AC682" s="220"/>
      <c r="AD682" s="220"/>
      <c r="AE682" s="258"/>
      <c r="AF682" s="220"/>
      <c r="AG682" s="220"/>
      <c r="AH682" s="220"/>
      <c r="AI682" s="220"/>
      <c r="AJ682" s="256"/>
      <c r="AM682" s="303"/>
      <c r="AQ682" s="303"/>
      <c r="AU682" s="303"/>
      <c r="AY682" s="303"/>
      <c r="BC682" s="303"/>
      <c r="BG682" s="303"/>
      <c r="BK682" s="303"/>
      <c r="BO682" s="303"/>
      <c r="BS682" s="303"/>
      <c r="BW682" s="303"/>
      <c r="BX682" s="346"/>
      <c r="BY682" s="256"/>
      <c r="BZ682" s="302"/>
      <c r="CA682" s="418"/>
      <c r="CB682" s="338">
        <f>CB673/CA673-1</f>
        <v>0.50388936905790827</v>
      </c>
      <c r="CC682" s="338">
        <f>CC673/CB673-1</f>
        <v>-6.2068965517241281E-2</v>
      </c>
      <c r="CD682" s="392"/>
      <c r="CE682" s="392"/>
      <c r="CF682" s="392"/>
      <c r="CG682" s="302"/>
      <c r="CH682" s="302"/>
      <c r="CI682" s="302"/>
      <c r="CJ682" s="302"/>
      <c r="CK682" s="302"/>
      <c r="CL682" s="302"/>
      <c r="CM682" s="302"/>
      <c r="CN682" s="302"/>
      <c r="CO682" s="302"/>
      <c r="CP682" s="303"/>
    </row>
    <row r="683" spans="2:94" ht="14.25" hidden="1" customHeight="1" outlineLevel="2">
      <c r="B683" s="32"/>
      <c r="G683" s="303"/>
      <c r="K683" s="303"/>
      <c r="O683" s="303"/>
      <c r="S683" s="303"/>
      <c r="W683" s="303"/>
      <c r="AA683" s="303"/>
      <c r="AE683" s="303"/>
      <c r="AI683" s="302"/>
      <c r="AJ683" s="256"/>
      <c r="AM683" s="303"/>
      <c r="AQ683" s="303"/>
      <c r="AU683" s="303"/>
      <c r="AY683" s="303"/>
      <c r="BC683" s="303"/>
      <c r="BG683" s="303"/>
      <c r="BK683" s="303"/>
      <c r="BO683" s="303"/>
      <c r="BS683" s="303"/>
      <c r="BW683" s="303"/>
      <c r="BX683" s="346"/>
      <c r="BY683" s="256"/>
      <c r="BZ683" s="302"/>
      <c r="CA683" s="302"/>
      <c r="CB683" s="302"/>
      <c r="CC683" s="302"/>
      <c r="CD683" s="392"/>
      <c r="CE683" s="392"/>
      <c r="CF683" s="392"/>
      <c r="CG683" s="302"/>
      <c r="CH683" s="302"/>
      <c r="CI683" s="302"/>
      <c r="CJ683" s="302"/>
      <c r="CK683" s="302"/>
      <c r="CL683" s="302"/>
      <c r="CM683" s="302"/>
      <c r="CN683" s="302"/>
      <c r="CO683" s="302"/>
      <c r="CP683" s="303"/>
    </row>
    <row r="684" spans="2:94" ht="14.25" hidden="1" customHeight="1" outlineLevel="2">
      <c r="B684" s="235" t="s">
        <v>318</v>
      </c>
      <c r="G684" s="303"/>
      <c r="K684" s="303"/>
      <c r="L684" s="329">
        <v>302.39999999999998</v>
      </c>
      <c r="M684" s="329">
        <v>302.8</v>
      </c>
      <c r="N684" s="329">
        <v>313.60000000000002</v>
      </c>
      <c r="O684" s="330">
        <f>1260.6-SUM(L684:N684)</f>
        <v>341.79999999999984</v>
      </c>
      <c r="P684" s="331">
        <v>334</v>
      </c>
      <c r="Q684" s="329">
        <v>375.3</v>
      </c>
      <c r="R684" s="329">
        <v>420.9</v>
      </c>
      <c r="S684" s="330">
        <f>1531.8-SUM(P684:R684)</f>
        <v>401.60000000000014</v>
      </c>
      <c r="T684" s="331">
        <v>374.2</v>
      </c>
      <c r="U684" s="329">
        <v>381.2</v>
      </c>
      <c r="V684" s="329">
        <v>402.9</v>
      </c>
      <c r="W684" s="330">
        <f>1566.2-SUM(T684:V684)</f>
        <v>407.90000000000009</v>
      </c>
      <c r="X684" s="331">
        <v>421.9</v>
      </c>
      <c r="Y684" s="329">
        <v>562.70000000000005</v>
      </c>
      <c r="Z684" s="329">
        <v>581.5</v>
      </c>
      <c r="AA684" s="330"/>
      <c r="AB684" s="331"/>
      <c r="AC684" s="329"/>
      <c r="AD684" s="329"/>
      <c r="AE684" s="330"/>
      <c r="AF684" s="331"/>
      <c r="AG684" s="329"/>
      <c r="AH684" s="329"/>
      <c r="AI684" s="329"/>
      <c r="AJ684" s="256"/>
      <c r="AM684" s="303"/>
      <c r="AQ684" s="303"/>
      <c r="AU684" s="303"/>
      <c r="AY684" s="303"/>
      <c r="BC684" s="303"/>
      <c r="BG684" s="303"/>
      <c r="BK684" s="303"/>
      <c r="BO684" s="303"/>
      <c r="BS684" s="303"/>
      <c r="BW684" s="303"/>
      <c r="BX684" s="346"/>
      <c r="BY684" s="256"/>
      <c r="BZ684" s="302"/>
      <c r="CA684" s="681">
        <v>1260.5999999999999</v>
      </c>
      <c r="CB684" s="681">
        <v>1531.8</v>
      </c>
      <c r="CC684" s="681">
        <v>1566.2</v>
      </c>
      <c r="CD684" s="329"/>
      <c r="CE684" s="329"/>
      <c r="CF684" s="554"/>
      <c r="CG684" s="302"/>
      <c r="CH684" s="302"/>
      <c r="CI684" s="302"/>
      <c r="CJ684" s="302"/>
      <c r="CK684" s="302"/>
      <c r="CL684" s="302"/>
      <c r="CM684" s="302"/>
      <c r="CN684" s="302"/>
      <c r="CO684" s="302"/>
      <c r="CP684" s="303"/>
    </row>
    <row r="685" spans="2:94" ht="14.25" hidden="1" customHeight="1" outlineLevel="2">
      <c r="B685" s="678" t="s">
        <v>166</v>
      </c>
      <c r="C685" s="737"/>
      <c r="D685" s="737"/>
      <c r="E685" s="737"/>
      <c r="F685" s="737"/>
      <c r="G685" s="738"/>
      <c r="H685" s="737"/>
      <c r="I685" s="737"/>
      <c r="J685" s="737"/>
      <c r="K685" s="738"/>
      <c r="L685" s="752">
        <f t="shared" ref="L685:W685" si="926">L684-L663</f>
        <v>0</v>
      </c>
      <c r="M685" s="752">
        <f t="shared" si="926"/>
        <v>0</v>
      </c>
      <c r="N685" s="752">
        <f t="shared" si="926"/>
        <v>0</v>
      </c>
      <c r="O685" s="753">
        <f t="shared" si="926"/>
        <v>0</v>
      </c>
      <c r="P685" s="761">
        <f t="shared" si="926"/>
        <v>0</v>
      </c>
      <c r="Q685" s="752">
        <f t="shared" si="926"/>
        <v>0</v>
      </c>
      <c r="R685" s="752">
        <f t="shared" si="926"/>
        <v>0</v>
      </c>
      <c r="S685" s="753">
        <f t="shared" si="926"/>
        <v>0</v>
      </c>
      <c r="T685" s="761">
        <f t="shared" si="926"/>
        <v>0</v>
      </c>
      <c r="U685" s="752">
        <f t="shared" si="926"/>
        <v>0</v>
      </c>
      <c r="V685" s="752">
        <f t="shared" si="926"/>
        <v>0</v>
      </c>
      <c r="W685" s="753">
        <f t="shared" si="926"/>
        <v>0</v>
      </c>
      <c r="X685" s="761">
        <f>X684-X663</f>
        <v>0</v>
      </c>
      <c r="Y685" s="752">
        <f>Y684-Y663</f>
        <v>0</v>
      </c>
      <c r="Z685" s="752">
        <f>Z684-Z663</f>
        <v>0</v>
      </c>
      <c r="AA685" s="682"/>
      <c r="AB685" s="739"/>
      <c r="AC685" s="681"/>
      <c r="AD685" s="681"/>
      <c r="AE685" s="682"/>
      <c r="AF685" s="739"/>
      <c r="AG685" s="681"/>
      <c r="AH685" s="683"/>
      <c r="AI685" s="681"/>
      <c r="AJ685" s="740"/>
      <c r="AK685" s="737"/>
      <c r="AL685" s="737"/>
      <c r="AM685" s="738"/>
      <c r="AN685" s="737"/>
      <c r="AO685" s="737"/>
      <c r="AP685" s="737"/>
      <c r="AQ685" s="738"/>
      <c r="AR685" s="737"/>
      <c r="AS685" s="737"/>
      <c r="AT685" s="737"/>
      <c r="AU685" s="738"/>
      <c r="AV685" s="737"/>
      <c r="AW685" s="737"/>
      <c r="AX685" s="737"/>
      <c r="AY685" s="738"/>
      <c r="AZ685" s="737"/>
      <c r="BA685" s="737"/>
      <c r="BB685" s="737"/>
      <c r="BC685" s="738"/>
      <c r="BD685" s="737"/>
      <c r="BE685" s="737"/>
      <c r="BF685" s="737"/>
      <c r="BG685" s="738"/>
      <c r="BH685" s="737"/>
      <c r="BI685" s="737"/>
      <c r="BJ685" s="737"/>
      <c r="BK685" s="738"/>
      <c r="BL685" s="737"/>
      <c r="BM685" s="737"/>
      <c r="BN685" s="737"/>
      <c r="BO685" s="738"/>
      <c r="BP685" s="737"/>
      <c r="BQ685" s="737"/>
      <c r="BR685" s="737"/>
      <c r="BS685" s="738"/>
      <c r="BT685" s="737"/>
      <c r="BU685" s="737"/>
      <c r="BV685" s="737"/>
      <c r="BW685" s="738"/>
      <c r="BX685" s="775"/>
      <c r="BY685" s="740"/>
      <c r="BZ685" s="741"/>
      <c r="CA685" s="752">
        <f>CA684-CA663</f>
        <v>0</v>
      </c>
      <c r="CB685" s="752">
        <f>CB684-CB663</f>
        <v>0</v>
      </c>
      <c r="CC685" s="752">
        <f>CC684-CC663</f>
        <v>0</v>
      </c>
      <c r="CD685" s="681"/>
      <c r="CE685" s="681"/>
      <c r="CF685" s="683"/>
      <c r="CG685" s="741"/>
      <c r="CH685" s="302"/>
      <c r="CI685" s="302"/>
      <c r="CJ685" s="302"/>
      <c r="CK685" s="302"/>
      <c r="CL685" s="302"/>
      <c r="CM685" s="302"/>
      <c r="CN685" s="302"/>
      <c r="CO685" s="302"/>
      <c r="CP685" s="303"/>
    </row>
    <row r="686" spans="2:94" ht="14.25" hidden="1" customHeight="1" outlineLevel="2">
      <c r="B686" s="235"/>
      <c r="G686" s="303"/>
      <c r="K686" s="303"/>
      <c r="L686" s="329"/>
      <c r="M686" s="329"/>
      <c r="N686" s="329"/>
      <c r="O686" s="330"/>
      <c r="P686" s="329"/>
      <c r="Q686" s="329"/>
      <c r="R686" s="329"/>
      <c r="S686" s="330"/>
      <c r="T686" s="329"/>
      <c r="U686" s="329"/>
      <c r="V686" s="329"/>
      <c r="W686" s="330"/>
      <c r="X686" s="329"/>
      <c r="Y686" s="329"/>
      <c r="Z686" s="329"/>
      <c r="AA686" s="330"/>
      <c r="AB686" s="329"/>
      <c r="AC686" s="329"/>
      <c r="AD686" s="329"/>
      <c r="AE686" s="330"/>
      <c r="AF686" s="329"/>
      <c r="AG686" s="329"/>
      <c r="AH686" s="554"/>
      <c r="AI686" s="329"/>
      <c r="AJ686" s="256"/>
      <c r="AM686" s="303"/>
      <c r="AQ686" s="303"/>
      <c r="AU686" s="303"/>
      <c r="AY686" s="303"/>
      <c r="BC686" s="303"/>
      <c r="BG686" s="303"/>
      <c r="BK686" s="303"/>
      <c r="BO686" s="303"/>
      <c r="BS686" s="303"/>
      <c r="BW686" s="303"/>
      <c r="BX686" s="346"/>
      <c r="BY686" s="256"/>
      <c r="BZ686" s="302"/>
      <c r="CA686" s="302"/>
      <c r="CB686" s="302"/>
      <c r="CC686" s="302"/>
      <c r="CD686" s="329"/>
      <c r="CE686" s="329"/>
      <c r="CF686" s="554"/>
      <c r="CG686" s="302"/>
      <c r="CH686" s="302"/>
      <c r="CI686" s="302"/>
      <c r="CJ686" s="302"/>
      <c r="CK686" s="302"/>
      <c r="CL686" s="302"/>
      <c r="CM686" s="302"/>
      <c r="CN686" s="302"/>
      <c r="CO686" s="302"/>
      <c r="CP686" s="303"/>
    </row>
    <row r="687" spans="2:94" ht="14.25" hidden="1" customHeight="1" outlineLevel="2">
      <c r="B687" s="235" t="s">
        <v>211</v>
      </c>
      <c r="G687" s="303"/>
      <c r="K687" s="303"/>
      <c r="L687" s="329">
        <v>96.2</v>
      </c>
      <c r="M687" s="329">
        <v>98.5</v>
      </c>
      <c r="N687" s="329">
        <v>104.1</v>
      </c>
      <c r="O687" s="330">
        <f>418.5-SUM(L687:N687)</f>
        <v>119.70000000000005</v>
      </c>
      <c r="P687" s="329">
        <v>117.7</v>
      </c>
      <c r="Q687" s="329">
        <v>153.19999999999999</v>
      </c>
      <c r="R687" s="329">
        <v>160.4</v>
      </c>
      <c r="S687" s="330">
        <f>589-SUM(P687:R687)</f>
        <v>157.70000000000005</v>
      </c>
      <c r="T687" s="329">
        <v>136.6</v>
      </c>
      <c r="U687" s="329">
        <v>146</v>
      </c>
      <c r="V687" s="329">
        <v>155.6</v>
      </c>
      <c r="W687" s="330">
        <f>590.5-SUM(T687:V687)</f>
        <v>152.29999999999995</v>
      </c>
      <c r="X687" s="329">
        <v>146.6</v>
      </c>
      <c r="Y687" s="329">
        <v>191.6</v>
      </c>
      <c r="Z687" s="329">
        <v>221.6</v>
      </c>
      <c r="AA687" s="330"/>
      <c r="AB687" s="329"/>
      <c r="AC687" s="329"/>
      <c r="AD687" s="329"/>
      <c r="AE687" s="330"/>
      <c r="AF687" s="329"/>
      <c r="AG687" s="329"/>
      <c r="AH687" s="554"/>
      <c r="AI687" s="329"/>
      <c r="AJ687" s="256"/>
      <c r="AM687" s="303"/>
      <c r="AQ687" s="303"/>
      <c r="AU687" s="303"/>
      <c r="AY687" s="303"/>
      <c r="BC687" s="303"/>
      <c r="BG687" s="303"/>
      <c r="BK687" s="303"/>
      <c r="BO687" s="303"/>
      <c r="BS687" s="303"/>
      <c r="BW687" s="303"/>
      <c r="BX687" s="346"/>
      <c r="BY687" s="256"/>
      <c r="BZ687" s="302"/>
      <c r="CA687" s="681">
        <v>418.5</v>
      </c>
      <c r="CB687" s="681">
        <v>589</v>
      </c>
      <c r="CC687" s="681">
        <v>590.5</v>
      </c>
      <c r="CD687" s="329"/>
      <c r="CE687" s="329"/>
      <c r="CF687" s="554"/>
      <c r="CG687" s="302"/>
      <c r="CH687" s="302"/>
      <c r="CI687" s="302"/>
      <c r="CJ687" s="302"/>
      <c r="CK687" s="302"/>
      <c r="CL687" s="302"/>
      <c r="CM687" s="302"/>
      <c r="CN687" s="302"/>
      <c r="CO687" s="302"/>
      <c r="CP687" s="303"/>
    </row>
    <row r="688" spans="2:94" ht="14.25" hidden="1" customHeight="1" outlineLevel="2">
      <c r="B688" s="678" t="s">
        <v>166</v>
      </c>
      <c r="C688" s="737"/>
      <c r="D688" s="737"/>
      <c r="E688" s="737"/>
      <c r="F688" s="737"/>
      <c r="G688" s="738"/>
      <c r="H688" s="737"/>
      <c r="I688" s="737"/>
      <c r="J688" s="737"/>
      <c r="K688" s="738"/>
      <c r="L688" s="752">
        <f t="shared" ref="L688:W688" si="927">L687-L670</f>
        <v>0</v>
      </c>
      <c r="M688" s="752">
        <f t="shared" si="927"/>
        <v>0</v>
      </c>
      <c r="N688" s="752">
        <f t="shared" si="927"/>
        <v>0</v>
      </c>
      <c r="O688" s="753">
        <f t="shared" si="927"/>
        <v>0</v>
      </c>
      <c r="P688" s="752">
        <f t="shared" si="927"/>
        <v>0</v>
      </c>
      <c r="Q688" s="752">
        <f t="shared" si="927"/>
        <v>0</v>
      </c>
      <c r="R688" s="752">
        <f t="shared" si="927"/>
        <v>0</v>
      </c>
      <c r="S688" s="753">
        <f t="shared" si="927"/>
        <v>0</v>
      </c>
      <c r="T688" s="752">
        <f t="shared" si="927"/>
        <v>0</v>
      </c>
      <c r="U688" s="752">
        <f t="shared" si="927"/>
        <v>0</v>
      </c>
      <c r="V688" s="752">
        <f t="shared" si="927"/>
        <v>0</v>
      </c>
      <c r="W688" s="753">
        <f t="shared" si="927"/>
        <v>0</v>
      </c>
      <c r="X688" s="752">
        <f>X687-X670</f>
        <v>0</v>
      </c>
      <c r="Y688" s="752">
        <f>Y687-Y670</f>
        <v>0</v>
      </c>
      <c r="Z688" s="752">
        <f>Z687-Z670</f>
        <v>0</v>
      </c>
      <c r="AA688" s="682"/>
      <c r="AB688" s="681"/>
      <c r="AC688" s="681"/>
      <c r="AD688" s="681"/>
      <c r="AE688" s="682"/>
      <c r="AF688" s="681"/>
      <c r="AG688" s="681"/>
      <c r="AH688" s="683"/>
      <c r="AI688" s="681"/>
      <c r="AJ688" s="740"/>
      <c r="AK688" s="737"/>
      <c r="AL688" s="737"/>
      <c r="AM688" s="738"/>
      <c r="AN688" s="737"/>
      <c r="AO688" s="737"/>
      <c r="AP688" s="737"/>
      <c r="AQ688" s="738"/>
      <c r="AR688" s="737"/>
      <c r="AS688" s="737"/>
      <c r="AT688" s="737"/>
      <c r="AU688" s="738"/>
      <c r="AV688" s="737"/>
      <c r="AW688" s="737"/>
      <c r="AX688" s="737"/>
      <c r="AY688" s="738"/>
      <c r="AZ688" s="737"/>
      <c r="BA688" s="737"/>
      <c r="BB688" s="737"/>
      <c r="BC688" s="738"/>
      <c r="BD688" s="737"/>
      <c r="BE688" s="737"/>
      <c r="BF688" s="737"/>
      <c r="BG688" s="738"/>
      <c r="BH688" s="737"/>
      <c r="BI688" s="737"/>
      <c r="BJ688" s="737"/>
      <c r="BK688" s="738"/>
      <c r="BL688" s="737"/>
      <c r="BM688" s="737"/>
      <c r="BN688" s="737"/>
      <c r="BO688" s="738"/>
      <c r="BP688" s="737"/>
      <c r="BQ688" s="737"/>
      <c r="BR688" s="737"/>
      <c r="BS688" s="738"/>
      <c r="BT688" s="737"/>
      <c r="BU688" s="737"/>
      <c r="BV688" s="737"/>
      <c r="BW688" s="738"/>
      <c r="BX688" s="775"/>
      <c r="BY688" s="740"/>
      <c r="BZ688" s="741"/>
      <c r="CA688" s="752">
        <f>CA687-CA670</f>
        <v>0</v>
      </c>
      <c r="CB688" s="752">
        <f>CB687-CB670</f>
        <v>0</v>
      </c>
      <c r="CC688" s="752">
        <f>CC687-CC670</f>
        <v>0</v>
      </c>
      <c r="CD688" s="681"/>
      <c r="CE688" s="681"/>
      <c r="CF688" s="683"/>
      <c r="CG688" s="741"/>
      <c r="CH688" s="302"/>
      <c r="CI688" s="302"/>
      <c r="CJ688" s="302"/>
      <c r="CK688" s="302"/>
      <c r="CL688" s="302"/>
      <c r="CM688" s="302"/>
      <c r="CN688" s="302"/>
      <c r="CO688" s="302"/>
      <c r="CP688" s="303"/>
    </row>
    <row r="689" spans="2:94" ht="14.25" hidden="1" customHeight="1" outlineLevel="2">
      <c r="B689" s="235"/>
      <c r="G689" s="303"/>
      <c r="K689" s="303"/>
      <c r="L689" s="329"/>
      <c r="M689" s="329"/>
      <c r="N689" s="329"/>
      <c r="O689" s="330"/>
      <c r="P689" s="329"/>
      <c r="Q689" s="329"/>
      <c r="R689" s="329"/>
      <c r="S689" s="330"/>
      <c r="T689" s="329"/>
      <c r="U689" s="329"/>
      <c r="V689" s="329"/>
      <c r="W689" s="330"/>
      <c r="X689" s="329"/>
      <c r="Y689" s="329"/>
      <c r="Z689" s="329"/>
      <c r="AA689" s="330"/>
      <c r="AB689" s="329"/>
      <c r="AC689" s="329"/>
      <c r="AD689" s="329"/>
      <c r="AE689" s="330"/>
      <c r="AF689" s="329"/>
      <c r="AG689" s="329"/>
      <c r="AH689" s="554"/>
      <c r="AI689" s="329"/>
      <c r="AJ689" s="256"/>
      <c r="AM689" s="303"/>
      <c r="AQ689" s="303"/>
      <c r="AU689" s="303"/>
      <c r="AY689" s="303"/>
      <c r="BC689" s="303"/>
      <c r="BG689" s="303"/>
      <c r="BK689" s="303"/>
      <c r="BO689" s="303"/>
      <c r="BS689" s="303"/>
      <c r="BW689" s="303"/>
      <c r="BX689" s="346"/>
      <c r="BY689" s="256"/>
      <c r="BZ689" s="302"/>
      <c r="CA689" s="302"/>
      <c r="CB689" s="302"/>
      <c r="CC689" s="302"/>
      <c r="CD689" s="329"/>
      <c r="CE689" s="329"/>
      <c r="CF689" s="554"/>
      <c r="CG689" s="302"/>
      <c r="CH689" s="302"/>
      <c r="CI689" s="302"/>
      <c r="CJ689" s="302"/>
      <c r="CK689" s="302"/>
      <c r="CL689" s="302"/>
      <c r="CM689" s="302"/>
      <c r="CN689" s="302"/>
      <c r="CO689" s="302"/>
      <c r="CP689" s="303"/>
    </row>
    <row r="690" spans="2:94" ht="14.25" hidden="1" customHeight="1" outlineLevel="2">
      <c r="B690" s="235" t="s">
        <v>212</v>
      </c>
      <c r="G690" s="303"/>
      <c r="K690" s="303"/>
      <c r="L690" s="329">
        <v>32.299999999999997</v>
      </c>
      <c r="M690" s="329">
        <v>36.299999999999997</v>
      </c>
      <c r="N690" s="329">
        <v>42.2</v>
      </c>
      <c r="O690" s="330">
        <f>167.6-SUM(L690:N690)</f>
        <v>56.8</v>
      </c>
      <c r="P690" s="329">
        <v>52.9</v>
      </c>
      <c r="Q690" s="329">
        <v>80.7</v>
      </c>
      <c r="R690" s="329">
        <v>88.2</v>
      </c>
      <c r="S690" s="330">
        <f>317-SUM(P690:R690)</f>
        <v>95.199999999999989</v>
      </c>
      <c r="T690" s="329">
        <v>62.7</v>
      </c>
      <c r="U690" s="329">
        <v>71.5</v>
      </c>
      <c r="V690" s="329">
        <v>73.2</v>
      </c>
      <c r="W690" s="330">
        <f>277.2-SUM(T690:V690)</f>
        <v>69.800000000000011</v>
      </c>
      <c r="X690" s="329">
        <v>30.8</v>
      </c>
      <c r="Y690" s="329">
        <v>33.4</v>
      </c>
      <c r="Z690" s="329">
        <v>73.599999999999994</v>
      </c>
      <c r="AA690" s="330"/>
      <c r="AB690" s="329"/>
      <c r="AC690" s="329"/>
      <c r="AD690" s="329"/>
      <c r="AE690" s="330"/>
      <c r="AF690" s="329"/>
      <c r="AG690" s="329"/>
      <c r="AH690" s="554"/>
      <c r="AI690" s="329"/>
      <c r="AJ690" s="256"/>
      <c r="AM690" s="303"/>
      <c r="AQ690" s="303"/>
      <c r="AU690" s="303"/>
      <c r="AY690" s="303"/>
      <c r="BC690" s="303"/>
      <c r="BG690" s="303"/>
      <c r="BK690" s="303"/>
      <c r="BO690" s="303"/>
      <c r="BS690" s="303"/>
      <c r="BW690" s="303"/>
      <c r="BX690" s="346"/>
      <c r="BY690" s="256"/>
      <c r="BZ690" s="302"/>
      <c r="CA690" s="681">
        <v>167.6</v>
      </c>
      <c r="CB690" s="681">
        <v>317</v>
      </c>
      <c r="CC690" s="681">
        <v>277.2</v>
      </c>
      <c r="CD690" s="329"/>
      <c r="CE690" s="329"/>
      <c r="CF690" s="554"/>
      <c r="CG690" s="302"/>
      <c r="CH690" s="302"/>
      <c r="CI690" s="302"/>
      <c r="CJ690" s="302"/>
      <c r="CK690" s="302"/>
      <c r="CL690" s="302"/>
      <c r="CM690" s="302"/>
      <c r="CN690" s="302"/>
      <c r="CO690" s="302"/>
      <c r="CP690" s="303"/>
    </row>
    <row r="691" spans="2:94" ht="14.25" hidden="1" customHeight="1" outlineLevel="2">
      <c r="B691" s="678" t="s">
        <v>166</v>
      </c>
      <c r="C691" s="737"/>
      <c r="D691" s="737"/>
      <c r="E691" s="737"/>
      <c r="F691" s="737"/>
      <c r="G691" s="738"/>
      <c r="H691" s="737"/>
      <c r="I691" s="737"/>
      <c r="J691" s="737"/>
      <c r="K691" s="738"/>
      <c r="L691" s="752">
        <f t="shared" ref="L691:W691" si="928">L690-L679</f>
        <v>0</v>
      </c>
      <c r="M691" s="752">
        <f t="shared" si="928"/>
        <v>0</v>
      </c>
      <c r="N691" s="752">
        <f t="shared" si="928"/>
        <v>0</v>
      </c>
      <c r="O691" s="753">
        <f t="shared" si="928"/>
        <v>0</v>
      </c>
      <c r="P691" s="752">
        <f t="shared" si="928"/>
        <v>0</v>
      </c>
      <c r="Q691" s="752">
        <f t="shared" si="928"/>
        <v>0</v>
      </c>
      <c r="R691" s="752">
        <f t="shared" si="928"/>
        <v>0</v>
      </c>
      <c r="S691" s="753">
        <f t="shared" si="928"/>
        <v>0</v>
      </c>
      <c r="T691" s="752">
        <f t="shared" si="928"/>
        <v>0</v>
      </c>
      <c r="U691" s="752">
        <f t="shared" si="928"/>
        <v>0</v>
      </c>
      <c r="V691" s="752">
        <f t="shared" si="928"/>
        <v>0</v>
      </c>
      <c r="W691" s="753">
        <f t="shared" si="928"/>
        <v>0</v>
      </c>
      <c r="X691" s="752">
        <f>X690-X679</f>
        <v>0</v>
      </c>
      <c r="Y691" s="752">
        <f>Y690-Y679</f>
        <v>0</v>
      </c>
      <c r="Z691" s="752">
        <f>Z690-Z679</f>
        <v>0</v>
      </c>
      <c r="AA691" s="682"/>
      <c r="AB691" s="681"/>
      <c r="AC691" s="681"/>
      <c r="AD691" s="681"/>
      <c r="AE691" s="682"/>
      <c r="AF691" s="681"/>
      <c r="AG691" s="681"/>
      <c r="AH691" s="683"/>
      <c r="AI691" s="681"/>
      <c r="AJ691" s="740"/>
      <c r="AK691" s="737"/>
      <c r="AL691" s="737"/>
      <c r="AM691" s="738"/>
      <c r="AN691" s="737"/>
      <c r="AO691" s="737"/>
      <c r="AP691" s="737"/>
      <c r="AQ691" s="738"/>
      <c r="AR691" s="737"/>
      <c r="AS691" s="737"/>
      <c r="AT691" s="737"/>
      <c r="AU691" s="738"/>
      <c r="AV691" s="737"/>
      <c r="AW691" s="737"/>
      <c r="AX691" s="737"/>
      <c r="AY691" s="738"/>
      <c r="AZ691" s="737"/>
      <c r="BA691" s="737"/>
      <c r="BB691" s="737"/>
      <c r="BC691" s="738"/>
      <c r="BD691" s="737"/>
      <c r="BE691" s="737"/>
      <c r="BF691" s="737"/>
      <c r="BG691" s="738"/>
      <c r="BH691" s="737"/>
      <c r="BI691" s="737"/>
      <c r="BJ691" s="737"/>
      <c r="BK691" s="738"/>
      <c r="BL691" s="737"/>
      <c r="BM691" s="737"/>
      <c r="BN691" s="737"/>
      <c r="BO691" s="738"/>
      <c r="BP691" s="737"/>
      <c r="BQ691" s="737"/>
      <c r="BR691" s="737"/>
      <c r="BS691" s="738"/>
      <c r="BT691" s="737"/>
      <c r="BU691" s="737"/>
      <c r="BV691" s="737"/>
      <c r="BW691" s="738"/>
      <c r="BX691" s="775"/>
      <c r="BY691" s="740"/>
      <c r="BZ691" s="741"/>
      <c r="CA691" s="752">
        <f>CA690-CA679</f>
        <v>0</v>
      </c>
      <c r="CB691" s="752">
        <f>CB690-CB679</f>
        <v>0</v>
      </c>
      <c r="CC691" s="752">
        <f>CC690-CC679</f>
        <v>0</v>
      </c>
      <c r="CD691" s="681"/>
      <c r="CE691" s="681"/>
      <c r="CF691" s="683"/>
      <c r="CG691" s="741"/>
      <c r="CH691" s="302"/>
      <c r="CI691" s="302"/>
      <c r="CJ691" s="302"/>
      <c r="CK691" s="302"/>
      <c r="CL691" s="302"/>
      <c r="CM691" s="302"/>
      <c r="CN691" s="302"/>
      <c r="CO691" s="302"/>
      <c r="CP691" s="303"/>
    </row>
    <row r="692" spans="2:94" ht="14.25" hidden="1" customHeight="1" outlineLevel="2">
      <c r="B692" s="235"/>
      <c r="G692" s="303"/>
      <c r="K692" s="303"/>
      <c r="O692" s="303"/>
      <c r="S692" s="303"/>
      <c r="W692" s="303"/>
      <c r="AA692" s="303"/>
      <c r="AE692" s="303"/>
      <c r="AI692" s="302"/>
      <c r="AJ692" s="256"/>
      <c r="AM692" s="303"/>
      <c r="AQ692" s="303"/>
      <c r="AU692" s="303"/>
      <c r="AY692" s="303"/>
      <c r="BC692" s="303"/>
      <c r="BG692" s="303"/>
      <c r="BK692" s="303"/>
      <c r="BO692" s="303"/>
      <c r="BS692" s="303"/>
      <c r="BW692" s="303"/>
      <c r="BX692" s="346"/>
      <c r="BY692" s="256"/>
      <c r="BZ692" s="302"/>
      <c r="CA692" s="302"/>
      <c r="CB692" s="302"/>
      <c r="CC692" s="302"/>
      <c r="CD692" s="392"/>
      <c r="CE692" s="392"/>
      <c r="CF692" s="392"/>
      <c r="CG692" s="302"/>
      <c r="CH692" s="302"/>
      <c r="CI692" s="302"/>
      <c r="CJ692" s="302"/>
      <c r="CK692" s="302"/>
      <c r="CL692" s="302"/>
      <c r="CM692" s="302"/>
      <c r="CN692" s="302"/>
      <c r="CO692" s="302"/>
      <c r="CP692" s="303"/>
    </row>
    <row r="693" spans="2:94" ht="14.25" hidden="1" customHeight="1" outlineLevel="2">
      <c r="B693" s="217" t="s">
        <v>297</v>
      </c>
      <c r="G693" s="303"/>
      <c r="K693" s="303"/>
      <c r="L693" s="220"/>
      <c r="M693" s="220">
        <f t="shared" ref="M693:W693" si="929">M684/L684-1</f>
        <v>1.3227513227513921E-3</v>
      </c>
      <c r="N693" s="220">
        <f t="shared" si="929"/>
        <v>3.566710700132103E-2</v>
      </c>
      <c r="O693" s="258">
        <f t="shared" si="929"/>
        <v>8.9923469387754418E-2</v>
      </c>
      <c r="P693" s="220">
        <f t="shared" si="929"/>
        <v>-2.2820362785254122E-2</v>
      </c>
      <c r="Q693" s="220">
        <f t="shared" si="929"/>
        <v>0.12365269461077855</v>
      </c>
      <c r="R693" s="220">
        <f t="shared" si="929"/>
        <v>0.1215027977617904</v>
      </c>
      <c r="S693" s="258">
        <f t="shared" si="929"/>
        <v>-4.5854122119267871E-2</v>
      </c>
      <c r="T693" s="220">
        <f t="shared" si="929"/>
        <v>-6.8227091633466519E-2</v>
      </c>
      <c r="U693" s="220">
        <f t="shared" si="929"/>
        <v>1.8706574024585754E-2</v>
      </c>
      <c r="V693" s="220">
        <f t="shared" si="929"/>
        <v>5.6925498426023013E-2</v>
      </c>
      <c r="W693" s="258">
        <f t="shared" si="929"/>
        <v>1.2410027302060422E-2</v>
      </c>
      <c r="X693" s="220">
        <f>X684/W684-1</f>
        <v>3.4322137778867168E-2</v>
      </c>
      <c r="Y693" s="220">
        <f>Y684/X684-1</f>
        <v>0.33372837165205049</v>
      </c>
      <c r="Z693" s="220">
        <f>Z684/Y684-1</f>
        <v>3.3410342989159236E-2</v>
      </c>
      <c r="AA693" s="303"/>
      <c r="AE693" s="303"/>
      <c r="AI693" s="302"/>
      <c r="AJ693" s="256"/>
      <c r="AM693" s="303"/>
      <c r="AQ693" s="303"/>
      <c r="AU693" s="303"/>
      <c r="AY693" s="303"/>
      <c r="BC693" s="303"/>
      <c r="BG693" s="303"/>
      <c r="BK693" s="303"/>
      <c r="BO693" s="303"/>
      <c r="BS693" s="303"/>
      <c r="BW693" s="303"/>
      <c r="BX693" s="346"/>
      <c r="BY693" s="256"/>
      <c r="BZ693" s="302"/>
      <c r="CA693" s="302"/>
      <c r="CB693" s="302"/>
      <c r="CC693" s="302"/>
      <c r="CD693" s="392"/>
      <c r="CE693" s="392"/>
      <c r="CF693" s="392"/>
      <c r="CG693" s="302"/>
      <c r="CH693" s="302"/>
      <c r="CI693" s="302"/>
      <c r="CJ693" s="302"/>
      <c r="CK693" s="302"/>
      <c r="CL693" s="302"/>
      <c r="CM693" s="302"/>
      <c r="CN693" s="302"/>
      <c r="CO693" s="302"/>
      <c r="CP693" s="303"/>
    </row>
    <row r="694" spans="2:94" ht="14.25" hidden="1" customHeight="1" outlineLevel="2">
      <c r="B694" s="32" t="s">
        <v>298</v>
      </c>
      <c r="G694" s="303"/>
      <c r="K694" s="303"/>
      <c r="L694" s="220"/>
      <c r="M694" s="220"/>
      <c r="N694" s="220"/>
      <c r="O694" s="258"/>
      <c r="P694" s="220">
        <f t="shared" ref="P694:W694" si="930">P684/L684-1</f>
        <v>0.10449735449735464</v>
      </c>
      <c r="Q694" s="220">
        <f t="shared" si="930"/>
        <v>0.23943196829590496</v>
      </c>
      <c r="R694" s="220">
        <f t="shared" si="930"/>
        <v>0.34215561224489788</v>
      </c>
      <c r="S694" s="258">
        <f t="shared" si="930"/>
        <v>0.17495611468695249</v>
      </c>
      <c r="T694" s="220">
        <f t="shared" si="930"/>
        <v>0.12035928143712571</v>
      </c>
      <c r="U694" s="220">
        <f t="shared" si="930"/>
        <v>1.5720756727950924E-2</v>
      </c>
      <c r="V694" s="220">
        <f t="shared" si="930"/>
        <v>-4.2765502494654273E-2</v>
      </c>
      <c r="W694" s="258">
        <f t="shared" si="930"/>
        <v>1.5687250996015756E-2</v>
      </c>
      <c r="X694" s="220">
        <f>X684/T684-1</f>
        <v>0.12747194013896301</v>
      </c>
      <c r="Y694" s="220">
        <f>Y684/U684-1</f>
        <v>0.47612801678908734</v>
      </c>
      <c r="Z694" s="220">
        <f>Z684/V684-1</f>
        <v>0.44328617522958558</v>
      </c>
      <c r="AA694" s="303"/>
      <c r="AE694" s="303"/>
      <c r="AI694" s="302"/>
      <c r="AJ694" s="256"/>
      <c r="AM694" s="303"/>
      <c r="AQ694" s="303"/>
      <c r="AU694" s="303"/>
      <c r="AY694" s="303"/>
      <c r="BC694" s="303"/>
      <c r="BG694" s="303"/>
      <c r="BK694" s="303"/>
      <c r="BO694" s="303"/>
      <c r="BS694" s="303"/>
      <c r="BW694" s="303"/>
      <c r="BX694" s="346"/>
      <c r="BY694" s="256"/>
      <c r="BZ694" s="302"/>
      <c r="CA694" s="338"/>
      <c r="CB694" s="338">
        <f>CB684/CA684-1</f>
        <v>0.2151356496906236</v>
      </c>
      <c r="CC694" s="338">
        <f>CC684/CB684-1</f>
        <v>2.2457239848544308E-2</v>
      </c>
      <c r="CD694" s="392"/>
      <c r="CE694" s="392"/>
      <c r="CF694" s="392"/>
      <c r="CG694" s="302"/>
      <c r="CH694" s="302"/>
      <c r="CI694" s="302"/>
      <c r="CJ694" s="302"/>
      <c r="CK694" s="302"/>
      <c r="CL694" s="302"/>
      <c r="CM694" s="302"/>
      <c r="CN694" s="302"/>
      <c r="CO694" s="302"/>
      <c r="CP694" s="303"/>
    </row>
    <row r="695" spans="2:94" ht="14.25" hidden="1" customHeight="1" outlineLevel="2">
      <c r="B695" s="731"/>
      <c r="C695" s="304"/>
      <c r="D695" s="304"/>
      <c r="E695" s="304"/>
      <c r="F695" s="304"/>
      <c r="G695" s="305"/>
      <c r="H695" s="304"/>
      <c r="I695" s="304"/>
      <c r="J695" s="304"/>
      <c r="K695" s="305"/>
      <c r="L695" s="304"/>
      <c r="M695" s="304"/>
      <c r="N695" s="304"/>
      <c r="O695" s="305"/>
      <c r="P695" s="304"/>
      <c r="Q695" s="304"/>
      <c r="R695" s="304"/>
      <c r="S695" s="305"/>
      <c r="T695" s="304"/>
      <c r="U695" s="304"/>
      <c r="V695" s="304"/>
      <c r="W695" s="305"/>
      <c r="X695" s="304"/>
      <c r="Y695" s="304"/>
      <c r="Z695" s="304"/>
      <c r="AA695" s="305"/>
      <c r="AB695" s="304"/>
      <c r="AC695" s="304"/>
      <c r="AD695" s="304"/>
      <c r="AE695" s="305"/>
      <c r="AF695" s="304"/>
      <c r="AG695" s="304"/>
      <c r="AH695" s="304"/>
      <c r="AI695" s="304"/>
      <c r="AJ695" s="731"/>
      <c r="AK695" s="304"/>
      <c r="AL695" s="304"/>
      <c r="AM695" s="305"/>
      <c r="AN695" s="304"/>
      <c r="AO695" s="304"/>
      <c r="AP695" s="304"/>
      <c r="AQ695" s="305"/>
      <c r="AR695" s="304"/>
      <c r="AS695" s="304"/>
      <c r="AT695" s="304"/>
      <c r="AU695" s="305"/>
      <c r="AV695" s="304"/>
      <c r="AW695" s="304"/>
      <c r="AX695" s="304"/>
      <c r="AY695" s="305"/>
      <c r="AZ695" s="304"/>
      <c r="BA695" s="304"/>
      <c r="BB695" s="304"/>
      <c r="BC695" s="305"/>
      <c r="BD695" s="304"/>
      <c r="BE695" s="304"/>
      <c r="BF695" s="304"/>
      <c r="BG695" s="305"/>
      <c r="BH695" s="304"/>
      <c r="BI695" s="304"/>
      <c r="BJ695" s="304"/>
      <c r="BK695" s="305"/>
      <c r="BL695" s="304"/>
      <c r="BM695" s="304"/>
      <c r="BN695" s="304"/>
      <c r="BO695" s="305"/>
      <c r="BP695" s="304"/>
      <c r="BQ695" s="304"/>
      <c r="BR695" s="304"/>
      <c r="BS695" s="305"/>
      <c r="BT695" s="304"/>
      <c r="BU695" s="304"/>
      <c r="BV695" s="304"/>
      <c r="BW695" s="305"/>
      <c r="BX695" s="346"/>
      <c r="BY695" s="731"/>
      <c r="BZ695" s="304"/>
      <c r="CA695" s="304"/>
      <c r="CB695" s="304"/>
      <c r="CC695" s="304"/>
      <c r="CD695" s="304"/>
      <c r="CE695" s="304"/>
      <c r="CF695" s="304"/>
      <c r="CG695" s="304"/>
      <c r="CH695" s="304"/>
      <c r="CI695" s="304"/>
      <c r="CJ695" s="304"/>
      <c r="CK695" s="304"/>
      <c r="CL695" s="304"/>
      <c r="CM695" s="304"/>
      <c r="CN695" s="304"/>
      <c r="CO695" s="304"/>
      <c r="CP695" s="305"/>
    </row>
    <row r="696" spans="2:94" ht="14.25" hidden="1" customHeight="1" outlineLevel="1">
      <c r="AQ696" s="302"/>
      <c r="AU696" s="302"/>
      <c r="AY696" s="302"/>
      <c r="BC696" s="302"/>
      <c r="BG696" s="302"/>
      <c r="BK696" s="302"/>
      <c r="BO696" s="302"/>
      <c r="BS696" s="302"/>
      <c r="BW696" s="302"/>
      <c r="CJ696" s="302"/>
      <c r="CK696" s="302"/>
      <c r="CL696" s="302"/>
      <c r="CM696" s="302"/>
      <c r="CN696" s="302"/>
      <c r="CO696" s="302"/>
      <c r="CP696" s="302"/>
    </row>
    <row r="697" spans="2:94" ht="14.25" hidden="1" customHeight="1" outlineLevel="1">
      <c r="B697" s="91" t="s">
        <v>507</v>
      </c>
      <c r="AQ697" s="302"/>
      <c r="AU697" s="302"/>
      <c r="AY697" s="302"/>
      <c r="BC697" s="302"/>
      <c r="BG697" s="302"/>
      <c r="BK697" s="302"/>
      <c r="BO697" s="302"/>
      <c r="BS697" s="302"/>
      <c r="BW697" s="302"/>
      <c r="CJ697" s="302"/>
      <c r="CK697" s="302"/>
      <c r="CL697" s="302"/>
      <c r="CM697" s="302"/>
      <c r="CN697" s="302"/>
      <c r="CO697" s="302"/>
      <c r="CP697" s="302"/>
    </row>
    <row r="698" spans="2:94" ht="14.25" hidden="1" customHeight="1" outlineLevel="1">
      <c r="B698" s="302"/>
      <c r="C698" s="302"/>
      <c r="D698" s="302"/>
      <c r="E698" s="302"/>
      <c r="F698" s="302"/>
      <c r="G698" s="302"/>
      <c r="H698" s="302"/>
      <c r="I698" s="302"/>
      <c r="J698" s="302"/>
      <c r="K698" s="302"/>
      <c r="L698" s="302"/>
      <c r="M698" s="302"/>
      <c r="N698" s="302"/>
      <c r="O698" s="302"/>
      <c r="P698" s="302"/>
      <c r="Q698" s="302"/>
      <c r="R698" s="302"/>
      <c r="S698" s="302"/>
      <c r="T698" s="302"/>
      <c r="U698" s="302"/>
      <c r="V698" s="302"/>
      <c r="W698" s="302"/>
      <c r="X698" s="302"/>
      <c r="Y698" s="302"/>
      <c r="Z698" s="302"/>
      <c r="AA698" s="302"/>
      <c r="AB698" s="302"/>
      <c r="AC698" s="302"/>
      <c r="AD698" s="302"/>
      <c r="AE698" s="302"/>
      <c r="AF698" s="302"/>
      <c r="AG698" s="302"/>
      <c r="AH698" s="302"/>
      <c r="AI698" s="302"/>
      <c r="AJ698" s="302"/>
      <c r="AK698" s="302"/>
      <c r="AL698" s="302"/>
      <c r="AM698" s="302"/>
      <c r="AN698" s="302"/>
      <c r="AO698" s="302"/>
      <c r="AP698" s="302"/>
      <c r="AQ698" s="302"/>
      <c r="AR698" s="302"/>
      <c r="AS698" s="302"/>
      <c r="AT698" s="302"/>
      <c r="AU698" s="302"/>
      <c r="AV698" s="302"/>
      <c r="AW698" s="302"/>
      <c r="AX698" s="302"/>
      <c r="AY698" s="302"/>
      <c r="AZ698" s="302"/>
      <c r="BA698" s="302"/>
      <c r="BB698" s="302"/>
      <c r="BC698" s="302"/>
      <c r="BD698" s="302"/>
      <c r="BE698" s="302"/>
      <c r="BF698" s="302"/>
      <c r="BG698" s="302"/>
      <c r="BH698" s="302"/>
      <c r="BI698" s="302"/>
      <c r="BJ698" s="302"/>
      <c r="BK698" s="302"/>
      <c r="BL698" s="302"/>
      <c r="BM698" s="302"/>
      <c r="BN698" s="302"/>
      <c r="BO698" s="302"/>
      <c r="BP698" s="302"/>
      <c r="BQ698" s="302"/>
      <c r="BR698" s="302"/>
      <c r="BS698" s="302"/>
      <c r="BT698" s="302"/>
      <c r="BU698" s="302"/>
      <c r="BV698" s="302"/>
      <c r="BW698" s="302"/>
      <c r="BY698" s="302"/>
      <c r="BZ698" s="302"/>
      <c r="CA698" s="302"/>
      <c r="CB698" s="302"/>
      <c r="CC698" s="302"/>
      <c r="CD698" s="302"/>
      <c r="CE698" s="302"/>
      <c r="CF698" s="302"/>
      <c r="CG698" s="302"/>
      <c r="CH698" s="302"/>
      <c r="CI698" s="302"/>
      <c r="CJ698" s="302"/>
      <c r="CK698" s="302"/>
      <c r="CL698" s="302"/>
      <c r="CM698" s="302"/>
      <c r="CN698" s="302"/>
      <c r="CO698" s="302"/>
      <c r="CP698" s="302"/>
    </row>
    <row r="699" spans="2:94" ht="14.25" hidden="1" customHeight="1" outlineLevel="2">
      <c r="B699" s="10" t="s">
        <v>243</v>
      </c>
      <c r="C699" s="713"/>
      <c r="D699" s="393"/>
      <c r="E699" s="394"/>
      <c r="F699" s="394"/>
      <c r="G699" s="395"/>
      <c r="H699" s="762">
        <v>169</v>
      </c>
      <c r="I699" s="784">
        <v>185.6</v>
      </c>
      <c r="J699" s="784">
        <v>177.7</v>
      </c>
      <c r="K699" s="814">
        <f>705.5-SUM(H699:J699)</f>
        <v>173.20000000000005</v>
      </c>
      <c r="L699" s="762">
        <v>169.3</v>
      </c>
      <c r="M699" s="784">
        <v>169.2</v>
      </c>
      <c r="N699" s="784">
        <v>174.1</v>
      </c>
      <c r="O699" s="814">
        <f>700-SUM(L699:N699)</f>
        <v>187.39999999999998</v>
      </c>
      <c r="P699" s="393"/>
      <c r="Q699" s="394"/>
      <c r="R699" s="394"/>
      <c r="S699" s="395"/>
      <c r="T699" s="393"/>
      <c r="U699" s="394"/>
      <c r="V699" s="394"/>
      <c r="W699" s="395"/>
      <c r="X699" s="393"/>
      <c r="Y699" s="394"/>
      <c r="Z699" s="394"/>
      <c r="AA699" s="395"/>
      <c r="AB699" s="393"/>
      <c r="AC699" s="394"/>
      <c r="AD699" s="394"/>
      <c r="AE699" s="395"/>
      <c r="AF699" s="393"/>
      <c r="AG699" s="394"/>
      <c r="AH699" s="394"/>
      <c r="AI699" s="395"/>
      <c r="AJ699" s="729"/>
      <c r="AK699" s="713"/>
      <c r="AL699" s="713"/>
      <c r="AM699" s="713"/>
      <c r="AN699" s="729"/>
      <c r="AO699" s="713"/>
      <c r="AP699" s="713"/>
      <c r="AQ699" s="345"/>
      <c r="AR699" s="729"/>
      <c r="AS699" s="713"/>
      <c r="AT699" s="713"/>
      <c r="AU699" s="345"/>
      <c r="AV699" s="729"/>
      <c r="AW699" s="713"/>
      <c r="AX699" s="713"/>
      <c r="AY699" s="345"/>
      <c r="AZ699" s="729"/>
      <c r="BA699" s="713"/>
      <c r="BB699" s="713"/>
      <c r="BC699" s="345"/>
      <c r="BD699" s="729"/>
      <c r="BE699" s="713"/>
      <c r="BF699" s="713"/>
      <c r="BG699" s="345"/>
      <c r="BH699" s="729"/>
      <c r="BI699" s="713"/>
      <c r="BJ699" s="713"/>
      <c r="BK699" s="345"/>
      <c r="BL699" s="729"/>
      <c r="BM699" s="713"/>
      <c r="BN699" s="713"/>
      <c r="BO699" s="345"/>
      <c r="BP699" s="729"/>
      <c r="BQ699" s="713"/>
      <c r="BR699" s="713"/>
      <c r="BS699" s="345"/>
      <c r="BT699" s="729"/>
      <c r="BU699" s="713"/>
      <c r="BV699" s="713"/>
      <c r="BW699" s="345"/>
      <c r="BX699" s="346"/>
      <c r="BY699" s="668"/>
      <c r="BZ699" s="387">
        <f>SUM(H699:K699)</f>
        <v>705.5</v>
      </c>
      <c r="CA699" s="387">
        <f>SUM(L699:O699)</f>
        <v>700</v>
      </c>
      <c r="CB699" s="387"/>
      <c r="CC699" s="387"/>
      <c r="CD699" s="387"/>
      <c r="CE699" s="813"/>
      <c r="CF699" s="813"/>
      <c r="CG699" s="713"/>
      <c r="CH699" s="713"/>
      <c r="CI699" s="713"/>
      <c r="CJ699" s="713"/>
      <c r="CK699" s="713"/>
      <c r="CL699" s="713"/>
      <c r="CM699" s="713"/>
      <c r="CN699" s="713"/>
      <c r="CO699" s="713"/>
      <c r="CP699" s="345"/>
    </row>
    <row r="700" spans="2:94" ht="14.25" hidden="1" customHeight="1" outlineLevel="2">
      <c r="B700" s="217" t="s">
        <v>297</v>
      </c>
      <c r="D700" s="377"/>
      <c r="E700" s="370"/>
      <c r="F700" s="370"/>
      <c r="G700" s="335"/>
      <c r="H700" s="425"/>
      <c r="I700" s="370">
        <f t="shared" ref="I700:O700" si="931">I699/H699-1</f>
        <v>9.8224852071005841E-2</v>
      </c>
      <c r="J700" s="370">
        <f t="shared" si="931"/>
        <v>-4.2564655172413812E-2</v>
      </c>
      <c r="K700" s="335">
        <f t="shared" si="931"/>
        <v>-2.532357906584104E-2</v>
      </c>
      <c r="L700" s="425">
        <f t="shared" si="931"/>
        <v>-2.2517321016166436E-2</v>
      </c>
      <c r="M700" s="370">
        <f t="shared" si="931"/>
        <v>-5.9066745422342581E-4</v>
      </c>
      <c r="N700" s="370">
        <f t="shared" si="931"/>
        <v>2.895981087470445E-2</v>
      </c>
      <c r="O700" s="335">
        <f t="shared" si="931"/>
        <v>7.6392877656519254E-2</v>
      </c>
      <c r="P700" s="377"/>
      <c r="Q700" s="370"/>
      <c r="R700" s="370"/>
      <c r="S700" s="335"/>
      <c r="T700" s="377"/>
      <c r="U700" s="370"/>
      <c r="V700" s="370"/>
      <c r="W700" s="335"/>
      <c r="X700" s="377"/>
      <c r="Y700" s="370"/>
      <c r="Z700" s="370"/>
      <c r="AA700" s="335"/>
      <c r="AB700" s="377"/>
      <c r="AC700" s="370"/>
      <c r="AD700" s="370"/>
      <c r="AE700" s="335"/>
      <c r="AF700" s="377"/>
      <c r="AG700" s="370"/>
      <c r="AH700" s="370"/>
      <c r="AI700" s="335"/>
      <c r="AJ700" s="256"/>
      <c r="AN700" s="256"/>
      <c r="AQ700" s="303"/>
      <c r="AR700" s="256"/>
      <c r="AU700" s="303"/>
      <c r="AV700" s="256"/>
      <c r="AY700" s="303"/>
      <c r="AZ700" s="256"/>
      <c r="BC700" s="303"/>
      <c r="BD700" s="256"/>
      <c r="BG700" s="303"/>
      <c r="BH700" s="256"/>
      <c r="BK700" s="303"/>
      <c r="BL700" s="256"/>
      <c r="BO700" s="303"/>
      <c r="BP700" s="256"/>
      <c r="BS700" s="303"/>
      <c r="BT700" s="256"/>
      <c r="BW700" s="303"/>
      <c r="BX700" s="346"/>
      <c r="BY700" s="22"/>
      <c r="BZ700" s="284"/>
      <c r="CA700" s="284"/>
      <c r="CB700" s="302"/>
      <c r="CC700" s="302"/>
      <c r="CD700" s="392"/>
      <c r="CE700" s="284"/>
      <c r="CF700" s="730"/>
      <c r="CG700" s="302"/>
      <c r="CH700" s="302"/>
      <c r="CI700" s="302"/>
      <c r="CJ700" s="302"/>
      <c r="CK700" s="302"/>
      <c r="CL700" s="302"/>
      <c r="CM700" s="302"/>
      <c r="CN700" s="302"/>
      <c r="CO700" s="302"/>
      <c r="CP700" s="303"/>
    </row>
    <row r="701" spans="2:94" ht="14.25" hidden="1" customHeight="1" outlineLevel="2">
      <c r="B701" s="32" t="s">
        <v>298</v>
      </c>
      <c r="D701" s="377"/>
      <c r="E701" s="370"/>
      <c r="F701" s="370"/>
      <c r="G701" s="335"/>
      <c r="H701" s="425"/>
      <c r="I701" s="418"/>
      <c r="J701" s="418"/>
      <c r="K701" s="419"/>
      <c r="L701" s="425">
        <f>L699/H699-1</f>
        <v>1.7751479289942473E-3</v>
      </c>
      <c r="M701" s="418">
        <f>M699/I699-1</f>
        <v>-8.8362068965517238E-2</v>
      </c>
      <c r="N701" s="418">
        <f>N699/J699-1</f>
        <v>-2.0258863252673009E-2</v>
      </c>
      <c r="O701" s="419">
        <f>O699/K699-1</f>
        <v>8.198614318706654E-2</v>
      </c>
      <c r="P701" s="377"/>
      <c r="Q701" s="370"/>
      <c r="R701" s="370"/>
      <c r="S701" s="335"/>
      <c r="T701" s="377"/>
      <c r="U701" s="370"/>
      <c r="V701" s="370"/>
      <c r="W701" s="335"/>
      <c r="X701" s="377"/>
      <c r="Y701" s="370"/>
      <c r="Z701" s="370"/>
      <c r="AA701" s="335"/>
      <c r="AB701" s="377"/>
      <c r="AC701" s="370"/>
      <c r="AD701" s="370"/>
      <c r="AE701" s="335"/>
      <c r="AF701" s="377"/>
      <c r="AG701" s="370"/>
      <c r="AH701" s="370"/>
      <c r="AI701" s="335"/>
      <c r="AJ701" s="256"/>
      <c r="AN701" s="256"/>
      <c r="AQ701" s="303"/>
      <c r="AR701" s="256"/>
      <c r="AU701" s="303"/>
      <c r="AV701" s="256"/>
      <c r="AY701" s="303"/>
      <c r="AZ701" s="256"/>
      <c r="BC701" s="303"/>
      <c r="BD701" s="256"/>
      <c r="BG701" s="303"/>
      <c r="BH701" s="256"/>
      <c r="BK701" s="303"/>
      <c r="BL701" s="256"/>
      <c r="BO701" s="303"/>
      <c r="BP701" s="256"/>
      <c r="BS701" s="303"/>
      <c r="BT701" s="256"/>
      <c r="BW701" s="303"/>
      <c r="BX701" s="346"/>
      <c r="BY701" s="22"/>
      <c r="BZ701" s="418"/>
      <c r="CA701" s="418">
        <f>CA699/BZ699-1</f>
        <v>-7.795889440113446E-3</v>
      </c>
      <c r="CB701" s="302"/>
      <c r="CC701" s="302"/>
      <c r="CD701" s="392"/>
      <c r="CE701" s="284"/>
      <c r="CF701" s="730"/>
      <c r="CG701" s="302"/>
      <c r="CH701" s="302"/>
      <c r="CI701" s="302"/>
      <c r="CJ701" s="302"/>
      <c r="CK701" s="302"/>
      <c r="CL701" s="302"/>
      <c r="CM701" s="302"/>
      <c r="CN701" s="302"/>
      <c r="CO701" s="302"/>
      <c r="CP701" s="303"/>
    </row>
    <row r="702" spans="2:94" ht="14.25" hidden="1" customHeight="1" outlineLevel="2">
      <c r="B702" s="217" t="s">
        <v>299</v>
      </c>
      <c r="D702" s="359"/>
      <c r="E702" s="370"/>
      <c r="F702" s="370"/>
      <c r="G702" s="337"/>
      <c r="H702" s="359">
        <f t="shared" ref="H702:O702" si="932">H699/H725</f>
        <v>0.54834523036988969</v>
      </c>
      <c r="I702" s="370">
        <f t="shared" si="932"/>
        <v>0.55652173913043479</v>
      </c>
      <c r="J702" s="370">
        <f t="shared" si="932"/>
        <v>0.55810301507537685</v>
      </c>
      <c r="K702" s="337">
        <f t="shared" si="932"/>
        <v>0.56453715775749691</v>
      </c>
      <c r="L702" s="359">
        <f t="shared" si="932"/>
        <v>0.55985449735449744</v>
      </c>
      <c r="M702" s="370">
        <f t="shared" si="932"/>
        <v>0.55878467635402906</v>
      </c>
      <c r="N702" s="370">
        <f t="shared" si="932"/>
        <v>0.5551658163265305</v>
      </c>
      <c r="O702" s="337">
        <f t="shared" si="932"/>
        <v>0.54827384435342297</v>
      </c>
      <c r="P702" s="359"/>
      <c r="Q702" s="370"/>
      <c r="R702" s="370"/>
      <c r="S702" s="337"/>
      <c r="T702" s="359"/>
      <c r="U702" s="370"/>
      <c r="V702" s="370"/>
      <c r="W702" s="337"/>
      <c r="X702" s="359"/>
      <c r="Y702" s="370"/>
      <c r="Z702" s="370"/>
      <c r="AA702" s="337"/>
      <c r="AB702" s="359"/>
      <c r="AC702" s="370"/>
      <c r="AD702" s="370"/>
      <c r="AE702" s="337"/>
      <c r="AF702" s="359"/>
      <c r="AG702" s="370"/>
      <c r="AH702" s="370"/>
      <c r="AI702" s="337"/>
      <c r="AJ702" s="256"/>
      <c r="AN702" s="256"/>
      <c r="AQ702" s="303"/>
      <c r="AR702" s="256"/>
      <c r="AU702" s="303"/>
      <c r="AV702" s="256"/>
      <c r="AY702" s="303"/>
      <c r="AZ702" s="256"/>
      <c r="BC702" s="303"/>
      <c r="BD702" s="256"/>
      <c r="BG702" s="303"/>
      <c r="BH702" s="256"/>
      <c r="BK702" s="303"/>
      <c r="BL702" s="256"/>
      <c r="BO702" s="303"/>
      <c r="BP702" s="256"/>
      <c r="BS702" s="303"/>
      <c r="BT702" s="256"/>
      <c r="BW702" s="303"/>
      <c r="BX702" s="346"/>
      <c r="BY702" s="22"/>
      <c r="BZ702" s="370">
        <f>BZ699/BZ725</f>
        <v>0.55687110269160944</v>
      </c>
      <c r="CA702" s="370">
        <f>CA699/CA725</f>
        <v>0.55529113120736162</v>
      </c>
      <c r="CB702" s="302"/>
      <c r="CC702" s="302"/>
      <c r="CD702" s="392"/>
      <c r="CE702" s="284"/>
      <c r="CF702" s="730"/>
      <c r="CG702" s="302"/>
      <c r="CH702" s="302"/>
      <c r="CI702" s="302"/>
      <c r="CJ702" s="302"/>
      <c r="CK702" s="302"/>
      <c r="CL702" s="302"/>
      <c r="CM702" s="302"/>
      <c r="CN702" s="302"/>
      <c r="CO702" s="302"/>
      <c r="CP702" s="303"/>
    </row>
    <row r="703" spans="2:94" ht="14.25" hidden="1" customHeight="1" outlineLevel="2">
      <c r="B703" s="217"/>
      <c r="D703" s="82"/>
      <c r="E703" s="80"/>
      <c r="F703" s="80"/>
      <c r="G703" s="262"/>
      <c r="H703" s="82"/>
      <c r="I703" s="80"/>
      <c r="J703" s="80"/>
      <c r="K703" s="262"/>
      <c r="L703" s="82"/>
      <c r="M703" s="80"/>
      <c r="N703" s="80"/>
      <c r="O703" s="262"/>
      <c r="P703" s="82"/>
      <c r="Q703" s="80"/>
      <c r="R703" s="80"/>
      <c r="S703" s="262"/>
      <c r="T703" s="82"/>
      <c r="U703" s="80"/>
      <c r="V703" s="80"/>
      <c r="W703" s="262"/>
      <c r="X703" s="82"/>
      <c r="Y703" s="80"/>
      <c r="Z703" s="80"/>
      <c r="AA703" s="262"/>
      <c r="AB703" s="82"/>
      <c r="AC703" s="80"/>
      <c r="AD703" s="80"/>
      <c r="AE703" s="262"/>
      <c r="AF703" s="82"/>
      <c r="AG703" s="80"/>
      <c r="AH703" s="80"/>
      <c r="AI703" s="262"/>
      <c r="AJ703" s="256"/>
      <c r="AN703" s="256"/>
      <c r="AQ703" s="303"/>
      <c r="AR703" s="256"/>
      <c r="AU703" s="303"/>
      <c r="AV703" s="256"/>
      <c r="AY703" s="303"/>
      <c r="AZ703" s="256"/>
      <c r="BC703" s="303"/>
      <c r="BD703" s="256"/>
      <c r="BG703" s="303"/>
      <c r="BH703" s="256"/>
      <c r="BK703" s="303"/>
      <c r="BL703" s="256"/>
      <c r="BO703" s="303"/>
      <c r="BP703" s="256"/>
      <c r="BS703" s="303"/>
      <c r="BT703" s="256"/>
      <c r="BW703" s="303"/>
      <c r="BX703" s="346"/>
      <c r="BY703" s="22"/>
      <c r="BZ703" s="284"/>
      <c r="CA703" s="284"/>
      <c r="CB703" s="302"/>
      <c r="CC703" s="302"/>
      <c r="CD703" s="392"/>
      <c r="CE703" s="284"/>
      <c r="CF703" s="730"/>
      <c r="CG703" s="302"/>
      <c r="CH703" s="302"/>
      <c r="CI703" s="302"/>
      <c r="CJ703" s="302"/>
      <c r="CK703" s="302"/>
      <c r="CL703" s="302"/>
      <c r="CM703" s="302"/>
      <c r="CN703" s="302"/>
      <c r="CO703" s="302"/>
      <c r="CP703" s="303"/>
    </row>
    <row r="704" spans="2:94" ht="14.25" hidden="1" customHeight="1" outlineLevel="2">
      <c r="B704" s="235" t="s">
        <v>244</v>
      </c>
      <c r="D704" s="375"/>
      <c r="E704" s="343"/>
      <c r="F704" s="343"/>
      <c r="G704" s="369"/>
      <c r="H704" s="422"/>
      <c r="I704" s="423"/>
      <c r="J704" s="423"/>
      <c r="K704" s="424"/>
      <c r="L704" s="422"/>
      <c r="M704" s="423"/>
      <c r="N704" s="423"/>
      <c r="O704" s="424"/>
      <c r="P704" s="375"/>
      <c r="Q704" s="343"/>
      <c r="R704" s="343"/>
      <c r="S704" s="369"/>
      <c r="T704" s="375"/>
      <c r="U704" s="343"/>
      <c r="V704" s="343"/>
      <c r="W704" s="369"/>
      <c r="X704" s="375"/>
      <c r="Y704" s="343"/>
      <c r="Z704" s="343"/>
      <c r="AA704" s="369"/>
      <c r="AB704" s="375"/>
      <c r="AC704" s="343"/>
      <c r="AD704" s="343"/>
      <c r="AE704" s="369"/>
      <c r="AF704" s="375"/>
      <c r="AG704" s="343"/>
      <c r="AH704" s="343"/>
      <c r="AI704" s="369"/>
      <c r="AJ704" s="256"/>
      <c r="AN704" s="256"/>
      <c r="AQ704" s="303"/>
      <c r="AR704" s="256"/>
      <c r="AU704" s="303"/>
      <c r="AV704" s="256"/>
      <c r="AY704" s="303"/>
      <c r="AZ704" s="256"/>
      <c r="BC704" s="303"/>
      <c r="BD704" s="256"/>
      <c r="BG704" s="303"/>
      <c r="BH704" s="256"/>
      <c r="BK704" s="303"/>
      <c r="BL704" s="256"/>
      <c r="BO704" s="303"/>
      <c r="BP704" s="256"/>
      <c r="BS704" s="303"/>
      <c r="BT704" s="256"/>
      <c r="BW704" s="303"/>
      <c r="BX704" s="346"/>
      <c r="BY704" s="22"/>
      <c r="BZ704" s="325"/>
      <c r="CA704" s="325"/>
      <c r="CB704" s="325"/>
      <c r="CC704" s="325"/>
      <c r="CD704" s="325"/>
      <c r="CE704" s="730"/>
      <c r="CF704" s="730"/>
      <c r="CG704" s="302"/>
      <c r="CH704" s="302"/>
      <c r="CI704" s="302"/>
      <c r="CJ704" s="302"/>
      <c r="CK704" s="302"/>
      <c r="CL704" s="302"/>
      <c r="CM704" s="302"/>
      <c r="CN704" s="302"/>
      <c r="CO704" s="302"/>
      <c r="CP704" s="303"/>
    </row>
    <row r="705" spans="2:94" ht="14.25" hidden="1" customHeight="1" outlineLevel="2">
      <c r="B705" s="217" t="s">
        <v>193</v>
      </c>
      <c r="D705" s="377"/>
      <c r="E705" s="370"/>
      <c r="F705" s="370"/>
      <c r="G705" s="369"/>
      <c r="H705" s="377"/>
      <c r="I705" s="370"/>
      <c r="J705" s="370"/>
      <c r="K705" s="370"/>
      <c r="L705" s="377"/>
      <c r="M705" s="370"/>
      <c r="N705" s="370"/>
      <c r="O705" s="370"/>
      <c r="P705" s="377"/>
      <c r="Q705" s="370"/>
      <c r="R705" s="370"/>
      <c r="S705" s="335"/>
      <c r="T705" s="377"/>
      <c r="U705" s="370"/>
      <c r="V705" s="370"/>
      <c r="W705" s="335"/>
      <c r="X705" s="377"/>
      <c r="Y705" s="370"/>
      <c r="Z705" s="370"/>
      <c r="AA705" s="335"/>
      <c r="AB705" s="377"/>
      <c r="AC705" s="370"/>
      <c r="AD705" s="370"/>
      <c r="AE705" s="335"/>
      <c r="AF705" s="377"/>
      <c r="AG705" s="370"/>
      <c r="AH705" s="370"/>
      <c r="AI705" s="335"/>
      <c r="AJ705" s="256"/>
      <c r="AN705" s="256"/>
      <c r="AQ705" s="303"/>
      <c r="AR705" s="256"/>
      <c r="AU705" s="303"/>
      <c r="AV705" s="256"/>
      <c r="AY705" s="303"/>
      <c r="AZ705" s="256"/>
      <c r="BC705" s="303"/>
      <c r="BD705" s="256"/>
      <c r="BG705" s="303"/>
      <c r="BH705" s="256"/>
      <c r="BK705" s="303"/>
      <c r="BL705" s="256"/>
      <c r="BO705" s="303"/>
      <c r="BP705" s="256"/>
      <c r="BS705" s="303"/>
      <c r="BT705" s="256"/>
      <c r="BW705" s="303"/>
      <c r="BX705" s="346"/>
      <c r="BY705" s="22"/>
      <c r="BZ705" s="370"/>
      <c r="CA705" s="370"/>
      <c r="CB705" s="325"/>
      <c r="CC705" s="325"/>
      <c r="CD705" s="392"/>
      <c r="CE705" s="730"/>
      <c r="CF705" s="730"/>
      <c r="CG705" s="302"/>
      <c r="CH705" s="302"/>
      <c r="CI705" s="302"/>
      <c r="CJ705" s="302"/>
      <c r="CK705" s="302"/>
      <c r="CL705" s="302"/>
      <c r="CM705" s="302"/>
      <c r="CN705" s="302"/>
      <c r="CO705" s="302"/>
      <c r="CP705" s="303"/>
    </row>
    <row r="706" spans="2:94" ht="14.25" hidden="1" customHeight="1" outlineLevel="2">
      <c r="B706" s="217"/>
      <c r="D706" s="82"/>
      <c r="E706" s="80"/>
      <c r="F706" s="80"/>
      <c r="G706" s="369"/>
      <c r="H706" s="82"/>
      <c r="I706" s="80"/>
      <c r="J706" s="80"/>
      <c r="K706" s="262"/>
      <c r="L706" s="82"/>
      <c r="M706" s="80"/>
      <c r="N706" s="80"/>
      <c r="O706" s="262"/>
      <c r="P706" s="82"/>
      <c r="Q706" s="80"/>
      <c r="R706" s="80"/>
      <c r="S706" s="262"/>
      <c r="T706" s="82"/>
      <c r="U706" s="80"/>
      <c r="V706" s="80"/>
      <c r="W706" s="262"/>
      <c r="X706" s="82"/>
      <c r="Y706" s="80"/>
      <c r="Z706" s="80"/>
      <c r="AA706" s="262"/>
      <c r="AB706" s="82"/>
      <c r="AC706" s="80"/>
      <c r="AD706" s="80"/>
      <c r="AE706" s="262"/>
      <c r="AF706" s="82"/>
      <c r="AG706" s="80"/>
      <c r="AH706" s="80"/>
      <c r="AI706" s="262"/>
      <c r="AJ706" s="256"/>
      <c r="AN706" s="256"/>
      <c r="AQ706" s="303"/>
      <c r="AR706" s="256"/>
      <c r="AU706" s="303"/>
      <c r="AV706" s="256"/>
      <c r="AY706" s="303"/>
      <c r="AZ706" s="256"/>
      <c r="BC706" s="303"/>
      <c r="BD706" s="256"/>
      <c r="BG706" s="303"/>
      <c r="BH706" s="256"/>
      <c r="BK706" s="303"/>
      <c r="BL706" s="256"/>
      <c r="BO706" s="303"/>
      <c r="BP706" s="256"/>
      <c r="BS706" s="303"/>
      <c r="BT706" s="256"/>
      <c r="BW706" s="303"/>
      <c r="BX706" s="346"/>
      <c r="BY706" s="22"/>
      <c r="BZ706" s="284"/>
      <c r="CA706" s="284"/>
      <c r="CB706" s="325"/>
      <c r="CC706" s="325"/>
      <c r="CD706" s="392"/>
      <c r="CE706" s="730"/>
      <c r="CF706" s="730"/>
      <c r="CG706" s="302"/>
      <c r="CH706" s="302"/>
      <c r="CI706" s="302"/>
      <c r="CJ706" s="302"/>
      <c r="CK706" s="302"/>
      <c r="CL706" s="302"/>
      <c r="CM706" s="302"/>
      <c r="CN706" s="302"/>
      <c r="CO706" s="302"/>
      <c r="CP706" s="303"/>
    </row>
    <row r="707" spans="2:94" ht="14.25" hidden="1" customHeight="1" outlineLevel="2">
      <c r="B707" s="235" t="s">
        <v>245</v>
      </c>
      <c r="D707" s="375"/>
      <c r="E707" s="343"/>
      <c r="F707" s="343"/>
      <c r="G707" s="369"/>
      <c r="H707" s="422">
        <v>21.2</v>
      </c>
      <c r="I707" s="423">
        <v>30.7</v>
      </c>
      <c r="J707" s="423">
        <v>26.1</v>
      </c>
      <c r="K707" s="424">
        <f>103.1-SUM(H707:J707)</f>
        <v>25.099999999999994</v>
      </c>
      <c r="L707" s="422">
        <v>24.2</v>
      </c>
      <c r="M707" s="423">
        <v>31.4</v>
      </c>
      <c r="N707" s="423">
        <v>29.8</v>
      </c>
      <c r="O707" s="424">
        <f>122.4-SUM(L707:N707)</f>
        <v>37.000000000000014</v>
      </c>
      <c r="P707" s="375"/>
      <c r="Q707" s="343"/>
      <c r="R707" s="343"/>
      <c r="S707" s="369"/>
      <c r="T707" s="375"/>
      <c r="U707" s="343"/>
      <c r="V707" s="343"/>
      <c r="W707" s="369"/>
      <c r="X707" s="375"/>
      <c r="Y707" s="343"/>
      <c r="Z707" s="343"/>
      <c r="AA707" s="369"/>
      <c r="AB707" s="375"/>
      <c r="AC707" s="343"/>
      <c r="AD707" s="343"/>
      <c r="AE707" s="369"/>
      <c r="AF707" s="375"/>
      <c r="AG707" s="343"/>
      <c r="AH707" s="343"/>
      <c r="AI707" s="369"/>
      <c r="AJ707" s="256"/>
      <c r="AN707" s="256"/>
      <c r="AQ707" s="303"/>
      <c r="AR707" s="256"/>
      <c r="AU707" s="303"/>
      <c r="AV707" s="256"/>
      <c r="AY707" s="303"/>
      <c r="AZ707" s="256"/>
      <c r="BC707" s="303"/>
      <c r="BD707" s="256"/>
      <c r="BG707" s="303"/>
      <c r="BH707" s="256"/>
      <c r="BK707" s="303"/>
      <c r="BL707" s="256"/>
      <c r="BO707" s="303"/>
      <c r="BP707" s="256"/>
      <c r="BS707" s="303"/>
      <c r="BT707" s="256"/>
      <c r="BW707" s="303"/>
      <c r="BX707" s="346"/>
      <c r="BY707" s="22"/>
      <c r="BZ707" s="284">
        <f>SUM(H707:K707)</f>
        <v>103.1</v>
      </c>
      <c r="CA707" s="284">
        <f>SUM(L707:O707)</f>
        <v>122.4</v>
      </c>
      <c r="CB707" s="325"/>
      <c r="CC707" s="325"/>
      <c r="CD707" s="325"/>
      <c r="CE707" s="730"/>
      <c r="CF707" s="730"/>
      <c r="CG707" s="302"/>
      <c r="CH707" s="302"/>
      <c r="CI707" s="302"/>
      <c r="CJ707" s="302"/>
      <c r="CK707" s="302"/>
      <c r="CL707" s="302"/>
      <c r="CM707" s="302"/>
      <c r="CN707" s="302"/>
      <c r="CO707" s="302"/>
      <c r="CP707" s="303"/>
    </row>
    <row r="708" spans="2:94" ht="14.25" hidden="1" customHeight="1" outlineLevel="2">
      <c r="B708" s="217" t="s">
        <v>297</v>
      </c>
      <c r="D708" s="377"/>
      <c r="E708" s="370"/>
      <c r="F708" s="370"/>
      <c r="G708" s="335"/>
      <c r="H708" s="425"/>
      <c r="I708" s="370">
        <f t="shared" ref="I708:O708" si="933">I707/H707-1</f>
        <v>0.44811320754716988</v>
      </c>
      <c r="J708" s="370">
        <f t="shared" si="933"/>
        <v>-0.14983713355048855</v>
      </c>
      <c r="K708" s="335">
        <f t="shared" si="933"/>
        <v>-3.8314176245211051E-2</v>
      </c>
      <c r="L708" s="425">
        <f t="shared" si="933"/>
        <v>-3.585657370517914E-2</v>
      </c>
      <c r="M708" s="370">
        <f t="shared" si="933"/>
        <v>0.29752066115702469</v>
      </c>
      <c r="N708" s="370">
        <f t="shared" si="933"/>
        <v>-5.0955414012738842E-2</v>
      </c>
      <c r="O708" s="335">
        <f t="shared" si="933"/>
        <v>0.2416107382550341</v>
      </c>
      <c r="P708" s="377"/>
      <c r="Q708" s="370"/>
      <c r="R708" s="370"/>
      <c r="S708" s="335"/>
      <c r="T708" s="377"/>
      <c r="U708" s="370"/>
      <c r="V708" s="370"/>
      <c r="W708" s="335"/>
      <c r="X708" s="377"/>
      <c r="Y708" s="370"/>
      <c r="Z708" s="370"/>
      <c r="AA708" s="335"/>
      <c r="AB708" s="377"/>
      <c r="AC708" s="370"/>
      <c r="AD708" s="370"/>
      <c r="AE708" s="335"/>
      <c r="AF708" s="377"/>
      <c r="AG708" s="370"/>
      <c r="AH708" s="370"/>
      <c r="AI708" s="335"/>
      <c r="AJ708" s="256"/>
      <c r="AN708" s="256"/>
      <c r="AQ708" s="303"/>
      <c r="AR708" s="256"/>
      <c r="AU708" s="303"/>
      <c r="AV708" s="256"/>
      <c r="AY708" s="303"/>
      <c r="AZ708" s="256"/>
      <c r="BC708" s="303"/>
      <c r="BD708" s="256"/>
      <c r="BG708" s="303"/>
      <c r="BH708" s="256"/>
      <c r="BK708" s="303"/>
      <c r="BL708" s="256"/>
      <c r="BO708" s="303"/>
      <c r="BP708" s="256"/>
      <c r="BS708" s="303"/>
      <c r="BT708" s="256"/>
      <c r="BW708" s="303"/>
      <c r="BX708" s="346"/>
      <c r="BY708" s="22"/>
      <c r="BZ708" s="284"/>
      <c r="CA708" s="284"/>
      <c r="CB708" s="302"/>
      <c r="CC708" s="302"/>
      <c r="CD708" s="392"/>
      <c r="CE708" s="392"/>
      <c r="CF708" s="392"/>
      <c r="CG708" s="302"/>
      <c r="CH708" s="302"/>
      <c r="CI708" s="302"/>
      <c r="CJ708" s="302"/>
      <c r="CK708" s="302"/>
      <c r="CL708" s="302"/>
      <c r="CM708" s="302"/>
      <c r="CN708" s="302"/>
      <c r="CO708" s="302"/>
      <c r="CP708" s="303"/>
    </row>
    <row r="709" spans="2:94" ht="14.25" hidden="1" customHeight="1" outlineLevel="2">
      <c r="B709" s="32" t="s">
        <v>298</v>
      </c>
      <c r="D709" s="377"/>
      <c r="E709" s="370"/>
      <c r="F709" s="370"/>
      <c r="G709" s="335"/>
      <c r="H709" s="425"/>
      <c r="I709" s="418"/>
      <c r="J709" s="418"/>
      <c r="K709" s="419"/>
      <c r="L709" s="425">
        <f>L707/H707-1</f>
        <v>0.14150943396226423</v>
      </c>
      <c r="M709" s="418">
        <f>M707/I707-1</f>
        <v>2.2801302931596101E-2</v>
      </c>
      <c r="N709" s="418">
        <f>N707/J707-1</f>
        <v>0.14176245210727956</v>
      </c>
      <c r="O709" s="419">
        <f>O707/K707-1</f>
        <v>0.47410358565737143</v>
      </c>
      <c r="P709" s="377"/>
      <c r="Q709" s="370"/>
      <c r="R709" s="370"/>
      <c r="S709" s="335"/>
      <c r="T709" s="377"/>
      <c r="U709" s="370"/>
      <c r="V709" s="370"/>
      <c r="W709" s="335"/>
      <c r="X709" s="377"/>
      <c r="Y709" s="370"/>
      <c r="Z709" s="370"/>
      <c r="AA709" s="335"/>
      <c r="AB709" s="377"/>
      <c r="AC709" s="370"/>
      <c r="AD709" s="370"/>
      <c r="AE709" s="335"/>
      <c r="AF709" s="377"/>
      <c r="AG709" s="370"/>
      <c r="AH709" s="370"/>
      <c r="AI709" s="335"/>
      <c r="AJ709" s="256"/>
      <c r="AN709" s="256"/>
      <c r="AQ709" s="303"/>
      <c r="AR709" s="256"/>
      <c r="AU709" s="303"/>
      <c r="AV709" s="256"/>
      <c r="AY709" s="303"/>
      <c r="AZ709" s="256"/>
      <c r="BC709" s="303"/>
      <c r="BD709" s="256"/>
      <c r="BG709" s="303"/>
      <c r="BH709" s="256"/>
      <c r="BK709" s="303"/>
      <c r="BL709" s="256"/>
      <c r="BO709" s="303"/>
      <c r="BP709" s="256"/>
      <c r="BS709" s="303"/>
      <c r="BT709" s="256"/>
      <c r="BW709" s="303"/>
      <c r="BX709" s="346"/>
      <c r="BY709" s="22"/>
      <c r="BZ709" s="418"/>
      <c r="CA709" s="418">
        <f>CA707/BZ707-1</f>
        <v>0.18719689621726499</v>
      </c>
      <c r="CB709" s="302"/>
      <c r="CC709" s="302"/>
      <c r="CD709" s="392"/>
      <c r="CE709" s="392"/>
      <c r="CF709" s="392"/>
      <c r="CG709" s="302"/>
      <c r="CH709" s="302"/>
      <c r="CI709" s="302"/>
      <c r="CJ709" s="302"/>
      <c r="CK709" s="302"/>
      <c r="CL709" s="302"/>
      <c r="CM709" s="302"/>
      <c r="CN709" s="302"/>
      <c r="CO709" s="302"/>
      <c r="CP709" s="303"/>
    </row>
    <row r="710" spans="2:94" ht="14.25" hidden="1" customHeight="1" outlineLevel="2">
      <c r="B710" s="217" t="s">
        <v>374</v>
      </c>
      <c r="D710" s="377"/>
      <c r="E710" s="370"/>
      <c r="F710" s="370"/>
      <c r="G710" s="335"/>
      <c r="H710" s="377">
        <f t="shared" ref="H710:O710" si="934">H707/H699</f>
        <v>0.12544378698224851</v>
      </c>
      <c r="I710" s="370">
        <f t="shared" si="934"/>
        <v>0.16540948275862069</v>
      </c>
      <c r="J710" s="370">
        <f t="shared" si="934"/>
        <v>0.1468767585818796</v>
      </c>
      <c r="K710" s="335">
        <f t="shared" si="934"/>
        <v>0.14491916859122395</v>
      </c>
      <c r="L710" s="377">
        <f t="shared" si="934"/>
        <v>0.14294152392203188</v>
      </c>
      <c r="M710" s="370">
        <f t="shared" si="934"/>
        <v>0.18557919621749408</v>
      </c>
      <c r="N710" s="370">
        <f t="shared" si="934"/>
        <v>0.17116599655370476</v>
      </c>
      <c r="O710" s="335">
        <f t="shared" si="934"/>
        <v>0.19743863393810043</v>
      </c>
      <c r="P710" s="377"/>
      <c r="Q710" s="370"/>
      <c r="R710" s="370"/>
      <c r="S710" s="335"/>
      <c r="T710" s="377"/>
      <c r="U710" s="370"/>
      <c r="V710" s="370"/>
      <c r="W710" s="335"/>
      <c r="X710" s="377"/>
      <c r="Y710" s="370"/>
      <c r="Z710" s="370"/>
      <c r="AA710" s="335"/>
      <c r="AB710" s="377"/>
      <c r="AC710" s="370"/>
      <c r="AD710" s="370"/>
      <c r="AE710" s="335"/>
      <c r="AF710" s="377"/>
      <c r="AG710" s="370"/>
      <c r="AH710" s="370"/>
      <c r="AI710" s="335"/>
      <c r="AJ710" s="256"/>
      <c r="AN710" s="256"/>
      <c r="AQ710" s="303"/>
      <c r="AR710" s="256"/>
      <c r="AU710" s="303"/>
      <c r="AV710" s="256"/>
      <c r="AY710" s="303"/>
      <c r="AZ710" s="256"/>
      <c r="BC710" s="303"/>
      <c r="BD710" s="256"/>
      <c r="BG710" s="303"/>
      <c r="BH710" s="256"/>
      <c r="BK710" s="303"/>
      <c r="BL710" s="256"/>
      <c r="BO710" s="303"/>
      <c r="BP710" s="256"/>
      <c r="BS710" s="303"/>
      <c r="BT710" s="256"/>
      <c r="BW710" s="303"/>
      <c r="BX710" s="346"/>
      <c r="BY710" s="22"/>
      <c r="BZ710" s="370">
        <f>BZ707/BZ699</f>
        <v>0.14613749114103472</v>
      </c>
      <c r="CA710" s="370">
        <f>CA707/CA699</f>
        <v>0.17485714285714288</v>
      </c>
      <c r="CB710" s="302"/>
      <c r="CC710" s="302"/>
      <c r="CD710" s="392"/>
      <c r="CE710" s="392"/>
      <c r="CF710" s="392"/>
      <c r="CG710" s="302"/>
      <c r="CH710" s="302"/>
      <c r="CI710" s="302"/>
      <c r="CJ710" s="302"/>
      <c r="CK710" s="302"/>
      <c r="CL710" s="302"/>
      <c r="CM710" s="302"/>
      <c r="CN710" s="302"/>
      <c r="CO710" s="302"/>
      <c r="CP710" s="303"/>
    </row>
    <row r="711" spans="2:94" ht="14.25" hidden="1" customHeight="1" outlineLevel="2">
      <c r="B711" s="236"/>
      <c r="D711" s="285"/>
      <c r="E711" s="1"/>
      <c r="F711" s="279"/>
      <c r="G711" s="280"/>
      <c r="H711" s="285"/>
      <c r="I711" s="1"/>
      <c r="J711" s="279"/>
      <c r="K711" s="280"/>
      <c r="L711" s="285"/>
      <c r="M711" s="1"/>
      <c r="N711" s="279"/>
      <c r="O711" s="280"/>
      <c r="P711" s="285"/>
      <c r="Q711" s="1"/>
      <c r="R711" s="279"/>
      <c r="S711" s="280"/>
      <c r="T711" s="285"/>
      <c r="U711" s="1"/>
      <c r="V711" s="279"/>
      <c r="W711" s="280"/>
      <c r="X711" s="285"/>
      <c r="Y711" s="1"/>
      <c r="Z711" s="279"/>
      <c r="AA711" s="280"/>
      <c r="AB711" s="285"/>
      <c r="AC711" s="1"/>
      <c r="AD711" s="279"/>
      <c r="AE711" s="280"/>
      <c r="AF711" s="285"/>
      <c r="AG711" s="1"/>
      <c r="AH711" s="279"/>
      <c r="AI711" s="280"/>
      <c r="AJ711" s="731"/>
      <c r="AK711" s="304"/>
      <c r="AL711" s="304"/>
      <c r="AM711" s="304"/>
      <c r="AN711" s="731"/>
      <c r="AO711" s="304"/>
      <c r="AP711" s="304"/>
      <c r="AQ711" s="305"/>
      <c r="AR711" s="731"/>
      <c r="AS711" s="304"/>
      <c r="AT711" s="304"/>
      <c r="AU711" s="305"/>
      <c r="AV711" s="731"/>
      <c r="AW711" s="304"/>
      <c r="AX711" s="304"/>
      <c r="AY711" s="305"/>
      <c r="AZ711" s="731"/>
      <c r="BA711" s="304"/>
      <c r="BB711" s="304"/>
      <c r="BC711" s="305"/>
      <c r="BD711" s="731"/>
      <c r="BE711" s="304"/>
      <c r="BF711" s="304"/>
      <c r="BG711" s="305"/>
      <c r="BH711" s="731"/>
      <c r="BI711" s="304"/>
      <c r="BJ711" s="304"/>
      <c r="BK711" s="305"/>
      <c r="BL711" s="731"/>
      <c r="BM711" s="304"/>
      <c r="BN711" s="304"/>
      <c r="BO711" s="305"/>
      <c r="BP711" s="731"/>
      <c r="BQ711" s="304"/>
      <c r="BR711" s="304"/>
      <c r="BS711" s="305"/>
      <c r="BT711" s="731"/>
      <c r="BU711" s="304"/>
      <c r="BV711" s="304"/>
      <c r="BW711" s="305"/>
      <c r="BX711" s="346"/>
      <c r="BY711" s="16"/>
      <c r="BZ711" s="482"/>
      <c r="CA711" s="482"/>
      <c r="CB711" s="304"/>
      <c r="CC711" s="304"/>
      <c r="CD711" s="249"/>
      <c r="CE711" s="249"/>
      <c r="CF711" s="249"/>
      <c r="CG711" s="304"/>
      <c r="CH711" s="304"/>
      <c r="CI711" s="304"/>
      <c r="CJ711" s="304"/>
      <c r="CK711" s="304"/>
      <c r="CL711" s="304"/>
      <c r="CM711" s="304"/>
      <c r="CN711" s="304"/>
      <c r="CO711" s="304"/>
      <c r="CP711" s="305"/>
    </row>
    <row r="712" spans="2:94" ht="14.25" hidden="1" customHeight="1" outlineLevel="2">
      <c r="B712" s="235" t="s">
        <v>246</v>
      </c>
      <c r="D712" s="393"/>
      <c r="E712" s="343"/>
      <c r="F712" s="343"/>
      <c r="G712" s="369"/>
      <c r="H712" s="762">
        <v>139.19999999999999</v>
      </c>
      <c r="I712" s="423">
        <v>147.9</v>
      </c>
      <c r="J712" s="423">
        <v>140.69999999999999</v>
      </c>
      <c r="K712" s="424">
        <f>561.4-SUM(H712:J712)</f>
        <v>133.59999999999997</v>
      </c>
      <c r="L712" s="762">
        <v>133.1</v>
      </c>
      <c r="M712" s="423">
        <v>133.6</v>
      </c>
      <c r="N712" s="423">
        <v>139.5</v>
      </c>
      <c r="O712" s="424">
        <f>560.6-SUM(L712:N712)</f>
        <v>154.40000000000003</v>
      </c>
      <c r="P712" s="393"/>
      <c r="Q712" s="343"/>
      <c r="R712" s="343"/>
      <c r="S712" s="369"/>
      <c r="T712" s="393"/>
      <c r="U712" s="343"/>
      <c r="V712" s="343"/>
      <c r="W712" s="369"/>
      <c r="X712" s="393"/>
      <c r="Y712" s="343"/>
      <c r="Z712" s="343"/>
      <c r="AA712" s="369"/>
      <c r="AB712" s="393"/>
      <c r="AC712" s="343"/>
      <c r="AD712" s="343"/>
      <c r="AE712" s="369"/>
      <c r="AF712" s="393"/>
      <c r="AG712" s="343"/>
      <c r="AH712" s="343"/>
      <c r="AI712" s="369"/>
      <c r="AJ712" s="256"/>
      <c r="AN712" s="256"/>
      <c r="AQ712" s="303"/>
      <c r="AR712" s="256"/>
      <c r="AU712" s="303"/>
      <c r="AV712" s="256"/>
      <c r="AY712" s="303"/>
      <c r="AZ712" s="256"/>
      <c r="BC712" s="303"/>
      <c r="BD712" s="256"/>
      <c r="BG712" s="303"/>
      <c r="BH712" s="256"/>
      <c r="BK712" s="303"/>
      <c r="BL712" s="256"/>
      <c r="BO712" s="303"/>
      <c r="BP712" s="256"/>
      <c r="BS712" s="303"/>
      <c r="BT712" s="256"/>
      <c r="BW712" s="303"/>
      <c r="BX712" s="346"/>
      <c r="BY712" s="668"/>
      <c r="BZ712" s="248">
        <f>SUM(H712:K712)</f>
        <v>561.4</v>
      </c>
      <c r="CA712" s="248">
        <f>SUM(L712:O712)</f>
        <v>560.6</v>
      </c>
      <c r="CB712" s="325"/>
      <c r="CC712" s="325"/>
      <c r="CD712" s="325"/>
      <c r="CE712" s="730"/>
      <c r="CF712" s="730"/>
      <c r="CG712" s="302"/>
      <c r="CH712" s="302"/>
      <c r="CI712" s="302"/>
      <c r="CJ712" s="302"/>
      <c r="CK712" s="302"/>
      <c r="CL712" s="302"/>
      <c r="CM712" s="302"/>
      <c r="CN712" s="302"/>
      <c r="CO712" s="302"/>
      <c r="CP712" s="303"/>
    </row>
    <row r="713" spans="2:94" ht="14.25" hidden="1" customHeight="1" outlineLevel="2">
      <c r="B713" s="217" t="s">
        <v>297</v>
      </c>
      <c r="D713" s="377"/>
      <c r="E713" s="370"/>
      <c r="F713" s="370"/>
      <c r="G713" s="369"/>
      <c r="H713" s="425"/>
      <c r="I713" s="370">
        <f t="shared" ref="I713:O713" si="935">I712/H712-1</f>
        <v>6.2500000000000222E-2</v>
      </c>
      <c r="J713" s="370">
        <f t="shared" si="935"/>
        <v>-4.8681541582150212E-2</v>
      </c>
      <c r="K713" s="370">
        <f t="shared" si="935"/>
        <v>-5.0461975835110362E-2</v>
      </c>
      <c r="L713" s="425">
        <f t="shared" si="935"/>
        <v>-3.7425149700596183E-3</v>
      </c>
      <c r="M713" s="370">
        <f t="shared" si="935"/>
        <v>3.7565740045077956E-3</v>
      </c>
      <c r="N713" s="370">
        <f t="shared" si="935"/>
        <v>4.416167664670656E-2</v>
      </c>
      <c r="O713" s="370">
        <f t="shared" si="935"/>
        <v>0.10681003584229409</v>
      </c>
      <c r="P713" s="377"/>
      <c r="Q713" s="370"/>
      <c r="R713" s="370"/>
      <c r="S713" s="335"/>
      <c r="T713" s="377"/>
      <c r="U713" s="370"/>
      <c r="V713" s="370"/>
      <c r="W713" s="335"/>
      <c r="X713" s="377"/>
      <c r="Y713" s="370"/>
      <c r="Z713" s="370"/>
      <c r="AA713" s="335"/>
      <c r="AB713" s="377"/>
      <c r="AC713" s="370"/>
      <c r="AD713" s="370"/>
      <c r="AE713" s="335"/>
      <c r="AF713" s="377"/>
      <c r="AG713" s="370"/>
      <c r="AH713" s="370"/>
      <c r="AI713" s="335"/>
      <c r="AJ713" s="256"/>
      <c r="AN713" s="256"/>
      <c r="AQ713" s="303"/>
      <c r="AR713" s="256"/>
      <c r="AU713" s="303"/>
      <c r="AV713" s="256"/>
      <c r="AY713" s="303"/>
      <c r="AZ713" s="256"/>
      <c r="BC713" s="303"/>
      <c r="BD713" s="256"/>
      <c r="BG713" s="303"/>
      <c r="BH713" s="256"/>
      <c r="BK713" s="303"/>
      <c r="BL713" s="256"/>
      <c r="BO713" s="303"/>
      <c r="BP713" s="256"/>
      <c r="BS713" s="303"/>
      <c r="BT713" s="256"/>
      <c r="BW713" s="303"/>
      <c r="BX713" s="346"/>
      <c r="BY713" s="22"/>
      <c r="BZ713" s="284"/>
      <c r="CA713" s="284"/>
      <c r="CB713" s="302"/>
      <c r="CC713" s="302"/>
      <c r="CD713" s="392"/>
      <c r="CE713" s="730"/>
      <c r="CF713" s="730"/>
      <c r="CG713" s="302"/>
      <c r="CH713" s="302"/>
      <c r="CI713" s="302"/>
      <c r="CJ713" s="302"/>
      <c r="CK713" s="302"/>
      <c r="CL713" s="302"/>
      <c r="CM713" s="302"/>
      <c r="CN713" s="302"/>
      <c r="CO713" s="302"/>
      <c r="CP713" s="303"/>
    </row>
    <row r="714" spans="2:94" ht="14.25" hidden="1" customHeight="1" outlineLevel="2">
      <c r="B714" s="32" t="s">
        <v>298</v>
      </c>
      <c r="D714" s="377"/>
      <c r="E714" s="370"/>
      <c r="F714" s="370"/>
      <c r="G714" s="369"/>
      <c r="H714" s="425"/>
      <c r="I714" s="418"/>
      <c r="J714" s="418"/>
      <c r="K714" s="419"/>
      <c r="L714" s="425">
        <f>L712/H712-1</f>
        <v>-4.3821839080459779E-2</v>
      </c>
      <c r="M714" s="418">
        <f>M712/I712-1</f>
        <v>-9.6686950642326019E-2</v>
      </c>
      <c r="N714" s="418">
        <f>N712/J712-1</f>
        <v>-8.5287846481875151E-3</v>
      </c>
      <c r="O714" s="419">
        <f>O712/K712-1</f>
        <v>0.15568862275449158</v>
      </c>
      <c r="P714" s="377"/>
      <c r="Q714" s="370"/>
      <c r="R714" s="370"/>
      <c r="S714" s="335"/>
      <c r="T714" s="377"/>
      <c r="U714" s="370"/>
      <c r="V714" s="370"/>
      <c r="W714" s="335"/>
      <c r="X714" s="377"/>
      <c r="Y714" s="370"/>
      <c r="Z714" s="370"/>
      <c r="AA714" s="335"/>
      <c r="AB714" s="377"/>
      <c r="AC714" s="370"/>
      <c r="AD714" s="370"/>
      <c r="AE714" s="335"/>
      <c r="AF714" s="377"/>
      <c r="AG714" s="370"/>
      <c r="AH714" s="370"/>
      <c r="AI714" s="335"/>
      <c r="AJ714" s="256"/>
      <c r="AN714" s="256"/>
      <c r="AQ714" s="303"/>
      <c r="AR714" s="256"/>
      <c r="AU714" s="303"/>
      <c r="AV714" s="256"/>
      <c r="AY714" s="303"/>
      <c r="AZ714" s="256"/>
      <c r="BC714" s="303"/>
      <c r="BD714" s="256"/>
      <c r="BG714" s="303"/>
      <c r="BH714" s="256"/>
      <c r="BK714" s="303"/>
      <c r="BL714" s="256"/>
      <c r="BO714" s="303"/>
      <c r="BP714" s="256"/>
      <c r="BS714" s="303"/>
      <c r="BT714" s="256"/>
      <c r="BW714" s="303"/>
      <c r="BX714" s="346"/>
      <c r="BY714" s="22"/>
      <c r="BZ714" s="418"/>
      <c r="CA714" s="418">
        <f>CA712/BZ712-1</f>
        <v>-1.4250089063055915E-3</v>
      </c>
      <c r="CB714" s="302"/>
      <c r="CC714" s="302"/>
      <c r="CD714" s="392"/>
      <c r="CE714" s="730"/>
      <c r="CF714" s="730"/>
      <c r="CG714" s="302"/>
      <c r="CH714" s="302"/>
      <c r="CI714" s="302"/>
      <c r="CJ714" s="302"/>
      <c r="CK714" s="302"/>
      <c r="CL714" s="302"/>
      <c r="CM714" s="302"/>
      <c r="CN714" s="302"/>
      <c r="CO714" s="302"/>
      <c r="CP714" s="303"/>
    </row>
    <row r="715" spans="2:94" ht="14.25" hidden="1" customHeight="1" outlineLevel="2">
      <c r="B715" s="217" t="s">
        <v>299</v>
      </c>
      <c r="D715" s="359"/>
      <c r="E715" s="370"/>
      <c r="F715" s="370"/>
      <c r="G715" s="369"/>
      <c r="H715" s="359">
        <f t="shared" ref="H715:O715" si="936">H712/H725</f>
        <v>0.45165476963011031</v>
      </c>
      <c r="I715" s="370">
        <f t="shared" si="936"/>
        <v>0.44347826086956521</v>
      </c>
      <c r="J715" s="370">
        <f t="shared" si="936"/>
        <v>0.44189698492462309</v>
      </c>
      <c r="K715" s="370">
        <f t="shared" si="936"/>
        <v>0.43546284224250315</v>
      </c>
      <c r="L715" s="359">
        <f t="shared" si="936"/>
        <v>0.44014550264550267</v>
      </c>
      <c r="M715" s="370">
        <f t="shared" si="936"/>
        <v>0.44121532364597099</v>
      </c>
      <c r="N715" s="370">
        <f t="shared" si="936"/>
        <v>0.44483418367346933</v>
      </c>
      <c r="O715" s="370">
        <f t="shared" si="936"/>
        <v>0.45172615564657703</v>
      </c>
      <c r="P715" s="359"/>
      <c r="Q715" s="370"/>
      <c r="R715" s="370"/>
      <c r="S715" s="337"/>
      <c r="T715" s="359"/>
      <c r="U715" s="370"/>
      <c r="V715" s="370"/>
      <c r="W715" s="337"/>
      <c r="X715" s="359"/>
      <c r="Y715" s="370"/>
      <c r="Z715" s="370"/>
      <c r="AA715" s="337"/>
      <c r="AB715" s="359"/>
      <c r="AC715" s="370"/>
      <c r="AD715" s="370"/>
      <c r="AE715" s="337"/>
      <c r="AF715" s="359"/>
      <c r="AG715" s="370"/>
      <c r="AH715" s="370"/>
      <c r="AI715" s="337"/>
      <c r="AJ715" s="256"/>
      <c r="AN715" s="256"/>
      <c r="AQ715" s="303"/>
      <c r="AR715" s="256"/>
      <c r="AU715" s="303"/>
      <c r="AV715" s="256"/>
      <c r="AY715" s="303"/>
      <c r="AZ715" s="256"/>
      <c r="BC715" s="303"/>
      <c r="BD715" s="256"/>
      <c r="BG715" s="303"/>
      <c r="BH715" s="256"/>
      <c r="BK715" s="303"/>
      <c r="BL715" s="256"/>
      <c r="BO715" s="303"/>
      <c r="BP715" s="256"/>
      <c r="BS715" s="303"/>
      <c r="BT715" s="256"/>
      <c r="BW715" s="303"/>
      <c r="BX715" s="346"/>
      <c r="BY715" s="22"/>
      <c r="BZ715" s="370">
        <f>BZ712/BZ725</f>
        <v>0.4431288973083905</v>
      </c>
      <c r="CA715" s="370">
        <f>CA712/CA725</f>
        <v>0.44470886879263849</v>
      </c>
      <c r="CB715" s="302"/>
      <c r="CC715" s="302"/>
      <c r="CD715" s="392"/>
      <c r="CE715" s="730"/>
      <c r="CF715" s="730"/>
      <c r="CG715" s="302"/>
      <c r="CH715" s="302"/>
      <c r="CI715" s="302"/>
      <c r="CJ715" s="302"/>
      <c r="CK715" s="302"/>
      <c r="CL715" s="302"/>
      <c r="CM715" s="302"/>
      <c r="CN715" s="302"/>
      <c r="CO715" s="302"/>
      <c r="CP715" s="303"/>
    </row>
    <row r="716" spans="2:94" ht="14.25" hidden="1" customHeight="1" outlineLevel="2">
      <c r="B716" s="217"/>
      <c r="D716" s="260"/>
      <c r="E716" s="80"/>
      <c r="F716" s="80"/>
      <c r="G716" s="369"/>
      <c r="H716" s="260"/>
      <c r="I716" s="80"/>
      <c r="J716" s="80"/>
      <c r="K716" s="262"/>
      <c r="L716" s="260"/>
      <c r="M716" s="80"/>
      <c r="N716" s="80"/>
      <c r="O716" s="262"/>
      <c r="P716" s="260"/>
      <c r="Q716" s="80"/>
      <c r="R716" s="80"/>
      <c r="S716" s="262"/>
      <c r="T716" s="260"/>
      <c r="U716" s="80"/>
      <c r="V716" s="80"/>
      <c r="W716" s="262"/>
      <c r="X716" s="260"/>
      <c r="Y716" s="80"/>
      <c r="Z716" s="80"/>
      <c r="AA716" s="262"/>
      <c r="AB716" s="260"/>
      <c r="AC716" s="80"/>
      <c r="AD716" s="80"/>
      <c r="AE716" s="262"/>
      <c r="AF716" s="260"/>
      <c r="AG716" s="80"/>
      <c r="AH716" s="80"/>
      <c r="AI716" s="262"/>
      <c r="AJ716" s="256"/>
      <c r="AN716" s="256"/>
      <c r="AQ716" s="303"/>
      <c r="AR716" s="256"/>
      <c r="AU716" s="303"/>
      <c r="AV716" s="256"/>
      <c r="AY716" s="303"/>
      <c r="AZ716" s="256"/>
      <c r="BC716" s="303"/>
      <c r="BD716" s="256"/>
      <c r="BG716" s="303"/>
      <c r="BH716" s="256"/>
      <c r="BK716" s="303"/>
      <c r="BL716" s="256"/>
      <c r="BO716" s="303"/>
      <c r="BP716" s="256"/>
      <c r="BS716" s="303"/>
      <c r="BT716" s="256"/>
      <c r="BW716" s="303"/>
      <c r="BX716" s="346"/>
      <c r="BY716" s="22"/>
      <c r="BZ716" s="284"/>
      <c r="CA716" s="284"/>
      <c r="CB716" s="302"/>
      <c r="CC716" s="302"/>
      <c r="CD716" s="392"/>
      <c r="CE716" s="730"/>
      <c r="CF716" s="730"/>
      <c r="CG716" s="302"/>
      <c r="CH716" s="302"/>
      <c r="CI716" s="302"/>
      <c r="CJ716" s="302"/>
      <c r="CK716" s="302"/>
      <c r="CL716" s="302"/>
      <c r="CM716" s="302"/>
      <c r="CN716" s="302"/>
      <c r="CO716" s="302"/>
      <c r="CP716" s="303"/>
    </row>
    <row r="717" spans="2:94" ht="14.25" hidden="1" customHeight="1" outlineLevel="2">
      <c r="B717" s="235" t="s">
        <v>247</v>
      </c>
      <c r="D717" s="375"/>
      <c r="E717" s="343"/>
      <c r="F717" s="343"/>
      <c r="G717" s="369"/>
      <c r="H717" s="422"/>
      <c r="I717" s="423"/>
      <c r="J717" s="423"/>
      <c r="K717" s="424"/>
      <c r="L717" s="422"/>
      <c r="M717" s="423"/>
      <c r="N717" s="423"/>
      <c r="O717" s="424"/>
      <c r="P717" s="375"/>
      <c r="Q717" s="343"/>
      <c r="R717" s="343"/>
      <c r="S717" s="369"/>
      <c r="T717" s="375"/>
      <c r="U717" s="343"/>
      <c r="V717" s="343"/>
      <c r="W717" s="369"/>
      <c r="X717" s="375"/>
      <c r="Y717" s="343"/>
      <c r="Z717" s="343"/>
      <c r="AA717" s="369"/>
      <c r="AB717" s="375"/>
      <c r="AC717" s="343"/>
      <c r="AD717" s="343"/>
      <c r="AE717" s="369"/>
      <c r="AF717" s="375"/>
      <c r="AG717" s="343"/>
      <c r="AH717" s="343"/>
      <c r="AI717" s="369"/>
      <c r="AJ717" s="256"/>
      <c r="AN717" s="256"/>
      <c r="AQ717" s="303"/>
      <c r="AR717" s="256"/>
      <c r="AU717" s="303"/>
      <c r="AV717" s="256"/>
      <c r="AY717" s="303"/>
      <c r="AZ717" s="256"/>
      <c r="BC717" s="303"/>
      <c r="BD717" s="256"/>
      <c r="BG717" s="303"/>
      <c r="BH717" s="256"/>
      <c r="BK717" s="303"/>
      <c r="BL717" s="256"/>
      <c r="BO717" s="303"/>
      <c r="BP717" s="256"/>
      <c r="BS717" s="303"/>
      <c r="BT717" s="256"/>
      <c r="BW717" s="303"/>
      <c r="BX717" s="346"/>
      <c r="BY717" s="22"/>
      <c r="BZ717" s="325"/>
      <c r="CA717" s="325"/>
      <c r="CB717" s="325"/>
      <c r="CC717" s="325"/>
      <c r="CD717" s="325"/>
      <c r="CE717" s="730"/>
      <c r="CF717" s="730"/>
      <c r="CG717" s="302"/>
      <c r="CH717" s="302"/>
      <c r="CI717" s="302"/>
      <c r="CJ717" s="302"/>
      <c r="CK717" s="302"/>
      <c r="CL717" s="302"/>
      <c r="CM717" s="302"/>
      <c r="CN717" s="302"/>
      <c r="CO717" s="302"/>
      <c r="CP717" s="303"/>
    </row>
    <row r="718" spans="2:94" ht="14.25" hidden="1" customHeight="1" outlineLevel="2">
      <c r="B718" s="217" t="s">
        <v>193</v>
      </c>
      <c r="D718" s="377"/>
      <c r="E718" s="370"/>
      <c r="F718" s="370"/>
      <c r="G718" s="369"/>
      <c r="H718" s="377"/>
      <c r="I718" s="370"/>
      <c r="J718" s="370"/>
      <c r="K718" s="370"/>
      <c r="L718" s="377"/>
      <c r="M718" s="370"/>
      <c r="N718" s="370"/>
      <c r="O718" s="370"/>
      <c r="P718" s="377"/>
      <c r="Q718" s="370"/>
      <c r="R718" s="370"/>
      <c r="S718" s="335"/>
      <c r="T718" s="377"/>
      <c r="U718" s="370"/>
      <c r="V718" s="370"/>
      <c r="W718" s="335"/>
      <c r="X718" s="377"/>
      <c r="Y718" s="370"/>
      <c r="Z718" s="370"/>
      <c r="AA718" s="335"/>
      <c r="AB718" s="377"/>
      <c r="AC718" s="370"/>
      <c r="AD718" s="370"/>
      <c r="AE718" s="335"/>
      <c r="AF718" s="377"/>
      <c r="AG718" s="370"/>
      <c r="AH718" s="370"/>
      <c r="AI718" s="335"/>
      <c r="AJ718" s="256"/>
      <c r="AN718" s="256"/>
      <c r="AQ718" s="303"/>
      <c r="AR718" s="256"/>
      <c r="AU718" s="303"/>
      <c r="AV718" s="256"/>
      <c r="AY718" s="303"/>
      <c r="AZ718" s="256"/>
      <c r="BC718" s="303"/>
      <c r="BD718" s="256"/>
      <c r="BG718" s="303"/>
      <c r="BH718" s="256"/>
      <c r="BK718" s="303"/>
      <c r="BL718" s="256"/>
      <c r="BO718" s="303"/>
      <c r="BP718" s="256"/>
      <c r="BS718" s="303"/>
      <c r="BT718" s="256"/>
      <c r="BW718" s="303"/>
      <c r="BX718" s="346"/>
      <c r="BY718" s="22"/>
      <c r="BZ718" s="370"/>
      <c r="CA718" s="370"/>
      <c r="CB718" s="325"/>
      <c r="CC718" s="325"/>
      <c r="CD718" s="392"/>
      <c r="CE718" s="730"/>
      <c r="CF718" s="730"/>
      <c r="CG718" s="302"/>
      <c r="CH718" s="302"/>
      <c r="CI718" s="302"/>
      <c r="CJ718" s="302"/>
      <c r="CK718" s="302"/>
      <c r="CL718" s="302"/>
      <c r="CM718" s="302"/>
      <c r="CN718" s="302"/>
      <c r="CO718" s="302"/>
      <c r="CP718" s="303"/>
    </row>
    <row r="719" spans="2:94" ht="14.25" hidden="1" customHeight="1" outlineLevel="2">
      <c r="B719" s="217"/>
      <c r="D719" s="82"/>
      <c r="E719" s="80"/>
      <c r="F719" s="80"/>
      <c r="G719" s="369"/>
      <c r="H719" s="82"/>
      <c r="I719" s="80"/>
      <c r="J719" s="80"/>
      <c r="K719" s="262"/>
      <c r="L719" s="82"/>
      <c r="M719" s="80"/>
      <c r="N719" s="80"/>
      <c r="O719" s="262"/>
      <c r="P719" s="82"/>
      <c r="Q719" s="80"/>
      <c r="R719" s="80"/>
      <c r="S719" s="262"/>
      <c r="T719" s="82"/>
      <c r="U719" s="80"/>
      <c r="V719" s="80"/>
      <c r="W719" s="262"/>
      <c r="X719" s="82"/>
      <c r="Y719" s="80"/>
      <c r="Z719" s="80"/>
      <c r="AA719" s="262"/>
      <c r="AB719" s="82"/>
      <c r="AC719" s="80"/>
      <c r="AD719" s="80"/>
      <c r="AE719" s="262"/>
      <c r="AF719" s="82"/>
      <c r="AG719" s="80"/>
      <c r="AH719" s="80"/>
      <c r="AI719" s="262"/>
      <c r="AJ719" s="256"/>
      <c r="AN719" s="256"/>
      <c r="AQ719" s="303"/>
      <c r="AR719" s="256"/>
      <c r="AU719" s="303"/>
      <c r="AV719" s="256"/>
      <c r="AY719" s="303"/>
      <c r="AZ719" s="256"/>
      <c r="BC719" s="303"/>
      <c r="BD719" s="256"/>
      <c r="BG719" s="303"/>
      <c r="BH719" s="256"/>
      <c r="BK719" s="303"/>
      <c r="BL719" s="256"/>
      <c r="BO719" s="303"/>
      <c r="BP719" s="256"/>
      <c r="BS719" s="303"/>
      <c r="BT719" s="256"/>
      <c r="BW719" s="303"/>
      <c r="BX719" s="346"/>
      <c r="BY719" s="22"/>
      <c r="BZ719" s="284"/>
      <c r="CA719" s="284"/>
      <c r="CB719" s="325"/>
      <c r="CC719" s="325"/>
      <c r="CD719" s="392"/>
      <c r="CE719" s="730"/>
      <c r="CF719" s="730"/>
      <c r="CG719" s="302"/>
      <c r="CH719" s="302"/>
      <c r="CI719" s="302"/>
      <c r="CJ719" s="302"/>
      <c r="CK719" s="302"/>
      <c r="CL719" s="302"/>
      <c r="CM719" s="302"/>
      <c r="CN719" s="302"/>
      <c r="CO719" s="302"/>
      <c r="CP719" s="303"/>
    </row>
    <row r="720" spans="2:94" ht="14.25" hidden="1" customHeight="1" outlineLevel="2">
      <c r="B720" s="235" t="s">
        <v>248</v>
      </c>
      <c r="D720" s="375"/>
      <c r="E720" s="343"/>
      <c r="F720" s="343"/>
      <c r="G720" s="369"/>
      <c r="H720" s="422">
        <v>21.7</v>
      </c>
      <c r="I720" s="423">
        <v>28.2</v>
      </c>
      <c r="J720" s="423">
        <v>23.5</v>
      </c>
      <c r="K720" s="424">
        <f>93.4-SUM(H720:J720)</f>
        <v>20</v>
      </c>
      <c r="L720" s="422">
        <v>21</v>
      </c>
      <c r="M720" s="423">
        <v>25.2</v>
      </c>
      <c r="N720" s="423">
        <v>27.2</v>
      </c>
      <c r="O720" s="424">
        <f>109-SUM(L720:N720)</f>
        <v>35.599999999999994</v>
      </c>
      <c r="P720" s="375"/>
      <c r="Q720" s="343"/>
      <c r="R720" s="343"/>
      <c r="S720" s="369"/>
      <c r="T720" s="375"/>
      <c r="U720" s="343"/>
      <c r="V720" s="343"/>
      <c r="W720" s="369"/>
      <c r="X720" s="375"/>
      <c r="Y720" s="343"/>
      <c r="Z720" s="343"/>
      <c r="AA720" s="369"/>
      <c r="AB720" s="375"/>
      <c r="AC720" s="343"/>
      <c r="AD720" s="343"/>
      <c r="AE720" s="369"/>
      <c r="AF720" s="375"/>
      <c r="AG720" s="343"/>
      <c r="AH720" s="343"/>
      <c r="AI720" s="369"/>
      <c r="AJ720" s="256"/>
      <c r="AN720" s="256"/>
      <c r="AQ720" s="303"/>
      <c r="AR720" s="256"/>
      <c r="AU720" s="303"/>
      <c r="AV720" s="256"/>
      <c r="AY720" s="303"/>
      <c r="AZ720" s="256"/>
      <c r="BC720" s="303"/>
      <c r="BD720" s="256"/>
      <c r="BG720" s="303"/>
      <c r="BH720" s="256"/>
      <c r="BK720" s="303"/>
      <c r="BL720" s="256"/>
      <c r="BO720" s="303"/>
      <c r="BP720" s="256"/>
      <c r="BS720" s="303"/>
      <c r="BT720" s="256"/>
      <c r="BW720" s="303"/>
      <c r="BX720" s="346"/>
      <c r="BY720" s="22"/>
      <c r="BZ720" s="284">
        <f>SUM(H720:K720)</f>
        <v>93.4</v>
      </c>
      <c r="CA720" s="812">
        <f>SUM(L720:O720)</f>
        <v>109</v>
      </c>
      <c r="CB720" s="325"/>
      <c r="CC720" s="325"/>
      <c r="CD720" s="325"/>
      <c r="CE720" s="730"/>
      <c r="CF720" s="730"/>
      <c r="CG720" s="302"/>
      <c r="CH720" s="302"/>
      <c r="CI720" s="302"/>
      <c r="CJ720" s="302"/>
      <c r="CK720" s="302"/>
      <c r="CL720" s="302"/>
      <c r="CM720" s="302"/>
      <c r="CN720" s="302"/>
      <c r="CO720" s="302"/>
      <c r="CP720" s="303"/>
    </row>
    <row r="721" spans="2:94" ht="14.25" hidden="1" customHeight="1" outlineLevel="2">
      <c r="B721" s="217" t="s">
        <v>297</v>
      </c>
      <c r="D721" s="377"/>
      <c r="E721" s="370"/>
      <c r="F721" s="370"/>
      <c r="G721" s="335"/>
      <c r="H721" s="425"/>
      <c r="I721" s="370">
        <f t="shared" ref="I721:O721" si="937">I720/H720-1</f>
        <v>0.29953917050691237</v>
      </c>
      <c r="J721" s="370">
        <f t="shared" si="937"/>
        <v>-0.16666666666666663</v>
      </c>
      <c r="K721" s="370">
        <f t="shared" si="937"/>
        <v>-0.14893617021276595</v>
      </c>
      <c r="L721" s="425">
        <f t="shared" si="937"/>
        <v>5.0000000000000044E-2</v>
      </c>
      <c r="M721" s="370">
        <f t="shared" si="937"/>
        <v>0.19999999999999996</v>
      </c>
      <c r="N721" s="370">
        <f t="shared" si="937"/>
        <v>7.9365079365079305E-2</v>
      </c>
      <c r="O721" s="370">
        <f t="shared" si="937"/>
        <v>0.3088235294117645</v>
      </c>
      <c r="P721" s="377"/>
      <c r="Q721" s="370"/>
      <c r="R721" s="370"/>
      <c r="S721" s="335"/>
      <c r="T721" s="377"/>
      <c r="U721" s="370"/>
      <c r="V721" s="370"/>
      <c r="W721" s="335"/>
      <c r="X721" s="377"/>
      <c r="Y721" s="370"/>
      <c r="Z721" s="370"/>
      <c r="AA721" s="335"/>
      <c r="AB721" s="377"/>
      <c r="AC721" s="370"/>
      <c r="AD721" s="370"/>
      <c r="AE721" s="335"/>
      <c r="AF721" s="377"/>
      <c r="AG721" s="370"/>
      <c r="AH721" s="370"/>
      <c r="AI721" s="335"/>
      <c r="AJ721" s="256"/>
      <c r="AN721" s="256"/>
      <c r="AQ721" s="303"/>
      <c r="AR721" s="256"/>
      <c r="AU721" s="303"/>
      <c r="AV721" s="256"/>
      <c r="AY721" s="303"/>
      <c r="AZ721" s="256"/>
      <c r="BC721" s="303"/>
      <c r="BD721" s="256"/>
      <c r="BG721" s="303"/>
      <c r="BH721" s="256"/>
      <c r="BK721" s="303"/>
      <c r="BL721" s="256"/>
      <c r="BO721" s="303"/>
      <c r="BP721" s="256"/>
      <c r="BS721" s="303"/>
      <c r="BT721" s="256"/>
      <c r="BW721" s="303"/>
      <c r="BX721" s="346"/>
      <c r="BY721" s="22"/>
      <c r="BZ721" s="302"/>
      <c r="CA721" s="302"/>
      <c r="CB721" s="302"/>
      <c r="CC721" s="302"/>
      <c r="CD721" s="392"/>
      <c r="CE721" s="392"/>
      <c r="CF721" s="392"/>
      <c r="CG721" s="302"/>
      <c r="CH721" s="302"/>
      <c r="CI721" s="302"/>
      <c r="CJ721" s="302"/>
      <c r="CK721" s="302"/>
      <c r="CL721" s="302"/>
      <c r="CM721" s="302"/>
      <c r="CN721" s="302"/>
      <c r="CO721" s="302"/>
      <c r="CP721" s="303"/>
    </row>
    <row r="722" spans="2:94" ht="14.25" hidden="1" customHeight="1" outlineLevel="2">
      <c r="B722" s="32" t="s">
        <v>298</v>
      </c>
      <c r="D722" s="377"/>
      <c r="E722" s="370"/>
      <c r="F722" s="370"/>
      <c r="G722" s="335"/>
      <c r="H722" s="425"/>
      <c r="I722" s="418"/>
      <c r="J722" s="418"/>
      <c r="K722" s="419"/>
      <c r="L722" s="425">
        <f>L720/H720-1</f>
        <v>-3.2258064516129004E-2</v>
      </c>
      <c r="M722" s="418">
        <f>M720/I720-1</f>
        <v>-0.1063829787234043</v>
      </c>
      <c r="N722" s="418">
        <f>N720/J720-1</f>
        <v>0.15744680851063819</v>
      </c>
      <c r="O722" s="419">
        <f>O720/K720-1</f>
        <v>0.7799999999999998</v>
      </c>
      <c r="P722" s="377"/>
      <c r="Q722" s="370"/>
      <c r="R722" s="370"/>
      <c r="S722" s="335"/>
      <c r="T722" s="377"/>
      <c r="U722" s="370"/>
      <c r="V722" s="370"/>
      <c r="W722" s="335"/>
      <c r="X722" s="377"/>
      <c r="Y722" s="370"/>
      <c r="Z722" s="370"/>
      <c r="AA722" s="335"/>
      <c r="AB722" s="377"/>
      <c r="AC722" s="370"/>
      <c r="AD722" s="370"/>
      <c r="AE722" s="335"/>
      <c r="AF722" s="377"/>
      <c r="AG722" s="370"/>
      <c r="AH722" s="370"/>
      <c r="AI722" s="335"/>
      <c r="AJ722" s="256"/>
      <c r="AN722" s="256"/>
      <c r="AQ722" s="303"/>
      <c r="AR722" s="256"/>
      <c r="AU722" s="303"/>
      <c r="AV722" s="256"/>
      <c r="AY722" s="303"/>
      <c r="AZ722" s="256"/>
      <c r="BC722" s="303"/>
      <c r="BD722" s="256"/>
      <c r="BG722" s="303"/>
      <c r="BH722" s="256"/>
      <c r="BK722" s="303"/>
      <c r="BL722" s="256"/>
      <c r="BO722" s="303"/>
      <c r="BP722" s="256"/>
      <c r="BS722" s="303"/>
      <c r="BT722" s="256"/>
      <c r="BW722" s="303"/>
      <c r="BX722" s="346"/>
      <c r="BY722" s="22"/>
      <c r="BZ722" s="418"/>
      <c r="CA722" s="418">
        <f>CA720/BZ720-1</f>
        <v>0.16702355460385432</v>
      </c>
      <c r="CB722" s="302"/>
      <c r="CC722" s="302"/>
      <c r="CD722" s="392"/>
      <c r="CE722" s="392"/>
      <c r="CF722" s="392"/>
      <c r="CG722" s="302"/>
      <c r="CH722" s="302"/>
      <c r="CI722" s="302"/>
      <c r="CJ722" s="302"/>
      <c r="CK722" s="302"/>
      <c r="CL722" s="302"/>
      <c r="CM722" s="302"/>
      <c r="CN722" s="302"/>
      <c r="CO722" s="302"/>
      <c r="CP722" s="303"/>
    </row>
    <row r="723" spans="2:94" ht="14.25" hidden="1" customHeight="1" outlineLevel="2">
      <c r="B723" s="217" t="s">
        <v>374</v>
      </c>
      <c r="D723" s="377"/>
      <c r="E723" s="370"/>
      <c r="F723" s="370"/>
      <c r="G723" s="335"/>
      <c r="H723" s="377">
        <f t="shared" ref="H723:O723" si="938">H720/H712</f>
        <v>0.15589080459770116</v>
      </c>
      <c r="I723" s="370">
        <f t="shared" si="938"/>
        <v>0.19066937119675456</v>
      </c>
      <c r="J723" s="370">
        <f t="shared" si="938"/>
        <v>0.16702203269367449</v>
      </c>
      <c r="K723" s="370">
        <f t="shared" si="938"/>
        <v>0.14970059880239525</v>
      </c>
      <c r="L723" s="377">
        <f t="shared" si="938"/>
        <v>0.15777610818933133</v>
      </c>
      <c r="M723" s="370">
        <f t="shared" si="938"/>
        <v>0.18862275449101798</v>
      </c>
      <c r="N723" s="370">
        <f t="shared" si="938"/>
        <v>0.19498207885304658</v>
      </c>
      <c r="O723" s="370">
        <f t="shared" si="938"/>
        <v>0.2305699481865284</v>
      </c>
      <c r="P723" s="377"/>
      <c r="Q723" s="370"/>
      <c r="R723" s="370"/>
      <c r="S723" s="335"/>
      <c r="T723" s="377"/>
      <c r="U723" s="370"/>
      <c r="V723" s="370"/>
      <c r="W723" s="335"/>
      <c r="X723" s="377"/>
      <c r="Y723" s="370"/>
      <c r="Z723" s="370"/>
      <c r="AA723" s="335"/>
      <c r="AB723" s="377"/>
      <c r="AC723" s="370"/>
      <c r="AD723" s="370"/>
      <c r="AE723" s="335"/>
      <c r="AF723" s="377"/>
      <c r="AG723" s="370"/>
      <c r="AH723" s="370"/>
      <c r="AI723" s="335"/>
      <c r="AJ723" s="256"/>
      <c r="AN723" s="256"/>
      <c r="AQ723" s="303"/>
      <c r="AR723" s="256"/>
      <c r="AU723" s="303"/>
      <c r="AV723" s="256"/>
      <c r="AY723" s="303"/>
      <c r="AZ723" s="256"/>
      <c r="BC723" s="303"/>
      <c r="BD723" s="256"/>
      <c r="BG723" s="303"/>
      <c r="BH723" s="256"/>
      <c r="BK723" s="303"/>
      <c r="BL723" s="256"/>
      <c r="BO723" s="303"/>
      <c r="BP723" s="256"/>
      <c r="BS723" s="303"/>
      <c r="BT723" s="256"/>
      <c r="BW723" s="303"/>
      <c r="BX723" s="346"/>
      <c r="BY723" s="22"/>
      <c r="BZ723" s="370">
        <f>BZ720/BZ712</f>
        <v>0.16636978981118633</v>
      </c>
      <c r="CA723" s="370">
        <f>CA720/CA712</f>
        <v>0.19443453442739922</v>
      </c>
      <c r="CB723" s="302"/>
      <c r="CC723" s="302"/>
      <c r="CD723" s="392"/>
      <c r="CE723" s="392"/>
      <c r="CF723" s="392"/>
      <c r="CG723" s="302"/>
      <c r="CH723" s="302"/>
      <c r="CI723" s="302"/>
      <c r="CJ723" s="302"/>
      <c r="CK723" s="302"/>
      <c r="CL723" s="302"/>
      <c r="CM723" s="302"/>
      <c r="CN723" s="302"/>
      <c r="CO723" s="302"/>
      <c r="CP723" s="303"/>
    </row>
    <row r="724" spans="2:94" ht="14.25" hidden="1" customHeight="1" outlineLevel="2">
      <c r="B724" s="236"/>
      <c r="D724" s="285"/>
      <c r="E724" s="279"/>
      <c r="F724" s="279"/>
      <c r="G724" s="280"/>
      <c r="H724" s="285"/>
      <c r="I724" s="279"/>
      <c r="J724" s="279"/>
      <c r="K724" s="280"/>
      <c r="L724" s="285"/>
      <c r="M724" s="279"/>
      <c r="N724" s="279"/>
      <c r="O724" s="280"/>
      <c r="P724" s="285"/>
      <c r="Q724" s="279"/>
      <c r="R724" s="279"/>
      <c r="S724" s="280"/>
      <c r="T724" s="285"/>
      <c r="U724" s="279"/>
      <c r="V724" s="279"/>
      <c r="W724" s="280"/>
      <c r="X724" s="285"/>
      <c r="Y724" s="279"/>
      <c r="Z724" s="279"/>
      <c r="AA724" s="280"/>
      <c r="AB724" s="285"/>
      <c r="AC724" s="279"/>
      <c r="AD724" s="279"/>
      <c r="AE724" s="280"/>
      <c r="AF724" s="285"/>
      <c r="AG724" s="279"/>
      <c r="AH724" s="279"/>
      <c r="AI724" s="280"/>
      <c r="AJ724" s="731"/>
      <c r="AK724" s="304"/>
      <c r="AL724" s="304"/>
      <c r="AM724" s="304"/>
      <c r="AN724" s="731"/>
      <c r="AO724" s="304"/>
      <c r="AP724" s="304"/>
      <c r="AQ724" s="305"/>
      <c r="AR724" s="731"/>
      <c r="AS724" s="304"/>
      <c r="AT724" s="304"/>
      <c r="AU724" s="305"/>
      <c r="AV724" s="731"/>
      <c r="AW724" s="304"/>
      <c r="AX724" s="304"/>
      <c r="AY724" s="305"/>
      <c r="AZ724" s="731"/>
      <c r="BA724" s="304"/>
      <c r="BB724" s="304"/>
      <c r="BC724" s="305"/>
      <c r="BD724" s="731"/>
      <c r="BE724" s="304"/>
      <c r="BF724" s="304"/>
      <c r="BG724" s="305"/>
      <c r="BH724" s="731"/>
      <c r="BI724" s="304"/>
      <c r="BJ724" s="304"/>
      <c r="BK724" s="305"/>
      <c r="BL724" s="731"/>
      <c r="BM724" s="304"/>
      <c r="BN724" s="304"/>
      <c r="BO724" s="305"/>
      <c r="BP724" s="731"/>
      <c r="BQ724" s="304"/>
      <c r="BR724" s="304"/>
      <c r="BS724" s="305"/>
      <c r="BT724" s="731"/>
      <c r="BU724" s="304"/>
      <c r="BV724" s="304"/>
      <c r="BW724" s="305"/>
      <c r="BX724" s="346"/>
      <c r="BY724" s="16"/>
      <c r="BZ724" s="304"/>
      <c r="CA724" s="304"/>
      <c r="CB724" s="304"/>
      <c r="CC724" s="304"/>
      <c r="CD724" s="249"/>
      <c r="CE724" s="249"/>
      <c r="CF724" s="249"/>
      <c r="CG724" s="304"/>
      <c r="CH724" s="304"/>
      <c r="CI724" s="304"/>
      <c r="CJ724" s="304"/>
      <c r="CK724" s="304"/>
      <c r="CL724" s="304"/>
      <c r="CM724" s="304"/>
      <c r="CN724" s="304"/>
      <c r="CO724" s="304"/>
      <c r="CP724" s="305"/>
    </row>
    <row r="725" spans="2:94" ht="14.25" hidden="1" customHeight="1" outlineLevel="2">
      <c r="B725" s="286" t="s">
        <v>201</v>
      </c>
      <c r="C725" s="90"/>
      <c r="D725" s="334"/>
      <c r="E725" s="325"/>
      <c r="F725" s="325"/>
      <c r="G725" s="326"/>
      <c r="H725" s="334">
        <f t="shared" ref="H725:O725" si="939">H712+H699</f>
        <v>308.2</v>
      </c>
      <c r="I725" s="325">
        <f t="shared" si="939"/>
        <v>333.5</v>
      </c>
      <c r="J725" s="325">
        <f t="shared" si="939"/>
        <v>318.39999999999998</v>
      </c>
      <c r="K725" s="326">
        <f t="shared" si="939"/>
        <v>306.8</v>
      </c>
      <c r="L725" s="334">
        <f t="shared" si="939"/>
        <v>302.39999999999998</v>
      </c>
      <c r="M725" s="325">
        <f t="shared" si="939"/>
        <v>302.79999999999995</v>
      </c>
      <c r="N725" s="325">
        <f t="shared" si="939"/>
        <v>313.60000000000002</v>
      </c>
      <c r="O725" s="326">
        <f t="shared" si="939"/>
        <v>341.8</v>
      </c>
      <c r="P725" s="334"/>
      <c r="Q725" s="325"/>
      <c r="R725" s="325"/>
      <c r="S725" s="326"/>
      <c r="T725" s="334"/>
      <c r="U725" s="325"/>
      <c r="V725" s="325"/>
      <c r="W725" s="326"/>
      <c r="X725" s="334"/>
      <c r="Y725" s="325"/>
      <c r="Z725" s="325"/>
      <c r="AA725" s="326"/>
      <c r="AB725" s="334"/>
      <c r="AC725" s="325"/>
      <c r="AD725" s="325"/>
      <c r="AE725" s="326"/>
      <c r="AF725" s="334"/>
      <c r="AG725" s="325"/>
      <c r="AH725" s="325"/>
      <c r="AI725" s="326"/>
      <c r="AJ725" s="733"/>
      <c r="AK725" s="90"/>
      <c r="AL725" s="90"/>
      <c r="AM725" s="90"/>
      <c r="AN725" s="733"/>
      <c r="AO725" s="90"/>
      <c r="AP725" s="90"/>
      <c r="AQ725" s="732"/>
      <c r="AR725" s="733"/>
      <c r="AS725" s="90"/>
      <c r="AT725" s="90"/>
      <c r="AU725" s="732"/>
      <c r="AV725" s="733"/>
      <c r="AW725" s="90"/>
      <c r="AX725" s="90"/>
      <c r="AY725" s="732"/>
      <c r="AZ725" s="733"/>
      <c r="BA725" s="90"/>
      <c r="BB725" s="90"/>
      <c r="BC725" s="732"/>
      <c r="BD725" s="733"/>
      <c r="BE725" s="90"/>
      <c r="BF725" s="90"/>
      <c r="BG725" s="732"/>
      <c r="BH725" s="733"/>
      <c r="BI725" s="90"/>
      <c r="BJ725" s="90"/>
      <c r="BK725" s="732"/>
      <c r="BL725" s="733"/>
      <c r="BM725" s="90"/>
      <c r="BN725" s="90"/>
      <c r="BO725" s="732"/>
      <c r="BP725" s="733"/>
      <c r="BQ725" s="90"/>
      <c r="BR725" s="90"/>
      <c r="BS725" s="732"/>
      <c r="BT725" s="733"/>
      <c r="BU725" s="90"/>
      <c r="BV725" s="90"/>
      <c r="BW725" s="732"/>
      <c r="BX725" s="349"/>
      <c r="BY725" s="743"/>
      <c r="BZ725" s="742">
        <f>SUM(H725:K725)</f>
        <v>1266.9000000000001</v>
      </c>
      <c r="CA725" s="742">
        <f>SUM(L725:O725)</f>
        <v>1260.5999999999999</v>
      </c>
      <c r="CB725" s="325"/>
      <c r="CC725" s="325"/>
      <c r="CD725" s="325"/>
      <c r="CE725" s="730"/>
      <c r="CF725" s="730"/>
      <c r="CG725" s="736"/>
      <c r="CH725" s="302"/>
      <c r="CI725" s="302"/>
      <c r="CJ725" s="302"/>
      <c r="CK725" s="302"/>
      <c r="CL725" s="302"/>
      <c r="CM725" s="302"/>
      <c r="CN725" s="302"/>
      <c r="CO725" s="302"/>
      <c r="CP725" s="303"/>
    </row>
    <row r="726" spans="2:94" ht="14.25" hidden="1" customHeight="1" outlineLevel="2">
      <c r="B726" s="217" t="s">
        <v>297</v>
      </c>
      <c r="D726" s="219"/>
      <c r="E726" s="220"/>
      <c r="F726" s="220"/>
      <c r="G726" s="258"/>
      <c r="H726" s="425"/>
      <c r="I726" s="220">
        <f t="shared" ref="I726:O726" si="940">I725/H725-1</f>
        <v>8.2089552238806096E-2</v>
      </c>
      <c r="J726" s="220">
        <f t="shared" si="940"/>
        <v>-4.5277361319340348E-2</v>
      </c>
      <c r="K726" s="258">
        <f t="shared" si="940"/>
        <v>-3.6432160804020008E-2</v>
      </c>
      <c r="L726" s="425">
        <f t="shared" si="940"/>
        <v>-1.4341590612777178E-2</v>
      </c>
      <c r="M726" s="220">
        <f t="shared" si="940"/>
        <v>1.32275132275117E-3</v>
      </c>
      <c r="N726" s="220">
        <f t="shared" si="940"/>
        <v>3.5667107001321252E-2</v>
      </c>
      <c r="O726" s="258">
        <f t="shared" si="940"/>
        <v>8.9923469387755084E-2</v>
      </c>
      <c r="P726" s="219"/>
      <c r="Q726" s="220"/>
      <c r="R726" s="220"/>
      <c r="S726" s="258"/>
      <c r="T726" s="219"/>
      <c r="U726" s="220"/>
      <c r="V726" s="220"/>
      <c r="W726" s="258"/>
      <c r="X726" s="219"/>
      <c r="Y726" s="220"/>
      <c r="Z726" s="220"/>
      <c r="AA726" s="258"/>
      <c r="AB726" s="219"/>
      <c r="AC726" s="220"/>
      <c r="AD726" s="220"/>
      <c r="AE726" s="258"/>
      <c r="AF726" s="219"/>
      <c r="AG726" s="220"/>
      <c r="AH726" s="220"/>
      <c r="AI726" s="258"/>
      <c r="AJ726" s="256"/>
      <c r="AN726" s="256"/>
      <c r="AQ726" s="303"/>
      <c r="AR726" s="256"/>
      <c r="AU726" s="303"/>
      <c r="AV726" s="256"/>
      <c r="AY726" s="303"/>
      <c r="AZ726" s="256"/>
      <c r="BC726" s="303"/>
      <c r="BD726" s="256"/>
      <c r="BG726" s="303"/>
      <c r="BH726" s="256"/>
      <c r="BK726" s="303"/>
      <c r="BL726" s="256"/>
      <c r="BO726" s="303"/>
      <c r="BP726" s="256"/>
      <c r="BS726" s="303"/>
      <c r="BT726" s="256"/>
      <c r="BW726" s="303"/>
      <c r="BX726" s="346"/>
      <c r="BY726" s="22"/>
      <c r="BZ726" s="302"/>
      <c r="CA726" s="302"/>
      <c r="CB726" s="302"/>
      <c r="CC726" s="302"/>
      <c r="CD726" s="392"/>
      <c r="CE726" s="392"/>
      <c r="CF726" s="392"/>
      <c r="CG726" s="302"/>
      <c r="CH726" s="302"/>
      <c r="CI726" s="302"/>
      <c r="CJ726" s="302"/>
      <c r="CK726" s="302"/>
      <c r="CL726" s="302"/>
      <c r="CM726" s="302"/>
      <c r="CN726" s="302"/>
      <c r="CO726" s="302"/>
      <c r="CP726" s="303"/>
    </row>
    <row r="727" spans="2:94" ht="14.25" hidden="1" customHeight="1" outlineLevel="2">
      <c r="B727" s="32" t="s">
        <v>298</v>
      </c>
      <c r="D727" s="219"/>
      <c r="E727" s="220"/>
      <c r="F727" s="220"/>
      <c r="G727" s="258"/>
      <c r="H727" s="425"/>
      <c r="I727" s="418"/>
      <c r="J727" s="418"/>
      <c r="K727" s="419"/>
      <c r="L727" s="425">
        <f>L725/H725-1</f>
        <v>-1.8818948734588004E-2</v>
      </c>
      <c r="M727" s="418">
        <f>M725/I725-1</f>
        <v>-9.2053973013493384E-2</v>
      </c>
      <c r="N727" s="418">
        <f>N725/J725-1</f>
        <v>-1.5075376884421954E-2</v>
      </c>
      <c r="O727" s="419">
        <f>O725/K725-1</f>
        <v>0.11408083441981742</v>
      </c>
      <c r="P727" s="219"/>
      <c r="Q727" s="220"/>
      <c r="R727" s="220"/>
      <c r="S727" s="258"/>
      <c r="T727" s="219"/>
      <c r="U727" s="220"/>
      <c r="V727" s="220"/>
      <c r="W727" s="258"/>
      <c r="X727" s="219"/>
      <c r="Y727" s="220"/>
      <c r="Z727" s="220"/>
      <c r="AA727" s="258"/>
      <c r="AB727" s="219"/>
      <c r="AC727" s="220"/>
      <c r="AD727" s="220"/>
      <c r="AE727" s="258"/>
      <c r="AF727" s="219"/>
      <c r="AG727" s="220"/>
      <c r="AH727" s="220"/>
      <c r="AI727" s="258"/>
      <c r="AJ727" s="256"/>
      <c r="AN727" s="256"/>
      <c r="AQ727" s="303"/>
      <c r="AR727" s="256"/>
      <c r="AU727" s="303"/>
      <c r="AV727" s="256"/>
      <c r="AY727" s="303"/>
      <c r="AZ727" s="256"/>
      <c r="BC727" s="303"/>
      <c r="BD727" s="256"/>
      <c r="BG727" s="303"/>
      <c r="BH727" s="256"/>
      <c r="BK727" s="303"/>
      <c r="BL727" s="256"/>
      <c r="BO727" s="303"/>
      <c r="BP727" s="256"/>
      <c r="BS727" s="303"/>
      <c r="BT727" s="256"/>
      <c r="BW727" s="303"/>
      <c r="BX727" s="346"/>
      <c r="BY727" s="22"/>
      <c r="BZ727" s="418"/>
      <c r="CA727" s="418">
        <f>CA725/BZ725-1</f>
        <v>-4.9727681742838259E-3</v>
      </c>
      <c r="CB727" s="302"/>
      <c r="CC727" s="302"/>
      <c r="CD727" s="392"/>
      <c r="CE727" s="392"/>
      <c r="CF727" s="392"/>
      <c r="CG727" s="302"/>
      <c r="CH727" s="302"/>
      <c r="CI727" s="302"/>
      <c r="CJ727" s="302"/>
      <c r="CK727" s="302"/>
      <c r="CL727" s="302"/>
      <c r="CM727" s="302"/>
      <c r="CN727" s="302"/>
      <c r="CO727" s="302"/>
      <c r="CP727" s="303"/>
    </row>
    <row r="728" spans="2:94" ht="14.25" hidden="1" customHeight="1" outlineLevel="2">
      <c r="B728" s="22"/>
      <c r="D728" s="219"/>
      <c r="E728" s="220"/>
      <c r="F728" s="220"/>
      <c r="G728" s="258"/>
      <c r="H728" s="219"/>
      <c r="I728" s="220"/>
      <c r="J728" s="220"/>
      <c r="K728" s="258"/>
      <c r="L728" s="219"/>
      <c r="M728" s="220"/>
      <c r="N728" s="220"/>
      <c r="O728" s="258"/>
      <c r="P728" s="219"/>
      <c r="Q728" s="220"/>
      <c r="R728" s="220"/>
      <c r="S728" s="258"/>
      <c r="T728" s="219"/>
      <c r="U728" s="220"/>
      <c r="V728" s="220"/>
      <c r="W728" s="258"/>
      <c r="X728" s="219"/>
      <c r="Y728" s="220"/>
      <c r="Z728" s="220"/>
      <c r="AA728" s="258"/>
      <c r="AB728" s="219"/>
      <c r="AC728" s="220"/>
      <c r="AD728" s="220"/>
      <c r="AE728" s="258"/>
      <c r="AF728" s="219"/>
      <c r="AG728" s="220"/>
      <c r="AH728" s="220"/>
      <c r="AI728" s="258"/>
      <c r="AJ728" s="256"/>
      <c r="AN728" s="256"/>
      <c r="AQ728" s="303"/>
      <c r="AR728" s="256"/>
      <c r="AU728" s="303"/>
      <c r="AV728" s="256"/>
      <c r="AY728" s="303"/>
      <c r="AZ728" s="256"/>
      <c r="BC728" s="303"/>
      <c r="BD728" s="256"/>
      <c r="BG728" s="303"/>
      <c r="BH728" s="256"/>
      <c r="BK728" s="303"/>
      <c r="BL728" s="256"/>
      <c r="BO728" s="303"/>
      <c r="BP728" s="256"/>
      <c r="BS728" s="303"/>
      <c r="BT728" s="256"/>
      <c r="BW728" s="303"/>
      <c r="BX728" s="346"/>
      <c r="BY728" s="22"/>
      <c r="BZ728" s="302"/>
      <c r="CA728" s="302"/>
      <c r="CB728" s="302"/>
      <c r="CC728" s="302"/>
      <c r="CD728" s="392"/>
      <c r="CE728" s="392"/>
      <c r="CF728" s="392"/>
      <c r="CG728" s="302"/>
      <c r="CH728" s="302"/>
      <c r="CI728" s="302"/>
      <c r="CJ728" s="302"/>
      <c r="CK728" s="302"/>
      <c r="CL728" s="302"/>
      <c r="CM728" s="302"/>
      <c r="CN728" s="302"/>
      <c r="CO728" s="302"/>
      <c r="CP728" s="303"/>
    </row>
    <row r="729" spans="2:94" ht="14.25" hidden="1" customHeight="1" outlineLevel="2">
      <c r="B729" s="288" t="s">
        <v>202</v>
      </c>
      <c r="D729" s="383"/>
      <c r="E729" s="384"/>
      <c r="F729" s="384"/>
      <c r="G729" s="385"/>
      <c r="H729" s="803"/>
      <c r="I729" s="804"/>
      <c r="J729" s="804"/>
      <c r="K729" s="805"/>
      <c r="L729" s="803"/>
      <c r="M729" s="804"/>
      <c r="N729" s="804"/>
      <c r="O729" s="805"/>
      <c r="P729" s="383"/>
      <c r="Q729" s="384"/>
      <c r="R729" s="384"/>
      <c r="S729" s="385"/>
      <c r="T729" s="383"/>
      <c r="U729" s="384"/>
      <c r="V729" s="384"/>
      <c r="W729" s="385"/>
      <c r="X729" s="383"/>
      <c r="Y729" s="384"/>
      <c r="Z729" s="384"/>
      <c r="AA729" s="385"/>
      <c r="AB729" s="383"/>
      <c r="AC729" s="384"/>
      <c r="AD729" s="384"/>
      <c r="AE729" s="385"/>
      <c r="AF729" s="383"/>
      <c r="AG729" s="384"/>
      <c r="AH729" s="384"/>
      <c r="AI729" s="385"/>
      <c r="AJ729" s="256"/>
      <c r="AN729" s="256"/>
      <c r="AQ729" s="303"/>
      <c r="AR729" s="256"/>
      <c r="AU729" s="303"/>
      <c r="AV729" s="256"/>
      <c r="AY729" s="303"/>
      <c r="AZ729" s="256"/>
      <c r="BC729" s="303"/>
      <c r="BD729" s="256"/>
      <c r="BG729" s="303"/>
      <c r="BH729" s="256"/>
      <c r="BK729" s="303"/>
      <c r="BL729" s="256"/>
      <c r="BO729" s="303"/>
      <c r="BP729" s="256"/>
      <c r="BS729" s="303"/>
      <c r="BT729" s="256"/>
      <c r="BW729" s="303"/>
      <c r="BX729" s="346"/>
      <c r="BY729" s="22"/>
      <c r="BZ729" s="763"/>
      <c r="CA729" s="763"/>
      <c r="CB729" s="696"/>
      <c r="CC729" s="696"/>
      <c r="CD729" s="384"/>
      <c r="CE729" s="696"/>
      <c r="CF729" s="696"/>
      <c r="CG729" s="302"/>
      <c r="CH729" s="302"/>
      <c r="CI729" s="302"/>
      <c r="CJ729" s="302"/>
      <c r="CK729" s="302"/>
      <c r="CL729" s="302"/>
      <c r="CM729" s="302"/>
      <c r="CN729" s="302"/>
      <c r="CO729" s="302"/>
      <c r="CP729" s="303"/>
    </row>
    <row r="730" spans="2:94" ht="14.25" hidden="1" customHeight="1" outlineLevel="2">
      <c r="B730" s="301" t="s">
        <v>203</v>
      </c>
      <c r="D730" s="673"/>
      <c r="E730" s="671"/>
      <c r="F730" s="671"/>
      <c r="G730" s="672"/>
      <c r="H730" s="806"/>
      <c r="I730" s="807"/>
      <c r="J730" s="807"/>
      <c r="K730" s="808"/>
      <c r="L730" s="806"/>
      <c r="M730" s="807"/>
      <c r="N730" s="807"/>
      <c r="O730" s="808"/>
      <c r="P730" s="673"/>
      <c r="Q730" s="671"/>
      <c r="R730" s="671"/>
      <c r="S730" s="672"/>
      <c r="T730" s="673"/>
      <c r="U730" s="671"/>
      <c r="V730" s="671"/>
      <c r="W730" s="672"/>
      <c r="X730" s="673"/>
      <c r="Y730" s="671"/>
      <c r="Z730" s="671"/>
      <c r="AA730" s="672"/>
      <c r="AB730" s="673"/>
      <c r="AC730" s="671"/>
      <c r="AD730" s="671"/>
      <c r="AE730" s="672"/>
      <c r="AF730" s="673"/>
      <c r="AG730" s="671"/>
      <c r="AH730" s="671"/>
      <c r="AI730" s="672"/>
      <c r="AJ730" s="256"/>
      <c r="AN730" s="256"/>
      <c r="AQ730" s="303"/>
      <c r="AR730" s="256"/>
      <c r="AU730" s="303"/>
      <c r="AV730" s="256"/>
      <c r="AY730" s="303"/>
      <c r="AZ730" s="256"/>
      <c r="BC730" s="303"/>
      <c r="BD730" s="256"/>
      <c r="BG730" s="303"/>
      <c r="BH730" s="256"/>
      <c r="BK730" s="303"/>
      <c r="BL730" s="256"/>
      <c r="BO730" s="303"/>
      <c r="BP730" s="256"/>
      <c r="BS730" s="303"/>
      <c r="BT730" s="256"/>
      <c r="BW730" s="303"/>
      <c r="BX730" s="346"/>
      <c r="BY730" s="22"/>
      <c r="BZ730" s="763"/>
      <c r="CA730" s="763"/>
      <c r="CB730" s="392"/>
      <c r="CC730" s="392"/>
      <c r="CD730" s="392"/>
      <c r="CE730" s="392"/>
      <c r="CF730" s="392"/>
      <c r="CG730" s="302"/>
      <c r="CH730" s="302"/>
      <c r="CI730" s="302"/>
      <c r="CJ730" s="302"/>
      <c r="CK730" s="302"/>
      <c r="CL730" s="302"/>
      <c r="CM730" s="302"/>
      <c r="CN730" s="302"/>
      <c r="CO730" s="302"/>
      <c r="CP730" s="303"/>
    </row>
    <row r="731" spans="2:94" ht="14.25" hidden="1" customHeight="1" outlineLevel="2">
      <c r="B731" s="288" t="s">
        <v>204</v>
      </c>
      <c r="D731" s="383"/>
      <c r="E731" s="384"/>
      <c r="F731" s="384"/>
      <c r="G731" s="385"/>
      <c r="H731" s="803"/>
      <c r="I731" s="804"/>
      <c r="J731" s="804"/>
      <c r="K731" s="805"/>
      <c r="L731" s="803"/>
      <c r="M731" s="804"/>
      <c r="N731" s="804"/>
      <c r="O731" s="805"/>
      <c r="P731" s="383"/>
      <c r="Q731" s="384"/>
      <c r="R731" s="384"/>
      <c r="S731" s="385"/>
      <c r="T731" s="383"/>
      <c r="U731" s="384"/>
      <c r="V731" s="384"/>
      <c r="W731" s="385"/>
      <c r="X731" s="383"/>
      <c r="Y731" s="384"/>
      <c r="Z731" s="384"/>
      <c r="AA731" s="385"/>
      <c r="AB731" s="383"/>
      <c r="AC731" s="384"/>
      <c r="AD731" s="384"/>
      <c r="AE731" s="385"/>
      <c r="AF731" s="383"/>
      <c r="AG731" s="384"/>
      <c r="AH731" s="384"/>
      <c r="AI731" s="385"/>
      <c r="AJ731" s="256"/>
      <c r="AN731" s="256"/>
      <c r="AQ731" s="303"/>
      <c r="AR731" s="256"/>
      <c r="AU731" s="303"/>
      <c r="AV731" s="256"/>
      <c r="AY731" s="303"/>
      <c r="AZ731" s="256"/>
      <c r="BC731" s="303"/>
      <c r="BD731" s="256"/>
      <c r="BG731" s="303"/>
      <c r="BH731" s="256"/>
      <c r="BK731" s="303"/>
      <c r="BL731" s="256"/>
      <c r="BO731" s="303"/>
      <c r="BP731" s="256"/>
      <c r="BS731" s="303"/>
      <c r="BT731" s="256"/>
      <c r="BW731" s="303"/>
      <c r="BX731" s="346"/>
      <c r="BY731" s="22"/>
      <c r="BZ731" s="763"/>
      <c r="CA731" s="763"/>
      <c r="CB731" s="696"/>
      <c r="CC731" s="696"/>
      <c r="CD731" s="384"/>
      <c r="CE731" s="696"/>
      <c r="CF731" s="696"/>
      <c r="CG731" s="302"/>
      <c r="CH731" s="302"/>
      <c r="CI731" s="302"/>
      <c r="CJ731" s="302"/>
      <c r="CK731" s="302"/>
      <c r="CL731" s="302"/>
      <c r="CM731" s="302"/>
      <c r="CN731" s="302"/>
      <c r="CO731" s="302"/>
      <c r="CP731" s="303"/>
    </row>
    <row r="732" spans="2:94" ht="14.25" hidden="1" customHeight="1" outlineLevel="2">
      <c r="B732" s="235" t="s">
        <v>304</v>
      </c>
      <c r="D732" s="334"/>
      <c r="E732" s="325"/>
      <c r="F732" s="325"/>
      <c r="G732" s="326"/>
      <c r="H732" s="809"/>
      <c r="I732" s="801"/>
      <c r="J732" s="801"/>
      <c r="K732" s="810"/>
      <c r="L732" s="809"/>
      <c r="M732" s="801"/>
      <c r="N732" s="801"/>
      <c r="O732" s="810"/>
      <c r="P732" s="334"/>
      <c r="Q732" s="325"/>
      <c r="R732" s="325"/>
      <c r="S732" s="326"/>
      <c r="T732" s="334"/>
      <c r="U732" s="325"/>
      <c r="V732" s="325"/>
      <c r="W732" s="326"/>
      <c r="X732" s="334"/>
      <c r="Y732" s="325"/>
      <c r="Z732" s="325"/>
      <c r="AA732" s="326"/>
      <c r="AB732" s="334"/>
      <c r="AC732" s="325"/>
      <c r="AD732" s="325"/>
      <c r="AE732" s="326"/>
      <c r="AF732" s="334"/>
      <c r="AG732" s="325"/>
      <c r="AH732" s="325"/>
      <c r="AI732" s="326"/>
      <c r="AJ732" s="256"/>
      <c r="AN732" s="256"/>
      <c r="AQ732" s="303"/>
      <c r="AR732" s="256"/>
      <c r="AU732" s="303"/>
      <c r="AV732" s="256"/>
      <c r="AY732" s="303"/>
      <c r="AZ732" s="256"/>
      <c r="BC732" s="303"/>
      <c r="BD732" s="256"/>
      <c r="BG732" s="303"/>
      <c r="BH732" s="256"/>
      <c r="BK732" s="303"/>
      <c r="BL732" s="256"/>
      <c r="BO732" s="303"/>
      <c r="BP732" s="256"/>
      <c r="BS732" s="303"/>
      <c r="BT732" s="256"/>
      <c r="BW732" s="303"/>
      <c r="BX732" s="346"/>
      <c r="BY732" s="743"/>
      <c r="BZ732" s="744"/>
      <c r="CA732" s="744"/>
      <c r="CB732" s="325"/>
      <c r="CC732" s="325"/>
      <c r="CD732" s="325"/>
      <c r="CE732" s="325"/>
      <c r="CF732" s="325"/>
      <c r="CG732" s="302"/>
      <c r="CH732" s="302"/>
      <c r="CI732" s="302"/>
      <c r="CJ732" s="302"/>
      <c r="CK732" s="302"/>
      <c r="CL732" s="302"/>
      <c r="CM732" s="302"/>
      <c r="CN732" s="302"/>
      <c r="CO732" s="302"/>
      <c r="CP732" s="303"/>
    </row>
    <row r="733" spans="2:94" ht="14.25" hidden="1" customHeight="1" outlineLevel="2">
      <c r="B733" s="288" t="s">
        <v>205</v>
      </c>
      <c r="D733" s="323"/>
      <c r="E733" s="338"/>
      <c r="F733" s="289"/>
      <c r="G733" s="290"/>
      <c r="H733" s="378"/>
      <c r="I733" s="370"/>
      <c r="J733" s="336"/>
      <c r="K733" s="811"/>
      <c r="L733" s="378"/>
      <c r="M733" s="370"/>
      <c r="N733" s="336"/>
      <c r="O733" s="811"/>
      <c r="P733" s="323"/>
      <c r="Q733" s="338"/>
      <c r="R733" s="289"/>
      <c r="S733" s="290"/>
      <c r="T733" s="323"/>
      <c r="U733" s="338"/>
      <c r="V733" s="289"/>
      <c r="W733" s="290"/>
      <c r="X733" s="323"/>
      <c r="Y733" s="338"/>
      <c r="Z733" s="289"/>
      <c r="AA733" s="290"/>
      <c r="AB733" s="323"/>
      <c r="AC733" s="338"/>
      <c r="AD733" s="289"/>
      <c r="AE733" s="290"/>
      <c r="AF733" s="323"/>
      <c r="AG733" s="338"/>
      <c r="AH733" s="289"/>
      <c r="AI733" s="290"/>
      <c r="AJ733" s="256"/>
      <c r="AN733" s="256"/>
      <c r="AQ733" s="303"/>
      <c r="AR733" s="256"/>
      <c r="AU733" s="303"/>
      <c r="AV733" s="256"/>
      <c r="AY733" s="303"/>
      <c r="AZ733" s="256"/>
      <c r="BC733" s="303"/>
      <c r="BD733" s="256"/>
      <c r="BG733" s="303"/>
      <c r="BH733" s="256"/>
      <c r="BK733" s="303"/>
      <c r="BL733" s="256"/>
      <c r="BO733" s="303"/>
      <c r="BP733" s="256"/>
      <c r="BS733" s="303"/>
      <c r="BT733" s="256"/>
      <c r="BW733" s="303"/>
      <c r="BX733" s="346"/>
      <c r="BY733" s="22"/>
      <c r="BZ733" s="338"/>
      <c r="CA733" s="338"/>
      <c r="CB733" s="302"/>
      <c r="CC733" s="302"/>
      <c r="CD733" s="392"/>
      <c r="CE733" s="392"/>
      <c r="CF733" s="392"/>
      <c r="CG733" s="302"/>
      <c r="CH733" s="302"/>
      <c r="CI733" s="302"/>
      <c r="CJ733" s="302"/>
      <c r="CK733" s="302"/>
      <c r="CL733" s="302"/>
      <c r="CM733" s="302"/>
      <c r="CN733" s="302"/>
      <c r="CO733" s="302"/>
      <c r="CP733" s="303"/>
    </row>
    <row r="734" spans="2:94" ht="14.25" hidden="1" customHeight="1" outlineLevel="2">
      <c r="B734" s="22"/>
      <c r="D734" s="219"/>
      <c r="E734" s="220"/>
      <c r="F734" s="220"/>
      <c r="G734" s="258"/>
      <c r="H734" s="219"/>
      <c r="I734" s="220"/>
      <c r="J734" s="220"/>
      <c r="K734" s="258"/>
      <c r="L734" s="219"/>
      <c r="M734" s="220"/>
      <c r="N734" s="220"/>
      <c r="O734" s="258"/>
      <c r="P734" s="219"/>
      <c r="Q734" s="220"/>
      <c r="R734" s="220"/>
      <c r="S734" s="258"/>
      <c r="T734" s="219"/>
      <c r="U734" s="220"/>
      <c r="V734" s="220"/>
      <c r="W734" s="258"/>
      <c r="X734" s="219"/>
      <c r="Y734" s="220"/>
      <c r="Z734" s="220"/>
      <c r="AA734" s="258"/>
      <c r="AB734" s="219"/>
      <c r="AC734" s="220"/>
      <c r="AD734" s="220"/>
      <c r="AE734" s="258"/>
      <c r="AF734" s="219"/>
      <c r="AG734" s="220"/>
      <c r="AH734" s="220"/>
      <c r="AI734" s="258"/>
      <c r="AJ734" s="256"/>
      <c r="AN734" s="256"/>
      <c r="AQ734" s="303"/>
      <c r="AR734" s="256"/>
      <c r="AU734" s="303"/>
      <c r="AV734" s="256"/>
      <c r="AY734" s="303"/>
      <c r="AZ734" s="256"/>
      <c r="BC734" s="303"/>
      <c r="BD734" s="256"/>
      <c r="BG734" s="303"/>
      <c r="BH734" s="256"/>
      <c r="BK734" s="303"/>
      <c r="BL734" s="256"/>
      <c r="BO734" s="303"/>
      <c r="BP734" s="256"/>
      <c r="BS734" s="303"/>
      <c r="BT734" s="256"/>
      <c r="BW734" s="303"/>
      <c r="BX734" s="346"/>
      <c r="BY734" s="22"/>
      <c r="BZ734" s="15"/>
      <c r="CA734" s="15"/>
      <c r="CB734" s="302"/>
      <c r="CC734" s="302"/>
      <c r="CD734" s="392"/>
      <c r="CE734" s="392"/>
      <c r="CF734" s="392"/>
      <c r="CG734" s="302"/>
      <c r="CH734" s="302"/>
      <c r="CI734" s="302"/>
      <c r="CJ734" s="302"/>
      <c r="CK734" s="302"/>
      <c r="CL734" s="302"/>
      <c r="CM734" s="302"/>
      <c r="CN734" s="302"/>
      <c r="CO734" s="302"/>
      <c r="CP734" s="303"/>
    </row>
    <row r="735" spans="2:94" ht="14.25" hidden="1" customHeight="1" outlineLevel="2">
      <c r="B735" s="288" t="s">
        <v>206</v>
      </c>
      <c r="D735" s="383"/>
      <c r="E735" s="384"/>
      <c r="F735" s="384"/>
      <c r="G735" s="385"/>
      <c r="H735" s="383">
        <f t="shared" ref="H735:O735" si="941">H720+H707</f>
        <v>42.9</v>
      </c>
      <c r="I735" s="384">
        <f t="shared" si="941"/>
        <v>58.9</v>
      </c>
      <c r="J735" s="384">
        <f t="shared" si="941"/>
        <v>49.6</v>
      </c>
      <c r="K735" s="385">
        <f t="shared" si="941"/>
        <v>45.099999999999994</v>
      </c>
      <c r="L735" s="383">
        <f t="shared" si="941"/>
        <v>45.2</v>
      </c>
      <c r="M735" s="384">
        <f t="shared" si="941"/>
        <v>56.599999999999994</v>
      </c>
      <c r="N735" s="384">
        <f t="shared" si="941"/>
        <v>57</v>
      </c>
      <c r="O735" s="385">
        <f t="shared" si="941"/>
        <v>72.600000000000009</v>
      </c>
      <c r="P735" s="383"/>
      <c r="Q735" s="384"/>
      <c r="R735" s="384"/>
      <c r="S735" s="385"/>
      <c r="T735" s="383"/>
      <c r="U735" s="384"/>
      <c r="V735" s="384"/>
      <c r="W735" s="385"/>
      <c r="X735" s="383"/>
      <c r="Y735" s="384"/>
      <c r="Z735" s="384"/>
      <c r="AA735" s="385"/>
      <c r="AB735" s="383"/>
      <c r="AC735" s="384"/>
      <c r="AD735" s="384"/>
      <c r="AE735" s="385"/>
      <c r="AF735" s="383"/>
      <c r="AG735" s="384"/>
      <c r="AH735" s="384"/>
      <c r="AI735" s="385"/>
      <c r="AJ735" s="256"/>
      <c r="AN735" s="256"/>
      <c r="AQ735" s="303"/>
      <c r="AR735" s="256"/>
      <c r="AU735" s="303"/>
      <c r="AV735" s="256"/>
      <c r="AY735" s="303"/>
      <c r="AZ735" s="256"/>
      <c r="BC735" s="303"/>
      <c r="BD735" s="256"/>
      <c r="BG735" s="303"/>
      <c r="BH735" s="256"/>
      <c r="BK735" s="303"/>
      <c r="BL735" s="256"/>
      <c r="BO735" s="303"/>
      <c r="BP735" s="256"/>
      <c r="BS735" s="303"/>
      <c r="BT735" s="256"/>
      <c r="BW735" s="303"/>
      <c r="BX735" s="346"/>
      <c r="BY735" s="22"/>
      <c r="BZ735" s="15">
        <f>SUM(H735:K735)</f>
        <v>196.5</v>
      </c>
      <c r="CA735" s="15">
        <f>SUM(L735:O735)</f>
        <v>231.40000000000003</v>
      </c>
      <c r="CB735" s="696"/>
      <c r="CC735" s="696"/>
      <c r="CD735" s="384"/>
      <c r="CE735" s="696"/>
      <c r="CF735" s="696"/>
      <c r="CG735" s="302"/>
      <c r="CH735" s="302"/>
      <c r="CI735" s="302"/>
      <c r="CJ735" s="302"/>
      <c r="CK735" s="302"/>
      <c r="CL735" s="302"/>
      <c r="CM735" s="302"/>
      <c r="CN735" s="302"/>
      <c r="CO735" s="302"/>
      <c r="CP735" s="303"/>
    </row>
    <row r="736" spans="2:94" ht="14.25" hidden="1" customHeight="1" outlineLevel="2">
      <c r="B736" s="301" t="s">
        <v>203</v>
      </c>
      <c r="D736" s="677"/>
      <c r="E736" s="675"/>
      <c r="F736" s="675"/>
      <c r="G736" s="676"/>
      <c r="H736" s="677"/>
      <c r="I736" s="675"/>
      <c r="J736" s="675"/>
      <c r="K736" s="676"/>
      <c r="L736" s="677"/>
      <c r="M736" s="675"/>
      <c r="N736" s="675"/>
      <c r="O736" s="676"/>
      <c r="P736" s="677"/>
      <c r="Q736" s="675"/>
      <c r="R736" s="675"/>
      <c r="S736" s="676"/>
      <c r="T736" s="677"/>
      <c r="U736" s="675"/>
      <c r="V736" s="675"/>
      <c r="W736" s="676"/>
      <c r="X736" s="677"/>
      <c r="Y736" s="675"/>
      <c r="Z736" s="675"/>
      <c r="AA736" s="676"/>
      <c r="AB736" s="677"/>
      <c r="AC736" s="675"/>
      <c r="AD736" s="675"/>
      <c r="AE736" s="676"/>
      <c r="AF736" s="677"/>
      <c r="AG736" s="675"/>
      <c r="AH736" s="675"/>
      <c r="AI736" s="676"/>
      <c r="AJ736" s="256"/>
      <c r="AN736" s="256"/>
      <c r="AQ736" s="303"/>
      <c r="AR736" s="256"/>
      <c r="AU736" s="303"/>
      <c r="AV736" s="256"/>
      <c r="AY736" s="303"/>
      <c r="AZ736" s="256"/>
      <c r="BC736" s="303"/>
      <c r="BD736" s="256"/>
      <c r="BG736" s="303"/>
      <c r="BH736" s="256"/>
      <c r="BK736" s="303"/>
      <c r="BL736" s="256"/>
      <c r="BO736" s="303"/>
      <c r="BP736" s="256"/>
      <c r="BS736" s="303"/>
      <c r="BT736" s="256"/>
      <c r="BW736" s="303"/>
      <c r="BX736" s="346"/>
      <c r="BY736" s="22"/>
      <c r="BZ736" s="15"/>
      <c r="CA736" s="15"/>
      <c r="CB736" s="392"/>
      <c r="CC736" s="392"/>
      <c r="CD736" s="392"/>
      <c r="CE736" s="392"/>
      <c r="CF736" s="392"/>
      <c r="CG736" s="302"/>
      <c r="CH736" s="302"/>
      <c r="CI736" s="302"/>
      <c r="CJ736" s="302"/>
      <c r="CK736" s="302"/>
      <c r="CL736" s="302"/>
      <c r="CM736" s="302"/>
      <c r="CN736" s="302"/>
      <c r="CO736" s="302"/>
      <c r="CP736" s="303"/>
    </row>
    <row r="737" spans="2:94" ht="14.25" hidden="1" customHeight="1" outlineLevel="2">
      <c r="B737" s="288" t="s">
        <v>207</v>
      </c>
      <c r="D737" s="383"/>
      <c r="E737" s="384"/>
      <c r="F737" s="384"/>
      <c r="G737" s="385"/>
      <c r="H737" s="789">
        <v>-13.1</v>
      </c>
      <c r="I737" s="781">
        <v>-0.9</v>
      </c>
      <c r="J737" s="781">
        <v>0</v>
      </c>
      <c r="K737" s="782">
        <f>-19.6-SUM(H737:J737)</f>
        <v>-5.6000000000000014</v>
      </c>
      <c r="L737" s="789">
        <v>-1.1000000000000001</v>
      </c>
      <c r="M737" s="781">
        <v>-2.8</v>
      </c>
      <c r="N737" s="781">
        <v>-0.2</v>
      </c>
      <c r="O737" s="782">
        <f>-3.3-SUM(L737:N737)</f>
        <v>0.79999999999999982</v>
      </c>
      <c r="P737" s="383"/>
      <c r="Q737" s="384"/>
      <c r="R737" s="384"/>
      <c r="S737" s="385"/>
      <c r="T737" s="383"/>
      <c r="U737" s="384"/>
      <c r="V737" s="384"/>
      <c r="W737" s="385"/>
      <c r="X737" s="383"/>
      <c r="Y737" s="384"/>
      <c r="Z737" s="384"/>
      <c r="AA737" s="385"/>
      <c r="AB737" s="383"/>
      <c r="AC737" s="384"/>
      <c r="AD737" s="384"/>
      <c r="AE737" s="385"/>
      <c r="AF737" s="383"/>
      <c r="AG737" s="384"/>
      <c r="AH737" s="384"/>
      <c r="AI737" s="385"/>
      <c r="AJ737" s="256"/>
      <c r="AN737" s="256"/>
      <c r="AQ737" s="303"/>
      <c r="AR737" s="256"/>
      <c r="AU737" s="303"/>
      <c r="AV737" s="256"/>
      <c r="AY737" s="303"/>
      <c r="AZ737" s="256"/>
      <c r="BC737" s="303"/>
      <c r="BD737" s="256"/>
      <c r="BG737" s="303"/>
      <c r="BH737" s="256"/>
      <c r="BK737" s="303"/>
      <c r="BL737" s="256"/>
      <c r="BO737" s="303"/>
      <c r="BP737" s="256"/>
      <c r="BS737" s="303"/>
      <c r="BT737" s="256"/>
      <c r="BW737" s="303"/>
      <c r="BX737" s="346"/>
      <c r="BY737" s="22"/>
      <c r="BZ737" s="700">
        <f>SUM(H737:K737)</f>
        <v>-19.600000000000001</v>
      </c>
      <c r="CA737" s="700">
        <f>SUM(L737:O737)</f>
        <v>-3.3</v>
      </c>
      <c r="CB737" s="696"/>
      <c r="CC737" s="696"/>
      <c r="CD737" s="384"/>
      <c r="CE737" s="696"/>
      <c r="CF737" s="696"/>
      <c r="CG737" s="302"/>
      <c r="CH737" s="302"/>
      <c r="CI737" s="302"/>
      <c r="CJ737" s="302"/>
      <c r="CK737" s="302"/>
      <c r="CL737" s="302"/>
      <c r="CM737" s="302"/>
      <c r="CN737" s="302"/>
      <c r="CO737" s="302"/>
      <c r="CP737" s="303"/>
    </row>
    <row r="738" spans="2:94" ht="14.25" hidden="1" customHeight="1" outlineLevel="2">
      <c r="B738" s="288" t="s">
        <v>208</v>
      </c>
      <c r="D738" s="383"/>
      <c r="E738" s="384"/>
      <c r="F738" s="384"/>
      <c r="G738" s="385"/>
      <c r="H738" s="789">
        <v>0</v>
      </c>
      <c r="I738" s="781">
        <v>0</v>
      </c>
      <c r="J738" s="781">
        <v>0</v>
      </c>
      <c r="K738" s="782">
        <f>0-SUM(H738:J738)</f>
        <v>0</v>
      </c>
      <c r="L738" s="789">
        <v>0</v>
      </c>
      <c r="M738" s="781">
        <v>0</v>
      </c>
      <c r="N738" s="781">
        <v>0</v>
      </c>
      <c r="O738" s="782">
        <f>0-SUM(L738:N738)</f>
        <v>0</v>
      </c>
      <c r="P738" s="383"/>
      <c r="Q738" s="384"/>
      <c r="R738" s="384"/>
      <c r="S738" s="385"/>
      <c r="T738" s="383"/>
      <c r="U738" s="384"/>
      <c r="V738" s="384"/>
      <c r="W738" s="385"/>
      <c r="X738" s="383"/>
      <c r="Y738" s="384"/>
      <c r="Z738" s="384"/>
      <c r="AA738" s="385"/>
      <c r="AB738" s="383"/>
      <c r="AC738" s="384"/>
      <c r="AD738" s="384"/>
      <c r="AE738" s="385"/>
      <c r="AF738" s="383"/>
      <c r="AG738" s="384"/>
      <c r="AH738" s="384"/>
      <c r="AI738" s="385"/>
      <c r="AJ738" s="256"/>
      <c r="AN738" s="256"/>
      <c r="AQ738" s="303"/>
      <c r="AR738" s="256"/>
      <c r="AU738" s="303"/>
      <c r="AV738" s="256"/>
      <c r="AY738" s="303"/>
      <c r="AZ738" s="256"/>
      <c r="BC738" s="303"/>
      <c r="BD738" s="256"/>
      <c r="BG738" s="303"/>
      <c r="BH738" s="256"/>
      <c r="BK738" s="303"/>
      <c r="BL738" s="256"/>
      <c r="BO738" s="303"/>
      <c r="BP738" s="256"/>
      <c r="BS738" s="303"/>
      <c r="BT738" s="256"/>
      <c r="BW738" s="303"/>
      <c r="BX738" s="346"/>
      <c r="BY738" s="22"/>
      <c r="BZ738" s="700">
        <f>SUM(H738:K738)</f>
        <v>0</v>
      </c>
      <c r="CA738" s="700">
        <f>SUM(L738:O738)</f>
        <v>0</v>
      </c>
      <c r="CB738" s="696"/>
      <c r="CC738" s="696"/>
      <c r="CD738" s="384"/>
      <c r="CE738" s="696"/>
      <c r="CF738" s="696"/>
      <c r="CG738" s="302"/>
      <c r="CH738" s="302"/>
      <c r="CI738" s="302"/>
      <c r="CJ738" s="302"/>
      <c r="CK738" s="302"/>
      <c r="CL738" s="302"/>
      <c r="CM738" s="302"/>
      <c r="CN738" s="302"/>
      <c r="CO738" s="302"/>
      <c r="CP738" s="303"/>
    </row>
    <row r="739" spans="2:94" ht="14.25" hidden="1" customHeight="1" outlineLevel="2">
      <c r="B739" s="288" t="s">
        <v>204</v>
      </c>
      <c r="D739" s="383"/>
      <c r="E739" s="384"/>
      <c r="F739" s="384"/>
      <c r="G739" s="385"/>
      <c r="H739" s="789">
        <v>-3.7</v>
      </c>
      <c r="I739" s="781">
        <v>-4.7</v>
      </c>
      <c r="J739" s="781">
        <v>-2.7</v>
      </c>
      <c r="K739" s="782">
        <f>-11.5-SUM(H739:J739)</f>
        <v>-0.39999999999999858</v>
      </c>
      <c r="L739" s="789">
        <v>-9.8000000000000007</v>
      </c>
      <c r="M739" s="781">
        <v>-15.4</v>
      </c>
      <c r="N739" s="781">
        <v>-12.8</v>
      </c>
      <c r="O739" s="782">
        <f>-51.8-SUM(L739:N739)</f>
        <v>-13.799999999999997</v>
      </c>
      <c r="P739" s="383"/>
      <c r="Q739" s="384"/>
      <c r="R739" s="384"/>
      <c r="S739" s="385"/>
      <c r="T739" s="383"/>
      <c r="U739" s="384"/>
      <c r="V739" s="384"/>
      <c r="W739" s="385"/>
      <c r="X739" s="383"/>
      <c r="Y739" s="384"/>
      <c r="Z739" s="384"/>
      <c r="AA739" s="385"/>
      <c r="AB739" s="383"/>
      <c r="AC739" s="384"/>
      <c r="AD739" s="384"/>
      <c r="AE739" s="385"/>
      <c r="AF739" s="383"/>
      <c r="AG739" s="384"/>
      <c r="AH739" s="384"/>
      <c r="AI739" s="385"/>
      <c r="AJ739" s="256"/>
      <c r="AN739" s="256"/>
      <c r="AQ739" s="303"/>
      <c r="AR739" s="256"/>
      <c r="AU739" s="303"/>
      <c r="AV739" s="256"/>
      <c r="AY739" s="303"/>
      <c r="AZ739" s="256"/>
      <c r="BC739" s="303"/>
      <c r="BD739" s="256"/>
      <c r="BG739" s="303"/>
      <c r="BH739" s="256"/>
      <c r="BK739" s="303"/>
      <c r="BL739" s="256"/>
      <c r="BO739" s="303"/>
      <c r="BP739" s="256"/>
      <c r="BS739" s="303"/>
      <c r="BT739" s="256"/>
      <c r="BW739" s="303"/>
      <c r="BX739" s="346"/>
      <c r="BY739" s="22"/>
      <c r="BZ739" s="700">
        <f>SUM(H739:K739)</f>
        <v>-11.5</v>
      </c>
      <c r="CA739" s="700">
        <f>SUM(L739:O739)</f>
        <v>-51.8</v>
      </c>
      <c r="CB739" s="696"/>
      <c r="CC739" s="696"/>
      <c r="CD739" s="384"/>
      <c r="CE739" s="696"/>
      <c r="CF739" s="696"/>
      <c r="CG739" s="302"/>
      <c r="CH739" s="302"/>
      <c r="CI739" s="302"/>
      <c r="CJ739" s="302"/>
      <c r="CK739" s="302"/>
      <c r="CL739" s="302"/>
      <c r="CM739" s="302"/>
      <c r="CN739" s="302"/>
      <c r="CO739" s="302"/>
      <c r="CP739" s="303"/>
    </row>
    <row r="740" spans="2:94" ht="14.25" hidden="1" customHeight="1" outlineLevel="2">
      <c r="B740" s="288" t="s">
        <v>209</v>
      </c>
      <c r="D740" s="383"/>
      <c r="E740" s="384"/>
      <c r="F740" s="384"/>
      <c r="G740" s="385"/>
      <c r="H740" s="781">
        <v>-2.4</v>
      </c>
      <c r="I740" s="781">
        <v>-5.2</v>
      </c>
      <c r="J740" s="781">
        <v>-3.4</v>
      </c>
      <c r="K740" s="782">
        <f>-15.5-SUM(H740:J740)</f>
        <v>-4.5</v>
      </c>
      <c r="L740" s="781">
        <v>-2</v>
      </c>
      <c r="M740" s="781">
        <v>-2.1</v>
      </c>
      <c r="N740" s="781">
        <v>-1.8</v>
      </c>
      <c r="O740" s="782">
        <f>-8.7-SUM(L740:N740)</f>
        <v>-2.8</v>
      </c>
      <c r="P740" s="384"/>
      <c r="Q740" s="384"/>
      <c r="R740" s="384"/>
      <c r="S740" s="385"/>
      <c r="T740" s="384"/>
      <c r="U740" s="384"/>
      <c r="V740" s="384"/>
      <c r="W740" s="385"/>
      <c r="X740" s="383"/>
      <c r="Y740" s="384"/>
      <c r="Z740" s="384"/>
      <c r="AA740" s="385"/>
      <c r="AB740" s="383"/>
      <c r="AC740" s="384"/>
      <c r="AD740" s="384"/>
      <c r="AE740" s="385"/>
      <c r="AF740" s="383"/>
      <c r="AG740" s="384"/>
      <c r="AH740" s="384"/>
      <c r="AI740" s="385"/>
      <c r="AJ740" s="256"/>
      <c r="AN740" s="256"/>
      <c r="AQ740" s="303"/>
      <c r="AR740" s="256"/>
      <c r="AU740" s="303"/>
      <c r="AV740" s="256"/>
      <c r="AY740" s="303"/>
      <c r="AZ740" s="256"/>
      <c r="BC740" s="303"/>
      <c r="BD740" s="256"/>
      <c r="BG740" s="303"/>
      <c r="BH740" s="256"/>
      <c r="BK740" s="303"/>
      <c r="BL740" s="256"/>
      <c r="BO740" s="303"/>
      <c r="BP740" s="256"/>
      <c r="BS740" s="303"/>
      <c r="BT740" s="256"/>
      <c r="BW740" s="303"/>
      <c r="BX740" s="346"/>
      <c r="BY740" s="22"/>
      <c r="BZ740" s="700">
        <f>SUM(H740:K740)</f>
        <v>-15.5</v>
      </c>
      <c r="CA740" s="700">
        <f>SUM(L740:O740)</f>
        <v>-8.6999999999999993</v>
      </c>
      <c r="CB740" s="696"/>
      <c r="CC740" s="696"/>
      <c r="CD740" s="384"/>
      <c r="CE740" s="696"/>
      <c r="CF740" s="696"/>
      <c r="CG740" s="302"/>
      <c r="CH740" s="302"/>
      <c r="CI740" s="302"/>
      <c r="CJ740" s="302"/>
      <c r="CK740" s="302"/>
      <c r="CL740" s="302"/>
      <c r="CM740" s="302"/>
      <c r="CN740" s="302"/>
      <c r="CO740" s="302"/>
      <c r="CP740" s="303"/>
    </row>
    <row r="741" spans="2:94" ht="14.25" hidden="1" customHeight="1" outlineLevel="2">
      <c r="B741" s="286" t="s">
        <v>210</v>
      </c>
      <c r="D741" s="325"/>
      <c r="E741" s="325"/>
      <c r="F741" s="325"/>
      <c r="G741" s="326"/>
      <c r="H741" s="325">
        <f t="shared" ref="H741:O741" si="942">H735+SUM(H737:H740)</f>
        <v>23.7</v>
      </c>
      <c r="I741" s="325">
        <f t="shared" si="942"/>
        <v>48.099999999999994</v>
      </c>
      <c r="J741" s="325">
        <f t="shared" si="942"/>
        <v>43.5</v>
      </c>
      <c r="K741" s="326">
        <f t="shared" si="942"/>
        <v>34.599999999999994</v>
      </c>
      <c r="L741" s="325">
        <f t="shared" si="942"/>
        <v>32.300000000000004</v>
      </c>
      <c r="M741" s="325">
        <f t="shared" si="942"/>
        <v>36.299999999999997</v>
      </c>
      <c r="N741" s="325">
        <f t="shared" si="942"/>
        <v>42.2</v>
      </c>
      <c r="O741" s="326">
        <f t="shared" si="942"/>
        <v>56.800000000000011</v>
      </c>
      <c r="P741" s="325"/>
      <c r="Q741" s="325"/>
      <c r="R741" s="325"/>
      <c r="S741" s="326"/>
      <c r="T741" s="325"/>
      <c r="U741" s="325"/>
      <c r="V741" s="325"/>
      <c r="W741" s="326"/>
      <c r="X741" s="325"/>
      <c r="Y741" s="325"/>
      <c r="Z741" s="325"/>
      <c r="AA741" s="326"/>
      <c r="AB741" s="334"/>
      <c r="AC741" s="325"/>
      <c r="AD741" s="325"/>
      <c r="AE741" s="326"/>
      <c r="AF741" s="334"/>
      <c r="AG741" s="325"/>
      <c r="AH741" s="325"/>
      <c r="AI741" s="326"/>
      <c r="AJ741" s="256"/>
      <c r="AM741" s="303"/>
      <c r="AN741" s="302"/>
      <c r="AQ741" s="303"/>
      <c r="AR741" s="302"/>
      <c r="AU741" s="303"/>
      <c r="AV741" s="302"/>
      <c r="AY741" s="303"/>
      <c r="AZ741" s="302"/>
      <c r="BC741" s="303"/>
      <c r="BD741" s="302"/>
      <c r="BG741" s="303"/>
      <c r="BH741" s="302"/>
      <c r="BK741" s="303"/>
      <c r="BL741" s="302"/>
      <c r="BO741" s="303"/>
      <c r="BP741" s="302"/>
      <c r="BS741" s="303"/>
      <c r="BT741" s="302"/>
      <c r="BW741" s="303"/>
      <c r="BX741" s="346"/>
      <c r="BY741" s="743"/>
      <c r="BZ741" s="744">
        <f>BZ735+SUM(BZ737:BZ740)</f>
        <v>149.9</v>
      </c>
      <c r="CA741" s="744">
        <f>CA735+SUM(CA737:CA740)</f>
        <v>167.60000000000002</v>
      </c>
      <c r="CB741" s="742"/>
      <c r="CC741" s="742"/>
      <c r="CD741" s="742"/>
      <c r="CE741" s="742"/>
      <c r="CF741" s="742"/>
      <c r="CG741" s="942"/>
      <c r="CH741" s="302"/>
      <c r="CI741" s="302"/>
      <c r="CJ741" s="302"/>
      <c r="CK741" s="302"/>
      <c r="CL741" s="302"/>
      <c r="CM741" s="302"/>
      <c r="CN741" s="302"/>
      <c r="CO741" s="302"/>
      <c r="CP741" s="303"/>
    </row>
    <row r="742" spans="2:94" ht="14.25" hidden="1" customHeight="1" outlineLevel="2">
      <c r="B742" s="288" t="s">
        <v>358</v>
      </c>
      <c r="D742" s="289"/>
      <c r="E742" s="338"/>
      <c r="F742" s="289"/>
      <c r="G742" s="290"/>
      <c r="H742" s="289">
        <f t="shared" ref="H742:O742" si="943">H735/H725</f>
        <v>0.1391953277092797</v>
      </c>
      <c r="I742" s="338">
        <f t="shared" si="943"/>
        <v>0.17661169415292352</v>
      </c>
      <c r="J742" s="289">
        <f t="shared" si="943"/>
        <v>0.15577889447236182</v>
      </c>
      <c r="K742" s="290">
        <f t="shared" si="943"/>
        <v>0.14700130378096476</v>
      </c>
      <c r="L742" s="289">
        <f t="shared" si="943"/>
        <v>0.1494708994708995</v>
      </c>
      <c r="M742" s="338">
        <f t="shared" si="943"/>
        <v>0.18692206076618231</v>
      </c>
      <c r="N742" s="289">
        <f t="shared" si="943"/>
        <v>0.18176020408163265</v>
      </c>
      <c r="O742" s="290">
        <f t="shared" si="943"/>
        <v>0.21240491515506146</v>
      </c>
      <c r="P742" s="289"/>
      <c r="Q742" s="338"/>
      <c r="R742" s="289"/>
      <c r="S742" s="290"/>
      <c r="T742" s="289"/>
      <c r="U742" s="338"/>
      <c r="V742" s="289"/>
      <c r="W742" s="290"/>
      <c r="X742" s="289"/>
      <c r="Y742" s="338"/>
      <c r="Z742" s="289"/>
      <c r="AA742" s="290"/>
      <c r="AB742" s="289"/>
      <c r="AC742" s="338"/>
      <c r="AD742" s="289"/>
      <c r="AE742" s="290"/>
      <c r="AF742" s="289"/>
      <c r="AG742" s="338"/>
      <c r="AH742" s="289"/>
      <c r="AI742" s="290"/>
      <c r="AJ742" s="256"/>
      <c r="AM742" s="303"/>
      <c r="AQ742" s="303"/>
      <c r="AU742" s="303"/>
      <c r="AY742" s="303"/>
      <c r="BC742" s="303"/>
      <c r="BG742" s="303"/>
      <c r="BK742" s="303"/>
      <c r="BO742" s="303"/>
      <c r="BS742" s="303"/>
      <c r="BW742" s="303"/>
      <c r="BX742" s="346"/>
      <c r="BY742" s="22"/>
      <c r="BZ742" s="338">
        <f>BZ735/BZ725</f>
        <v>0.155103007340753</v>
      </c>
      <c r="CA742" s="338">
        <f>CA735/CA725</f>
        <v>0.18356338251626214</v>
      </c>
      <c r="CB742" s="302"/>
      <c r="CC742" s="302"/>
      <c r="CD742" s="392"/>
      <c r="CE742" s="392"/>
      <c r="CF742" s="392"/>
      <c r="CG742" s="302"/>
      <c r="CH742" s="302"/>
      <c r="CI742" s="302"/>
      <c r="CJ742" s="302"/>
      <c r="CK742" s="302"/>
      <c r="CL742" s="302"/>
      <c r="CM742" s="302"/>
      <c r="CN742" s="302"/>
      <c r="CO742" s="302"/>
      <c r="CP742" s="303"/>
    </row>
    <row r="743" spans="2:94" ht="14.25" hidden="1" customHeight="1" outlineLevel="2">
      <c r="B743" s="217" t="s">
        <v>297</v>
      </c>
      <c r="D743" s="220"/>
      <c r="E743" s="220"/>
      <c r="F743" s="220"/>
      <c r="G743" s="258"/>
      <c r="H743" s="425"/>
      <c r="I743" s="220">
        <f t="shared" ref="I743:O743" si="944">I735/H735-1</f>
        <v>0.37296037296037299</v>
      </c>
      <c r="J743" s="220">
        <f t="shared" si="944"/>
        <v>-0.1578947368421052</v>
      </c>
      <c r="K743" s="258">
        <f t="shared" si="944"/>
        <v>-9.0725806451612989E-2</v>
      </c>
      <c r="L743" s="425">
        <f t="shared" si="944"/>
        <v>2.2172949002219333E-3</v>
      </c>
      <c r="M743" s="220">
        <f t="shared" si="944"/>
        <v>0.25221238938053081</v>
      </c>
      <c r="N743" s="220">
        <f t="shared" si="944"/>
        <v>7.0671378091873294E-3</v>
      </c>
      <c r="O743" s="258">
        <f t="shared" si="944"/>
        <v>0.27368421052631597</v>
      </c>
      <c r="P743" s="220"/>
      <c r="Q743" s="220"/>
      <c r="R743" s="220"/>
      <c r="S743" s="258"/>
      <c r="T743" s="220"/>
      <c r="U743" s="220"/>
      <c r="V743" s="220"/>
      <c r="W743" s="258"/>
      <c r="X743" s="220"/>
      <c r="Y743" s="220"/>
      <c r="Z743" s="220"/>
      <c r="AA743" s="258"/>
      <c r="AB743" s="220"/>
      <c r="AC743" s="220"/>
      <c r="AD743" s="220"/>
      <c r="AE743" s="258"/>
      <c r="AF743" s="220"/>
      <c r="AG743" s="220"/>
      <c r="AH743" s="220"/>
      <c r="AI743" s="258"/>
      <c r="AJ743" s="256"/>
      <c r="AM743" s="303"/>
      <c r="AQ743" s="303"/>
      <c r="AU743" s="303"/>
      <c r="AY743" s="303"/>
      <c r="BC743" s="303"/>
      <c r="BG743" s="303"/>
      <c r="BK743" s="303"/>
      <c r="BO743" s="303"/>
      <c r="BS743" s="303"/>
      <c r="BW743" s="303"/>
      <c r="BX743" s="346"/>
      <c r="BY743" s="22"/>
      <c r="BZ743" s="15"/>
      <c r="CA743" s="302"/>
      <c r="CB743" s="302"/>
      <c r="CC743" s="302"/>
      <c r="CD743" s="392"/>
      <c r="CE743" s="392"/>
      <c r="CF743" s="392"/>
      <c r="CG743" s="302"/>
      <c r="CH743" s="302"/>
      <c r="CI743" s="302"/>
      <c r="CJ743" s="302"/>
      <c r="CK743" s="302"/>
      <c r="CL743" s="302"/>
      <c r="CM743" s="302"/>
      <c r="CN743" s="302"/>
      <c r="CO743" s="302"/>
      <c r="CP743" s="303"/>
    </row>
    <row r="744" spans="2:94" ht="14.25" hidden="1" customHeight="1" outlineLevel="2">
      <c r="B744" s="32" t="s">
        <v>298</v>
      </c>
      <c r="D744" s="220"/>
      <c r="E744" s="220"/>
      <c r="F744" s="220"/>
      <c r="G744" s="258"/>
      <c r="H744" s="425"/>
      <c r="I744" s="418"/>
      <c r="J744" s="418"/>
      <c r="K744" s="419"/>
      <c r="L744" s="425">
        <f>L742/H742-1</f>
        <v>7.382124048790728E-2</v>
      </c>
      <c r="M744" s="418">
        <f>M742/I742-1</f>
        <v>5.8378731163358344E-2</v>
      </c>
      <c r="N744" s="418">
        <f>N742/J742-1</f>
        <v>0.16678324555628699</v>
      </c>
      <c r="O744" s="419">
        <f>O742/K742-1</f>
        <v>0.44491858025660469</v>
      </c>
      <c r="P744" s="220"/>
      <c r="Q744" s="220"/>
      <c r="R744" s="220"/>
      <c r="S744" s="258"/>
      <c r="T744" s="220"/>
      <c r="U744" s="220"/>
      <c r="V744" s="220"/>
      <c r="W744" s="258"/>
      <c r="X744" s="220"/>
      <c r="Y744" s="220"/>
      <c r="Z744" s="220"/>
      <c r="AA744" s="258"/>
      <c r="AB744" s="220"/>
      <c r="AC744" s="220"/>
      <c r="AD744" s="220"/>
      <c r="AE744" s="258"/>
      <c r="AF744" s="220"/>
      <c r="AG744" s="220"/>
      <c r="AH744" s="220"/>
      <c r="AI744" s="258"/>
      <c r="AJ744" s="256"/>
      <c r="AM744" s="303"/>
      <c r="AQ744" s="303"/>
      <c r="AU744" s="303"/>
      <c r="AY744" s="303"/>
      <c r="BC744" s="303"/>
      <c r="BG744" s="303"/>
      <c r="BK744" s="303"/>
      <c r="BO744" s="303"/>
      <c r="BS744" s="303"/>
      <c r="BW744" s="303"/>
      <c r="BX744" s="346"/>
      <c r="BY744" s="22"/>
      <c r="BZ744" s="418"/>
      <c r="CA744" s="338">
        <f>CA741/BZ741-1</f>
        <v>0.11807871914609747</v>
      </c>
      <c r="CB744" s="302"/>
      <c r="CC744" s="302"/>
      <c r="CD744" s="392"/>
      <c r="CE744" s="392"/>
      <c r="CF744" s="392"/>
      <c r="CG744" s="302"/>
      <c r="CH744" s="302"/>
      <c r="CI744" s="302"/>
      <c r="CJ744" s="302"/>
      <c r="CK744" s="302"/>
      <c r="CL744" s="302"/>
      <c r="CM744" s="302"/>
      <c r="CN744" s="302"/>
      <c r="CO744" s="302"/>
      <c r="CP744" s="303"/>
    </row>
    <row r="745" spans="2:94" ht="14.25" hidden="1" customHeight="1" outlineLevel="2">
      <c r="B745" s="32"/>
      <c r="G745" s="303"/>
      <c r="K745" s="303"/>
      <c r="O745" s="303"/>
      <c r="S745" s="303"/>
      <c r="W745" s="303"/>
      <c r="AA745" s="303"/>
      <c r="AE745" s="303"/>
      <c r="AI745" s="303"/>
      <c r="AJ745" s="256"/>
      <c r="AM745" s="303"/>
      <c r="AQ745" s="303"/>
      <c r="AU745" s="303"/>
      <c r="AY745" s="303"/>
      <c r="BC745" s="303"/>
      <c r="BG745" s="303"/>
      <c r="BK745" s="303"/>
      <c r="BO745" s="303"/>
      <c r="BS745" s="303"/>
      <c r="BW745" s="303"/>
      <c r="BX745" s="346"/>
      <c r="BY745" s="22"/>
      <c r="BZ745" s="302"/>
      <c r="CA745" s="302"/>
      <c r="CB745" s="302"/>
      <c r="CC745" s="302"/>
      <c r="CD745" s="392"/>
      <c r="CE745" s="392"/>
      <c r="CF745" s="392"/>
      <c r="CG745" s="302"/>
      <c r="CH745" s="302"/>
      <c r="CI745" s="302"/>
      <c r="CJ745" s="302"/>
      <c r="CK745" s="302"/>
      <c r="CL745" s="302"/>
      <c r="CM745" s="302"/>
      <c r="CN745" s="302"/>
      <c r="CO745" s="302"/>
      <c r="CP745" s="303"/>
    </row>
    <row r="746" spans="2:94" ht="14.25" hidden="1" customHeight="1" outlineLevel="2">
      <c r="B746" s="235" t="s">
        <v>318</v>
      </c>
      <c r="D746" s="329"/>
      <c r="E746" s="329"/>
      <c r="F746" s="329"/>
      <c r="G746" s="330"/>
      <c r="H746" s="331">
        <v>308.2</v>
      </c>
      <c r="I746" s="329">
        <v>333.5</v>
      </c>
      <c r="J746" s="329">
        <v>318.39999999999998</v>
      </c>
      <c r="K746" s="330">
        <f>1266.9-SUM(H746:J746)</f>
        <v>306.80000000000007</v>
      </c>
      <c r="L746" s="331">
        <v>302.39999999999998</v>
      </c>
      <c r="M746" s="329">
        <v>302.8</v>
      </c>
      <c r="N746" s="329">
        <v>313.60000000000002</v>
      </c>
      <c r="O746" s="330">
        <v>341.8</v>
      </c>
      <c r="P746" s="331"/>
      <c r="Q746" s="329"/>
      <c r="R746" s="329"/>
      <c r="S746" s="330"/>
      <c r="T746" s="331"/>
      <c r="U746" s="329"/>
      <c r="V746" s="329"/>
      <c r="W746" s="330"/>
      <c r="X746" s="331"/>
      <c r="Y746" s="329"/>
      <c r="Z746" s="329"/>
      <c r="AA746" s="330"/>
      <c r="AB746" s="331"/>
      <c r="AC746" s="329"/>
      <c r="AD746" s="329"/>
      <c r="AE746" s="330"/>
      <c r="AF746" s="331"/>
      <c r="AG746" s="329"/>
      <c r="AH746" s="329"/>
      <c r="AI746" s="330"/>
      <c r="AJ746" s="256"/>
      <c r="AM746" s="303"/>
      <c r="AQ746" s="303"/>
      <c r="AU746" s="303"/>
      <c r="AY746" s="303"/>
      <c r="BC746" s="303"/>
      <c r="BG746" s="303"/>
      <c r="BK746" s="303"/>
      <c r="BO746" s="303"/>
      <c r="BS746" s="303"/>
      <c r="BW746" s="303"/>
      <c r="BX746" s="346"/>
      <c r="BY746" s="745"/>
      <c r="BZ746" s="764">
        <v>1266.9000000000001</v>
      </c>
      <c r="CA746" s="681">
        <v>1260.5999999999999</v>
      </c>
      <c r="CB746" s="681"/>
      <c r="CC746" s="681"/>
      <c r="CD746" s="329"/>
      <c r="CE746" s="329"/>
      <c r="CF746" s="554"/>
      <c r="CG746" s="302"/>
      <c r="CH746" s="302"/>
      <c r="CI746" s="302"/>
      <c r="CJ746" s="302"/>
      <c r="CK746" s="302"/>
      <c r="CL746" s="302"/>
      <c r="CM746" s="302"/>
      <c r="CN746" s="302"/>
      <c r="CO746" s="302"/>
      <c r="CP746" s="303"/>
    </row>
    <row r="747" spans="2:94" ht="14.25" hidden="1" customHeight="1" outlineLevel="2">
      <c r="B747" s="678" t="s">
        <v>166</v>
      </c>
      <c r="C747" s="737"/>
      <c r="D747" s="681"/>
      <c r="E747" s="681"/>
      <c r="F747" s="681"/>
      <c r="G747" s="682"/>
      <c r="H747" s="761">
        <f t="shared" ref="H747:O747" si="945">H746-H725</f>
        <v>0</v>
      </c>
      <c r="I747" s="752">
        <f t="shared" si="945"/>
        <v>0</v>
      </c>
      <c r="J747" s="752">
        <f t="shared" si="945"/>
        <v>0</v>
      </c>
      <c r="K747" s="753">
        <f t="shared" si="945"/>
        <v>0</v>
      </c>
      <c r="L747" s="761">
        <f t="shared" si="945"/>
        <v>0</v>
      </c>
      <c r="M747" s="752">
        <f t="shared" si="945"/>
        <v>0</v>
      </c>
      <c r="N747" s="752">
        <f t="shared" si="945"/>
        <v>0</v>
      </c>
      <c r="O747" s="753">
        <f t="shared" si="945"/>
        <v>0</v>
      </c>
      <c r="P747" s="739"/>
      <c r="Q747" s="681"/>
      <c r="R747" s="681"/>
      <c r="S747" s="682"/>
      <c r="T747" s="739"/>
      <c r="U747" s="681"/>
      <c r="V747" s="681"/>
      <c r="W747" s="682"/>
      <c r="X747" s="739"/>
      <c r="Y747" s="681"/>
      <c r="Z747" s="681"/>
      <c r="AA747" s="682"/>
      <c r="AB747" s="739"/>
      <c r="AC747" s="681"/>
      <c r="AD747" s="681"/>
      <c r="AE747" s="682"/>
      <c r="AF747" s="739"/>
      <c r="AG747" s="681"/>
      <c r="AH747" s="683"/>
      <c r="AI747" s="682"/>
      <c r="AJ747" s="740"/>
      <c r="AK747" s="737"/>
      <c r="AL747" s="737"/>
      <c r="AM747" s="738"/>
      <c r="AN747" s="737"/>
      <c r="AO747" s="737"/>
      <c r="AP747" s="737"/>
      <c r="AQ747" s="738"/>
      <c r="AR747" s="737"/>
      <c r="AS747" s="737"/>
      <c r="AT747" s="737"/>
      <c r="AU747" s="738"/>
      <c r="AV747" s="737"/>
      <c r="AW747" s="737"/>
      <c r="AX747" s="737"/>
      <c r="AY747" s="738"/>
      <c r="AZ747" s="737"/>
      <c r="BA747" s="737"/>
      <c r="BB747" s="737"/>
      <c r="BC747" s="738"/>
      <c r="BD747" s="737"/>
      <c r="BE747" s="737"/>
      <c r="BF747" s="737"/>
      <c r="BG747" s="738"/>
      <c r="BH747" s="737"/>
      <c r="BI747" s="737"/>
      <c r="BJ747" s="737"/>
      <c r="BK747" s="738"/>
      <c r="BL747" s="737"/>
      <c r="BM747" s="737"/>
      <c r="BN747" s="737"/>
      <c r="BO747" s="738"/>
      <c r="BP747" s="737"/>
      <c r="BQ747" s="737"/>
      <c r="BR747" s="737"/>
      <c r="BS747" s="738"/>
      <c r="BT747" s="737"/>
      <c r="BU747" s="737"/>
      <c r="BV747" s="737"/>
      <c r="BW747" s="738"/>
      <c r="BX747" s="775"/>
      <c r="BY747" s="745"/>
      <c r="BZ747" s="757">
        <f>BZ746-BZ725</f>
        <v>0</v>
      </c>
      <c r="CA747" s="757">
        <f>CA746-CA725</f>
        <v>0</v>
      </c>
      <c r="CB747" s="681"/>
      <c r="CC747" s="681"/>
      <c r="CD747" s="681"/>
      <c r="CE747" s="681"/>
      <c r="CF747" s="683"/>
      <c r="CG747" s="741"/>
      <c r="CH747" s="302"/>
      <c r="CI747" s="302"/>
      <c r="CJ747" s="302"/>
      <c r="CK747" s="302"/>
      <c r="CL747" s="302"/>
      <c r="CM747" s="302"/>
      <c r="CN747" s="302"/>
      <c r="CO747" s="302"/>
      <c r="CP747" s="303"/>
    </row>
    <row r="748" spans="2:94" ht="14.25" hidden="1" customHeight="1" outlineLevel="2">
      <c r="B748" s="235"/>
      <c r="D748" s="329"/>
      <c r="E748" s="329"/>
      <c r="F748" s="329"/>
      <c r="G748" s="330"/>
      <c r="H748" s="329"/>
      <c r="I748" s="329"/>
      <c r="J748" s="329"/>
      <c r="K748" s="330"/>
      <c r="L748" s="329"/>
      <c r="M748" s="329"/>
      <c r="N748" s="329"/>
      <c r="O748" s="330"/>
      <c r="P748" s="329"/>
      <c r="Q748" s="329"/>
      <c r="R748" s="329"/>
      <c r="S748" s="330"/>
      <c r="T748" s="329"/>
      <c r="U748" s="329"/>
      <c r="V748" s="329"/>
      <c r="W748" s="330"/>
      <c r="X748" s="329"/>
      <c r="Y748" s="329"/>
      <c r="Z748" s="329"/>
      <c r="AA748" s="330"/>
      <c r="AB748" s="329"/>
      <c r="AC748" s="329"/>
      <c r="AD748" s="329"/>
      <c r="AE748" s="330"/>
      <c r="AF748" s="329"/>
      <c r="AG748" s="329"/>
      <c r="AH748" s="554"/>
      <c r="AI748" s="330"/>
      <c r="AJ748" s="256"/>
      <c r="AM748" s="303"/>
      <c r="AQ748" s="303"/>
      <c r="AU748" s="303"/>
      <c r="AY748" s="303"/>
      <c r="BC748" s="303"/>
      <c r="BG748" s="303"/>
      <c r="BK748" s="303"/>
      <c r="BO748" s="303"/>
      <c r="BS748" s="303"/>
      <c r="BW748" s="303"/>
      <c r="BX748" s="346"/>
      <c r="BY748" s="22"/>
      <c r="BZ748" s="943"/>
      <c r="CA748" s="302"/>
      <c r="CB748" s="302"/>
      <c r="CC748" s="302"/>
      <c r="CD748" s="329"/>
      <c r="CE748" s="329"/>
      <c r="CF748" s="554"/>
      <c r="CG748" s="302"/>
      <c r="CH748" s="302"/>
      <c r="CI748" s="302"/>
      <c r="CJ748" s="302"/>
      <c r="CK748" s="302"/>
      <c r="CL748" s="302"/>
      <c r="CM748" s="302"/>
      <c r="CN748" s="302"/>
      <c r="CO748" s="302"/>
      <c r="CP748" s="303"/>
    </row>
    <row r="749" spans="2:94" ht="14.25" hidden="1" customHeight="1" outlineLevel="2">
      <c r="B749" s="235" t="s">
        <v>211</v>
      </c>
      <c r="D749" s="329"/>
      <c r="E749" s="329"/>
      <c r="F749" s="329"/>
      <c r="G749" s="330"/>
      <c r="H749" s="329">
        <v>95.9</v>
      </c>
      <c r="I749" s="329">
        <v>112.4</v>
      </c>
      <c r="J749" s="329">
        <v>103</v>
      </c>
      <c r="K749" s="330">
        <f>409.9-SUM(H749:J749)</f>
        <v>98.599999999999966</v>
      </c>
      <c r="L749" s="329">
        <v>96.2</v>
      </c>
      <c r="M749" s="329">
        <v>98.5</v>
      </c>
      <c r="N749" s="329">
        <v>104.1</v>
      </c>
      <c r="O749" s="330">
        <v>119.7</v>
      </c>
      <c r="P749" s="329"/>
      <c r="Q749" s="329"/>
      <c r="R749" s="329"/>
      <c r="S749" s="330"/>
      <c r="T749" s="329"/>
      <c r="U749" s="329"/>
      <c r="V749" s="329"/>
      <c r="W749" s="330"/>
      <c r="X749" s="329"/>
      <c r="Y749" s="329"/>
      <c r="Z749" s="329"/>
      <c r="AA749" s="330"/>
      <c r="AB749" s="329"/>
      <c r="AC749" s="329"/>
      <c r="AD749" s="329"/>
      <c r="AE749" s="330"/>
      <c r="AF749" s="329"/>
      <c r="AG749" s="329"/>
      <c r="AH749" s="554"/>
      <c r="AI749" s="330"/>
      <c r="AJ749" s="256"/>
      <c r="AM749" s="303"/>
      <c r="AQ749" s="303"/>
      <c r="AU749" s="303"/>
      <c r="AY749" s="303"/>
      <c r="BC749" s="303"/>
      <c r="BG749" s="303"/>
      <c r="BK749" s="303"/>
      <c r="BO749" s="303"/>
      <c r="BS749" s="303"/>
      <c r="BW749" s="303"/>
      <c r="BX749" s="346"/>
      <c r="BY749" s="745"/>
      <c r="BZ749" s="764">
        <v>409.9</v>
      </c>
      <c r="CA749" s="681">
        <v>418.5</v>
      </c>
      <c r="CB749" s="681"/>
      <c r="CC749" s="681"/>
      <c r="CD749" s="329"/>
      <c r="CE749" s="329"/>
      <c r="CF749" s="554"/>
      <c r="CG749" s="302"/>
      <c r="CH749" s="302"/>
      <c r="CI749" s="302"/>
      <c r="CJ749" s="302"/>
      <c r="CK749" s="302"/>
      <c r="CL749" s="302"/>
      <c r="CM749" s="302"/>
      <c r="CN749" s="302"/>
      <c r="CO749" s="302"/>
      <c r="CP749" s="303"/>
    </row>
    <row r="750" spans="2:94" ht="14.25" hidden="1" customHeight="1" outlineLevel="2">
      <c r="B750" s="678" t="s">
        <v>166</v>
      </c>
      <c r="C750" s="737"/>
      <c r="D750" s="681"/>
      <c r="E750" s="681"/>
      <c r="F750" s="681"/>
      <c r="G750" s="682"/>
      <c r="H750" s="681"/>
      <c r="I750" s="681"/>
      <c r="J750" s="681"/>
      <c r="K750" s="682"/>
      <c r="L750" s="681"/>
      <c r="M750" s="681"/>
      <c r="N750" s="681"/>
      <c r="O750" s="682"/>
      <c r="P750" s="681"/>
      <c r="Q750" s="681"/>
      <c r="R750" s="681"/>
      <c r="S750" s="682"/>
      <c r="T750" s="681"/>
      <c r="U750" s="681"/>
      <c r="V750" s="681"/>
      <c r="W750" s="682"/>
      <c r="X750" s="681"/>
      <c r="Y750" s="681"/>
      <c r="Z750" s="681"/>
      <c r="AA750" s="682"/>
      <c r="AB750" s="681"/>
      <c r="AC750" s="681"/>
      <c r="AD750" s="681"/>
      <c r="AE750" s="682"/>
      <c r="AF750" s="681"/>
      <c r="AG750" s="681"/>
      <c r="AH750" s="683"/>
      <c r="AI750" s="682"/>
      <c r="AJ750" s="740"/>
      <c r="AK750" s="737"/>
      <c r="AL750" s="737"/>
      <c r="AM750" s="738"/>
      <c r="AN750" s="737"/>
      <c r="AO750" s="737"/>
      <c r="AP750" s="737"/>
      <c r="AQ750" s="738"/>
      <c r="AR750" s="737"/>
      <c r="AS750" s="737"/>
      <c r="AT750" s="737"/>
      <c r="AU750" s="738"/>
      <c r="AV750" s="737"/>
      <c r="AW750" s="737"/>
      <c r="AX750" s="737"/>
      <c r="AY750" s="738"/>
      <c r="AZ750" s="737"/>
      <c r="BA750" s="737"/>
      <c r="BB750" s="737"/>
      <c r="BC750" s="738"/>
      <c r="BD750" s="737"/>
      <c r="BE750" s="737"/>
      <c r="BF750" s="737"/>
      <c r="BG750" s="738"/>
      <c r="BH750" s="737"/>
      <c r="BI750" s="737"/>
      <c r="BJ750" s="737"/>
      <c r="BK750" s="738"/>
      <c r="BL750" s="737"/>
      <c r="BM750" s="737"/>
      <c r="BN750" s="737"/>
      <c r="BO750" s="738"/>
      <c r="BP750" s="737"/>
      <c r="BQ750" s="737"/>
      <c r="BR750" s="737"/>
      <c r="BS750" s="738"/>
      <c r="BT750" s="737"/>
      <c r="BU750" s="737"/>
      <c r="BV750" s="737"/>
      <c r="BW750" s="738"/>
      <c r="BX750" s="775"/>
      <c r="BY750" s="745"/>
      <c r="BZ750" s="764"/>
      <c r="CA750" s="764"/>
      <c r="CB750" s="681"/>
      <c r="CC750" s="681"/>
      <c r="CD750" s="681"/>
      <c r="CE750" s="681"/>
      <c r="CF750" s="683"/>
      <c r="CG750" s="741"/>
      <c r="CH750" s="302"/>
      <c r="CI750" s="302"/>
      <c r="CJ750" s="302"/>
      <c r="CK750" s="302"/>
      <c r="CL750" s="302"/>
      <c r="CM750" s="302"/>
      <c r="CN750" s="302"/>
      <c r="CO750" s="302"/>
      <c r="CP750" s="303"/>
    </row>
    <row r="751" spans="2:94" ht="14.25" hidden="1" customHeight="1" outlineLevel="2">
      <c r="B751" s="235"/>
      <c r="D751" s="329"/>
      <c r="E751" s="329"/>
      <c r="F751" s="329"/>
      <c r="G751" s="330"/>
      <c r="H751" s="329"/>
      <c r="I751" s="329"/>
      <c r="J751" s="329"/>
      <c r="K751" s="330"/>
      <c r="L751" s="329"/>
      <c r="M751" s="329"/>
      <c r="N751" s="329"/>
      <c r="O751" s="330"/>
      <c r="P751" s="329"/>
      <c r="Q751" s="329"/>
      <c r="R751" s="329"/>
      <c r="S751" s="330"/>
      <c r="T751" s="329"/>
      <c r="U751" s="329"/>
      <c r="V751" s="329"/>
      <c r="W751" s="330"/>
      <c r="X751" s="329"/>
      <c r="Y751" s="329"/>
      <c r="Z751" s="329"/>
      <c r="AA751" s="330"/>
      <c r="AB751" s="329"/>
      <c r="AC751" s="329"/>
      <c r="AD751" s="329"/>
      <c r="AE751" s="330"/>
      <c r="AF751" s="329"/>
      <c r="AG751" s="329"/>
      <c r="AH751" s="554"/>
      <c r="AI751" s="330"/>
      <c r="AJ751" s="256"/>
      <c r="AM751" s="303"/>
      <c r="AQ751" s="303"/>
      <c r="AU751" s="303"/>
      <c r="AY751" s="303"/>
      <c r="BC751" s="303"/>
      <c r="BG751" s="303"/>
      <c r="BK751" s="303"/>
      <c r="BO751" s="303"/>
      <c r="BS751" s="303"/>
      <c r="BW751" s="303"/>
      <c r="BX751" s="346"/>
      <c r="BY751" s="22"/>
      <c r="BZ751" s="943"/>
      <c r="CA751" s="302"/>
      <c r="CB751" s="302"/>
      <c r="CC751" s="302"/>
      <c r="CD751" s="329"/>
      <c r="CE751" s="329"/>
      <c r="CF751" s="554"/>
      <c r="CG751" s="302"/>
      <c r="CH751" s="302"/>
      <c r="CI751" s="302"/>
      <c r="CJ751" s="302"/>
      <c r="CK751" s="302"/>
      <c r="CL751" s="302"/>
      <c r="CM751" s="302"/>
      <c r="CN751" s="302"/>
      <c r="CO751" s="302"/>
      <c r="CP751" s="303"/>
    </row>
    <row r="752" spans="2:94" ht="14.25" hidden="1" customHeight="1" outlineLevel="2">
      <c r="B752" s="235" t="s">
        <v>212</v>
      </c>
      <c r="D752" s="329"/>
      <c r="E752" s="329"/>
      <c r="F752" s="329"/>
      <c r="G752" s="330"/>
      <c r="H752" s="329">
        <v>23.7</v>
      </c>
      <c r="I752" s="329">
        <v>48.1</v>
      </c>
      <c r="J752" s="329">
        <v>43.5</v>
      </c>
      <c r="K752" s="330">
        <f>149.9-SUM(H752:J752)</f>
        <v>34.600000000000009</v>
      </c>
      <c r="L752" s="329">
        <v>32.299999999999997</v>
      </c>
      <c r="M752" s="329">
        <v>36.299999999999997</v>
      </c>
      <c r="N752" s="329">
        <v>42.2</v>
      </c>
      <c r="O752" s="330">
        <v>56.8</v>
      </c>
      <c r="P752" s="329"/>
      <c r="Q752" s="329"/>
      <c r="R752" s="329"/>
      <c r="S752" s="330"/>
      <c r="T752" s="329"/>
      <c r="U752" s="329"/>
      <c r="V752" s="329"/>
      <c r="W752" s="330"/>
      <c r="X752" s="329"/>
      <c r="Y752" s="329"/>
      <c r="Z752" s="329"/>
      <c r="AA752" s="330"/>
      <c r="AB752" s="329"/>
      <c r="AC752" s="329"/>
      <c r="AD752" s="329"/>
      <c r="AE752" s="330"/>
      <c r="AF752" s="329"/>
      <c r="AG752" s="329"/>
      <c r="AH752" s="554"/>
      <c r="AI752" s="330"/>
      <c r="AJ752" s="256"/>
      <c r="AM752" s="303"/>
      <c r="AQ752" s="303"/>
      <c r="AU752" s="303"/>
      <c r="AY752" s="303"/>
      <c r="BC752" s="303"/>
      <c r="BG752" s="303"/>
      <c r="BK752" s="303"/>
      <c r="BO752" s="303"/>
      <c r="BS752" s="303"/>
      <c r="BW752" s="303"/>
      <c r="BX752" s="346"/>
      <c r="BY752" s="745"/>
      <c r="BZ752" s="764">
        <v>149.9</v>
      </c>
      <c r="CA752" s="681">
        <v>167.6</v>
      </c>
      <c r="CB752" s="681"/>
      <c r="CC752" s="681"/>
      <c r="CD752" s="329"/>
      <c r="CE752" s="329"/>
      <c r="CF752" s="554"/>
      <c r="CG752" s="302"/>
      <c r="CH752" s="302"/>
      <c r="CI752" s="302"/>
      <c r="CJ752" s="302"/>
      <c r="CK752" s="302"/>
      <c r="CL752" s="302"/>
      <c r="CM752" s="302"/>
      <c r="CN752" s="302"/>
      <c r="CO752" s="302"/>
      <c r="CP752" s="303"/>
    </row>
    <row r="753" spans="1:94" ht="14.25" hidden="1" customHeight="1" outlineLevel="2">
      <c r="B753" s="678" t="s">
        <v>166</v>
      </c>
      <c r="C753" s="737"/>
      <c r="D753" s="681"/>
      <c r="E753" s="681"/>
      <c r="F753" s="681"/>
      <c r="G753" s="682"/>
      <c r="H753" s="752">
        <f t="shared" ref="H753:O753" si="946">H752-H741</f>
        <v>0</v>
      </c>
      <c r="I753" s="752">
        <f t="shared" si="946"/>
        <v>0</v>
      </c>
      <c r="J753" s="752">
        <f t="shared" si="946"/>
        <v>0</v>
      </c>
      <c r="K753" s="753">
        <f t="shared" si="946"/>
        <v>0</v>
      </c>
      <c r="L753" s="752">
        <f t="shared" si="946"/>
        <v>0</v>
      </c>
      <c r="M753" s="752">
        <f t="shared" si="946"/>
        <v>0</v>
      </c>
      <c r="N753" s="752">
        <f t="shared" si="946"/>
        <v>0</v>
      </c>
      <c r="O753" s="753">
        <f t="shared" si="946"/>
        <v>0</v>
      </c>
      <c r="P753" s="681"/>
      <c r="Q753" s="681"/>
      <c r="R753" s="681"/>
      <c r="S753" s="682"/>
      <c r="T753" s="681"/>
      <c r="U753" s="681"/>
      <c r="V753" s="681"/>
      <c r="W753" s="682"/>
      <c r="X753" s="681"/>
      <c r="Y753" s="681"/>
      <c r="Z753" s="681"/>
      <c r="AA753" s="682"/>
      <c r="AB753" s="681"/>
      <c r="AC753" s="681"/>
      <c r="AD753" s="681"/>
      <c r="AE753" s="682"/>
      <c r="AF753" s="681"/>
      <c r="AG753" s="681"/>
      <c r="AH753" s="683"/>
      <c r="AI753" s="682"/>
      <c r="AJ753" s="740"/>
      <c r="AK753" s="737"/>
      <c r="AL753" s="737"/>
      <c r="AM753" s="738"/>
      <c r="AN753" s="737"/>
      <c r="AO753" s="737"/>
      <c r="AP753" s="737"/>
      <c r="AQ753" s="738"/>
      <c r="AR753" s="737"/>
      <c r="AS753" s="737"/>
      <c r="AT753" s="737"/>
      <c r="AU753" s="738"/>
      <c r="AV753" s="737"/>
      <c r="AW753" s="737"/>
      <c r="AX753" s="737"/>
      <c r="AY753" s="738"/>
      <c r="AZ753" s="737"/>
      <c r="BA753" s="737"/>
      <c r="BB753" s="737"/>
      <c r="BC753" s="738"/>
      <c r="BD753" s="737"/>
      <c r="BE753" s="737"/>
      <c r="BF753" s="737"/>
      <c r="BG753" s="738"/>
      <c r="BH753" s="737"/>
      <c r="BI753" s="737"/>
      <c r="BJ753" s="737"/>
      <c r="BK753" s="738"/>
      <c r="BL753" s="737"/>
      <c r="BM753" s="737"/>
      <c r="BN753" s="737"/>
      <c r="BO753" s="738"/>
      <c r="BP753" s="737"/>
      <c r="BQ753" s="737"/>
      <c r="BR753" s="737"/>
      <c r="BS753" s="738"/>
      <c r="BT753" s="737"/>
      <c r="BU753" s="737"/>
      <c r="BV753" s="737"/>
      <c r="BW753" s="738"/>
      <c r="BX753" s="775"/>
      <c r="BY753" s="745"/>
      <c r="BZ753" s="757">
        <f>BZ752-BZ741</f>
        <v>0</v>
      </c>
      <c r="CA753" s="757">
        <f>CA752-CA741</f>
        <v>0</v>
      </c>
      <c r="CB753" s="681"/>
      <c r="CC753" s="681"/>
      <c r="CD753" s="681"/>
      <c r="CE753" s="681"/>
      <c r="CF753" s="683"/>
      <c r="CG753" s="741"/>
      <c r="CH753" s="302"/>
      <c r="CI753" s="302"/>
      <c r="CJ753" s="302"/>
      <c r="CK753" s="302"/>
      <c r="CL753" s="302"/>
      <c r="CM753" s="302"/>
      <c r="CN753" s="302"/>
      <c r="CO753" s="302"/>
      <c r="CP753" s="303"/>
    </row>
    <row r="754" spans="1:94" ht="15.75" hidden="1" customHeight="1" outlineLevel="2">
      <c r="B754" s="235"/>
      <c r="G754" s="303"/>
      <c r="K754" s="303"/>
      <c r="O754" s="303"/>
      <c r="S754" s="303"/>
      <c r="W754" s="303"/>
      <c r="AA754" s="303"/>
      <c r="AE754" s="303"/>
      <c r="AI754" s="303"/>
      <c r="AJ754" s="256"/>
      <c r="AM754" s="303"/>
      <c r="AQ754" s="303"/>
      <c r="AU754" s="303"/>
      <c r="AY754" s="303"/>
      <c r="BC754" s="303"/>
      <c r="BG754" s="303"/>
      <c r="BK754" s="303"/>
      <c r="BO754" s="303"/>
      <c r="BS754" s="303"/>
      <c r="BW754" s="303"/>
      <c r="BX754" s="346"/>
      <c r="BY754" s="22"/>
      <c r="BZ754" s="302"/>
      <c r="CA754" s="302"/>
      <c r="CB754" s="302"/>
      <c r="CC754" s="302"/>
      <c r="CD754" s="392"/>
      <c r="CE754" s="392"/>
      <c r="CF754" s="392"/>
      <c r="CG754" s="302"/>
      <c r="CH754" s="302"/>
      <c r="CI754" s="302"/>
      <c r="CJ754" s="302"/>
      <c r="CK754" s="302"/>
      <c r="CL754" s="302"/>
      <c r="CM754" s="302"/>
      <c r="CN754" s="302"/>
      <c r="CO754" s="302"/>
      <c r="CP754" s="303"/>
    </row>
    <row r="755" spans="1:94" ht="14.25" hidden="1" customHeight="1" outlineLevel="2">
      <c r="B755" s="217" t="s">
        <v>297</v>
      </c>
      <c r="G755" s="303"/>
      <c r="H755" s="220"/>
      <c r="I755" s="220">
        <f t="shared" ref="I755:O755" si="947">I746/H746-1</f>
        <v>8.2089552238806096E-2</v>
      </c>
      <c r="J755" s="220">
        <f t="shared" si="947"/>
        <v>-4.5277361319340348E-2</v>
      </c>
      <c r="K755" s="258">
        <f t="shared" si="947"/>
        <v>-3.6432160804019786E-2</v>
      </c>
      <c r="L755" s="220">
        <f t="shared" si="947"/>
        <v>-1.43415906127774E-2</v>
      </c>
      <c r="M755" s="220">
        <f t="shared" si="947"/>
        <v>1.3227513227513921E-3</v>
      </c>
      <c r="N755" s="220">
        <f t="shared" si="947"/>
        <v>3.566710700132103E-2</v>
      </c>
      <c r="O755" s="258">
        <f t="shared" si="947"/>
        <v>8.9923469387755084E-2</v>
      </c>
      <c r="S755" s="303"/>
      <c r="W755" s="303"/>
      <c r="AA755" s="303"/>
      <c r="AE755" s="303"/>
      <c r="AI755" s="303"/>
      <c r="AJ755" s="256"/>
      <c r="AM755" s="303"/>
      <c r="AQ755" s="303"/>
      <c r="AU755" s="303"/>
      <c r="AY755" s="303"/>
      <c r="BC755" s="303"/>
      <c r="BG755" s="303"/>
      <c r="BK755" s="303"/>
      <c r="BO755" s="303"/>
      <c r="BS755" s="303"/>
      <c r="BW755" s="303"/>
      <c r="BX755" s="346"/>
      <c r="BY755" s="22"/>
      <c r="BZ755" s="302"/>
      <c r="CA755" s="302"/>
      <c r="CB755" s="302"/>
      <c r="CC755" s="302"/>
      <c r="CD755" s="392"/>
      <c r="CE755" s="392"/>
      <c r="CF755" s="392"/>
      <c r="CG755" s="302"/>
      <c r="CH755" s="302"/>
      <c r="CI755" s="302"/>
      <c r="CJ755" s="302"/>
      <c r="CK755" s="302"/>
      <c r="CL755" s="302"/>
      <c r="CM755" s="302"/>
      <c r="CN755" s="302"/>
      <c r="CO755" s="302"/>
      <c r="CP755" s="303"/>
    </row>
    <row r="756" spans="1:94" ht="14.25" hidden="1" customHeight="1" outlineLevel="2">
      <c r="B756" s="32" t="s">
        <v>298</v>
      </c>
      <c r="G756" s="303"/>
      <c r="H756" s="220"/>
      <c r="I756" s="220"/>
      <c r="J756" s="220"/>
      <c r="K756" s="258"/>
      <c r="L756" s="220">
        <f>L746/H746-1</f>
        <v>-1.8818948734588004E-2</v>
      </c>
      <c r="M756" s="220">
        <f>M746/I746-1</f>
        <v>-9.2053973013493273E-2</v>
      </c>
      <c r="N756" s="220">
        <f>N746/J746-1</f>
        <v>-1.5075376884421954E-2</v>
      </c>
      <c r="O756" s="258">
        <f>O746/K746-1</f>
        <v>0.1140808344198172</v>
      </c>
      <c r="S756" s="303"/>
      <c r="W756" s="303"/>
      <c r="AA756" s="303"/>
      <c r="AE756" s="303"/>
      <c r="AI756" s="303"/>
      <c r="AJ756" s="256"/>
      <c r="AM756" s="303"/>
      <c r="AQ756" s="303"/>
      <c r="AU756" s="303"/>
      <c r="AY756" s="303"/>
      <c r="BC756" s="303"/>
      <c r="BG756" s="303"/>
      <c r="BK756" s="303"/>
      <c r="BO756" s="303"/>
      <c r="BS756" s="303"/>
      <c r="BW756" s="303"/>
      <c r="BX756" s="346"/>
      <c r="BY756" s="22"/>
      <c r="BZ756" s="338"/>
      <c r="CA756" s="338">
        <f>CA746/BZ746-1</f>
        <v>-4.9727681742838259E-3</v>
      </c>
      <c r="CB756" s="302"/>
      <c r="CC756" s="302"/>
      <c r="CD756" s="392"/>
      <c r="CE756" s="392"/>
      <c r="CF756" s="392"/>
      <c r="CG756" s="302"/>
      <c r="CH756" s="302"/>
      <c r="CI756" s="302"/>
      <c r="CJ756" s="302"/>
      <c r="CK756" s="302"/>
      <c r="CL756" s="302"/>
      <c r="CM756" s="302"/>
      <c r="CN756" s="302"/>
      <c r="CO756" s="302"/>
      <c r="CP756" s="303"/>
    </row>
    <row r="757" spans="1:94" ht="14.25" hidden="1" customHeight="1" outlineLevel="2">
      <c r="B757" s="731"/>
      <c r="C757" s="304"/>
      <c r="D757" s="304"/>
      <c r="E757" s="304"/>
      <c r="F757" s="304"/>
      <c r="G757" s="305"/>
      <c r="H757" s="304"/>
      <c r="I757" s="304"/>
      <c r="J757" s="304"/>
      <c r="K757" s="305"/>
      <c r="L757" s="304"/>
      <c r="M757" s="304"/>
      <c r="N757" s="304"/>
      <c r="O757" s="305"/>
      <c r="P757" s="304"/>
      <c r="Q757" s="304"/>
      <c r="R757" s="304"/>
      <c r="S757" s="305"/>
      <c r="T757" s="304"/>
      <c r="U757" s="304"/>
      <c r="V757" s="304"/>
      <c r="W757" s="305"/>
      <c r="X757" s="304"/>
      <c r="Y757" s="304"/>
      <c r="Z757" s="304"/>
      <c r="AA757" s="305"/>
      <c r="AB757" s="304"/>
      <c r="AC757" s="304"/>
      <c r="AD757" s="304"/>
      <c r="AE757" s="305"/>
      <c r="AF757" s="304"/>
      <c r="AG757" s="304"/>
      <c r="AH757" s="304"/>
      <c r="AI757" s="305"/>
      <c r="AJ757" s="731"/>
      <c r="AK757" s="304"/>
      <c r="AL757" s="304"/>
      <c r="AM757" s="305"/>
      <c r="AN757" s="304"/>
      <c r="AO757" s="304"/>
      <c r="AP757" s="304"/>
      <c r="AQ757" s="305"/>
      <c r="AR757" s="304"/>
      <c r="AS757" s="304"/>
      <c r="AT757" s="304"/>
      <c r="AU757" s="305"/>
      <c r="AV757" s="304"/>
      <c r="AW757" s="304"/>
      <c r="AX757" s="304"/>
      <c r="AY757" s="305"/>
      <c r="AZ757" s="304"/>
      <c r="BA757" s="304"/>
      <c r="BB757" s="304"/>
      <c r="BC757" s="305"/>
      <c r="BD757" s="304"/>
      <c r="BE757" s="304"/>
      <c r="BF757" s="304"/>
      <c r="BG757" s="305"/>
      <c r="BH757" s="304"/>
      <c r="BI757" s="304"/>
      <c r="BJ757" s="304"/>
      <c r="BK757" s="305"/>
      <c r="BL757" s="304"/>
      <c r="BM757" s="304"/>
      <c r="BN757" s="304"/>
      <c r="BO757" s="305"/>
      <c r="BP757" s="304"/>
      <c r="BQ757" s="304"/>
      <c r="BR757" s="304"/>
      <c r="BS757" s="305"/>
      <c r="BT757" s="304"/>
      <c r="BU757" s="304"/>
      <c r="BV757" s="304"/>
      <c r="BW757" s="305"/>
      <c r="BX757" s="346"/>
      <c r="BY757" s="731"/>
      <c r="BZ757" s="304"/>
      <c r="CA757" s="304"/>
      <c r="CB757" s="304"/>
      <c r="CC757" s="304"/>
      <c r="CD757" s="304"/>
      <c r="CE757" s="304"/>
      <c r="CF757" s="304"/>
      <c r="CG757" s="304"/>
      <c r="CH757" s="304"/>
      <c r="CI757" s="304"/>
      <c r="CJ757" s="304"/>
      <c r="CK757" s="304"/>
      <c r="CL757" s="304"/>
      <c r="CM757" s="304"/>
      <c r="CN757" s="304"/>
      <c r="CO757" s="304"/>
      <c r="CP757" s="305"/>
    </row>
    <row r="758" spans="1:94" ht="14.25" hidden="1" customHeight="1" outlineLevel="1" collapsed="1">
      <c r="CJ758" s="302"/>
      <c r="CK758" s="302"/>
      <c r="CL758" s="302"/>
      <c r="CM758" s="302"/>
      <c r="CN758" s="302"/>
      <c r="CO758" s="302"/>
      <c r="CP758" s="302"/>
    </row>
    <row r="759" spans="1:94" ht="14.25" hidden="1" customHeight="1" outlineLevel="1">
      <c r="CJ759" s="302"/>
      <c r="CK759" s="302"/>
      <c r="CL759" s="302"/>
      <c r="CM759" s="302"/>
      <c r="CN759" s="302"/>
      <c r="CO759" s="302"/>
      <c r="CP759" s="302"/>
    </row>
    <row r="760" spans="1:94" s="1369" customFormat="1" ht="14.25" hidden="1" customHeight="1" outlineLevel="1">
      <c r="BL760" s="1372"/>
      <c r="BM760" s="1372"/>
      <c r="BN760" s="1372"/>
      <c r="BO760" s="1372"/>
      <c r="BP760" s="1372"/>
      <c r="BQ760" s="1372"/>
      <c r="BR760" s="1372"/>
      <c r="BS760" s="1372"/>
      <c r="BT760" s="1463"/>
      <c r="BU760" s="1463"/>
      <c r="BV760" s="1463"/>
      <c r="BW760" s="1463"/>
      <c r="CJ760" s="302"/>
      <c r="CK760" s="302"/>
      <c r="CL760" s="302"/>
      <c r="CM760" s="302"/>
      <c r="CN760" s="302"/>
      <c r="CO760" s="302"/>
      <c r="CP760" s="302"/>
    </row>
    <row r="761" spans="1:94" s="1369" customFormat="1" ht="14.25" hidden="1" customHeight="1" outlineLevel="2">
      <c r="A761" s="6"/>
      <c r="B761" s="159"/>
      <c r="C761" s="159"/>
      <c r="D761" s="246"/>
      <c r="E761" s="246"/>
      <c r="F761" s="246"/>
      <c r="G761" s="246"/>
      <c r="H761" s="246"/>
      <c r="I761" s="246"/>
      <c r="J761" s="246"/>
      <c r="K761" s="246"/>
      <c r="L761" s="246"/>
      <c r="M761" s="246"/>
      <c r="N761" s="246"/>
      <c r="O761" s="246"/>
      <c r="P761" s="246"/>
      <c r="Q761" s="246"/>
      <c r="R761" s="246"/>
      <c r="S761" s="246"/>
      <c r="T761" s="246"/>
      <c r="U761" s="246"/>
      <c r="V761" s="246"/>
      <c r="W761" s="246"/>
      <c r="X761" s="246"/>
      <c r="Y761" s="246"/>
      <c r="Z761" s="246"/>
      <c r="AA761" s="246"/>
      <c r="AB761" s="246"/>
      <c r="AC761" s="246"/>
      <c r="AD761" s="246"/>
      <c r="AE761" s="246"/>
      <c r="AF761" s="246"/>
      <c r="AG761" s="246"/>
      <c r="AH761" s="246"/>
      <c r="AI761" s="246"/>
      <c r="AJ761" s="246"/>
      <c r="AK761" s="246"/>
      <c r="AL761" s="246"/>
      <c r="AM761" s="246"/>
      <c r="AN761" s="246"/>
      <c r="AO761" s="246"/>
      <c r="AP761" s="246"/>
      <c r="AQ761" s="246"/>
      <c r="AR761" s="246"/>
      <c r="AS761" s="246"/>
      <c r="AT761" s="246"/>
      <c r="AU761" s="246"/>
      <c r="AV761" s="246"/>
      <c r="AW761" s="246"/>
      <c r="AX761" s="246"/>
      <c r="AY761" s="246"/>
      <c r="AZ761" s="246"/>
      <c r="BA761" s="246"/>
      <c r="BB761" s="246"/>
      <c r="BC761" s="246"/>
      <c r="BD761" s="246"/>
      <c r="BE761" s="246"/>
      <c r="BF761" s="246"/>
      <c r="BG761" s="246"/>
      <c r="BH761" s="246"/>
      <c r="BI761" s="246"/>
      <c r="BJ761" s="246"/>
      <c r="BK761" s="246"/>
      <c r="BL761" s="246"/>
      <c r="BM761" s="246"/>
      <c r="BN761" s="246"/>
      <c r="BO761" s="246"/>
      <c r="BP761" s="246"/>
      <c r="BQ761" s="246"/>
      <c r="BR761" s="246"/>
      <c r="BS761" s="246"/>
      <c r="BT761" s="246"/>
      <c r="BU761" s="246"/>
      <c r="BV761" s="246"/>
      <c r="BW761" s="246"/>
      <c r="BX761" s="270"/>
      <c r="BY761" s="246"/>
      <c r="BZ761" s="246"/>
      <c r="CA761" s="246"/>
      <c r="CB761" s="246"/>
      <c r="CC761" s="246"/>
      <c r="CD761" s="246"/>
      <c r="CE761" s="246"/>
      <c r="CF761" s="246"/>
      <c r="CG761" s="246"/>
      <c r="CH761" s="246"/>
      <c r="CI761" s="246"/>
      <c r="CJ761" s="246"/>
      <c r="CK761" s="246"/>
      <c r="CL761" s="246"/>
      <c r="CM761" s="246"/>
      <c r="CN761" s="246"/>
      <c r="CO761" s="246"/>
      <c r="CP761" s="246"/>
    </row>
    <row r="762" spans="1:94" ht="14.25" hidden="1" customHeight="1" outlineLevel="1"/>
    <row r="763" spans="1:94" ht="14.25" customHeight="1" collapsed="1"/>
  </sheetData>
  <phoneticPr fontId="27" type="noConversion"/>
  <conditionalFormatting sqref="D111:AV111 D145:AY145 BA145">
    <cfRule type="cellIs" dxfId="54" priority="64" stopIfTrue="1" operator="between">
      <formula>-0.005</formula>
      <formula>0.005</formula>
    </cfRule>
  </conditionalFormatting>
  <conditionalFormatting sqref="B4">
    <cfRule type="cellIs" dxfId="53" priority="65" stopIfTrue="1" operator="equal">
      <formula>"Bear Case"</formula>
    </cfRule>
    <cfRule type="cellIs" dxfId="52" priority="66" stopIfTrue="1" operator="equal">
      <formula>"Bull Case"</formula>
    </cfRule>
    <cfRule type="cellIs" dxfId="51" priority="67" stopIfTrue="1" operator="equal">
      <formula>"Base Case"</formula>
    </cfRule>
  </conditionalFormatting>
  <conditionalFormatting sqref="AW111">
    <cfRule type="cellIs" dxfId="50" priority="62" stopIfTrue="1" operator="between">
      <formula>-0.005</formula>
      <formula>0.005</formula>
    </cfRule>
  </conditionalFormatting>
  <conditionalFormatting sqref="AX111">
    <cfRule type="cellIs" dxfId="49" priority="61" stopIfTrue="1" operator="between">
      <formula>-0.005</formula>
      <formula>0.005</formula>
    </cfRule>
  </conditionalFormatting>
  <conditionalFormatting sqref="BH145">
    <cfRule type="cellIs" dxfId="48" priority="60" stopIfTrue="1" operator="between">
      <formula>-0.005</formula>
      <formula>0.005</formula>
    </cfRule>
  </conditionalFormatting>
  <conditionalFormatting sqref="AZ111">
    <cfRule type="cellIs" dxfId="47" priority="57" stopIfTrue="1" operator="between">
      <formula>-0.005</formula>
      <formula>0.005</formula>
    </cfRule>
  </conditionalFormatting>
  <conditionalFormatting sqref="AY111">
    <cfRule type="cellIs" dxfId="46" priority="58" stopIfTrue="1" operator="between">
      <formula>-0.005</formula>
      <formula>0.005</formula>
    </cfRule>
  </conditionalFormatting>
  <conditionalFormatting sqref="BA111">
    <cfRule type="cellIs" dxfId="45" priority="56" stopIfTrue="1" operator="between">
      <formula>-0.005</formula>
      <formula>0.005</formula>
    </cfRule>
  </conditionalFormatting>
  <conditionalFormatting sqref="AZ145">
    <cfRule type="cellIs" dxfId="44" priority="55" stopIfTrue="1" operator="between">
      <formula>-0.005</formula>
      <formula>0.005</formula>
    </cfRule>
  </conditionalFormatting>
  <conditionalFormatting sqref="BB145">
    <cfRule type="cellIs" dxfId="43" priority="54" stopIfTrue="1" operator="between">
      <formula>-0.005</formula>
      <formula>0.005</formula>
    </cfRule>
  </conditionalFormatting>
  <conditionalFormatting sqref="BB111">
    <cfRule type="cellIs" dxfId="42" priority="53" stopIfTrue="1" operator="between">
      <formula>-0.005</formula>
      <formula>0.005</formula>
    </cfRule>
  </conditionalFormatting>
  <conditionalFormatting sqref="BC111">
    <cfRule type="cellIs" dxfId="41" priority="52" stopIfTrue="1" operator="between">
      <formula>-0.005</formula>
      <formula>0.005</formula>
    </cfRule>
  </conditionalFormatting>
  <conditionalFormatting sqref="BC145">
    <cfRule type="cellIs" dxfId="40" priority="51" stopIfTrue="1" operator="between">
      <formula>-0.005</formula>
      <formula>0.005</formula>
    </cfRule>
  </conditionalFormatting>
  <conditionalFormatting sqref="BD111">
    <cfRule type="cellIs" dxfId="39" priority="45" stopIfTrue="1" operator="between">
      <formula>-0.005</formula>
      <formula>0.005</formula>
    </cfRule>
  </conditionalFormatting>
  <conditionalFormatting sqref="BD145">
    <cfRule type="cellIs" dxfId="38" priority="44" stopIfTrue="1" operator="between">
      <formula>-0.005</formula>
      <formula>0.005</formula>
    </cfRule>
  </conditionalFormatting>
  <conditionalFormatting sqref="BF145">
    <cfRule type="cellIs" dxfId="37" priority="40" stopIfTrue="1" operator="between">
      <formula>-0.005</formula>
      <formula>0.005</formula>
    </cfRule>
  </conditionalFormatting>
  <conditionalFormatting sqref="BE111">
    <cfRule type="cellIs" dxfId="36" priority="42" stopIfTrue="1" operator="between">
      <formula>-0.005</formula>
      <formula>0.005</formula>
    </cfRule>
  </conditionalFormatting>
  <conditionalFormatting sqref="BE145">
    <cfRule type="cellIs" dxfId="35" priority="41" stopIfTrue="1" operator="between">
      <formula>-0.005</formula>
      <formula>0.005</formula>
    </cfRule>
  </conditionalFormatting>
  <conditionalFormatting sqref="BF111">
    <cfRule type="cellIs" dxfId="34" priority="38" stopIfTrue="1" operator="between">
      <formula>-0.005</formula>
      <formula>0.005</formula>
    </cfRule>
  </conditionalFormatting>
  <conditionalFormatting sqref="D259:AV259 D284:AY284 BA284">
    <cfRule type="cellIs" dxfId="33" priority="37" stopIfTrue="1" operator="between">
      <formula>-0.005</formula>
      <formula>0.005</formula>
    </cfRule>
  </conditionalFormatting>
  <conditionalFormatting sqref="AW259">
    <cfRule type="cellIs" dxfId="32" priority="36" stopIfTrue="1" operator="between">
      <formula>-0.005</formula>
      <formula>0.005</formula>
    </cfRule>
  </conditionalFormatting>
  <conditionalFormatting sqref="AX259">
    <cfRule type="cellIs" dxfId="31" priority="35" stopIfTrue="1" operator="between">
      <formula>-0.005</formula>
      <formula>0.005</formula>
    </cfRule>
  </conditionalFormatting>
  <conditionalFormatting sqref="BH259:BK259 BH284:BK284">
    <cfRule type="cellIs" dxfId="30" priority="34" stopIfTrue="1" operator="between">
      <formula>-0.005</formula>
      <formula>0.005</formula>
    </cfRule>
  </conditionalFormatting>
  <conditionalFormatting sqref="BG259 BG284">
    <cfRule type="cellIs" dxfId="29" priority="33" stopIfTrue="1" operator="between">
      <formula>-0.005</formula>
      <formula>0.005</formula>
    </cfRule>
  </conditionalFormatting>
  <conditionalFormatting sqref="AY259">
    <cfRule type="cellIs" dxfId="28" priority="32" stopIfTrue="1" operator="between">
      <formula>-0.005</formula>
      <formula>0.005</formula>
    </cfRule>
  </conditionalFormatting>
  <conditionalFormatting sqref="AZ259">
    <cfRule type="cellIs" dxfId="27" priority="31" stopIfTrue="1" operator="between">
      <formula>-0.005</formula>
      <formula>0.005</formula>
    </cfRule>
  </conditionalFormatting>
  <conditionalFormatting sqref="BA259">
    <cfRule type="cellIs" dxfId="26" priority="30" stopIfTrue="1" operator="between">
      <formula>-0.005</formula>
      <formula>0.005</formula>
    </cfRule>
  </conditionalFormatting>
  <conditionalFormatting sqref="AZ284">
    <cfRule type="cellIs" dxfId="25" priority="29" stopIfTrue="1" operator="between">
      <formula>-0.005</formula>
      <formula>0.005</formula>
    </cfRule>
  </conditionalFormatting>
  <conditionalFormatting sqref="BB284">
    <cfRule type="cellIs" dxfId="24" priority="28" stopIfTrue="1" operator="between">
      <formula>-0.005</formula>
      <formula>0.005</formula>
    </cfRule>
  </conditionalFormatting>
  <conditionalFormatting sqref="BB259">
    <cfRule type="cellIs" dxfId="23" priority="27" stopIfTrue="1" operator="between">
      <formula>-0.005</formula>
      <formula>0.005</formula>
    </cfRule>
  </conditionalFormatting>
  <conditionalFormatting sqref="BC259">
    <cfRule type="cellIs" dxfId="22" priority="26" stopIfTrue="1" operator="between">
      <formula>-0.005</formula>
      <formula>0.005</formula>
    </cfRule>
  </conditionalFormatting>
  <conditionalFormatting sqref="BC284">
    <cfRule type="cellIs" dxfId="21" priority="25" stopIfTrue="1" operator="between">
      <formula>-0.005</formula>
      <formula>0.005</formula>
    </cfRule>
  </conditionalFormatting>
  <conditionalFormatting sqref="BE284">
    <cfRule type="cellIs" dxfId="20" priority="20" stopIfTrue="1" operator="between">
      <formula>-0.005</formula>
      <formula>0.005</formula>
    </cfRule>
  </conditionalFormatting>
  <conditionalFormatting sqref="BD259">
    <cfRule type="cellIs" dxfId="19" priority="23" stopIfTrue="1" operator="between">
      <formula>-0.005</formula>
      <formula>0.005</formula>
    </cfRule>
  </conditionalFormatting>
  <conditionalFormatting sqref="BD284">
    <cfRule type="cellIs" dxfId="18" priority="22" stopIfTrue="1" operator="between">
      <formula>-0.005</formula>
      <formula>0.005</formula>
    </cfRule>
  </conditionalFormatting>
  <conditionalFormatting sqref="BF284">
    <cfRule type="cellIs" dxfId="17" priority="19" stopIfTrue="1" operator="between">
      <formula>-0.005</formula>
      <formula>0.005</formula>
    </cfRule>
  </conditionalFormatting>
  <conditionalFormatting sqref="BE259">
    <cfRule type="cellIs" dxfId="16" priority="21" stopIfTrue="1" operator="between">
      <formula>-0.005</formula>
      <formula>0.005</formula>
    </cfRule>
  </conditionalFormatting>
  <conditionalFormatting sqref="BF259">
    <cfRule type="cellIs" dxfId="15" priority="18" stopIfTrue="1" operator="between">
      <formula>-0.005</formula>
      <formula>0.005</formula>
    </cfRule>
  </conditionalFormatting>
  <conditionalFormatting sqref="BG111">
    <cfRule type="cellIs" dxfId="14" priority="17" stopIfTrue="1" operator="between">
      <formula>-0.005</formula>
      <formula>0.005</formula>
    </cfRule>
  </conditionalFormatting>
  <conditionalFormatting sqref="BG145">
    <cfRule type="cellIs" dxfId="13" priority="16" stopIfTrue="1" operator="between">
      <formula>-0.005</formula>
      <formula>0.005</formula>
    </cfRule>
  </conditionalFormatting>
  <conditionalFormatting sqref="BL111:BO111 BL145:BO145">
    <cfRule type="cellIs" dxfId="12" priority="13" stopIfTrue="1" operator="between">
      <formula>-0.005</formula>
      <formula>0.005</formula>
    </cfRule>
  </conditionalFormatting>
  <conditionalFormatting sqref="BL259:BO259 BL284:BO284">
    <cfRule type="cellIs" dxfId="11" priority="12" stopIfTrue="1" operator="between">
      <formula>-0.005</formula>
      <formula>0.005</formula>
    </cfRule>
  </conditionalFormatting>
  <conditionalFormatting sqref="BP111:BS111 BP145:BS145">
    <cfRule type="cellIs" dxfId="10" priority="11" stopIfTrue="1" operator="between">
      <formula>-0.005</formula>
      <formula>0.005</formula>
    </cfRule>
  </conditionalFormatting>
  <conditionalFormatting sqref="BP259:BS259 BP284:BS284">
    <cfRule type="cellIs" dxfId="9" priority="10" stopIfTrue="1" operator="between">
      <formula>-0.005</formula>
      <formula>0.005</formula>
    </cfRule>
  </conditionalFormatting>
  <conditionalFormatting sqref="BH111">
    <cfRule type="cellIs" dxfId="8" priority="9" stopIfTrue="1" operator="between">
      <formula>-0.005</formula>
      <formula>0.005</formula>
    </cfRule>
  </conditionalFormatting>
  <conditionalFormatting sqref="BI111">
    <cfRule type="cellIs" dxfId="7" priority="8" stopIfTrue="1" operator="between">
      <formula>-0.005</formula>
      <formula>0.005</formula>
    </cfRule>
  </conditionalFormatting>
  <conditionalFormatting sqref="BI145">
    <cfRule type="cellIs" dxfId="6" priority="7" stopIfTrue="1" operator="between">
      <formula>-0.005</formula>
      <formula>0.005</formula>
    </cfRule>
  </conditionalFormatting>
  <conditionalFormatting sqref="BJ111">
    <cfRule type="cellIs" dxfId="5" priority="6" stopIfTrue="1" operator="between">
      <formula>-0.005</formula>
      <formula>0.005</formula>
    </cfRule>
  </conditionalFormatting>
  <conditionalFormatting sqref="BJ145">
    <cfRule type="cellIs" dxfId="4" priority="5" stopIfTrue="1" operator="between">
      <formula>-0.005</formula>
      <formula>0.005</formula>
    </cfRule>
  </conditionalFormatting>
  <conditionalFormatting sqref="BT111:BW111 BT145:BW145">
    <cfRule type="cellIs" dxfId="3" priority="4" stopIfTrue="1" operator="between">
      <formula>-0.005</formula>
      <formula>0.005</formula>
    </cfRule>
  </conditionalFormatting>
  <conditionalFormatting sqref="BT259:BW259 BT284:BW284">
    <cfRule type="cellIs" dxfId="2" priority="3" stopIfTrue="1" operator="between">
      <formula>-0.005</formula>
      <formula>0.005</formula>
    </cfRule>
  </conditionalFormatting>
  <conditionalFormatting sqref="BK111">
    <cfRule type="cellIs" dxfId="1" priority="2" stopIfTrue="1" operator="between">
      <formula>-0.005</formula>
      <formula>0.005</formula>
    </cfRule>
  </conditionalFormatting>
  <conditionalFormatting sqref="BK145">
    <cfRule type="cellIs" dxfId="0" priority="1" stopIfTrue="1" operator="between">
      <formula>-0.005</formula>
      <formula>0.005</formula>
    </cfRule>
  </conditionalFormatting>
  <dataValidations disablePrompts="1" count="1">
    <dataValidation type="list" allowBlank="1" showInputMessage="1" showErrorMessage="1" sqref="B4">
      <formula1>#REF!</formula1>
    </dataValidation>
  </dataValidations>
  <pageMargins left="0.25" right="0.25" top="0.25" bottom="0.25" header="0.5" footer="0.5"/>
  <pageSetup scale="53" orientation="landscape" r:id="rId1"/>
  <headerFooter alignWithMargins="0"/>
  <ignoredErrors>
    <ignoredError sqref="AY92:BA92 BC92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3"/>
  <sheetViews>
    <sheetView workbookViewId="0">
      <selection activeCell="B42" sqref="B42"/>
    </sheetView>
  </sheetViews>
  <sheetFormatPr defaultRowHeight="12.75"/>
  <cols>
    <col min="1" max="1" width="29.5703125" style="1457" bestFit="1" customWidth="1"/>
    <col min="2" max="2" width="19.85546875" style="1512" customWidth="1"/>
    <col min="3" max="3" width="12" style="1457" bestFit="1" customWidth="1"/>
    <col min="4" max="256" width="9.140625" style="1457"/>
    <col min="257" max="257" width="29.5703125" style="1457" bestFit="1" customWidth="1"/>
    <col min="258" max="258" width="19.85546875" style="1457" customWidth="1"/>
    <col min="259" max="259" width="12" style="1457" bestFit="1" customWidth="1"/>
    <col min="260" max="512" width="9.140625" style="1457"/>
    <col min="513" max="513" width="29.5703125" style="1457" bestFit="1" customWidth="1"/>
    <col min="514" max="514" width="19.85546875" style="1457" customWidth="1"/>
    <col min="515" max="515" width="12" style="1457" bestFit="1" customWidth="1"/>
    <col min="516" max="768" width="9.140625" style="1457"/>
    <col min="769" max="769" width="29.5703125" style="1457" bestFit="1" customWidth="1"/>
    <col min="770" max="770" width="19.85546875" style="1457" customWidth="1"/>
    <col min="771" max="771" width="12" style="1457" bestFit="1" customWidth="1"/>
    <col min="772" max="1024" width="9.140625" style="1457"/>
    <col min="1025" max="1025" width="29.5703125" style="1457" bestFit="1" customWidth="1"/>
    <col min="1026" max="1026" width="19.85546875" style="1457" customWidth="1"/>
    <col min="1027" max="1027" width="12" style="1457" bestFit="1" customWidth="1"/>
    <col min="1028" max="1280" width="9.140625" style="1457"/>
    <col min="1281" max="1281" width="29.5703125" style="1457" bestFit="1" customWidth="1"/>
    <col min="1282" max="1282" width="19.85546875" style="1457" customWidth="1"/>
    <col min="1283" max="1283" width="12" style="1457" bestFit="1" customWidth="1"/>
    <col min="1284" max="1536" width="9.140625" style="1457"/>
    <col min="1537" max="1537" width="29.5703125" style="1457" bestFit="1" customWidth="1"/>
    <col min="1538" max="1538" width="19.85546875" style="1457" customWidth="1"/>
    <col min="1539" max="1539" width="12" style="1457" bestFit="1" customWidth="1"/>
    <col min="1540" max="1792" width="9.140625" style="1457"/>
    <col min="1793" max="1793" width="29.5703125" style="1457" bestFit="1" customWidth="1"/>
    <col min="1794" max="1794" width="19.85546875" style="1457" customWidth="1"/>
    <col min="1795" max="1795" width="12" style="1457" bestFit="1" customWidth="1"/>
    <col min="1796" max="2048" width="9.140625" style="1457"/>
    <col min="2049" max="2049" width="29.5703125" style="1457" bestFit="1" customWidth="1"/>
    <col min="2050" max="2050" width="19.85546875" style="1457" customWidth="1"/>
    <col min="2051" max="2051" width="12" style="1457" bestFit="1" customWidth="1"/>
    <col min="2052" max="2304" width="9.140625" style="1457"/>
    <col min="2305" max="2305" width="29.5703125" style="1457" bestFit="1" customWidth="1"/>
    <col min="2306" max="2306" width="19.85546875" style="1457" customWidth="1"/>
    <col min="2307" max="2307" width="12" style="1457" bestFit="1" customWidth="1"/>
    <col min="2308" max="2560" width="9.140625" style="1457"/>
    <col min="2561" max="2561" width="29.5703125" style="1457" bestFit="1" customWidth="1"/>
    <col min="2562" max="2562" width="19.85546875" style="1457" customWidth="1"/>
    <col min="2563" max="2563" width="12" style="1457" bestFit="1" customWidth="1"/>
    <col min="2564" max="2816" width="9.140625" style="1457"/>
    <col min="2817" max="2817" width="29.5703125" style="1457" bestFit="1" customWidth="1"/>
    <col min="2818" max="2818" width="19.85546875" style="1457" customWidth="1"/>
    <col min="2819" max="2819" width="12" style="1457" bestFit="1" customWidth="1"/>
    <col min="2820" max="3072" width="9.140625" style="1457"/>
    <col min="3073" max="3073" width="29.5703125" style="1457" bestFit="1" customWidth="1"/>
    <col min="3074" max="3074" width="19.85546875" style="1457" customWidth="1"/>
    <col min="3075" max="3075" width="12" style="1457" bestFit="1" customWidth="1"/>
    <col min="3076" max="3328" width="9.140625" style="1457"/>
    <col min="3329" max="3329" width="29.5703125" style="1457" bestFit="1" customWidth="1"/>
    <col min="3330" max="3330" width="19.85546875" style="1457" customWidth="1"/>
    <col min="3331" max="3331" width="12" style="1457" bestFit="1" customWidth="1"/>
    <col min="3332" max="3584" width="9.140625" style="1457"/>
    <col min="3585" max="3585" width="29.5703125" style="1457" bestFit="1" customWidth="1"/>
    <col min="3586" max="3586" width="19.85546875" style="1457" customWidth="1"/>
    <col min="3587" max="3587" width="12" style="1457" bestFit="1" customWidth="1"/>
    <col min="3588" max="3840" width="9.140625" style="1457"/>
    <col min="3841" max="3841" width="29.5703125" style="1457" bestFit="1" customWidth="1"/>
    <col min="3842" max="3842" width="19.85546875" style="1457" customWidth="1"/>
    <col min="3843" max="3843" width="12" style="1457" bestFit="1" customWidth="1"/>
    <col min="3844" max="4096" width="9.140625" style="1457"/>
    <col min="4097" max="4097" width="29.5703125" style="1457" bestFit="1" customWidth="1"/>
    <col min="4098" max="4098" width="19.85546875" style="1457" customWidth="1"/>
    <col min="4099" max="4099" width="12" style="1457" bestFit="1" customWidth="1"/>
    <col min="4100" max="4352" width="9.140625" style="1457"/>
    <col min="4353" max="4353" width="29.5703125" style="1457" bestFit="1" customWidth="1"/>
    <col min="4354" max="4354" width="19.85546875" style="1457" customWidth="1"/>
    <col min="4355" max="4355" width="12" style="1457" bestFit="1" customWidth="1"/>
    <col min="4356" max="4608" width="9.140625" style="1457"/>
    <col min="4609" max="4609" width="29.5703125" style="1457" bestFit="1" customWidth="1"/>
    <col min="4610" max="4610" width="19.85546875" style="1457" customWidth="1"/>
    <col min="4611" max="4611" width="12" style="1457" bestFit="1" customWidth="1"/>
    <col min="4612" max="4864" width="9.140625" style="1457"/>
    <col min="4865" max="4865" width="29.5703125" style="1457" bestFit="1" customWidth="1"/>
    <col min="4866" max="4866" width="19.85546875" style="1457" customWidth="1"/>
    <col min="4867" max="4867" width="12" style="1457" bestFit="1" customWidth="1"/>
    <col min="4868" max="5120" width="9.140625" style="1457"/>
    <col min="5121" max="5121" width="29.5703125" style="1457" bestFit="1" customWidth="1"/>
    <col min="5122" max="5122" width="19.85546875" style="1457" customWidth="1"/>
    <col min="5123" max="5123" width="12" style="1457" bestFit="1" customWidth="1"/>
    <col min="5124" max="5376" width="9.140625" style="1457"/>
    <col min="5377" max="5377" width="29.5703125" style="1457" bestFit="1" customWidth="1"/>
    <col min="5378" max="5378" width="19.85546875" style="1457" customWidth="1"/>
    <col min="5379" max="5379" width="12" style="1457" bestFit="1" customWidth="1"/>
    <col min="5380" max="5632" width="9.140625" style="1457"/>
    <col min="5633" max="5633" width="29.5703125" style="1457" bestFit="1" customWidth="1"/>
    <col min="5634" max="5634" width="19.85546875" style="1457" customWidth="1"/>
    <col min="5635" max="5635" width="12" style="1457" bestFit="1" customWidth="1"/>
    <col min="5636" max="5888" width="9.140625" style="1457"/>
    <col min="5889" max="5889" width="29.5703125" style="1457" bestFit="1" customWidth="1"/>
    <col min="5890" max="5890" width="19.85546875" style="1457" customWidth="1"/>
    <col min="5891" max="5891" width="12" style="1457" bestFit="1" customWidth="1"/>
    <col min="5892" max="6144" width="9.140625" style="1457"/>
    <col min="6145" max="6145" width="29.5703125" style="1457" bestFit="1" customWidth="1"/>
    <col min="6146" max="6146" width="19.85546875" style="1457" customWidth="1"/>
    <col min="6147" max="6147" width="12" style="1457" bestFit="1" customWidth="1"/>
    <col min="6148" max="6400" width="9.140625" style="1457"/>
    <col min="6401" max="6401" width="29.5703125" style="1457" bestFit="1" customWidth="1"/>
    <col min="6402" max="6402" width="19.85546875" style="1457" customWidth="1"/>
    <col min="6403" max="6403" width="12" style="1457" bestFit="1" customWidth="1"/>
    <col min="6404" max="6656" width="9.140625" style="1457"/>
    <col min="6657" max="6657" width="29.5703125" style="1457" bestFit="1" customWidth="1"/>
    <col min="6658" max="6658" width="19.85546875" style="1457" customWidth="1"/>
    <col min="6659" max="6659" width="12" style="1457" bestFit="1" customWidth="1"/>
    <col min="6660" max="6912" width="9.140625" style="1457"/>
    <col min="6913" max="6913" width="29.5703125" style="1457" bestFit="1" customWidth="1"/>
    <col min="6914" max="6914" width="19.85546875" style="1457" customWidth="1"/>
    <col min="6915" max="6915" width="12" style="1457" bestFit="1" customWidth="1"/>
    <col min="6916" max="7168" width="9.140625" style="1457"/>
    <col min="7169" max="7169" width="29.5703125" style="1457" bestFit="1" customWidth="1"/>
    <col min="7170" max="7170" width="19.85546875" style="1457" customWidth="1"/>
    <col min="7171" max="7171" width="12" style="1457" bestFit="1" customWidth="1"/>
    <col min="7172" max="7424" width="9.140625" style="1457"/>
    <col min="7425" max="7425" width="29.5703125" style="1457" bestFit="1" customWidth="1"/>
    <col min="7426" max="7426" width="19.85546875" style="1457" customWidth="1"/>
    <col min="7427" max="7427" width="12" style="1457" bestFit="1" customWidth="1"/>
    <col min="7428" max="7680" width="9.140625" style="1457"/>
    <col min="7681" max="7681" width="29.5703125" style="1457" bestFit="1" customWidth="1"/>
    <col min="7682" max="7682" width="19.85546875" style="1457" customWidth="1"/>
    <col min="7683" max="7683" width="12" style="1457" bestFit="1" customWidth="1"/>
    <col min="7684" max="7936" width="9.140625" style="1457"/>
    <col min="7937" max="7937" width="29.5703125" style="1457" bestFit="1" customWidth="1"/>
    <col min="7938" max="7938" width="19.85546875" style="1457" customWidth="1"/>
    <col min="7939" max="7939" width="12" style="1457" bestFit="1" customWidth="1"/>
    <col min="7940" max="8192" width="9.140625" style="1457"/>
    <col min="8193" max="8193" width="29.5703125" style="1457" bestFit="1" customWidth="1"/>
    <col min="8194" max="8194" width="19.85546875" style="1457" customWidth="1"/>
    <col min="8195" max="8195" width="12" style="1457" bestFit="1" customWidth="1"/>
    <col min="8196" max="8448" width="9.140625" style="1457"/>
    <col min="8449" max="8449" width="29.5703125" style="1457" bestFit="1" customWidth="1"/>
    <col min="8450" max="8450" width="19.85546875" style="1457" customWidth="1"/>
    <col min="8451" max="8451" width="12" style="1457" bestFit="1" customWidth="1"/>
    <col min="8452" max="8704" width="9.140625" style="1457"/>
    <col min="8705" max="8705" width="29.5703125" style="1457" bestFit="1" customWidth="1"/>
    <col min="8706" max="8706" width="19.85546875" style="1457" customWidth="1"/>
    <col min="8707" max="8707" width="12" style="1457" bestFit="1" customWidth="1"/>
    <col min="8708" max="8960" width="9.140625" style="1457"/>
    <col min="8961" max="8961" width="29.5703125" style="1457" bestFit="1" customWidth="1"/>
    <col min="8962" max="8962" width="19.85546875" style="1457" customWidth="1"/>
    <col min="8963" max="8963" width="12" style="1457" bestFit="1" customWidth="1"/>
    <col min="8964" max="9216" width="9.140625" style="1457"/>
    <col min="9217" max="9217" width="29.5703125" style="1457" bestFit="1" customWidth="1"/>
    <col min="9218" max="9218" width="19.85546875" style="1457" customWidth="1"/>
    <col min="9219" max="9219" width="12" style="1457" bestFit="1" customWidth="1"/>
    <col min="9220" max="9472" width="9.140625" style="1457"/>
    <col min="9473" max="9473" width="29.5703125" style="1457" bestFit="1" customWidth="1"/>
    <col min="9474" max="9474" width="19.85546875" style="1457" customWidth="1"/>
    <col min="9475" max="9475" width="12" style="1457" bestFit="1" customWidth="1"/>
    <col min="9476" max="9728" width="9.140625" style="1457"/>
    <col min="9729" max="9729" width="29.5703125" style="1457" bestFit="1" customWidth="1"/>
    <col min="9730" max="9730" width="19.85546875" style="1457" customWidth="1"/>
    <col min="9731" max="9731" width="12" style="1457" bestFit="1" customWidth="1"/>
    <col min="9732" max="9984" width="9.140625" style="1457"/>
    <col min="9985" max="9985" width="29.5703125" style="1457" bestFit="1" customWidth="1"/>
    <col min="9986" max="9986" width="19.85546875" style="1457" customWidth="1"/>
    <col min="9987" max="9987" width="12" style="1457" bestFit="1" customWidth="1"/>
    <col min="9988" max="10240" width="9.140625" style="1457"/>
    <col min="10241" max="10241" width="29.5703125" style="1457" bestFit="1" customWidth="1"/>
    <col min="10242" max="10242" width="19.85546875" style="1457" customWidth="1"/>
    <col min="10243" max="10243" width="12" style="1457" bestFit="1" customWidth="1"/>
    <col min="10244" max="10496" width="9.140625" style="1457"/>
    <col min="10497" max="10497" width="29.5703125" style="1457" bestFit="1" customWidth="1"/>
    <col min="10498" max="10498" width="19.85546875" style="1457" customWidth="1"/>
    <col min="10499" max="10499" width="12" style="1457" bestFit="1" customWidth="1"/>
    <col min="10500" max="10752" width="9.140625" style="1457"/>
    <col min="10753" max="10753" width="29.5703125" style="1457" bestFit="1" customWidth="1"/>
    <col min="10754" max="10754" width="19.85546875" style="1457" customWidth="1"/>
    <col min="10755" max="10755" width="12" style="1457" bestFit="1" customWidth="1"/>
    <col min="10756" max="11008" width="9.140625" style="1457"/>
    <col min="11009" max="11009" width="29.5703125" style="1457" bestFit="1" customWidth="1"/>
    <col min="11010" max="11010" width="19.85546875" style="1457" customWidth="1"/>
    <col min="11011" max="11011" width="12" style="1457" bestFit="1" customWidth="1"/>
    <col min="11012" max="11264" width="9.140625" style="1457"/>
    <col min="11265" max="11265" width="29.5703125" style="1457" bestFit="1" customWidth="1"/>
    <col min="11266" max="11266" width="19.85546875" style="1457" customWidth="1"/>
    <col min="11267" max="11267" width="12" style="1457" bestFit="1" customWidth="1"/>
    <col min="11268" max="11520" width="9.140625" style="1457"/>
    <col min="11521" max="11521" width="29.5703125" style="1457" bestFit="1" customWidth="1"/>
    <col min="11522" max="11522" width="19.85546875" style="1457" customWidth="1"/>
    <col min="11523" max="11523" width="12" style="1457" bestFit="1" customWidth="1"/>
    <col min="11524" max="11776" width="9.140625" style="1457"/>
    <col min="11777" max="11777" width="29.5703125" style="1457" bestFit="1" customWidth="1"/>
    <col min="11778" max="11778" width="19.85546875" style="1457" customWidth="1"/>
    <col min="11779" max="11779" width="12" style="1457" bestFit="1" customWidth="1"/>
    <col min="11780" max="12032" width="9.140625" style="1457"/>
    <col min="12033" max="12033" width="29.5703125" style="1457" bestFit="1" customWidth="1"/>
    <col min="12034" max="12034" width="19.85546875" style="1457" customWidth="1"/>
    <col min="12035" max="12035" width="12" style="1457" bestFit="1" customWidth="1"/>
    <col min="12036" max="12288" width="9.140625" style="1457"/>
    <col min="12289" max="12289" width="29.5703125" style="1457" bestFit="1" customWidth="1"/>
    <col min="12290" max="12290" width="19.85546875" style="1457" customWidth="1"/>
    <col min="12291" max="12291" width="12" style="1457" bestFit="1" customWidth="1"/>
    <col min="12292" max="12544" width="9.140625" style="1457"/>
    <col min="12545" max="12545" width="29.5703125" style="1457" bestFit="1" customWidth="1"/>
    <col min="12546" max="12546" width="19.85546875" style="1457" customWidth="1"/>
    <col min="12547" max="12547" width="12" style="1457" bestFit="1" customWidth="1"/>
    <col min="12548" max="12800" width="9.140625" style="1457"/>
    <col min="12801" max="12801" width="29.5703125" style="1457" bestFit="1" customWidth="1"/>
    <col min="12802" max="12802" width="19.85546875" style="1457" customWidth="1"/>
    <col min="12803" max="12803" width="12" style="1457" bestFit="1" customWidth="1"/>
    <col min="12804" max="13056" width="9.140625" style="1457"/>
    <col min="13057" max="13057" width="29.5703125" style="1457" bestFit="1" customWidth="1"/>
    <col min="13058" max="13058" width="19.85546875" style="1457" customWidth="1"/>
    <col min="13059" max="13059" width="12" style="1457" bestFit="1" customWidth="1"/>
    <col min="13060" max="13312" width="9.140625" style="1457"/>
    <col min="13313" max="13313" width="29.5703125" style="1457" bestFit="1" customWidth="1"/>
    <col min="13314" max="13314" width="19.85546875" style="1457" customWidth="1"/>
    <col min="13315" max="13315" width="12" style="1457" bestFit="1" customWidth="1"/>
    <col min="13316" max="13568" width="9.140625" style="1457"/>
    <col min="13569" max="13569" width="29.5703125" style="1457" bestFit="1" customWidth="1"/>
    <col min="13570" max="13570" width="19.85546875" style="1457" customWidth="1"/>
    <col min="13571" max="13571" width="12" style="1457" bestFit="1" customWidth="1"/>
    <col min="13572" max="13824" width="9.140625" style="1457"/>
    <col min="13825" max="13825" width="29.5703125" style="1457" bestFit="1" customWidth="1"/>
    <col min="13826" max="13826" width="19.85546875" style="1457" customWidth="1"/>
    <col min="13827" max="13827" width="12" style="1457" bestFit="1" customWidth="1"/>
    <col min="13828" max="14080" width="9.140625" style="1457"/>
    <col min="14081" max="14081" width="29.5703125" style="1457" bestFit="1" customWidth="1"/>
    <col min="14082" max="14082" width="19.85546875" style="1457" customWidth="1"/>
    <col min="14083" max="14083" width="12" style="1457" bestFit="1" customWidth="1"/>
    <col min="14084" max="14336" width="9.140625" style="1457"/>
    <col min="14337" max="14337" width="29.5703125" style="1457" bestFit="1" customWidth="1"/>
    <col min="14338" max="14338" width="19.85546875" style="1457" customWidth="1"/>
    <col min="14339" max="14339" width="12" style="1457" bestFit="1" customWidth="1"/>
    <col min="14340" max="14592" width="9.140625" style="1457"/>
    <col min="14593" max="14593" width="29.5703125" style="1457" bestFit="1" customWidth="1"/>
    <col min="14594" max="14594" width="19.85546875" style="1457" customWidth="1"/>
    <col min="14595" max="14595" width="12" style="1457" bestFit="1" customWidth="1"/>
    <col min="14596" max="14848" width="9.140625" style="1457"/>
    <col min="14849" max="14849" width="29.5703125" style="1457" bestFit="1" customWidth="1"/>
    <col min="14850" max="14850" width="19.85546875" style="1457" customWidth="1"/>
    <col min="14851" max="14851" width="12" style="1457" bestFit="1" customWidth="1"/>
    <col min="14852" max="15104" width="9.140625" style="1457"/>
    <col min="15105" max="15105" width="29.5703125" style="1457" bestFit="1" customWidth="1"/>
    <col min="15106" max="15106" width="19.85546875" style="1457" customWidth="1"/>
    <col min="15107" max="15107" width="12" style="1457" bestFit="1" customWidth="1"/>
    <col min="15108" max="15360" width="9.140625" style="1457"/>
    <col min="15361" max="15361" width="29.5703125" style="1457" bestFit="1" customWidth="1"/>
    <col min="15362" max="15362" width="19.85546875" style="1457" customWidth="1"/>
    <col min="15363" max="15363" width="12" style="1457" bestFit="1" customWidth="1"/>
    <col min="15364" max="15616" width="9.140625" style="1457"/>
    <col min="15617" max="15617" width="29.5703125" style="1457" bestFit="1" customWidth="1"/>
    <col min="15618" max="15618" width="19.85546875" style="1457" customWidth="1"/>
    <col min="15619" max="15619" width="12" style="1457" bestFit="1" customWidth="1"/>
    <col min="15620" max="15872" width="9.140625" style="1457"/>
    <col min="15873" max="15873" width="29.5703125" style="1457" bestFit="1" customWidth="1"/>
    <col min="15874" max="15874" width="19.85546875" style="1457" customWidth="1"/>
    <col min="15875" max="15875" width="12" style="1457" bestFit="1" customWidth="1"/>
    <col min="15876" max="16128" width="9.140625" style="1457"/>
    <col min="16129" max="16129" width="29.5703125" style="1457" bestFit="1" customWidth="1"/>
    <col min="16130" max="16130" width="19.85546875" style="1457" customWidth="1"/>
    <col min="16131" max="16131" width="12" style="1457" bestFit="1" customWidth="1"/>
    <col min="16132" max="16384" width="9.140625" style="1457"/>
  </cols>
  <sheetData>
    <row r="1" spans="1:2">
      <c r="A1" s="1457" t="s">
        <v>980</v>
      </c>
      <c r="B1" s="1511">
        <v>6.1</v>
      </c>
    </row>
    <row r="2" spans="1:2">
      <c r="A2" s="1457" t="s">
        <v>981</v>
      </c>
      <c r="B2" s="1515">
        <v>43136.720092592594</v>
      </c>
    </row>
    <row r="3" spans="1:2">
      <c r="A3" s="1457" t="s">
        <v>982</v>
      </c>
      <c r="B3" s="1512" t="s">
        <v>679</v>
      </c>
    </row>
    <row r="4" spans="1:2">
      <c r="A4" s="1457" t="s">
        <v>983</v>
      </c>
      <c r="B4" s="1512" t="s">
        <v>562</v>
      </c>
    </row>
    <row r="5" spans="1:2">
      <c r="A5" s="1457" t="s">
        <v>984</v>
      </c>
      <c r="B5" s="1512" t="s">
        <v>985</v>
      </c>
    </row>
    <row r="6" spans="1:2">
      <c r="A6" s="1457" t="s">
        <v>986</v>
      </c>
    </row>
    <row r="7" spans="1:2">
      <c r="A7" s="1457" t="s">
        <v>987</v>
      </c>
      <c r="B7" s="1512" t="s">
        <v>52</v>
      </c>
    </row>
    <row r="8" spans="1:2">
      <c r="A8" s="1457" t="s">
        <v>988</v>
      </c>
      <c r="B8" s="1512" t="s">
        <v>989</v>
      </c>
    </row>
    <row r="9" spans="1:2">
      <c r="A9" s="1457" t="s">
        <v>990</v>
      </c>
      <c r="B9" s="1512" t="s">
        <v>1027</v>
      </c>
    </row>
    <row r="10" spans="1:2">
      <c r="A10" s="1457" t="s">
        <v>991</v>
      </c>
    </row>
    <row r="11" spans="1:2">
      <c r="A11" s="1457" t="s">
        <v>992</v>
      </c>
    </row>
    <row r="12" spans="1:2">
      <c r="A12" s="1457" t="s">
        <v>993</v>
      </c>
    </row>
    <row r="13" spans="1:2">
      <c r="A13" s="1457" t="s">
        <v>994</v>
      </c>
    </row>
    <row r="14" spans="1:2">
      <c r="A14" s="1457" t="s">
        <v>995</v>
      </c>
    </row>
    <row r="15" spans="1:2">
      <c r="A15" s="1457" t="s">
        <v>996</v>
      </c>
    </row>
    <row r="16" spans="1:2">
      <c r="A16" s="1457" t="s">
        <v>997</v>
      </c>
    </row>
    <row r="17" spans="1:4">
      <c r="A17" s="1457" t="s">
        <v>998</v>
      </c>
      <c r="B17" s="1512" t="s">
        <v>1028</v>
      </c>
    </row>
    <row r="18" spans="1:4">
      <c r="A18" s="1457" t="s">
        <v>999</v>
      </c>
      <c r="B18" s="1512" t="s">
        <v>1031</v>
      </c>
    </row>
    <row r="19" spans="1:4">
      <c r="A19" s="1457" t="s">
        <v>1000</v>
      </c>
      <c r="B19" s="1512" t="s">
        <v>599</v>
      </c>
    </row>
    <row r="20" spans="1:4">
      <c r="A20" s="1457" t="s">
        <v>1001</v>
      </c>
      <c r="B20" s="1513">
        <v>682189105</v>
      </c>
    </row>
    <row r="21" spans="1:4">
      <c r="A21" s="1457" t="s">
        <v>1002</v>
      </c>
      <c r="B21" s="1512" t="s">
        <v>599</v>
      </c>
    </row>
    <row r="22" spans="1:4">
      <c r="A22" s="1457" t="s">
        <v>1003</v>
      </c>
      <c r="B22" s="1513">
        <v>2583576</v>
      </c>
    </row>
    <row r="23" spans="1:4">
      <c r="A23" s="1457" t="s">
        <v>522</v>
      </c>
      <c r="B23" s="1511">
        <v>22.64</v>
      </c>
    </row>
    <row r="24" spans="1:4">
      <c r="A24" s="1457" t="s">
        <v>521</v>
      </c>
      <c r="B24" s="1512" t="s">
        <v>144</v>
      </c>
      <c r="D24" s="1457" t="s">
        <v>366</v>
      </c>
    </row>
    <row r="25" spans="1:4">
      <c r="A25" s="1457" t="s">
        <v>1004</v>
      </c>
      <c r="B25" s="1512" t="s">
        <v>1032</v>
      </c>
    </row>
    <row r="26" spans="1:4">
      <c r="A26" s="1457" t="s">
        <v>1005</v>
      </c>
      <c r="B26" s="1512">
        <v>0</v>
      </c>
    </row>
    <row r="27" spans="1:4">
      <c r="A27" s="1457" t="s">
        <v>1006</v>
      </c>
      <c r="B27" s="1512" t="s">
        <v>1007</v>
      </c>
    </row>
    <row r="28" spans="1:4">
      <c r="A28" s="1457" t="s">
        <v>1008</v>
      </c>
      <c r="B28" s="1512" t="s">
        <v>1009</v>
      </c>
    </row>
    <row r="29" spans="1:4">
      <c r="A29" s="1457" t="s">
        <v>1010</v>
      </c>
    </row>
    <row r="30" spans="1:4">
      <c r="A30" s="1457" t="s">
        <v>1011</v>
      </c>
    </row>
    <row r="31" spans="1:4">
      <c r="A31" s="1457" t="s">
        <v>1012</v>
      </c>
    </row>
    <row r="32" spans="1:4">
      <c r="A32" s="1457" t="s">
        <v>1013</v>
      </c>
      <c r="B32" s="1511"/>
    </row>
    <row r="33" spans="1:2">
      <c r="A33" s="1457" t="s">
        <v>1014</v>
      </c>
      <c r="B33" s="1511"/>
    </row>
    <row r="34" spans="1:2">
      <c r="A34" s="1457" t="s">
        <v>1015</v>
      </c>
      <c r="B34" s="1511"/>
    </row>
    <row r="35" spans="1:2">
      <c r="A35" s="1457" t="s">
        <v>1016</v>
      </c>
      <c r="B35" s="1512">
        <v>1000000</v>
      </c>
    </row>
    <row r="36" spans="1:2">
      <c r="A36" s="1457" t="s">
        <v>1017</v>
      </c>
      <c r="B36" s="1512" t="s">
        <v>1029</v>
      </c>
    </row>
    <row r="37" spans="1:2">
      <c r="A37" s="1457" t="s">
        <v>1018</v>
      </c>
      <c r="B37" s="1512" t="s">
        <v>1019</v>
      </c>
    </row>
    <row r="38" spans="1:2">
      <c r="A38" s="1457" t="s">
        <v>1020</v>
      </c>
      <c r="B38" s="1512" t="s">
        <v>1021</v>
      </c>
    </row>
    <row r="39" spans="1:2">
      <c r="A39" s="1457" t="s">
        <v>1022</v>
      </c>
      <c r="B39" s="1512" t="s">
        <v>1030</v>
      </c>
    </row>
    <row r="40" spans="1:2">
      <c r="A40" s="1457" t="s">
        <v>1023</v>
      </c>
      <c r="B40" s="1512">
        <v>1500000092</v>
      </c>
    </row>
    <row r="41" spans="1:2">
      <c r="A41" s="1457" t="s">
        <v>1024</v>
      </c>
      <c r="B41" s="1512">
        <v>1</v>
      </c>
    </row>
    <row r="42" spans="1:2">
      <c r="A42" s="1514" t="s">
        <v>1025</v>
      </c>
      <c r="B42" s="1512" t="s">
        <v>1033</v>
      </c>
    </row>
    <row r="43" spans="1:2">
      <c r="A43" s="1457" t="s">
        <v>1026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28.5703125" style="1457" bestFit="1" customWidth="1"/>
    <col min="2" max="256" width="9.140625" style="1457"/>
    <col min="257" max="257" width="28.5703125" style="1457" bestFit="1" customWidth="1"/>
    <col min="258" max="512" width="9.140625" style="1457"/>
    <col min="513" max="513" width="28.5703125" style="1457" bestFit="1" customWidth="1"/>
    <col min="514" max="768" width="9.140625" style="1457"/>
    <col min="769" max="769" width="28.5703125" style="1457" bestFit="1" customWidth="1"/>
    <col min="770" max="1024" width="9.140625" style="1457"/>
    <col min="1025" max="1025" width="28.5703125" style="1457" bestFit="1" customWidth="1"/>
    <col min="1026" max="1280" width="9.140625" style="1457"/>
    <col min="1281" max="1281" width="28.5703125" style="1457" bestFit="1" customWidth="1"/>
    <col min="1282" max="1536" width="9.140625" style="1457"/>
    <col min="1537" max="1537" width="28.5703125" style="1457" bestFit="1" customWidth="1"/>
    <col min="1538" max="1792" width="9.140625" style="1457"/>
    <col min="1793" max="1793" width="28.5703125" style="1457" bestFit="1" customWidth="1"/>
    <col min="1794" max="2048" width="9.140625" style="1457"/>
    <col min="2049" max="2049" width="28.5703125" style="1457" bestFit="1" customWidth="1"/>
    <col min="2050" max="2304" width="9.140625" style="1457"/>
    <col min="2305" max="2305" width="28.5703125" style="1457" bestFit="1" customWidth="1"/>
    <col min="2306" max="2560" width="9.140625" style="1457"/>
    <col min="2561" max="2561" width="28.5703125" style="1457" bestFit="1" customWidth="1"/>
    <col min="2562" max="2816" width="9.140625" style="1457"/>
    <col min="2817" max="2817" width="28.5703125" style="1457" bestFit="1" customWidth="1"/>
    <col min="2818" max="3072" width="9.140625" style="1457"/>
    <col min="3073" max="3073" width="28.5703125" style="1457" bestFit="1" customWidth="1"/>
    <col min="3074" max="3328" width="9.140625" style="1457"/>
    <col min="3329" max="3329" width="28.5703125" style="1457" bestFit="1" customWidth="1"/>
    <col min="3330" max="3584" width="9.140625" style="1457"/>
    <col min="3585" max="3585" width="28.5703125" style="1457" bestFit="1" customWidth="1"/>
    <col min="3586" max="3840" width="9.140625" style="1457"/>
    <col min="3841" max="3841" width="28.5703125" style="1457" bestFit="1" customWidth="1"/>
    <col min="3842" max="4096" width="9.140625" style="1457"/>
    <col min="4097" max="4097" width="28.5703125" style="1457" bestFit="1" customWidth="1"/>
    <col min="4098" max="4352" width="9.140625" style="1457"/>
    <col min="4353" max="4353" width="28.5703125" style="1457" bestFit="1" customWidth="1"/>
    <col min="4354" max="4608" width="9.140625" style="1457"/>
    <col min="4609" max="4609" width="28.5703125" style="1457" bestFit="1" customWidth="1"/>
    <col min="4610" max="4864" width="9.140625" style="1457"/>
    <col min="4865" max="4865" width="28.5703125" style="1457" bestFit="1" customWidth="1"/>
    <col min="4866" max="5120" width="9.140625" style="1457"/>
    <col min="5121" max="5121" width="28.5703125" style="1457" bestFit="1" customWidth="1"/>
    <col min="5122" max="5376" width="9.140625" style="1457"/>
    <col min="5377" max="5377" width="28.5703125" style="1457" bestFit="1" customWidth="1"/>
    <col min="5378" max="5632" width="9.140625" style="1457"/>
    <col min="5633" max="5633" width="28.5703125" style="1457" bestFit="1" customWidth="1"/>
    <col min="5634" max="5888" width="9.140625" style="1457"/>
    <col min="5889" max="5889" width="28.5703125" style="1457" bestFit="1" customWidth="1"/>
    <col min="5890" max="6144" width="9.140625" style="1457"/>
    <col min="6145" max="6145" width="28.5703125" style="1457" bestFit="1" customWidth="1"/>
    <col min="6146" max="6400" width="9.140625" style="1457"/>
    <col min="6401" max="6401" width="28.5703125" style="1457" bestFit="1" customWidth="1"/>
    <col min="6402" max="6656" width="9.140625" style="1457"/>
    <col min="6657" max="6657" width="28.5703125" style="1457" bestFit="1" customWidth="1"/>
    <col min="6658" max="6912" width="9.140625" style="1457"/>
    <col min="6913" max="6913" width="28.5703125" style="1457" bestFit="1" customWidth="1"/>
    <col min="6914" max="7168" width="9.140625" style="1457"/>
    <col min="7169" max="7169" width="28.5703125" style="1457" bestFit="1" customWidth="1"/>
    <col min="7170" max="7424" width="9.140625" style="1457"/>
    <col min="7425" max="7425" width="28.5703125" style="1457" bestFit="1" customWidth="1"/>
    <col min="7426" max="7680" width="9.140625" style="1457"/>
    <col min="7681" max="7681" width="28.5703125" style="1457" bestFit="1" customWidth="1"/>
    <col min="7682" max="7936" width="9.140625" style="1457"/>
    <col min="7937" max="7937" width="28.5703125" style="1457" bestFit="1" customWidth="1"/>
    <col min="7938" max="8192" width="9.140625" style="1457"/>
    <col min="8193" max="8193" width="28.5703125" style="1457" bestFit="1" customWidth="1"/>
    <col min="8194" max="8448" width="9.140625" style="1457"/>
    <col min="8449" max="8449" width="28.5703125" style="1457" bestFit="1" customWidth="1"/>
    <col min="8450" max="8704" width="9.140625" style="1457"/>
    <col min="8705" max="8705" width="28.5703125" style="1457" bestFit="1" customWidth="1"/>
    <col min="8706" max="8960" width="9.140625" style="1457"/>
    <col min="8961" max="8961" width="28.5703125" style="1457" bestFit="1" customWidth="1"/>
    <col min="8962" max="9216" width="9.140625" style="1457"/>
    <col min="9217" max="9217" width="28.5703125" style="1457" bestFit="1" customWidth="1"/>
    <col min="9218" max="9472" width="9.140625" style="1457"/>
    <col min="9473" max="9473" width="28.5703125" style="1457" bestFit="1" customWidth="1"/>
    <col min="9474" max="9728" width="9.140625" style="1457"/>
    <col min="9729" max="9729" width="28.5703125" style="1457" bestFit="1" customWidth="1"/>
    <col min="9730" max="9984" width="9.140625" style="1457"/>
    <col min="9985" max="9985" width="28.5703125" style="1457" bestFit="1" customWidth="1"/>
    <col min="9986" max="10240" width="9.140625" style="1457"/>
    <col min="10241" max="10241" width="28.5703125" style="1457" bestFit="1" customWidth="1"/>
    <col min="10242" max="10496" width="9.140625" style="1457"/>
    <col min="10497" max="10497" width="28.5703125" style="1457" bestFit="1" customWidth="1"/>
    <col min="10498" max="10752" width="9.140625" style="1457"/>
    <col min="10753" max="10753" width="28.5703125" style="1457" bestFit="1" customWidth="1"/>
    <col min="10754" max="11008" width="9.140625" style="1457"/>
    <col min="11009" max="11009" width="28.5703125" style="1457" bestFit="1" customWidth="1"/>
    <col min="11010" max="11264" width="9.140625" style="1457"/>
    <col min="11265" max="11265" width="28.5703125" style="1457" bestFit="1" customWidth="1"/>
    <col min="11266" max="11520" width="9.140625" style="1457"/>
    <col min="11521" max="11521" width="28.5703125" style="1457" bestFit="1" customWidth="1"/>
    <col min="11522" max="11776" width="9.140625" style="1457"/>
    <col min="11777" max="11777" width="28.5703125" style="1457" bestFit="1" customWidth="1"/>
    <col min="11778" max="12032" width="9.140625" style="1457"/>
    <col min="12033" max="12033" width="28.5703125" style="1457" bestFit="1" customWidth="1"/>
    <col min="12034" max="12288" width="9.140625" style="1457"/>
    <col min="12289" max="12289" width="28.5703125" style="1457" bestFit="1" customWidth="1"/>
    <col min="12290" max="12544" width="9.140625" style="1457"/>
    <col min="12545" max="12545" width="28.5703125" style="1457" bestFit="1" customWidth="1"/>
    <col min="12546" max="12800" width="9.140625" style="1457"/>
    <col min="12801" max="12801" width="28.5703125" style="1457" bestFit="1" customWidth="1"/>
    <col min="12802" max="13056" width="9.140625" style="1457"/>
    <col min="13057" max="13057" width="28.5703125" style="1457" bestFit="1" customWidth="1"/>
    <col min="13058" max="13312" width="9.140625" style="1457"/>
    <col min="13313" max="13313" width="28.5703125" style="1457" bestFit="1" customWidth="1"/>
    <col min="13314" max="13568" width="9.140625" style="1457"/>
    <col min="13569" max="13569" width="28.5703125" style="1457" bestFit="1" customWidth="1"/>
    <col min="13570" max="13824" width="9.140625" style="1457"/>
    <col min="13825" max="13825" width="28.5703125" style="1457" bestFit="1" customWidth="1"/>
    <col min="13826" max="14080" width="9.140625" style="1457"/>
    <col min="14081" max="14081" width="28.5703125" style="1457" bestFit="1" customWidth="1"/>
    <col min="14082" max="14336" width="9.140625" style="1457"/>
    <col min="14337" max="14337" width="28.5703125" style="1457" bestFit="1" customWidth="1"/>
    <col min="14338" max="14592" width="9.140625" style="1457"/>
    <col min="14593" max="14593" width="28.5703125" style="1457" bestFit="1" customWidth="1"/>
    <col min="14594" max="14848" width="9.140625" style="1457"/>
    <col min="14849" max="14849" width="28.5703125" style="1457" bestFit="1" customWidth="1"/>
    <col min="14850" max="15104" width="9.140625" style="1457"/>
    <col min="15105" max="15105" width="28.5703125" style="1457" bestFit="1" customWidth="1"/>
    <col min="15106" max="15360" width="9.140625" style="1457"/>
    <col min="15361" max="15361" width="28.5703125" style="1457" bestFit="1" customWidth="1"/>
    <col min="15362" max="15616" width="9.140625" style="1457"/>
    <col min="15617" max="15617" width="28.5703125" style="1457" bestFit="1" customWidth="1"/>
    <col min="15618" max="15872" width="9.140625" style="1457"/>
    <col min="15873" max="15873" width="28.5703125" style="1457" bestFit="1" customWidth="1"/>
    <col min="15874" max="16128" width="9.140625" style="1457"/>
    <col min="16129" max="16129" width="28.5703125" style="1457" bestFit="1" customWidth="1"/>
    <col min="16130" max="16384" width="9.140625" style="1457"/>
  </cols>
  <sheetData>
    <row r="1" spans="1:1">
      <c r="A1" s="1516" t="s">
        <v>1034</v>
      </c>
    </row>
    <row r="2" spans="1:1">
      <c r="A2" s="1516" t="s">
        <v>1039</v>
      </c>
    </row>
    <row r="3" spans="1:1">
      <c r="A3" s="1516" t="s">
        <v>1040</v>
      </c>
    </row>
    <row r="4" spans="1:1">
      <c r="A4" s="1516" t="s">
        <v>1041</v>
      </c>
    </row>
    <row r="5" spans="1:1">
      <c r="A5" s="1516" t="s">
        <v>1042</v>
      </c>
    </row>
    <row r="6" spans="1:1">
      <c r="A6" s="1516" t="s">
        <v>1035</v>
      </c>
    </row>
    <row r="7" spans="1:1">
      <c r="A7" s="1516" t="s">
        <v>1043</v>
      </c>
    </row>
    <row r="8" spans="1:1">
      <c r="A8" s="1516" t="s">
        <v>1044</v>
      </c>
    </row>
    <row r="9" spans="1:1">
      <c r="A9" s="1516" t="s">
        <v>1045</v>
      </c>
    </row>
    <row r="10" spans="1:1">
      <c r="A10" s="1516" t="s">
        <v>1036</v>
      </c>
    </row>
    <row r="11" spans="1:1">
      <c r="A11" s="1516" t="s">
        <v>1046</v>
      </c>
    </row>
    <row r="12" spans="1:1">
      <c r="A12" s="1516" t="s">
        <v>1037</v>
      </c>
    </row>
    <row r="13" spans="1:1">
      <c r="A13" s="1516" t="s">
        <v>1038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15db4d72-291a-4254-a514-8d2fe3ca083d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5/4/2015 12:39:29 PM</UPDATEDAT>
    <SOURCE_ISOUTOFDATE>False</SOURCE_ISOUTOFDATE>
    <SOURCE_WORKBOOKNAME>ON WIP.xls</SOURCE_WORKBOOKNAME>
    <SOURCE_WORKBOOKPATH>\\MSAD\ROOT\NA\NY\LIB\ER\SEMI CAP\Joe Files\Companies\ONNN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/MSResearch/Content/ExternalAssets/2015-05/Images/iL2L31CRNUOYvabXiUzFMA--.png</TARGET_BINARYFULLNAME>
    <TARGET_STORYFULLNAME>/MSResearch/Content/ExternalAssets/2015-05/Sections/20150504_123928_MWA_Risk_Reward.xml</TARGET_STORYFULLNAME>
    <TARGET_UUID>21b7d11e-f27c-11e4-96ae-7c07ebc02301</TARGET_UUID>
  </Link>
  <Link>
    <GUID>0b57a813-e601-4e96-bb19-1660866ca39d</GUID>
    <SOURCE_ALTADDRESS>$B$5:$L$35</SOURCE_ALTADDRESS>
    <SOURCETYPE>Table</SOURCETYPE>
    <SOURCE_OBJECTNAME>Linking_Range_73</SOURCE_OBJECTNAME>
    <OBJECTTYPE>Native</OBJECTTYPE>
    <SOURCE_SHEETCODE>Sheet14</SOURCE_SHEETCODE>
    <SOURCE_SHEETNAME>QoQ Comps</SOURCE_SHEETNAME>
    <SOURCEAPPLICATION>EXCEL_SOURCE</SOURCEAPPLICATION>
    <UPDATEDAT>5/4/2015 12:41:49 PM</UPDATEDAT>
    <SOURCE_ISOUTOFDATE>False</SOURCE_ISOUTOFDATE>
    <SOURCE_WORKBOOKNAME>ON WIP.xls</SOURCE_WORKBOOKNAME>
    <SOURCE_WORKBOOKPATH>\\MSAD\ROOT\NA\NY\LIB\ER\SEMI CAP\Joe Files\Companies\ONNN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/MSResearch/Content/ExternalAssets/2015-05/Images/nCibuDTi9ki8U3ELOP5OXQ--.png</TARGET_BINARYFULLNAME>
    <TARGET_STORYFULLNAME>/MSResearch/Content/ExternalAssets/2015-05/Sections/20150504_124148_Linking_Range_73.xml</TARGET_STORYFULLNAME>
    <TARGET_UUID>751ec7c2-f27c-11e4-96ae-7c07ebc02301</TARGET_UUID>
  </Link>
  <Link>
    <GUID>4a058422-76d9-42a4-a61a-51a8e91564f0</GUID>
    <SOURCE_ALTADDRESS>$C$9:$L$18</SOURCE_ALTADDRESS>
    <SOURCETYPE>Table</SOURCETYPE>
    <SOURCE_OBJECTNAME>Linking_Range_72</SOURCE_OBJECTNAME>
    <OBJECTTYPE>Native</OBJECTTYPE>
    <SOURCE_SHEETCODE>Sheet11</SOURCE_SHEETCODE>
    <SOURCE_SHEETNAME>Snapshot</SOURCE_SHEETNAME>
    <SOURCEAPPLICATION>EXCEL_SOURCE</SOURCEAPPLICATION>
    <UPDATEDAT>5/4/2015 12:43:10 PM</UPDATEDAT>
    <SOURCE_ISOUTOFDATE>False</SOURCE_ISOUTOFDATE>
    <SOURCE_WORKBOOKNAME>ON WIP.xls</SOURCE_WORKBOOKNAME>
    <SOURCE_WORKBOOKPATH>\\MSAD\ROOT\NA\NY\LIB\ER\SEMI CAP\Joe Files\Companies\ONNN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/MSResearch/Content/ExternalAssets/2015-05/Images/iilG5h6NZ0e8tCJY9klCXA--.png</TARGET_BINARYFULLNAME>
    <TARGET_STORYFULLNAME>/MSResearch/Content/ExternalAssets/2015-05/Sections/20150504_124309_Linking_Range_72.xml</TARGET_STORYFULLNAME>
    <TARGET_UUID>a5472ff2-f27c-11e4-96ae-7c07ebc02301</TARGET_UUID>
  </Link>
  <Link>
    <GUID>a3fd17eb-ee73-4bf1-acb2-a05209f21d9c</GUID>
    <SOURCE_ALTADDRESS>$B$5:$CA$109</SOURCE_ALTADDRESS>
    <SOURCETYPE>Table</SOURCETYPE>
    <SOURCE_OBJECTNAME>Linking_Range_74</SOURCE_OBJECTNAME>
    <OBJECTTYPE>Native</OBJECTTYPE>
    <SOURCE_SHEETCODE>Sheet2</SOURCE_SHEETCODE>
    <SOURCE_SHEETNAME>IS</SOURCE_SHEETNAME>
    <SOURCEAPPLICATION>EXCEL_SOURCE</SOURCEAPPLICATION>
    <UPDATEDAT>5/4/2015 12:44:11 PM</UPDATEDAT>
    <SOURCE_ISOUTOFDATE>False</SOURCE_ISOUTOFDATE>
    <SOURCE_WORKBOOKNAME>ON WIP.xls</SOURCE_WORKBOOKNAME>
    <SOURCE_WORKBOOKPATH>\\MSAD\ROOT\NA\NY\LIB\ER\SEMI CAP\Joe Files\Companies\ONNN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/MSResearch/Content/ExternalAssets/2015-05/Images/c9Ifr8re_kagT2hMDlbzug--.png</TARGET_BINARYFULLNAME>
    <TARGET_STORYFULLNAME>/MSResearch/Content/ExternalAssets/2015-05/Sections/20150504_124409_Linking_Range_74.xml</TARGET_STORYFULLNAME>
    <TARGET_UUID>c9744f4a-f27c-11e4-96ae-7c07ebc02301</TARGET_UUID>
  </Link>
  <Link>
    <GUID>b09d7f92-3ff9-4aad-96d5-7e881cc1a967</GUID>
    <SOURCE_ALTADDRESS>$B$5:$BK$46</SOURCE_ALTADDRESS>
    <SOURCETYPE>Table</SOURCETYPE>
    <SOURCE_OBJECTNAME>Linking_Range_75</SOURCE_OBJECTNAME>
    <OBJECTTYPE>Native</OBJECTTYPE>
    <SOURCE_SHEETCODE>Sheet3</SOURCE_SHEETCODE>
    <SOURCE_SHEETNAME>BS</SOURCE_SHEETNAME>
    <SOURCEAPPLICATION>EXCEL_SOURCE</SOURCEAPPLICATION>
    <UPDATEDAT>5/4/2015 12:44:46 PM</UPDATEDAT>
    <SOURCE_ISOUTOFDATE>False</SOURCE_ISOUTOFDATE>
    <SOURCE_WORKBOOKNAME>ON WIP.xls</SOURCE_WORKBOOKNAME>
    <SOURCE_WORKBOOKPATH>\\MSAD\ROOT\NA\NY\LIB\ER\SEMI CAP\Joe Files\Companies\ONNN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/MSResearch/Content/ExternalAssets/2015-05/Images/39s1n--Yu0KTYA9KBHprDQ--.png</TARGET_BINARYFULLNAME>
    <TARGET_STORYFULLNAME>/MSResearch/Content/ExternalAssets/2015-05/Sections/20150504_124444_Linking_Range_75.xml</TARGET_STORYFULLNAME>
    <TARGET_UUID>de65db12-f27c-11e4-96ae-7c07ebc02301</TARGET_UUID>
  </Link>
  <Link>
    <GUID>7377e79f-19bc-4e9c-981c-a849cb11fdab</GUID>
    <SOURCE_ALTADDRESS>$B$5:$BZ$70</SOURCE_ALTADDRESS>
    <SOURCETYPE>Table</SOURCETYPE>
    <SOURCE_OBJECTNAME>Linking_Range_57</SOURCE_OBJECTNAME>
    <OBJECTTYPE>Native</OBJECTTYPE>
    <SOURCE_SHEETCODE>Sheet9</SOURCE_SHEETCODE>
    <SOURCE_SHEETNAME>CFS</SOURCE_SHEETNAME>
    <SOURCEAPPLICATION>EXCEL_SOURCE</SOURCEAPPLICATION>
    <UPDATEDAT>5/4/2015 12:45:47 PM</UPDATEDAT>
    <SOURCE_ISOUTOFDATE>False</SOURCE_ISOUTOFDATE>
    <SOURCE_WORKBOOKNAME>ON WIP.xls</SOURCE_WORKBOOKNAME>
    <SOURCE_WORKBOOKPATH>\\MSAD\ROOT\NA\NY\LIB\ER\SEMI CAP\Joe Files\Companies\ONNN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/MSResearch/Content/ExternalAssets/2015-05/Images/-6lNz8D5gkanRNOMjvVmdQ--.png</TARGET_BINARYFULLNAME>
    <TARGET_STORYFULLNAME>/MSResearch/Content/ExternalAssets/2015-05/Sections/20150504_124546_Linking_Range_57.xml</TARGET_STORYFULLNAME>
    <TARGET_UUID>02d8678a-f27d-11e4-96ae-7c07ebc02301</TARGET_UUID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25BADF9B-E16E-4EED-A83A-3F921D42FFA1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DB239201-33E3-4765-BCB5-C3348BFC5388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103</vt:i4>
      </vt:variant>
    </vt:vector>
  </HeadingPairs>
  <TitlesOfParts>
    <vt:vector size="110" baseType="lpstr">
      <vt:lpstr>ImportantDisclosures</vt:lpstr>
      <vt:lpstr>IS</vt:lpstr>
      <vt:lpstr>BS</vt:lpstr>
      <vt:lpstr>CFS</vt:lpstr>
      <vt:lpstr>Segment Results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Linking_17</vt:lpstr>
      <vt:lpstr>Linking_18</vt:lpstr>
      <vt:lpstr>Linking_20</vt:lpstr>
      <vt:lpstr>Linking_22</vt:lpstr>
      <vt:lpstr>Linking_23</vt:lpstr>
      <vt:lpstr>Linking_24</vt:lpstr>
      <vt:lpstr>Linking_26</vt:lpstr>
      <vt:lpstr>Linking_6</vt:lpstr>
      <vt:lpstr>Linking_7</vt:lpstr>
      <vt:lpstr>Linking_Range_1</vt:lpstr>
      <vt:lpstr>CFS!Linking_Range_13</vt:lpstr>
      <vt:lpstr>Linking_Range_14</vt:lpstr>
      <vt:lpstr>Linking_Range_15</vt:lpstr>
      <vt:lpstr>CFS!Linking_Range_17</vt:lpstr>
      <vt:lpstr>CFS!Linking_Range_18</vt:lpstr>
      <vt:lpstr>Linking_Range_19</vt:lpstr>
      <vt:lpstr>Linking_Range_2</vt:lpstr>
      <vt:lpstr>Linking_Range_3</vt:lpstr>
      <vt:lpstr>Linking_Range_4</vt:lpstr>
      <vt:lpstr>Linking_Range_40</vt:lpstr>
      <vt:lpstr>Linking_Range_41</vt:lpstr>
      <vt:lpstr>Linking_Range_46</vt:lpstr>
      <vt:lpstr>Linking_Range_47</vt:lpstr>
      <vt:lpstr>Linking_Range_48</vt:lpstr>
      <vt:lpstr>Linking_Range_53</vt:lpstr>
      <vt:lpstr>Linking_Range_55</vt:lpstr>
      <vt:lpstr>Linking_Range_56</vt:lpstr>
      <vt:lpstr>Linking_Range_57</vt:lpstr>
      <vt:lpstr>Linking_Range_62</vt:lpstr>
      <vt:lpstr>Linking_Range_63</vt:lpstr>
      <vt:lpstr>Linking_Range_71</vt:lpstr>
      <vt:lpstr>Linking_Range_74</vt:lpstr>
      <vt:lpstr>Linking_Range_75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2011-04-06T14:26:47Z</dcterms:created>
  <dc:creator>josuev</dc:creator>
  <cp:lastModifiedBy>Linden, Sarah (Research)</cp:lastModifiedBy>
  <cp:lastPrinted>2018-02-05T21:12:28Z</cp:lastPrinted>
  <dcterms:modified xsi:type="dcterms:W3CDTF">2018-02-05T22:16:57Z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1</vt:lpwstr>
  </property>
  <property fmtid="{D5CDD505-2E9C-101B-9397-08002B2CF9AE}" name="LinkingAutoNameNumberLinking_Range_" pid="3">
    <vt:lpwstr>75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748756</vt:lpwstr>
  </property>
  <property fmtid="{D5CDD505-2E9C-101B-9397-08002B2CF9AE}" name="ERModPubCompanyName" pid="7">
    <vt:lpwstr>ON Semiconductor Corp.</vt:lpwstr>
  </property>
  <property fmtid="{D5CDD505-2E9C-101B-9397-08002B2CF9AE}" name="MSDH34TAG" pid="8">
    <vt:lpwstr>.TEZUF76X5TAHATHESADREYAK-00-INB160+*94600-06=4969b04a/-0ac2/-11e8/-8049/-1b1ec112dbd5,MD=20180205172824/-0500,ZZ=000Z-5512.</vt:lpwstr>
  </property>
</Properties>
</file>